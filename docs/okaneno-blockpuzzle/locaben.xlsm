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filterPrivacy="1" codeName="ThisWorkbook" autoCompressPictures="0" defaultThemeVersion="124226"/>
  <xr:revisionPtr revIDLastSave="0" documentId="13_ncr:1_{0732F1EE-5223-4DF7-8A89-193FC0E59BCE}" xr6:coauthVersionLast="47" xr6:coauthVersionMax="47" xr10:uidLastSave="{00000000-0000-0000-0000-000000000000}"/>
  <bookViews>
    <workbookView xWindow="7920" yWindow="-15276" windowWidth="18768" windowHeight="13692" tabRatio="924" xr2:uid="{00000000-000D-0000-FFFF-FFFF00000000}"/>
  </bookViews>
  <sheets>
    <sheet name="財務分析シート ver3" sheetId="33" r:id="rId1"/>
    <sheet name="【入力】財務分析" sheetId="14" r:id="rId2"/>
    <sheet name="【入力】商流・業務フロー" sheetId="34" r:id="rId3"/>
    <sheet name="【入力】4つの視点" sheetId="35" r:id="rId4"/>
    <sheet name="【参照】業種" sheetId="40" r:id="rId5"/>
    <sheet name="【参照】業種区分" sheetId="39" state="hidden" r:id="rId6"/>
    <sheet name="【参照】企業規模" sheetId="36" r:id="rId7"/>
    <sheet name="【参照】売上増加率基準値" sheetId="19" r:id="rId8"/>
    <sheet name="【参照】営業利益率基準値" sheetId="20" r:id="rId9"/>
    <sheet name="【参照】労働生産性基準値" sheetId="21" r:id="rId10"/>
    <sheet name="【参照】EBITDA基準値" sheetId="22" r:id="rId11"/>
    <sheet name="【参照】営業運転資本回転期間基準値" sheetId="25" r:id="rId12"/>
    <sheet name="【参照】自己資本比率基準値" sheetId="23" r:id="rId13"/>
  </sheets>
  <externalReferences>
    <externalReference r:id="rId14"/>
  </externalReferences>
  <definedNames>
    <definedName name="_01_農業">【参照】業種区分!#REF!</definedName>
    <definedName name="_02_建設業">【参照】業種区分!#REF!</definedName>
    <definedName name="_03_製造業">【参照】業種区分!#REF!</definedName>
    <definedName name="_04_卸売業">【参照】業種区分!#REF!</definedName>
    <definedName name="_05_小売業">【参照】業種区分!#REF!</definedName>
    <definedName name="_06_飲食業">【参照】業種区分!#REF!</definedName>
    <definedName name="_07_不動産業">【参照】業種区分!#REF!</definedName>
    <definedName name="_08_運輸業">【参照】業種区分!#REF!</definedName>
    <definedName name="_09_エネルギー">【参照】業種区分!#REF!</definedName>
    <definedName name="_10_サービス業">【参照】業種区分!#REF!</definedName>
    <definedName name="_11_医療業">【参照】業種区分!#REF!</definedName>
    <definedName name="_12_保険衛生_廃棄物処理業">【参照】業種区分!#REF!</definedName>
    <definedName name="_13_観光業">【参照】業種区分!#REF!</definedName>
    <definedName name="_xlnm._FilterDatabase" localSheetId="10" hidden="1">【参照】EBITDA基準値!$A$1:$H$12</definedName>
    <definedName name="_xlnm._FilterDatabase" localSheetId="11" hidden="1">【参照】営業運転資本回転期間基準値!$A$1:$H$12</definedName>
    <definedName name="_xlnm._FilterDatabase" localSheetId="8" hidden="1">【参照】営業利益率基準値!$A$1:$H$12</definedName>
    <definedName name="_xlnm._FilterDatabase" localSheetId="4" hidden="1">【参照】業種!$A$4:$E$1464</definedName>
    <definedName name="_xlnm._FilterDatabase" localSheetId="12" hidden="1">【参照】自己資本比率基準値!$A$1:$H$12</definedName>
    <definedName name="_xlnm._FilterDatabase" localSheetId="7" hidden="1">【参照】売上増加率基準値!$A$1:$H$12</definedName>
    <definedName name="_xlnm._FilterDatabase" localSheetId="9" hidden="1">【参照】労働生産性基準値!$A$1:$H$12</definedName>
    <definedName name="【診断結果】" localSheetId="0">【入力】財務分析!#REF!</definedName>
    <definedName name="【診断結果】">【入力】財務分析!#REF!</definedName>
    <definedName name="_xlnm.Print_Area" localSheetId="1">【入力】財務分析!$A$1:$R$58</definedName>
    <definedName name="_xlnm.Print_Area" localSheetId="0">'財務分析シート ver3'!$A$1:$W$46</definedName>
    <definedName name="sat">[1]入力シート!#REF!</definedName>
    <definedName name="さ" localSheetId="3">[1]入力シート!#REF!</definedName>
    <definedName name="さ">[1]入力シート!#REF!</definedName>
    <definedName name="業種大分類">【参照】業種区分!#REF!</definedName>
    <definedName name="売上高増加率" localSheetId="3">[1]入力シート!#REF!</definedName>
    <definedName name="売上高増加率" localSheetId="2">[1]入力シート!#REF!</definedName>
    <definedName name="売上高増加率" localSheetId="0">【入力】財務分析!#REF!</definedName>
    <definedName name="売上高増加率">【入力】財務分析!#REF!</definedName>
    <definedName name="非財">[1]入力シート!#REF!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7" i="14" l="1"/>
  <c r="K11" i="14"/>
  <c r="K9" i="14" l="1"/>
  <c r="K8" i="14"/>
  <c r="K7" i="14"/>
  <c r="O8" i="14" l="1"/>
  <c r="M8" i="14"/>
  <c r="F5" i="36" l="1"/>
  <c r="F10" i="36" s="1"/>
  <c r="E10" i="33"/>
  <c r="E9" i="33"/>
  <c r="F22" i="36" l="1"/>
  <c r="F8" i="36"/>
  <c r="F13" i="36" s="1"/>
  <c r="F7" i="36"/>
  <c r="F12" i="36" s="1"/>
  <c r="F6" i="36"/>
  <c r="F11" i="36" s="1"/>
  <c r="O9" i="14" l="1"/>
  <c r="M9" i="14"/>
  <c r="AA4" i="35" l="1"/>
  <c r="AA3" i="35"/>
  <c r="AA2" i="35"/>
  <c r="AA1" i="35"/>
  <c r="Y4" i="34"/>
  <c r="Y3" i="34"/>
  <c r="Y2" i="34"/>
  <c r="Y1" i="34"/>
  <c r="E28" i="14"/>
  <c r="M6" i="14" s="1"/>
  <c r="E34" i="33" s="1"/>
  <c r="D28" i="14"/>
  <c r="O11" i="14"/>
  <c r="K39" i="33" s="1"/>
  <c r="M11" i="14"/>
  <c r="E39" i="33" s="1"/>
  <c r="O10" i="14"/>
  <c r="K38" i="33" s="1"/>
  <c r="M10" i="14"/>
  <c r="E38" i="33" s="1"/>
  <c r="K10" i="14"/>
  <c r="E25" i="33" s="1"/>
  <c r="K36" i="33"/>
  <c r="E36" i="33"/>
  <c r="E23" i="33"/>
  <c r="O7" i="14"/>
  <c r="K35" i="33" s="1"/>
  <c r="M7" i="14"/>
  <c r="E35" i="33" s="1"/>
  <c r="E22" i="33"/>
  <c r="O6" i="14"/>
  <c r="O4" i="14"/>
  <c r="M4" i="14"/>
  <c r="K4" i="14"/>
  <c r="K37" i="33"/>
  <c r="E37" i="33"/>
  <c r="K34" i="33"/>
  <c r="K32" i="33"/>
  <c r="E32" i="33"/>
  <c r="E26" i="33"/>
  <c r="E19" i="33"/>
  <c r="E15" i="33"/>
  <c r="E14" i="33"/>
  <c r="E13" i="33"/>
  <c r="E8" i="33"/>
  <c r="E7" i="33"/>
  <c r="E5" i="33"/>
  <c r="K6" i="14" l="1"/>
  <c r="E21" i="33" s="1"/>
  <c r="E24" i="33"/>
  <c r="F17" i="36"/>
  <c r="F18" i="36"/>
  <c r="F16" i="36"/>
  <c r="F15" i="36" l="1"/>
  <c r="F20" i="36" l="1"/>
  <c r="C2" i="36" s="1"/>
  <c r="D20" i="14" s="1"/>
  <c r="M20" i="14" l="1"/>
  <c r="M16" i="14"/>
  <c r="L18" i="14"/>
  <c r="K20" i="14"/>
  <c r="K16" i="14"/>
  <c r="J18" i="14"/>
  <c r="M19" i="14"/>
  <c r="L21" i="14"/>
  <c r="L17" i="14"/>
  <c r="K19" i="14"/>
  <c r="J21" i="14"/>
  <c r="J17" i="14"/>
  <c r="M21" i="14"/>
  <c r="M17" i="14"/>
  <c r="L19" i="14"/>
  <c r="K21" i="14"/>
  <c r="K17" i="14"/>
  <c r="J19" i="14"/>
  <c r="M18" i="14"/>
  <c r="L20" i="14"/>
  <c r="L16" i="14"/>
  <c r="K18" i="14"/>
  <c r="J20" i="14"/>
  <c r="J16" i="14"/>
  <c r="H14" i="14"/>
  <c r="E11" i="33"/>
  <c r="P6" i="14" l="1"/>
  <c r="N34" i="33" s="1"/>
  <c r="N6" i="14"/>
  <c r="G34" i="33" s="1"/>
  <c r="G35" i="33"/>
  <c r="L6" i="14"/>
  <c r="G21" i="33" s="1"/>
  <c r="P10" i="14"/>
  <c r="N38" i="33" s="1"/>
  <c r="N10" i="14"/>
  <c r="G38" i="33" s="1"/>
  <c r="L10" i="14"/>
  <c r="G25" i="33" s="1"/>
  <c r="P9" i="14"/>
  <c r="N37" i="33" s="1"/>
  <c r="N9" i="14"/>
  <c r="G37" i="33" s="1"/>
  <c r="L9" i="14"/>
  <c r="G24" i="33" s="1"/>
  <c r="L7" i="14"/>
  <c r="G22" i="33" s="1"/>
  <c r="P7" i="14"/>
  <c r="N35" i="33" s="1"/>
  <c r="L11" i="14"/>
  <c r="G26" i="33" s="1"/>
  <c r="P11" i="14"/>
  <c r="N39" i="33" s="1"/>
  <c r="N11" i="14"/>
  <c r="G39" i="33" s="1"/>
  <c r="N8" i="14"/>
  <c r="G36" i="33" s="1"/>
  <c r="L8" i="14"/>
  <c r="G23" i="33" s="1"/>
  <c r="P8" i="14"/>
  <c r="N36" i="33" s="1"/>
  <c r="P38" i="33"/>
  <c r="P36" i="33"/>
  <c r="P34" i="33"/>
  <c r="I35" i="33"/>
  <c r="P39" i="33"/>
  <c r="P37" i="33"/>
  <c r="P35" i="33"/>
  <c r="I26" i="33"/>
  <c r="I22" i="33"/>
  <c r="I36" i="33"/>
  <c r="I34" i="33"/>
  <c r="I39" i="33"/>
  <c r="I37" i="33"/>
  <c r="I38" i="33"/>
  <c r="I23" i="33"/>
  <c r="I24" i="33"/>
  <c r="I25" i="33"/>
  <c r="I21" i="33"/>
  <c r="H41" i="33" l="1"/>
  <c r="I41" i="33" s="1"/>
  <c r="H28" i="33"/>
  <c r="I28" i="33" s="1"/>
  <c r="O41" i="33"/>
  <c r="P41"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C6" authorId="0" shapeId="0" xr:uid="{00000000-0006-0000-0200-000001000000}">
      <text>
        <r>
          <rPr>
            <b/>
            <sz val="9"/>
            <color indexed="81"/>
            <rFont val="ＭＳ Ｐゴシック"/>
            <family val="3"/>
            <charset val="128"/>
          </rPr>
          <t xml:space="preserve">自社の製品・商品・サービス等をお客様へ提供するまでの業務の流れを業務①～業務⑤で表してください。
※必ずしも業務①～⑤を埋めなければならないことはありません。また、業務⑤で足りなければ、必要に応じて⑥⑦と加えていただいて問題ありません。
【衣料品製造の場合】
業務①　営業・打ち合わせ
業務②　デザイン
業務③　試作
業務④　生地仕入
業務⑤　製造
業務⑥　検品・納品
【建設工事の場合】
業務①　営業
業務②　現場調査
業務③　見積
業務④　計画書等作成
業務⑤　作業
業務⑥　報告書作成
【介護サービスの場合】
業務①　新規利用者へのアセスメント
業務②　サービス提供への計画作成
業務③　サービス提供
業務④　モニタリング
業務④　フィードバックの改善・共有
</t>
        </r>
      </text>
    </comment>
    <comment ref="H6" authorId="0" shapeId="0" xr:uid="{00000000-0006-0000-0200-000002000000}">
      <text>
        <r>
          <rPr>
            <b/>
            <sz val="9"/>
            <color indexed="81"/>
            <rFont val="ＭＳ Ｐゴシック"/>
            <family val="3"/>
            <charset val="128"/>
          </rPr>
          <t xml:space="preserve">自社の製品・商品・サービス等をお客様へ提供するまでの業務の流れを業務①～業務⑤で表してください。
※必ずしも業務①～⑤を埋めなければならないことはありません。また、業務⑤で足りなければ、必要に応じて⑥⑦と加えていただいて問題ありません。
【衣料品製造の場合】
業務①　営業・打ち合わせ
業務②　デザイン
業務③　試作
業務④　生地仕入
業務⑤　製造
業務⑥　検品・納品
【建設工事の場合】
業務①　営業
業務②　現場調査
業務③　見積
業務④　計画書等作成
業務⑤　作業
業務⑥　報告書作成
【介護サービスの場合】
業務①　新規利用者へのアセスメント
業務②　サービス提供への計画作成
業務③　サービス提供
業務④　モニタリング
業務④　フィードバックの改善・共有
</t>
        </r>
      </text>
    </comment>
    <comment ref="M6" authorId="0" shapeId="0" xr:uid="{00000000-0006-0000-0200-000003000000}">
      <text>
        <r>
          <rPr>
            <b/>
            <sz val="9"/>
            <color indexed="81"/>
            <rFont val="ＭＳ Ｐゴシック"/>
            <family val="3"/>
            <charset val="128"/>
          </rPr>
          <t xml:space="preserve">自社の製品・商品・サービス等をお客様へ提供するまでの業務の流れを業務①～業務⑤で表してください。
※必ずしも業務①～⑤を埋めなければならないことはありません。また、業務⑤で足りなければ、必要に応じて⑥⑦と加えていただいて問題ありません。
【衣料品製造の場合】
業務①　営業・打ち合わせ
業務②　デザイン
業務③　試作
業務④　生地仕入
業務⑤　製造
業務⑥　検品・納品
【建設工事の場合】
業務①　営業
業務②　現場調査
業務③　見積
業務④　計画書等作成
業務⑤　作業
業務⑥　報告書作成
【介護サービスの場合】
業務①　新規利用者へのアセスメント
業務②　サービス提供への計画作成
業務③　サービス提供
業務④　モニタリング
業務④　フィードバックの改善・共有
</t>
        </r>
      </text>
    </comment>
    <comment ref="R6" authorId="0" shapeId="0" xr:uid="{00000000-0006-0000-0200-000004000000}">
      <text>
        <r>
          <rPr>
            <b/>
            <sz val="9"/>
            <color indexed="81"/>
            <rFont val="ＭＳ Ｐゴシック"/>
            <family val="3"/>
            <charset val="128"/>
          </rPr>
          <t xml:space="preserve">自社の製品・商品・サービス等をお客様へ提供するまでの業務の流れを業務①～業務⑤で表してください。
※必ずしも業務①～⑤を埋めなければならないことはありません。また、業務⑤で足りなければ、必要に応じて⑥⑦と加えていただいて問題ありません。
【衣料品製造の場合】
業務①　営業・打ち合わせ
業務②　デザイン
業務③　試作
業務④　生地仕入
業務⑤　製造
業務⑥　検品・納品
【建設工事の場合】
業務①　営業
業務②　現場調査
業務③　見積
業務④　計画書等作成
業務⑤　作業
業務⑥　報告書作成
【介護サービスの場合】
業務①　新規利用者へのアセスメント
業務②　サービス提供への計画作成
業務③　サービス提供
業務④　モニタリング
業務④　フィードバックの改善・共有
</t>
        </r>
      </text>
    </comment>
    <comment ref="W6" authorId="0" shapeId="0" xr:uid="{00000000-0006-0000-0200-000005000000}">
      <text>
        <r>
          <rPr>
            <b/>
            <sz val="9"/>
            <color indexed="81"/>
            <rFont val="ＭＳ Ｐゴシック"/>
            <family val="3"/>
            <charset val="128"/>
          </rPr>
          <t xml:space="preserve">自社の製品・商品・サービス等をお客様へ提供するまでの業務の流れを業務①～業務⑤で表してください。
※必ずしも業務①～⑤を埋めなければならないことはありません。また、業務⑤で足りなければ、必要に応じて⑥⑦と加えていただいて問題ありません。
【衣料品製造の場合】
業務①　営業・打ち合わせ
業務②　デザイン
業務③　試作
業務④　生地仕入
業務⑤　製造
業務⑥　検品・納品
【建設工事の場合】
業務①　営業
業務②　現場調査
業務③　見積
業務④　計画書等作成
業務⑤　作業
業務⑥　報告書作成
【介護サービスの場合】
業務①　新規利用者へのアセスメント
業務②　サービス提供への計画作成
業務③　サービス提供
業務④　モニタリング
業務④　フィードバックの改善・共有
</t>
        </r>
      </text>
    </comment>
    <comment ref="B8" authorId="0" shapeId="0" xr:uid="{00000000-0006-0000-0200-000006000000}">
      <text>
        <r>
          <rPr>
            <b/>
            <sz val="9"/>
            <color indexed="81"/>
            <rFont val="ＭＳ Ｐゴシック"/>
            <family val="3"/>
            <charset val="128"/>
          </rPr>
          <t>【ヒント】
どのような業務を実施していますか。
どの部署（あるいは誰が）、なんのために実施している内容の業務でしょうか。</t>
        </r>
      </text>
    </comment>
    <comment ref="G8" authorId="0" shapeId="0" xr:uid="{00000000-0006-0000-0200-000007000000}">
      <text>
        <r>
          <rPr>
            <b/>
            <sz val="9"/>
            <color indexed="81"/>
            <rFont val="ＭＳ Ｐゴシック"/>
            <family val="3"/>
            <charset val="128"/>
          </rPr>
          <t>【ヒント】
どのような業務を実施していますか。
どの部署（あるいは誰が）、なんのために実施している内容の業務でしょうか。</t>
        </r>
      </text>
    </comment>
    <comment ref="L8" authorId="0" shapeId="0" xr:uid="{00000000-0006-0000-0200-000008000000}">
      <text>
        <r>
          <rPr>
            <b/>
            <sz val="9"/>
            <color indexed="81"/>
            <rFont val="ＭＳ Ｐゴシック"/>
            <family val="3"/>
            <charset val="128"/>
          </rPr>
          <t>【ヒント】
どのような業務を実施していますか。
どの部署（あるいは誰が）、なんのために実施している内容の業務でしょうか。</t>
        </r>
      </text>
    </comment>
    <comment ref="Q8" authorId="0" shapeId="0" xr:uid="{00000000-0006-0000-0200-000009000000}">
      <text>
        <r>
          <rPr>
            <b/>
            <sz val="9"/>
            <color indexed="81"/>
            <rFont val="ＭＳ Ｐゴシック"/>
            <family val="3"/>
            <charset val="128"/>
          </rPr>
          <t>【ヒント】
どのような業務を実施していますか。
どの部署（あるいは誰が）、なんのために実施している内容の業務でしょうか。</t>
        </r>
      </text>
    </comment>
    <comment ref="V8" authorId="0" shapeId="0" xr:uid="{00000000-0006-0000-0200-00000A000000}">
      <text>
        <r>
          <rPr>
            <b/>
            <sz val="9"/>
            <color indexed="81"/>
            <rFont val="ＭＳ Ｐゴシック"/>
            <family val="3"/>
            <charset val="128"/>
          </rPr>
          <t>【ヒント】
どのような業務を実施していますか。
どの部署（あるいは誰が）、なんのために実施している内容の業務でしょうか。</t>
        </r>
      </text>
    </comment>
    <comment ref="AA8" authorId="0" shapeId="0" xr:uid="{00000000-0006-0000-0200-00000B000000}">
      <text>
        <r>
          <rPr>
            <b/>
            <sz val="9"/>
            <color indexed="81"/>
            <rFont val="ＭＳ Ｐゴシック"/>
            <family val="3"/>
            <charset val="128"/>
          </rPr>
          <t>【ヒント】
左の業務フローを経て、最終的にどのような製品・商品・サービスを提供されていますか。</t>
        </r>
      </text>
    </comment>
    <comment ref="B14" authorId="0" shapeId="0" xr:uid="{00000000-0006-0000-0200-00000C000000}">
      <text>
        <r>
          <rPr>
            <b/>
            <sz val="9"/>
            <color indexed="81"/>
            <rFont val="ＭＳ Ｐゴシック"/>
            <family val="3"/>
            <charset val="128"/>
          </rPr>
          <t>【ヒント】
この業務は貴社と差別化できるポイントがありますか。貴社のどのような「強み」や「違い」がこの業務に含まれているでしょうか。
例えば、「通常●●の素材を使うところを、〇〇を使い、加工を行っている」、「ダブルチェックをトリプルチェックまで行っている」、「品質規格〇〇に則った運用を行っている」などです。</t>
        </r>
      </text>
    </comment>
    <comment ref="G14" authorId="0" shapeId="0" xr:uid="{00000000-0006-0000-0200-00000D000000}">
      <text>
        <r>
          <rPr>
            <b/>
            <sz val="9"/>
            <color indexed="81"/>
            <rFont val="ＭＳ Ｐゴシック"/>
            <family val="3"/>
            <charset val="128"/>
          </rPr>
          <t>【ヒント】
この業務は貴社と差別化できるポイントがありますか。貴社のどのような「強み」や「違い」がこの業務に含まれているでしょうか。
例えば、「通常●●の素材を使うところを、〇〇を使い、加工を行っている」、「ダブルチェックをトリプルチェックまで行っている」、「品質規格〇〇に則った運用を行っている」などです。</t>
        </r>
      </text>
    </comment>
    <comment ref="L14" authorId="0" shapeId="0" xr:uid="{00000000-0006-0000-0200-00000E000000}">
      <text>
        <r>
          <rPr>
            <b/>
            <sz val="9"/>
            <color indexed="81"/>
            <rFont val="ＭＳ Ｐゴシック"/>
            <family val="3"/>
            <charset val="128"/>
          </rPr>
          <t>【ヒント】
この業務は貴社と差別化できるポイントがありますか。貴社のどのような「強み」や「違い」がこの業務に含まれているでしょうか。
例えば、「通常●●の素材を使うところを、〇〇を使い、加工を行っている」、「ダブルチェックをトリプルチェックまで行っている」、「品質規格〇〇に則った運用を行っている」などです。</t>
        </r>
      </text>
    </comment>
    <comment ref="Q14" authorId="0" shapeId="0" xr:uid="{00000000-0006-0000-0200-00000F000000}">
      <text>
        <r>
          <rPr>
            <b/>
            <sz val="9"/>
            <color indexed="81"/>
            <rFont val="ＭＳ Ｐゴシック"/>
            <family val="3"/>
            <charset val="128"/>
          </rPr>
          <t>【ヒント】
この業務は貴社と差別化できるポイントがありますか。貴社のどのような「強み」や「違い」がこの業務に含まれているでしょうか。
例えば、「通常●●の素材を使うところを、〇〇を使い、加工を行っている」、「ダブルチェックをトリプルチェックまで行っている」、「品質規格〇〇に則った運用を行っている」などです。</t>
        </r>
      </text>
    </comment>
    <comment ref="V14" authorId="0" shapeId="0" xr:uid="{00000000-0006-0000-0200-000010000000}">
      <text>
        <r>
          <rPr>
            <b/>
            <sz val="9"/>
            <color indexed="81"/>
            <rFont val="ＭＳ Ｐゴシック"/>
            <family val="3"/>
            <charset val="128"/>
          </rPr>
          <t>【ヒント】
この業務は貴社と差別化できるポイントがありますか。貴社のどのような「強み」や「違い」がこの業務に含まれているでしょうか。
例えば、「通常●●の素材を使うところを、〇〇を使い、加工を行っている」、「ダブルチェックをトリプルチェックまで行っている」、「品質規格〇〇に則った運用を行っている」などです。</t>
        </r>
      </text>
    </comment>
    <comment ref="AA14" authorId="0" shapeId="0" xr:uid="{00000000-0006-0000-0200-000011000000}">
      <text>
        <r>
          <rPr>
            <b/>
            <sz val="9"/>
            <color indexed="81"/>
            <rFont val="ＭＳ Ｐゴシック"/>
            <family val="3"/>
            <charset val="128"/>
          </rPr>
          <t>【ヒント】
貴社が提供している製品・商品・サービスによってお客様はどのような価値を得ているでしょうか。</t>
        </r>
      </text>
    </comment>
    <comment ref="B23" authorId="0" shapeId="0" xr:uid="{00000000-0006-0000-0200-000012000000}">
      <text>
        <r>
          <rPr>
            <b/>
            <sz val="9"/>
            <color indexed="81"/>
            <rFont val="ＭＳ Ｐゴシック"/>
            <family val="3"/>
            <charset val="128"/>
          </rPr>
          <t>【ヒント】
どのような企業から何を仕入れていますか。どれは金額にするとどの程度でしょうか。</t>
        </r>
      </text>
    </comment>
    <comment ref="V24" authorId="0" shapeId="0" xr:uid="{00000000-0006-0000-0200-000013000000}">
      <text>
        <r>
          <rPr>
            <b/>
            <sz val="9"/>
            <color indexed="81"/>
            <rFont val="ＭＳ Ｐゴシック"/>
            <family val="3"/>
            <charset val="128"/>
          </rPr>
          <t>【ヒント】
貴社にとってのエンドユーザーは個人でしょうかそれとも企業でしょうか。また、どの程度の金額を購入しているのでしょうか。
市場規模などもわかれば把握しておきたいところです。</t>
        </r>
      </text>
    </comment>
    <comment ref="G26" authorId="0" shapeId="0" xr:uid="{00000000-0006-0000-0200-000014000000}">
      <text>
        <r>
          <rPr>
            <b/>
            <sz val="9"/>
            <color indexed="81"/>
            <rFont val="ＭＳ Ｐゴシック"/>
            <family val="3"/>
            <charset val="128"/>
          </rPr>
          <t>【ヒント】
どのような企業に何を協力してもらっていますか。どれは金額にするとどの程度でしょうか。</t>
        </r>
      </text>
    </comment>
    <comment ref="Q27" authorId="0" shapeId="0" xr:uid="{00000000-0006-0000-0200-000015000000}">
      <text>
        <r>
          <rPr>
            <b/>
            <sz val="9"/>
            <color indexed="81"/>
            <rFont val="ＭＳ Ｐゴシック"/>
            <family val="3"/>
            <charset val="128"/>
          </rPr>
          <t>【ヒント】
貴社の得意先は企業でしょうかそれとも個人でしょうか。また、何を貴社から購入しているのでしょうか。どの程度購入しているのでしょうか。特定の企業に集中しているのでしょうか、分散しているのでしょうか。</t>
        </r>
      </text>
    </comment>
    <comment ref="B28" authorId="0" shapeId="0" xr:uid="{00000000-0006-0000-0200-000016000000}">
      <text>
        <r>
          <rPr>
            <b/>
            <sz val="9"/>
            <color indexed="81"/>
            <rFont val="ＭＳ Ｐゴシック"/>
            <family val="3"/>
            <charset val="128"/>
          </rPr>
          <t>【ヒント】
なぜその取引先と取引をしているのでしょうか。どのような点が貴社にとって良い点なのでしょうか。
金額でしょうか。品質でしょうか。この会社から仕入れる必要性はどの程度あるのでしょうか。</t>
        </r>
      </text>
    </comment>
    <comment ref="V29" authorId="0" shapeId="0" xr:uid="{00000000-0006-0000-0200-000017000000}">
      <text>
        <r>
          <rPr>
            <b/>
            <sz val="9"/>
            <color indexed="81"/>
            <rFont val="ＭＳ Ｐゴシック"/>
            <family val="3"/>
            <charset val="128"/>
          </rPr>
          <t>【ヒント】
エンドユーザーが貴社の（あるいは貴社がかかわっている）製品・商品・サービスを選んでいる理由はどのような理由でしょうか。</t>
        </r>
      </text>
    </comment>
    <comment ref="G31" authorId="0" shapeId="0" xr:uid="{00000000-0006-0000-0200-000018000000}">
      <text>
        <r>
          <rPr>
            <b/>
            <sz val="9"/>
            <color indexed="81"/>
            <rFont val="ＭＳ Ｐゴシック"/>
            <family val="3"/>
            <charset val="128"/>
          </rPr>
          <t>【ヒント】
なぜその協力先と取引をしているのでしょうか。どのような点が貴社にとって良い点なのでしょうか。
金額でしょうか。品質でしょうか。この会社に協力してもらう必要性はどの程度あるのでしょうか。</t>
        </r>
      </text>
    </comment>
    <comment ref="Q32" authorId="0" shapeId="0" xr:uid="{00000000-0006-0000-0200-000019000000}">
      <text>
        <r>
          <rPr>
            <b/>
            <sz val="9"/>
            <color indexed="81"/>
            <rFont val="ＭＳ Ｐゴシック"/>
            <family val="3"/>
            <charset val="128"/>
          </rPr>
          <t>【ヒント】
なぜその得意先は貴社を選んでくれているのでしょうか。自社からみて、その得意先は自社のどのようなところが良いと思って取引をしてくれているのでしょうか。
金額でしょうか、品質でしょうか、スピードでしょうか。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300-000001000000}">
      <text>
        <r>
          <rPr>
            <b/>
            <sz val="9"/>
            <color indexed="81"/>
            <rFont val="ＭＳ Ｐゴシック"/>
            <family val="3"/>
            <charset val="128"/>
          </rPr>
          <t xml:space="preserve">【ヒント】
経営理念だけでなく、経営者の考え方や哲学などを把握することで、どのような考えをもって経営を行っているかを理解します。まずは「経営者」自身について知ることが重要です。
また、経営者が外部の組織や機関などとの繋がりがあり、必要な情報を適宜入手できているかについても確認します。
</t>
        </r>
      </text>
    </comment>
    <comment ref="V6" authorId="0" shapeId="0" xr:uid="{00000000-0006-0000-0300-000002000000}">
      <text>
        <r>
          <rPr>
            <b/>
            <sz val="9"/>
            <color indexed="81"/>
            <rFont val="ＭＳ Ｐゴシック"/>
            <family val="3"/>
            <charset val="128"/>
          </rPr>
          <t>【ヒント】
自社の事業がどのような市場規模であるか、どの程度のシェアを占めているかを確認します。また、その市場が将来的に有望であるかなど、動向を確認します。
また、どの企業を競合として認識しているかを確認することで、製品・商品・サービスなどの比較を行います。</t>
        </r>
      </text>
    </comment>
    <comment ref="V9" authorId="0" shapeId="0" xr:uid="{00000000-0006-0000-0300-000003000000}">
      <text>
        <r>
          <rPr>
            <b/>
            <sz val="9"/>
            <color indexed="81"/>
            <rFont val="ＭＳ Ｐゴシック"/>
            <family val="3"/>
            <charset val="128"/>
          </rPr>
          <t>【ヒント】
「商流・業務フロー」で自社が提供している価値がどのような結果に繋がっているかを確認するところです。
リピート率や取引先企業の推移といった定量的な内容だけでなく、お客様からクレームや改善点に繋がるヒントを得られているかどうかといった点についても確認します。</t>
        </r>
      </text>
    </comment>
    <comment ref="F12" authorId="0" shapeId="0" xr:uid="{00000000-0006-0000-0300-000004000000}">
      <text>
        <r>
          <rPr>
            <b/>
            <sz val="9"/>
            <color indexed="81"/>
            <rFont val="ＭＳ Ｐゴシック"/>
            <family val="3"/>
            <charset val="128"/>
          </rPr>
          <t>【ヒント】
将来に向けた内容を確認するところです。拡大志向なのか、現状維持なのか、将来的にどのようなことを成し遂げたいのかといった将来目標などを確認します。
また、併せて、事業で何を実現したいか明確であるか、そのために具体的な対策を取っているかについて把握します。</t>
        </r>
      </text>
    </comment>
    <comment ref="V12" authorId="0" shapeId="0" xr:uid="{00000000-0006-0000-0300-000005000000}">
      <text>
        <r>
          <rPr>
            <b/>
            <sz val="9"/>
            <color indexed="81"/>
            <rFont val="ＭＳ Ｐゴシック"/>
            <family val="3"/>
            <charset val="128"/>
          </rPr>
          <t>【ヒント】
従業員定着率や勤続年数を把握することで、従業員が長く働くことができる環境にあるかどうか、定着することによって生産性や経営改善が進んでいる企業かどうかを確認します。</t>
        </r>
      </text>
    </comment>
    <comment ref="F15" authorId="0" shapeId="0" xr:uid="{00000000-0006-0000-0300-000006000000}">
      <text>
        <r>
          <rPr>
            <b/>
            <sz val="9"/>
            <color indexed="81"/>
            <rFont val="ＭＳ Ｐゴシック"/>
            <family val="3"/>
            <charset val="128"/>
          </rPr>
          <t>【ヒント】
経営者の年齢にもよりますが、後継者の有無を確認するところです。後継者が決まっているかどうか、後継者であることを後継者が認識しているかどうか、後継者を育成できているかどうかなどを確認します。</t>
        </r>
      </text>
    </comment>
    <comment ref="V15" authorId="0" shapeId="0" xr:uid="{00000000-0006-0000-0300-000007000000}">
      <text>
        <r>
          <rPr>
            <b/>
            <sz val="9"/>
            <color indexed="81"/>
            <rFont val="ＭＳ Ｐゴシック"/>
            <family val="3"/>
            <charset val="128"/>
          </rPr>
          <t>【ヒント】
主にメインバンクとの関係が円滑かどうかを確認し、資金調達に課題を抱えていないかどうかを把握します。
また、金融機関の理解と支援の関係性が事業の発展に関わるため、取引金融機関が自社の事業を理解しているかを把握します。</t>
        </r>
      </text>
    </comment>
    <comment ref="F18" authorId="0" shapeId="0" xr:uid="{00000000-0006-0000-0300-000008000000}">
      <text>
        <r>
          <rPr>
            <b/>
            <sz val="9"/>
            <color indexed="81"/>
            <rFont val="ＭＳ Ｐゴシック"/>
            <family val="3"/>
            <charset val="128"/>
          </rPr>
          <t>【ヒント】
企業の歴史を確認するところです。なぜ創業したのか、現在に至るまでに企業にとって大きなターニングポイントとなった出来事やその出来事に対する対応等を確認し、どのような特性を備えた企業であるかを確認します。</t>
        </r>
      </text>
    </comment>
    <comment ref="V18" authorId="0" shapeId="0" xr:uid="{00000000-0006-0000-0300-000009000000}">
      <text>
        <r>
          <rPr>
            <b/>
            <sz val="9"/>
            <color indexed="81"/>
            <rFont val="ＭＳ Ｐゴシック"/>
            <family val="3"/>
            <charset val="128"/>
          </rPr>
          <t xml:space="preserve">【ヒント】
品質や情報に関する管理体制が組織的に定まっているかどうか、責任者が明確であるかどうか、形骸化しておらず、運用されているかどうかなどを確認し、どの程度組織化されている企業であるかを把握します。
</t>
        </r>
      </text>
    </comment>
    <comment ref="F21" authorId="0" shapeId="0" xr:uid="{00000000-0006-0000-0300-00000A000000}">
      <text>
        <r>
          <rPr>
            <b/>
            <sz val="9"/>
            <color indexed="81"/>
            <rFont val="ＭＳ Ｐゴシック"/>
            <family val="3"/>
            <charset val="128"/>
          </rPr>
          <t>【ヒント】
自社の強みについて確認します。
既に、「商流・業務フロー」について対話を行っている場合は、差別化ポイントや顧客提供価値、顧客から選ばれている理由などと紐づけて考えると整理しやすいです。</t>
        </r>
      </text>
    </comment>
    <comment ref="V21" authorId="0" shapeId="0" xr:uid="{00000000-0006-0000-0300-00000B000000}">
      <text>
        <r>
          <rPr>
            <b/>
            <sz val="9"/>
            <color indexed="81"/>
            <rFont val="ＭＳ Ｐゴシック"/>
            <family val="3"/>
            <charset val="128"/>
          </rPr>
          <t>【ヒント】
組織的に同じ目標を共有し、社内会議などにおいて進捗を確認し状況を把握しながら経営を行っているかどうかを確認します。
社内の上下や横の関係でコミュニケーションが円滑に行われているか、意見のキャッチボールができているかを確認しましょう。</t>
        </r>
      </text>
    </comment>
    <comment ref="F24" authorId="0" shapeId="0" xr:uid="{00000000-0006-0000-0300-00000C000000}">
      <text>
        <r>
          <rPr>
            <b/>
            <sz val="9"/>
            <color indexed="81"/>
            <rFont val="ＭＳ Ｐゴシック"/>
            <family val="3"/>
            <charset val="128"/>
          </rPr>
          <t>【ヒント】
自社の弱みについて確認します。
顧客提供価値に対して、充分な実現を阻んでいるものや業務のボトルネックが何なのかを確認します。
強みを伸ばすための課題と弱みは異なりますので、混同しないようにしてください。</t>
        </r>
      </text>
    </comment>
    <comment ref="V24" authorId="0" shapeId="0" xr:uid="{00000000-0006-0000-0300-00000D000000}">
      <text>
        <r>
          <rPr>
            <b/>
            <sz val="9"/>
            <color indexed="81"/>
            <rFont val="ＭＳ Ｐゴシック"/>
            <family val="3"/>
            <charset val="128"/>
          </rPr>
          <t>【ヒント】
将来に向けた投資が行えているかどうか、また、行うための組織的な体制作りができているかどうかを確認します。新しいことにチャレンジしているかどうかは、企業の成長機会に関係します。さらに、企業の独自性を維持するために知財権などの権利を保有・活用しているかどうかを確認します。</t>
        </r>
      </text>
    </comment>
    <comment ref="F27" authorId="0" shapeId="0" xr:uid="{00000000-0006-0000-0300-00000E000000}">
      <text>
        <r>
          <rPr>
            <b/>
            <sz val="9"/>
            <color indexed="81"/>
            <rFont val="ＭＳ Ｐゴシック"/>
            <family val="3"/>
            <charset val="128"/>
          </rPr>
          <t xml:space="preserve">【ヒント】
生産性向上に向けたＩＴ投資・導入・活用を行っているかどうかについて確認します。ＩＴ化を進めている企業は仕事のルール化や見える化が進んでいるケースが多いです。内部管理体制にもつながるところです。
</t>
        </r>
      </text>
    </comment>
    <comment ref="V27" authorId="0" shapeId="0" xr:uid="{00000000-0006-0000-0300-00000F000000}">
      <text>
        <r>
          <rPr>
            <b/>
            <sz val="9"/>
            <color indexed="81"/>
            <rFont val="ＭＳ Ｐゴシック"/>
            <family val="3"/>
            <charset val="128"/>
          </rPr>
          <t>【ヒント】
より付加価値を高めるため、生産性を向上させるための人材育成ができているかどうかを確認します。社内外の研修やOJT等の育成の仕組みをもち、実施しているかを確認します。
また、教育体制以外にも教え合う風土や人材評価、適性をみた人材配置の状況なども確認します。</t>
        </r>
      </text>
    </comment>
    <comment ref="C31" authorId="0" shapeId="0" xr:uid="{00000000-0006-0000-0300-000010000000}">
      <text>
        <r>
          <rPr>
            <b/>
            <sz val="9"/>
            <color indexed="81"/>
            <rFont val="ＭＳ Ｐゴシック"/>
            <family val="3"/>
            <charset val="128"/>
          </rPr>
          <t>【ヒント】
「財務分析シート」、「商流・業務フロー」、「4つの視点」すべての内容を綜合し、現状を記載します。</t>
        </r>
      </text>
    </comment>
    <comment ref="S31" authorId="0" shapeId="0" xr:uid="{00000000-0006-0000-0300-000011000000}">
      <text>
        <r>
          <rPr>
            <b/>
            <sz val="9"/>
            <color indexed="81"/>
            <rFont val="ＭＳ Ｐゴシック"/>
            <family val="3"/>
            <charset val="128"/>
          </rPr>
          <t>【ヒント】
主に「①経営者」の項目で確認した企業の将来像やなりたい姿を記載します。売上高や利益率といった定量的な目標でも、〇〇企画の認証取得、〇〇支店の開設、品質を高めるといった定性的な目標でも構いません。</t>
        </r>
      </text>
    </comment>
    <comment ref="H36" authorId="0" shapeId="0" xr:uid="{00000000-0006-0000-0300-000012000000}">
      <text>
        <r>
          <rPr>
            <b/>
            <sz val="9"/>
            <color indexed="81"/>
            <rFont val="ＭＳ Ｐゴシック"/>
            <family val="3"/>
            <charset val="128"/>
          </rPr>
          <t>【ヒント】
最も重要な部分です。上段の「現状認識」と「将来目標」のギャップが「課題」です。将来目標に向かって自社がどのようなことに取り組まなければならないかを明らかにします。</t>
        </r>
      </text>
    </comment>
    <comment ref="S36" authorId="0" shapeId="0" xr:uid="{00000000-0006-0000-0300-000013000000}">
      <text>
        <r>
          <rPr>
            <b/>
            <sz val="9"/>
            <color indexed="81"/>
            <rFont val="ＭＳ Ｐゴシック"/>
            <family val="3"/>
            <charset val="128"/>
          </rPr>
          <t>【ヒント】
「課題」に対して、具体的にどのように取り組めば将来目標に近づくのかを記載するところです。今後のアクションプランになります。
経営資源の有効活用の観点から、アクションプランを決める際には優先順を決めることも大切です。</t>
        </r>
      </text>
    </comment>
  </commentList>
</comments>
</file>

<file path=xl/sharedStrings.xml><?xml version="1.0" encoding="utf-8"?>
<sst xmlns="http://schemas.openxmlformats.org/spreadsheetml/2006/main" count="9188" uniqueCount="1922">
  <si>
    <t>項目</t>
    <rPh sb="0" eb="2">
      <t>コウモク</t>
    </rPh>
    <phoneticPr fontId="1"/>
  </si>
  <si>
    <t>②営業利益率</t>
    <rPh sb="1" eb="3">
      <t>エイギョウ</t>
    </rPh>
    <rPh sb="3" eb="5">
      <t>リエキ</t>
    </rPh>
    <rPh sb="5" eb="6">
      <t>リツ</t>
    </rPh>
    <phoneticPr fontId="1"/>
  </si>
  <si>
    <t>③労働生産性</t>
    <rPh sb="1" eb="3">
      <t>ロウドウ</t>
    </rPh>
    <rPh sb="3" eb="6">
      <t>セイサンセイ</t>
    </rPh>
    <phoneticPr fontId="1"/>
  </si>
  <si>
    <t>④EBITDA有利子負債倍率</t>
    <rPh sb="7" eb="8">
      <t>ユウ</t>
    </rPh>
    <rPh sb="8" eb="10">
      <t>リシ</t>
    </rPh>
    <rPh sb="10" eb="12">
      <t>フサイ</t>
    </rPh>
    <rPh sb="12" eb="14">
      <t>バイリツ</t>
    </rPh>
    <phoneticPr fontId="1"/>
  </si>
  <si>
    <t>営業利益</t>
    <rPh sb="0" eb="2">
      <t>エイギョウ</t>
    </rPh>
    <rPh sb="2" eb="4">
      <t>リエキ</t>
    </rPh>
    <phoneticPr fontId="1"/>
  </si>
  <si>
    <t>現金・預金</t>
    <rPh sb="0" eb="2">
      <t>ゲンキン</t>
    </rPh>
    <rPh sb="3" eb="5">
      <t>ヨキン</t>
    </rPh>
    <phoneticPr fontId="1"/>
  </si>
  <si>
    <t>棚卸資産</t>
    <rPh sb="0" eb="2">
      <t>タナオロシ</t>
    </rPh>
    <rPh sb="2" eb="4">
      <t>シサン</t>
    </rPh>
    <phoneticPr fontId="1"/>
  </si>
  <si>
    <t>入力欄</t>
    <rPh sb="0" eb="2">
      <t>ニュウリョク</t>
    </rPh>
    <rPh sb="2" eb="3">
      <t>ラン</t>
    </rPh>
    <phoneticPr fontId="1"/>
  </si>
  <si>
    <t>指標</t>
    <rPh sb="0" eb="2">
      <t>シヒョウ</t>
    </rPh>
    <phoneticPr fontId="1"/>
  </si>
  <si>
    <t>算出結果</t>
    <rPh sb="0" eb="2">
      <t>サンシュツ</t>
    </rPh>
    <rPh sb="2" eb="4">
      <t>ケッカ</t>
    </rPh>
    <phoneticPr fontId="1"/>
  </si>
  <si>
    <t>■基本情報</t>
    <rPh sb="1" eb="3">
      <t>キホン</t>
    </rPh>
    <rPh sb="3" eb="5">
      <t>ジョウホウ</t>
    </rPh>
    <phoneticPr fontId="1"/>
  </si>
  <si>
    <t>商号</t>
    <rPh sb="0" eb="2">
      <t>ショウゴウ</t>
    </rPh>
    <phoneticPr fontId="1"/>
  </si>
  <si>
    <t>所在地</t>
    <rPh sb="0" eb="3">
      <t>ショザイチ</t>
    </rPh>
    <phoneticPr fontId="1"/>
  </si>
  <si>
    <t>代表者名</t>
    <rPh sb="0" eb="3">
      <t>ダイヒョウシャ</t>
    </rPh>
    <rPh sb="3" eb="4">
      <t>メイ</t>
    </rPh>
    <phoneticPr fontId="1"/>
  </si>
  <si>
    <t>点数</t>
    <rPh sb="0" eb="2">
      <t>テンスウ</t>
    </rPh>
    <phoneticPr fontId="1"/>
  </si>
  <si>
    <t>標準偏差</t>
    <rPh sb="0" eb="2">
      <t>ヒョウジュン</t>
    </rPh>
    <rPh sb="2" eb="4">
      <t>ヘンサ</t>
    </rPh>
    <phoneticPr fontId="6"/>
  </si>
  <si>
    <t>純資産合計</t>
    <rPh sb="0" eb="3">
      <t>ジュンシサン</t>
    </rPh>
    <rPh sb="3" eb="5">
      <t>ゴウケイ</t>
    </rPh>
    <phoneticPr fontId="1"/>
  </si>
  <si>
    <t>負債合計</t>
    <rPh sb="0" eb="2">
      <t>フサイ</t>
    </rPh>
    <rPh sb="2" eb="4">
      <t>ゴウケイ</t>
    </rPh>
    <phoneticPr fontId="1"/>
  </si>
  <si>
    <t>買掛金</t>
    <rPh sb="0" eb="3">
      <t>カイカケキン</t>
    </rPh>
    <phoneticPr fontId="1"/>
  </si>
  <si>
    <t>前期売上高</t>
    <rPh sb="0" eb="2">
      <t>ゼンキ</t>
    </rPh>
    <rPh sb="2" eb="4">
      <t>ウリアゲ</t>
    </rPh>
    <rPh sb="4" eb="5">
      <t>ダカ</t>
    </rPh>
    <phoneticPr fontId="1"/>
  </si>
  <si>
    <t>貴社点数</t>
    <rPh sb="0" eb="2">
      <t>キシャ</t>
    </rPh>
    <rPh sb="2" eb="4">
      <t>テンスウ</t>
    </rPh>
    <phoneticPr fontId="1"/>
  </si>
  <si>
    <t>売上高</t>
    <rPh sb="0" eb="2">
      <t>ウリアゲ</t>
    </rPh>
    <rPh sb="2" eb="3">
      <t>ダカ</t>
    </rPh>
    <phoneticPr fontId="1"/>
  </si>
  <si>
    <t>従業員数</t>
    <rPh sb="0" eb="3">
      <t>ジュウギョウイン</t>
    </rPh>
    <rPh sb="3" eb="4">
      <t>スウ</t>
    </rPh>
    <phoneticPr fontId="1"/>
  </si>
  <si>
    <t>■財務分析用入力情報</t>
    <rPh sb="1" eb="3">
      <t>ザイム</t>
    </rPh>
    <rPh sb="3" eb="5">
      <t>ブンセキ</t>
    </rPh>
    <rPh sb="5" eb="6">
      <t>ヨウ</t>
    </rPh>
    <rPh sb="6" eb="8">
      <t>ニュウリョク</t>
    </rPh>
    <rPh sb="8" eb="10">
      <t>ジョウホウ</t>
    </rPh>
    <phoneticPr fontId="1"/>
  </si>
  <si>
    <t>■基本入力情報</t>
    <rPh sb="1" eb="3">
      <t>キホン</t>
    </rPh>
    <rPh sb="3" eb="5">
      <t>ニュウリョク</t>
    </rPh>
    <rPh sb="5" eb="7">
      <t>ジョウホウ</t>
    </rPh>
    <phoneticPr fontId="1"/>
  </si>
  <si>
    <t>以下項目の黄色い網掛け部分について入力してください。</t>
    <rPh sb="0" eb="2">
      <t>イカ</t>
    </rPh>
    <rPh sb="2" eb="4">
      <t>コウモク</t>
    </rPh>
    <rPh sb="5" eb="7">
      <t>キイロ</t>
    </rPh>
    <rPh sb="8" eb="10">
      <t>アミカ</t>
    </rPh>
    <rPh sb="11" eb="13">
      <t>ブブン</t>
    </rPh>
    <rPh sb="17" eb="19">
      <t>ニュウリョク</t>
    </rPh>
    <phoneticPr fontId="1"/>
  </si>
  <si>
    <t>収益性</t>
    <rPh sb="0" eb="3">
      <t>シュウエキセイ</t>
    </rPh>
    <phoneticPr fontId="1"/>
  </si>
  <si>
    <t>生産性</t>
    <rPh sb="0" eb="3">
      <t>セイサンセイ</t>
    </rPh>
    <phoneticPr fontId="1"/>
  </si>
  <si>
    <t>安全性</t>
    <rPh sb="0" eb="3">
      <t>アンゼンセイ</t>
    </rPh>
    <phoneticPr fontId="1"/>
  </si>
  <si>
    <t>効率性</t>
    <rPh sb="0" eb="3">
      <t>コウリツセイ</t>
    </rPh>
    <phoneticPr fontId="1"/>
  </si>
  <si>
    <t>分類</t>
    <rPh sb="0" eb="2">
      <t>ブンルイ</t>
    </rPh>
    <phoneticPr fontId="1"/>
  </si>
  <si>
    <t>■算出結果</t>
    <rPh sb="1" eb="3">
      <t>サンシュツ</t>
    </rPh>
    <rPh sb="3" eb="5">
      <t>ケッカ</t>
    </rPh>
    <phoneticPr fontId="1"/>
  </si>
  <si>
    <t>■算出指標</t>
    <rPh sb="1" eb="3">
      <t>サンシュツ</t>
    </rPh>
    <rPh sb="3" eb="5">
      <t>シヒョウ</t>
    </rPh>
    <phoneticPr fontId="1"/>
  </si>
  <si>
    <t>算出式</t>
    <rPh sb="0" eb="2">
      <t>サンシュツ</t>
    </rPh>
    <rPh sb="2" eb="3">
      <t>シキ</t>
    </rPh>
    <phoneticPr fontId="1"/>
  </si>
  <si>
    <t>営業利益／最新期売上高</t>
    <rPh sb="0" eb="2">
      <t>エイギョウ</t>
    </rPh>
    <rPh sb="2" eb="4">
      <t>リエキ</t>
    </rPh>
    <rPh sb="5" eb="7">
      <t>サイシン</t>
    </rPh>
    <rPh sb="7" eb="8">
      <t>キ</t>
    </rPh>
    <rPh sb="8" eb="10">
      <t>ウリアゲ</t>
    </rPh>
    <rPh sb="10" eb="11">
      <t>ダカ</t>
    </rPh>
    <phoneticPr fontId="1"/>
  </si>
  <si>
    <t>営業利益／従業員数</t>
    <rPh sb="0" eb="2">
      <t>エイギョウ</t>
    </rPh>
    <rPh sb="2" eb="4">
      <t>リエキ</t>
    </rPh>
    <rPh sb="5" eb="8">
      <t>ジュウギョウイン</t>
    </rPh>
    <rPh sb="8" eb="9">
      <t>スウ</t>
    </rPh>
    <phoneticPr fontId="1"/>
  </si>
  <si>
    <t>（最新期売上高/前期売上高）－１</t>
    <rPh sb="1" eb="3">
      <t>サイシン</t>
    </rPh>
    <rPh sb="3" eb="4">
      <t>キ</t>
    </rPh>
    <rPh sb="4" eb="6">
      <t>ウリアゲ</t>
    </rPh>
    <rPh sb="6" eb="7">
      <t>ダカ</t>
    </rPh>
    <rPh sb="8" eb="10">
      <t>ゼンキ</t>
    </rPh>
    <rPh sb="10" eb="12">
      <t>ウリアゲ</t>
    </rPh>
    <rPh sb="12" eb="13">
      <t>ダカ</t>
    </rPh>
    <phoneticPr fontId="1"/>
  </si>
  <si>
    <t>純資産／負債・純資産合計</t>
    <rPh sb="0" eb="3">
      <t>ジュンシサン</t>
    </rPh>
    <rPh sb="4" eb="6">
      <t>フサイ</t>
    </rPh>
    <rPh sb="7" eb="10">
      <t>ジュンシサン</t>
    </rPh>
    <rPh sb="10" eb="12">
      <t>ゴウケイ</t>
    </rPh>
    <phoneticPr fontId="1"/>
  </si>
  <si>
    <t>{売上債権（売掛金＋受取手形）＋棚卸資産－</t>
    <rPh sb="1" eb="3">
      <t>ウリアゲ</t>
    </rPh>
    <rPh sb="3" eb="5">
      <t>サイケン</t>
    </rPh>
    <rPh sb="6" eb="8">
      <t>ウリカケ</t>
    </rPh>
    <rPh sb="8" eb="9">
      <t>キン</t>
    </rPh>
    <rPh sb="10" eb="12">
      <t>ウケトリ</t>
    </rPh>
    <rPh sb="12" eb="14">
      <t>テガタ</t>
    </rPh>
    <rPh sb="16" eb="18">
      <t>タナオロシ</t>
    </rPh>
    <rPh sb="18" eb="20">
      <t>シサン</t>
    </rPh>
    <phoneticPr fontId="1"/>
  </si>
  <si>
    <t>買入債務（買掛金＋支払手形）}／（売上高／１２）</t>
    <phoneticPr fontId="1"/>
  </si>
  <si>
    <t>単位</t>
    <rPh sb="0" eb="2">
      <t>タンイ</t>
    </rPh>
    <phoneticPr fontId="1"/>
  </si>
  <si>
    <t>％</t>
    <phoneticPr fontId="1"/>
  </si>
  <si>
    <t>％</t>
    <phoneticPr fontId="1"/>
  </si>
  <si>
    <t>千円</t>
    <rPh sb="0" eb="2">
      <t>センエン</t>
    </rPh>
    <phoneticPr fontId="1"/>
  </si>
  <si>
    <t>倍</t>
    <rPh sb="0" eb="1">
      <t>バイ</t>
    </rPh>
    <phoneticPr fontId="1"/>
  </si>
  <si>
    <t>ヶ月</t>
    <rPh sb="1" eb="2">
      <t>ゲツ</t>
    </rPh>
    <phoneticPr fontId="1"/>
  </si>
  <si>
    <t>①売上増加率</t>
    <rPh sb="1" eb="3">
      <t>ウリアゲ</t>
    </rPh>
    <rPh sb="3" eb="5">
      <t>ゾウカ</t>
    </rPh>
    <rPh sb="5" eb="6">
      <t>リツ</t>
    </rPh>
    <phoneticPr fontId="1"/>
  </si>
  <si>
    <t>株式会社○○</t>
    <rPh sb="0" eb="4">
      <t>カブシキガイシャ</t>
    </rPh>
    <phoneticPr fontId="1"/>
  </si>
  <si>
    <t>東京都○○</t>
    <rPh sb="0" eb="3">
      <t>トウキョウト</t>
    </rPh>
    <phoneticPr fontId="1"/>
  </si>
  <si>
    <t>売上持続性</t>
    <rPh sb="0" eb="2">
      <t>ウリアゲ</t>
    </rPh>
    <rPh sb="2" eb="4">
      <t>ジゾク</t>
    </rPh>
    <rPh sb="4" eb="5">
      <t>セイ</t>
    </rPh>
    <phoneticPr fontId="1"/>
  </si>
  <si>
    <t>健全性</t>
    <rPh sb="0" eb="3">
      <t>ケンゼンセイ</t>
    </rPh>
    <phoneticPr fontId="1"/>
  </si>
  <si>
    <t>⑤営業運転資本回転期間</t>
    <rPh sb="1" eb="3">
      <t>エイギョウ</t>
    </rPh>
    <rPh sb="3" eb="5">
      <t>ウンテン</t>
    </rPh>
    <rPh sb="5" eb="7">
      <t>シホン</t>
    </rPh>
    <rPh sb="7" eb="9">
      <t>カイテン</t>
    </rPh>
    <rPh sb="9" eb="11">
      <t>キカン</t>
    </rPh>
    <phoneticPr fontId="1"/>
  </si>
  <si>
    <t>⑥自己資本比率</t>
    <rPh sb="1" eb="3">
      <t>ジコ</t>
    </rPh>
    <rPh sb="3" eb="5">
      <t>シホン</t>
    </rPh>
    <rPh sb="5" eb="7">
      <t>ヒリツ</t>
    </rPh>
    <phoneticPr fontId="1"/>
  </si>
  <si>
    <t>⑥自己資本比率</t>
    <phoneticPr fontId="1"/>
  </si>
  <si>
    <t>⑤営業運転資本回転期間</t>
    <phoneticPr fontId="1"/>
  </si>
  <si>
    <t>■財務指標(最新期）</t>
    <rPh sb="1" eb="3">
      <t>ザイム</t>
    </rPh>
    <rPh sb="3" eb="5">
      <t>シヒョウ</t>
    </rPh>
    <rPh sb="6" eb="8">
      <t>サイシン</t>
    </rPh>
    <rPh sb="8" eb="9">
      <t>キ</t>
    </rPh>
    <phoneticPr fontId="1"/>
  </si>
  <si>
    <t>■財務指標（過去2期）</t>
    <rPh sb="1" eb="3">
      <t>ザイム</t>
    </rPh>
    <rPh sb="3" eb="5">
      <t>シヒョウ</t>
    </rPh>
    <rPh sb="6" eb="8">
      <t>カコ</t>
    </rPh>
    <rPh sb="9" eb="10">
      <t>キ</t>
    </rPh>
    <phoneticPr fontId="1"/>
  </si>
  <si>
    <t>決算年月</t>
    <rPh sb="0" eb="2">
      <t>ケッサン</t>
    </rPh>
    <rPh sb="2" eb="4">
      <t>ネンゲツ</t>
    </rPh>
    <phoneticPr fontId="1"/>
  </si>
  <si>
    <t>最新決算期</t>
    <rPh sb="0" eb="2">
      <t>サイシン</t>
    </rPh>
    <rPh sb="2" eb="4">
      <t>ケッサン</t>
    </rPh>
    <rPh sb="4" eb="5">
      <t>キ</t>
    </rPh>
    <phoneticPr fontId="1"/>
  </si>
  <si>
    <t>前期決算期</t>
    <rPh sb="0" eb="2">
      <t>ゼンキ</t>
    </rPh>
    <rPh sb="2" eb="4">
      <t>ケッサン</t>
    </rPh>
    <rPh sb="4" eb="5">
      <t>キ</t>
    </rPh>
    <phoneticPr fontId="1"/>
  </si>
  <si>
    <t>前々期決算期</t>
    <rPh sb="0" eb="2">
      <t>ゼンゼン</t>
    </rPh>
    <rPh sb="2" eb="3">
      <t>キ</t>
    </rPh>
    <rPh sb="3" eb="5">
      <t>ケッサン</t>
    </rPh>
    <rPh sb="5" eb="6">
      <t>キ</t>
    </rPh>
    <phoneticPr fontId="1"/>
  </si>
  <si>
    <t>※総合評価点のランクはA：24点以上、B：18点以上24点未満、C：12点以上18点未満、D：12点未満</t>
    <phoneticPr fontId="1"/>
  </si>
  <si>
    <t>商号</t>
    <rPh sb="0" eb="2">
      <t>ショウゴウ</t>
    </rPh>
    <phoneticPr fontId="17"/>
  </si>
  <si>
    <t>売上高</t>
    <rPh sb="0" eb="2">
      <t>ウリアゲ</t>
    </rPh>
    <rPh sb="2" eb="3">
      <t>ダカ</t>
    </rPh>
    <phoneticPr fontId="17"/>
  </si>
  <si>
    <t>営業利益</t>
    <rPh sb="0" eb="2">
      <t>エイギョウ</t>
    </rPh>
    <rPh sb="2" eb="4">
      <t>リエキ</t>
    </rPh>
    <phoneticPr fontId="17"/>
  </si>
  <si>
    <t>従業員数</t>
    <rPh sb="0" eb="3">
      <t>ジュウギョウイン</t>
    </rPh>
    <rPh sb="3" eb="4">
      <t>スウ</t>
    </rPh>
    <phoneticPr fontId="17"/>
  </si>
  <si>
    <t>＜製品製造、サービス提供における業務フローと差別化ポイント＞</t>
    <rPh sb="1" eb="3">
      <t>セイヒン</t>
    </rPh>
    <rPh sb="3" eb="5">
      <t>セイゾウ</t>
    </rPh>
    <rPh sb="10" eb="12">
      <t>テイキョウ</t>
    </rPh>
    <rPh sb="16" eb="18">
      <t>ギョウム</t>
    </rPh>
    <rPh sb="22" eb="25">
      <t>サベツカ</t>
    </rPh>
    <phoneticPr fontId="1"/>
  </si>
  <si>
    <t>業務①</t>
    <rPh sb="0" eb="2">
      <t>ギョウム</t>
    </rPh>
    <phoneticPr fontId="17"/>
  </si>
  <si>
    <t>業務②</t>
    <rPh sb="0" eb="2">
      <t>ギョウム</t>
    </rPh>
    <phoneticPr fontId="17"/>
  </si>
  <si>
    <t>業務③</t>
    <rPh sb="0" eb="2">
      <t>ギョウム</t>
    </rPh>
    <phoneticPr fontId="17"/>
  </si>
  <si>
    <t>業務④</t>
    <rPh sb="0" eb="2">
      <t>ギョウム</t>
    </rPh>
    <phoneticPr fontId="17"/>
  </si>
  <si>
    <t>業務⑤</t>
    <rPh sb="0" eb="2">
      <t>ギョウム</t>
    </rPh>
    <phoneticPr fontId="17"/>
  </si>
  <si>
    <t>提供内容／顧客提供価値</t>
    <rPh sb="0" eb="2">
      <t>テイキョウ</t>
    </rPh>
    <rPh sb="2" eb="4">
      <t>ナイヨウ</t>
    </rPh>
    <rPh sb="5" eb="7">
      <t>コキャク</t>
    </rPh>
    <rPh sb="7" eb="9">
      <t>テイキョウ</t>
    </rPh>
    <rPh sb="9" eb="11">
      <t>カチ</t>
    </rPh>
    <phoneticPr fontId="17"/>
  </si>
  <si>
    <t>■実施内容</t>
    <rPh sb="1" eb="3">
      <t>ジッシ</t>
    </rPh>
    <rPh sb="3" eb="5">
      <t>ナイヨウ</t>
    </rPh>
    <phoneticPr fontId="17"/>
  </si>
  <si>
    <t>■製品・商品・サービスの内容</t>
    <rPh sb="1" eb="3">
      <t>セイヒン</t>
    </rPh>
    <rPh sb="4" eb="6">
      <t>ショウヒン</t>
    </rPh>
    <rPh sb="12" eb="14">
      <t>ナイヨウ</t>
    </rPh>
    <phoneticPr fontId="17"/>
  </si>
  <si>
    <t>⇒</t>
    <phoneticPr fontId="17"/>
  </si>
  <si>
    <t>■差別化ポイント</t>
    <rPh sb="1" eb="4">
      <t>サベツカ</t>
    </rPh>
    <phoneticPr fontId="17"/>
  </si>
  <si>
    <t>■どのような価値を提供しているか</t>
    <rPh sb="6" eb="8">
      <t>カチ</t>
    </rPh>
    <rPh sb="9" eb="11">
      <t>テイキョウ</t>
    </rPh>
    <phoneticPr fontId="17"/>
  </si>
  <si>
    <t>＜商流把握＞</t>
    <rPh sb="1" eb="3">
      <t>ショウリュウ</t>
    </rPh>
    <rPh sb="3" eb="5">
      <t>ハアク</t>
    </rPh>
    <phoneticPr fontId="1"/>
  </si>
  <si>
    <t>仕入先</t>
    <rPh sb="0" eb="3">
      <t>シイレサキ</t>
    </rPh>
    <phoneticPr fontId="17"/>
  </si>
  <si>
    <t>当社</t>
    <rPh sb="0" eb="2">
      <t>トウシャ</t>
    </rPh>
    <phoneticPr fontId="17"/>
  </si>
  <si>
    <t>エンドユーザー</t>
    <phoneticPr fontId="17"/>
  </si>
  <si>
    <t>■社名・取引金額・内容等</t>
    <rPh sb="1" eb="3">
      <t>シャメイ</t>
    </rPh>
    <rPh sb="4" eb="6">
      <t>トリヒキ</t>
    </rPh>
    <rPh sb="6" eb="8">
      <t>キンガク</t>
    </rPh>
    <rPh sb="9" eb="11">
      <t>ナイヨウ</t>
    </rPh>
    <rPh sb="11" eb="12">
      <t>ナド</t>
    </rPh>
    <phoneticPr fontId="17"/>
  </si>
  <si>
    <t>■属性（消費者・企業等）</t>
    <rPh sb="1" eb="3">
      <t>ゾクセイ</t>
    </rPh>
    <rPh sb="4" eb="7">
      <t>ショウヒシャ</t>
    </rPh>
    <rPh sb="8" eb="11">
      <t>キギョウナド</t>
    </rPh>
    <phoneticPr fontId="17"/>
  </si>
  <si>
    <t>※社名・取引金額・内容等</t>
    <rPh sb="1" eb="3">
      <t>シャメイ</t>
    </rPh>
    <rPh sb="4" eb="6">
      <t>トリヒキ</t>
    </rPh>
    <rPh sb="6" eb="8">
      <t>キンガク</t>
    </rPh>
    <rPh sb="9" eb="11">
      <t>ナイヨウ</t>
    </rPh>
    <rPh sb="11" eb="12">
      <t>ナド</t>
    </rPh>
    <phoneticPr fontId="17"/>
  </si>
  <si>
    <t>協力先</t>
    <rPh sb="0" eb="2">
      <t>キョウリョク</t>
    </rPh>
    <rPh sb="2" eb="3">
      <t>サキ</t>
    </rPh>
    <phoneticPr fontId="17"/>
  </si>
  <si>
    <t>得意先</t>
    <rPh sb="0" eb="3">
      <t>トクイサキ</t>
    </rPh>
    <phoneticPr fontId="17"/>
  </si>
  <si>
    <t>■選定理由</t>
    <rPh sb="1" eb="3">
      <t>センテイ</t>
    </rPh>
    <rPh sb="3" eb="5">
      <t>リユウ</t>
    </rPh>
    <phoneticPr fontId="17"/>
  </si>
  <si>
    <t>■選ばれている理由</t>
    <rPh sb="1" eb="2">
      <t>エラ</t>
    </rPh>
    <rPh sb="7" eb="9">
      <t>リユウ</t>
    </rPh>
    <phoneticPr fontId="17"/>
  </si>
  <si>
    <t>①経営者</t>
    <rPh sb="1" eb="3">
      <t>ケイエイ</t>
    </rPh>
    <rPh sb="3" eb="4">
      <t>シャ</t>
    </rPh>
    <phoneticPr fontId="17"/>
  </si>
  <si>
    <t>経営理念・ビジョン</t>
    <rPh sb="0" eb="2">
      <t>ケイエイ</t>
    </rPh>
    <rPh sb="2" eb="4">
      <t>リネン</t>
    </rPh>
    <phoneticPr fontId="17"/>
  </si>
  <si>
    <t>③企業を取り巻く環境・関係者</t>
    <rPh sb="1" eb="3">
      <t>キギョウ</t>
    </rPh>
    <rPh sb="4" eb="5">
      <t>ト</t>
    </rPh>
    <rPh sb="6" eb="7">
      <t>マ</t>
    </rPh>
    <rPh sb="8" eb="10">
      <t>カンキョウ</t>
    </rPh>
    <rPh sb="11" eb="14">
      <t>カンケイシャ</t>
    </rPh>
    <phoneticPr fontId="17"/>
  </si>
  <si>
    <t>経営哲学・考え・方針等</t>
    <rPh sb="0" eb="2">
      <t>ケイエイ</t>
    </rPh>
    <rPh sb="2" eb="4">
      <t>テツガク</t>
    </rPh>
    <rPh sb="5" eb="6">
      <t>カンガ</t>
    </rPh>
    <rPh sb="8" eb="10">
      <t>ホウシン</t>
    </rPh>
    <rPh sb="10" eb="11">
      <t>ナド</t>
    </rPh>
    <phoneticPr fontId="17"/>
  </si>
  <si>
    <t>競合他社との比較</t>
    <rPh sb="0" eb="2">
      <t>キョウゴウ</t>
    </rPh>
    <rPh sb="2" eb="4">
      <t>タシャ</t>
    </rPh>
    <rPh sb="6" eb="8">
      <t>ヒカク</t>
    </rPh>
    <phoneticPr fontId="17"/>
  </si>
  <si>
    <t>顧客リピート率・新規開拓率</t>
    <rPh sb="0" eb="2">
      <t>コキャク</t>
    </rPh>
    <rPh sb="6" eb="7">
      <t>リツ</t>
    </rPh>
    <rPh sb="8" eb="10">
      <t>シンキ</t>
    </rPh>
    <rPh sb="10" eb="12">
      <t>カイタク</t>
    </rPh>
    <rPh sb="12" eb="13">
      <t>リツ</t>
    </rPh>
    <phoneticPr fontId="17"/>
  </si>
  <si>
    <t>経営意欲</t>
    <rPh sb="0" eb="2">
      <t>ケイエイ</t>
    </rPh>
    <rPh sb="2" eb="4">
      <t>イヨク</t>
    </rPh>
    <phoneticPr fontId="17"/>
  </si>
  <si>
    <t>従業員定着率</t>
    <rPh sb="0" eb="3">
      <t>ジュウギョウイン</t>
    </rPh>
    <rPh sb="3" eb="6">
      <t>テイチャクリツ</t>
    </rPh>
    <phoneticPr fontId="17"/>
  </si>
  <si>
    <t>※成長志向・現状維持など</t>
    <rPh sb="1" eb="3">
      <t>セイチョウ</t>
    </rPh>
    <rPh sb="3" eb="5">
      <t>シコウ</t>
    </rPh>
    <rPh sb="6" eb="8">
      <t>ゲンジョウ</t>
    </rPh>
    <rPh sb="8" eb="10">
      <t>イジ</t>
    </rPh>
    <phoneticPr fontId="17"/>
  </si>
  <si>
    <t>勤続年数・平均給与</t>
    <rPh sb="0" eb="2">
      <t>キンゾク</t>
    </rPh>
    <rPh sb="2" eb="4">
      <t>ネンスウ</t>
    </rPh>
    <rPh sb="5" eb="7">
      <t>ヘイキン</t>
    </rPh>
    <rPh sb="7" eb="9">
      <t>キュウヨ</t>
    </rPh>
    <phoneticPr fontId="17"/>
  </si>
  <si>
    <t>後継者の有無</t>
    <rPh sb="0" eb="3">
      <t>コウケイシャ</t>
    </rPh>
    <rPh sb="4" eb="6">
      <t>ウム</t>
    </rPh>
    <phoneticPr fontId="17"/>
  </si>
  <si>
    <t>取引金融機関数・推移</t>
    <rPh sb="0" eb="2">
      <t>トリヒキ</t>
    </rPh>
    <rPh sb="2" eb="4">
      <t>キンユウ</t>
    </rPh>
    <rPh sb="4" eb="6">
      <t>キカン</t>
    </rPh>
    <rPh sb="6" eb="7">
      <t>スウ</t>
    </rPh>
    <rPh sb="8" eb="10">
      <t>スイイ</t>
    </rPh>
    <phoneticPr fontId="17"/>
  </si>
  <si>
    <t>後継者の育成状況</t>
    <phoneticPr fontId="17"/>
  </si>
  <si>
    <t>メインバンクとの関係</t>
    <rPh sb="8" eb="10">
      <t>カンケイ</t>
    </rPh>
    <phoneticPr fontId="17"/>
  </si>
  <si>
    <t>承継のタイミング・関係</t>
    <phoneticPr fontId="17"/>
  </si>
  <si>
    <t>②事業</t>
    <rPh sb="1" eb="3">
      <t>ジギョウ</t>
    </rPh>
    <phoneticPr fontId="17"/>
  </si>
  <si>
    <t>企業及び事業沿革</t>
    <rPh sb="0" eb="2">
      <t>キギョウ</t>
    </rPh>
    <rPh sb="2" eb="3">
      <t>オヨ</t>
    </rPh>
    <rPh sb="4" eb="6">
      <t>ジギョウ</t>
    </rPh>
    <rPh sb="6" eb="8">
      <t>エンカク</t>
    </rPh>
    <phoneticPr fontId="17"/>
  </si>
  <si>
    <t>④内部管理体制</t>
    <rPh sb="1" eb="3">
      <t>ナイブ</t>
    </rPh>
    <rPh sb="3" eb="5">
      <t>カンリ</t>
    </rPh>
    <rPh sb="5" eb="7">
      <t>タイセイ</t>
    </rPh>
    <phoneticPr fontId="17"/>
  </si>
  <si>
    <t>組織体制</t>
    <rPh sb="0" eb="2">
      <t>ソシキ</t>
    </rPh>
    <rPh sb="2" eb="4">
      <t>タイセイ</t>
    </rPh>
    <phoneticPr fontId="17"/>
  </si>
  <si>
    <t>※ターニングポイントの把握</t>
    <rPh sb="11" eb="13">
      <t>ハアク</t>
    </rPh>
    <phoneticPr fontId="17"/>
  </si>
  <si>
    <t>品質管理・情報管理体制</t>
    <rPh sb="0" eb="2">
      <t>ヒンシツ</t>
    </rPh>
    <rPh sb="2" eb="4">
      <t>カンリ</t>
    </rPh>
    <rPh sb="5" eb="7">
      <t>ジョウホウ</t>
    </rPh>
    <rPh sb="7" eb="9">
      <t>カンリ</t>
    </rPh>
    <rPh sb="9" eb="11">
      <t>タイセイ</t>
    </rPh>
    <phoneticPr fontId="17"/>
  </si>
  <si>
    <t>強み</t>
    <rPh sb="0" eb="1">
      <t>ツヨ</t>
    </rPh>
    <phoneticPr fontId="17"/>
  </si>
  <si>
    <t>事業計画・経営計画の有無</t>
    <rPh sb="0" eb="2">
      <t>ジギョウ</t>
    </rPh>
    <rPh sb="2" eb="4">
      <t>ケイカク</t>
    </rPh>
    <rPh sb="5" eb="7">
      <t>ケイエイ</t>
    </rPh>
    <rPh sb="7" eb="9">
      <t>ケイカク</t>
    </rPh>
    <rPh sb="10" eb="12">
      <t>ウム</t>
    </rPh>
    <phoneticPr fontId="17"/>
  </si>
  <si>
    <t>従業員との共有状況</t>
    <rPh sb="0" eb="3">
      <t>ジュウギョウイン</t>
    </rPh>
    <rPh sb="5" eb="7">
      <t>キョウユウ</t>
    </rPh>
    <rPh sb="7" eb="9">
      <t>ジョウキョウ</t>
    </rPh>
    <phoneticPr fontId="17"/>
  </si>
  <si>
    <t>社内会議の実施状況</t>
    <phoneticPr fontId="17"/>
  </si>
  <si>
    <t>弱み</t>
    <rPh sb="0" eb="1">
      <t>ヨワ</t>
    </rPh>
    <phoneticPr fontId="17"/>
  </si>
  <si>
    <t>人材育成の取り組み状況</t>
    <rPh sb="0" eb="2">
      <t>ジンザイ</t>
    </rPh>
    <rPh sb="2" eb="4">
      <t>イクセイ</t>
    </rPh>
    <rPh sb="5" eb="6">
      <t>ト</t>
    </rPh>
    <rPh sb="7" eb="8">
      <t>ク</t>
    </rPh>
    <rPh sb="9" eb="11">
      <t>ジョウキョウ</t>
    </rPh>
    <phoneticPr fontId="17"/>
  </si>
  <si>
    <t>人材育成の仕組み</t>
    <rPh sb="0" eb="2">
      <t>ジンザイ</t>
    </rPh>
    <rPh sb="2" eb="4">
      <t>イクセイ</t>
    </rPh>
    <rPh sb="5" eb="7">
      <t>シク</t>
    </rPh>
    <phoneticPr fontId="17"/>
  </si>
  <si>
    <t>　　　　　現状と目標のギャップ</t>
    <rPh sb="5" eb="7">
      <t>ゲンジョウ</t>
    </rPh>
    <rPh sb="8" eb="10">
      <t>モクヒョウ</t>
    </rPh>
    <phoneticPr fontId="17"/>
  </si>
  <si>
    <t>課題</t>
    <rPh sb="0" eb="2">
      <t>カダイ</t>
    </rPh>
    <phoneticPr fontId="17"/>
  </si>
  <si>
    <t>総合評価点</t>
    <rPh sb="0" eb="2">
      <t>ソウゴウ</t>
    </rPh>
    <rPh sb="2" eb="5">
      <t>ヒョウカテン</t>
    </rPh>
    <phoneticPr fontId="1"/>
  </si>
  <si>
    <t>売掛金　　</t>
    <rPh sb="0" eb="2">
      <t>ウリカケ</t>
    </rPh>
    <rPh sb="2" eb="3">
      <t>キン</t>
    </rPh>
    <phoneticPr fontId="1"/>
  </si>
  <si>
    <t>対応策</t>
    <rPh sb="0" eb="3">
      <t>タイオウサク</t>
    </rPh>
    <phoneticPr fontId="17"/>
  </si>
  <si>
    <t>将来目標</t>
    <rPh sb="0" eb="2">
      <t>ショウライ</t>
    </rPh>
    <rPh sb="2" eb="4">
      <t>モクヒョウ</t>
    </rPh>
    <phoneticPr fontId="17"/>
  </si>
  <si>
    <t>現状認識</t>
    <rPh sb="0" eb="2">
      <t>ゲンジョウ</t>
    </rPh>
    <rPh sb="2" eb="4">
      <t>ニンシキ</t>
    </rPh>
    <phoneticPr fontId="17"/>
  </si>
  <si>
    <t>研究開発・商品開発の体制</t>
    <rPh sb="0" eb="2">
      <t>ケンキュウ</t>
    </rPh>
    <rPh sb="2" eb="4">
      <t>カイハツ</t>
    </rPh>
    <rPh sb="5" eb="7">
      <t>ショウヒン</t>
    </rPh>
    <rPh sb="7" eb="9">
      <t>カイハツ</t>
    </rPh>
    <rPh sb="10" eb="12">
      <t>タイセイ</t>
    </rPh>
    <phoneticPr fontId="17"/>
  </si>
  <si>
    <t>知的財産権の保有・活用状況</t>
    <rPh sb="0" eb="2">
      <t>チテキ</t>
    </rPh>
    <rPh sb="2" eb="5">
      <t>ザイサンケン</t>
    </rPh>
    <rPh sb="6" eb="8">
      <t>ホユウ</t>
    </rPh>
    <rPh sb="9" eb="11">
      <t>カツヨウ</t>
    </rPh>
    <rPh sb="11" eb="13">
      <t>ジョウキョウ</t>
    </rPh>
    <phoneticPr fontId="17"/>
  </si>
  <si>
    <t>1時間当たり付加価値（生産性）</t>
    <rPh sb="1" eb="3">
      <t>ジカン</t>
    </rPh>
    <rPh sb="3" eb="4">
      <t>ア</t>
    </rPh>
    <rPh sb="6" eb="8">
      <t>フカ</t>
    </rPh>
    <rPh sb="8" eb="10">
      <t>カチ</t>
    </rPh>
    <rPh sb="11" eb="14">
      <t>セイサンセイ</t>
    </rPh>
    <phoneticPr fontId="17"/>
  </si>
  <si>
    <t>向上に向けた取り組み</t>
    <rPh sb="0" eb="2">
      <t>コウジョウ</t>
    </rPh>
    <rPh sb="3" eb="4">
      <t>ム</t>
    </rPh>
    <rPh sb="6" eb="7">
      <t>ト</t>
    </rPh>
    <rPh sb="8" eb="9">
      <t>ク</t>
    </rPh>
    <phoneticPr fontId="17"/>
  </si>
  <si>
    <t>技術力・販売力等</t>
    <phoneticPr fontId="17"/>
  </si>
  <si>
    <t>ITに関する投資、活用の状況</t>
    <rPh sb="3" eb="4">
      <t>カン</t>
    </rPh>
    <rPh sb="6" eb="8">
      <t>トウシ</t>
    </rPh>
    <rPh sb="9" eb="11">
      <t>カツヨウ</t>
    </rPh>
    <rPh sb="12" eb="14">
      <t>ジョウキョウ</t>
    </rPh>
    <phoneticPr fontId="17"/>
  </si>
  <si>
    <t>市場動向・規模・シェアの把握</t>
    <rPh sb="0" eb="2">
      <t>シジョウ</t>
    </rPh>
    <rPh sb="2" eb="4">
      <t>ドウコウ</t>
    </rPh>
    <rPh sb="5" eb="7">
      <t>キボ</t>
    </rPh>
    <rPh sb="12" eb="14">
      <t>ハアク</t>
    </rPh>
    <phoneticPr fontId="17"/>
  </si>
  <si>
    <t>主な取引先企業の推移</t>
    <rPh sb="0" eb="1">
      <t>オモ</t>
    </rPh>
    <rPh sb="2" eb="4">
      <t>トリヒキ</t>
    </rPh>
    <rPh sb="4" eb="5">
      <t>サキ</t>
    </rPh>
    <rPh sb="5" eb="7">
      <t>キギョウ</t>
    </rPh>
    <rPh sb="8" eb="10">
      <t>スイイ</t>
    </rPh>
    <phoneticPr fontId="17"/>
  </si>
  <si>
    <t>顧客からのフィードバックの有無</t>
    <rPh sb="0" eb="2">
      <t>コキャク</t>
    </rPh>
    <rPh sb="13" eb="15">
      <t>ウム</t>
    </rPh>
    <phoneticPr fontId="17"/>
  </si>
  <si>
    <t>事業規模</t>
    <rPh sb="0" eb="2">
      <t>ジギョウ</t>
    </rPh>
    <rPh sb="2" eb="4">
      <t>キボ</t>
    </rPh>
    <phoneticPr fontId="1"/>
  </si>
  <si>
    <t>業種基準値</t>
    <rPh sb="0" eb="2">
      <t>ギョウシュ</t>
    </rPh>
    <rPh sb="2" eb="4">
      <t>キジュン</t>
    </rPh>
    <rPh sb="4" eb="5">
      <t>アタイ</t>
    </rPh>
    <phoneticPr fontId="1"/>
  </si>
  <si>
    <t>事業規模</t>
    <rPh sb="0" eb="2">
      <t>ジギョウ</t>
    </rPh>
    <rPh sb="2" eb="4">
      <t>キボ</t>
    </rPh>
    <phoneticPr fontId="17"/>
  </si>
  <si>
    <t>卸売業</t>
    <rPh sb="0" eb="3">
      <t>オロシウリギョウ</t>
    </rPh>
    <phoneticPr fontId="17"/>
  </si>
  <si>
    <t>小売業、飲食業</t>
    <rPh sb="0" eb="3">
      <t>コウリギョウ</t>
    </rPh>
    <phoneticPr fontId="17"/>
  </si>
  <si>
    <t>資本金</t>
    <rPh sb="0" eb="3">
      <t>シホンキン</t>
    </rPh>
    <phoneticPr fontId="17"/>
  </si>
  <si>
    <t>従業員</t>
    <rPh sb="0" eb="3">
      <t>ジュウギョウイン</t>
    </rPh>
    <phoneticPr fontId="17"/>
  </si>
  <si>
    <t>1億円以下</t>
    <rPh sb="1" eb="3">
      <t>オクエン</t>
    </rPh>
    <rPh sb="3" eb="5">
      <t>イカ</t>
    </rPh>
    <phoneticPr fontId="17"/>
  </si>
  <si>
    <t>5千万以下</t>
    <rPh sb="1" eb="3">
      <t>センマン</t>
    </rPh>
    <rPh sb="3" eb="5">
      <t>イカ</t>
    </rPh>
    <phoneticPr fontId="17"/>
  </si>
  <si>
    <t>3億円以下</t>
    <rPh sb="1" eb="3">
      <t>オクエン</t>
    </rPh>
    <rPh sb="3" eb="5">
      <t>イカ</t>
    </rPh>
    <phoneticPr fontId="17"/>
  </si>
  <si>
    <t>100人以下</t>
    <rPh sb="3" eb="4">
      <t>ニン</t>
    </rPh>
    <rPh sb="4" eb="6">
      <t>イカ</t>
    </rPh>
    <phoneticPr fontId="17"/>
  </si>
  <si>
    <t>50人以下</t>
    <rPh sb="2" eb="3">
      <t>ニン</t>
    </rPh>
    <rPh sb="3" eb="5">
      <t>イカ</t>
    </rPh>
    <phoneticPr fontId="17"/>
  </si>
  <si>
    <t>300人以下</t>
    <rPh sb="3" eb="4">
      <t>ニン</t>
    </rPh>
    <rPh sb="4" eb="6">
      <t>イカ</t>
    </rPh>
    <phoneticPr fontId="17"/>
  </si>
  <si>
    <t>中小規模</t>
    <rPh sb="0" eb="2">
      <t>チュウショウ</t>
    </rPh>
    <rPh sb="2" eb="4">
      <t>キボ</t>
    </rPh>
    <phoneticPr fontId="17"/>
  </si>
  <si>
    <t>小規模</t>
    <rPh sb="0" eb="3">
      <t>ショウキボ</t>
    </rPh>
    <phoneticPr fontId="17"/>
  </si>
  <si>
    <t>5人以下</t>
    <rPh sb="1" eb="2">
      <t>ニン</t>
    </rPh>
    <rPh sb="2" eb="4">
      <t>イカ</t>
    </rPh>
    <phoneticPr fontId="17"/>
  </si>
  <si>
    <t>20人以下</t>
    <rPh sb="2" eb="3">
      <t>ニン</t>
    </rPh>
    <rPh sb="3" eb="5">
      <t>イカ</t>
    </rPh>
    <phoneticPr fontId="17"/>
  </si>
  <si>
    <t>中規模</t>
    <rPh sb="0" eb="3">
      <t>チュウキボ</t>
    </rPh>
    <phoneticPr fontId="17"/>
  </si>
  <si>
    <t>中小規模該当の企業の内、小規模に該当する企業以外の企業</t>
    <rPh sb="0" eb="2">
      <t>チュウショウ</t>
    </rPh>
    <rPh sb="2" eb="4">
      <t>キボ</t>
    </rPh>
    <rPh sb="4" eb="6">
      <t>ガイトウ</t>
    </rPh>
    <rPh sb="7" eb="9">
      <t>キギョウ</t>
    </rPh>
    <rPh sb="10" eb="11">
      <t>ウチ</t>
    </rPh>
    <rPh sb="12" eb="15">
      <t>ショウキボ</t>
    </rPh>
    <rPh sb="16" eb="18">
      <t>ガイトウ</t>
    </rPh>
    <rPh sb="20" eb="22">
      <t>キギョウ</t>
    </rPh>
    <rPh sb="22" eb="24">
      <t>イガイ</t>
    </rPh>
    <rPh sb="25" eb="27">
      <t>キギョウ</t>
    </rPh>
    <phoneticPr fontId="17"/>
  </si>
  <si>
    <t>中堅企業</t>
    <rPh sb="0" eb="2">
      <t>チュウケン</t>
    </rPh>
    <rPh sb="2" eb="4">
      <t>キギョウ</t>
    </rPh>
    <phoneticPr fontId="17"/>
  </si>
  <si>
    <t>○○　○○</t>
    <phoneticPr fontId="1"/>
  </si>
  <si>
    <t>事業規模区分</t>
    <rPh sb="0" eb="2">
      <t>ジギョウ</t>
    </rPh>
    <rPh sb="2" eb="4">
      <t>キボ</t>
    </rPh>
    <rPh sb="4" eb="6">
      <t>クブン</t>
    </rPh>
    <phoneticPr fontId="17"/>
  </si>
  <si>
    <t>該当フラグ</t>
    <rPh sb="0" eb="2">
      <t>ガイトウ</t>
    </rPh>
    <phoneticPr fontId="17"/>
  </si>
  <si>
    <t>指標カテゴリ</t>
    <rPh sb="0" eb="2">
      <t>シヒョウ</t>
    </rPh>
    <phoneticPr fontId="19"/>
  </si>
  <si>
    <t>大分類</t>
    <rPh sb="0" eb="3">
      <t>ダイブンルイ</t>
    </rPh>
    <phoneticPr fontId="19"/>
  </si>
  <si>
    <t>小分類</t>
    <rPh sb="0" eb="3">
      <t>ショウブンルイ</t>
    </rPh>
    <phoneticPr fontId="19"/>
  </si>
  <si>
    <t>事業規模</t>
    <rPh sb="0" eb="2">
      <t>ジギョウ</t>
    </rPh>
    <rPh sb="2" eb="4">
      <t>キボ</t>
    </rPh>
    <phoneticPr fontId="19"/>
  </si>
  <si>
    <t>中央値</t>
    <rPh sb="0" eb="2">
      <t>チュウオウ</t>
    </rPh>
    <rPh sb="2" eb="3">
      <t>チ</t>
    </rPh>
    <phoneticPr fontId="23"/>
  </si>
  <si>
    <t>標準偏差</t>
    <rPh sb="0" eb="2">
      <t>ヒョウジュン</t>
    </rPh>
    <rPh sb="2" eb="4">
      <t>ヘンサ</t>
    </rPh>
    <phoneticPr fontId="23"/>
  </si>
  <si>
    <t>01_農業</t>
  </si>
  <si>
    <t>中規模事業者</t>
    <rPh sb="0" eb="3">
      <t>チュウキボ</t>
    </rPh>
    <rPh sb="3" eb="6">
      <t>ジギョウシャ</t>
    </rPh>
    <phoneticPr fontId="19"/>
  </si>
  <si>
    <t>小規模事業者</t>
    <rPh sb="0" eb="3">
      <t>ショウキボ</t>
    </rPh>
    <rPh sb="3" eb="6">
      <t>ジギョウシャ</t>
    </rPh>
    <phoneticPr fontId="19"/>
  </si>
  <si>
    <t>02_建設業</t>
    <rPh sb="3" eb="5">
      <t>ケンセツ</t>
    </rPh>
    <rPh sb="5" eb="6">
      <t>ギョウ</t>
    </rPh>
    <phoneticPr fontId="23"/>
  </si>
  <si>
    <t>03_製造業</t>
    <rPh sb="3" eb="6">
      <t>セイゾウギョウ</t>
    </rPh>
    <phoneticPr fontId="23"/>
  </si>
  <si>
    <t>0306_その他の製造業</t>
    <rPh sb="7" eb="8">
      <t>ホカ</t>
    </rPh>
    <rPh sb="9" eb="12">
      <t>セイゾウギョウ</t>
    </rPh>
    <phoneticPr fontId="19"/>
  </si>
  <si>
    <t>0301_食料品・飼料・飲料製造業</t>
  </si>
  <si>
    <t>0302_化学工業・関連製品製造業</t>
  </si>
  <si>
    <t>0303_鉄鋼業、非鉄金属製造業</t>
  </si>
  <si>
    <t>0304_金属製品製造業</t>
  </si>
  <si>
    <t>0305_一般・電気機械器具製造業</t>
  </si>
  <si>
    <t>不使用</t>
    <rPh sb="0" eb="3">
      <t>フシヨウ</t>
    </rPh>
    <phoneticPr fontId="19"/>
  </si>
  <si>
    <t>04_卸売業</t>
  </si>
  <si>
    <t>0404_その他の卸売業</t>
    <rPh sb="7" eb="8">
      <t>ホカ</t>
    </rPh>
    <rPh sb="9" eb="12">
      <t>オロシウリギョウ</t>
    </rPh>
    <phoneticPr fontId="19"/>
  </si>
  <si>
    <t>0401_化学製品卸売業</t>
  </si>
  <si>
    <t>0402_繊維関連製品卸売業</t>
  </si>
  <si>
    <t>0403_食料品卸売業</t>
  </si>
  <si>
    <t>05_小売業</t>
  </si>
  <si>
    <t>06_飲食業</t>
  </si>
  <si>
    <t>07_不動産業</t>
  </si>
  <si>
    <t>08_運輸業</t>
  </si>
  <si>
    <t>09_エネルギー</t>
  </si>
  <si>
    <t>10_サービス業</t>
    <rPh sb="7" eb="8">
      <t>ギョウ</t>
    </rPh>
    <phoneticPr fontId="23"/>
  </si>
  <si>
    <t>1006_その他のサービス業</t>
    <rPh sb="7" eb="8">
      <t>ホカ</t>
    </rPh>
    <rPh sb="13" eb="14">
      <t>ギョウ</t>
    </rPh>
    <phoneticPr fontId="19"/>
  </si>
  <si>
    <t>1001_物品賃貸業</t>
  </si>
  <si>
    <t>1002_娯楽業</t>
  </si>
  <si>
    <t>1003_広告・調査・情報サービス業</t>
  </si>
  <si>
    <t>1004_事業サービス業</t>
  </si>
  <si>
    <t>1005_専門サービス業</t>
  </si>
  <si>
    <t>11_医療業</t>
  </si>
  <si>
    <t>12_保険衛生、廃棄物処理業</t>
  </si>
  <si>
    <t>13_観光業</t>
  </si>
  <si>
    <t>03_製造業</t>
    <rPh sb="3" eb="6">
      <t>セイゾウギョウ</t>
    </rPh>
    <phoneticPr fontId="1"/>
  </si>
  <si>
    <t>①売上増加率</t>
    <phoneticPr fontId="1"/>
  </si>
  <si>
    <t>02_建設業</t>
    <rPh sb="3" eb="5">
      <t>ケンセツ</t>
    </rPh>
    <rPh sb="5" eb="6">
      <t>ギョウ</t>
    </rPh>
    <phoneticPr fontId="6"/>
  </si>
  <si>
    <t>02_建設業</t>
    <rPh sb="3" eb="5">
      <t>ケンセツ</t>
    </rPh>
    <rPh sb="5" eb="6">
      <t>ギョウ</t>
    </rPh>
    <phoneticPr fontId="1"/>
  </si>
  <si>
    <t>10_サービス業</t>
    <rPh sb="7" eb="8">
      <t>ギョウ</t>
    </rPh>
    <phoneticPr fontId="6"/>
  </si>
  <si>
    <t>10_サービス業</t>
    <rPh sb="7" eb="8">
      <t>ギョウ</t>
    </rPh>
    <phoneticPr fontId="1"/>
  </si>
  <si>
    <t>指標カテゴリ</t>
    <rPh sb="0" eb="2">
      <t>シヒョウ</t>
    </rPh>
    <phoneticPr fontId="4"/>
  </si>
  <si>
    <t>大分類</t>
    <rPh sb="0" eb="3">
      <t>ダイブンルイ</t>
    </rPh>
    <phoneticPr fontId="4"/>
  </si>
  <si>
    <t>小分類</t>
    <rPh sb="0" eb="3">
      <t>ショウブンルイ</t>
    </rPh>
    <phoneticPr fontId="4"/>
  </si>
  <si>
    <t>事業規模</t>
    <rPh sb="0" eb="2">
      <t>ジギョウ</t>
    </rPh>
    <rPh sb="2" eb="4">
      <t>キボ</t>
    </rPh>
    <phoneticPr fontId="4"/>
  </si>
  <si>
    <t>中央値</t>
    <rPh sb="0" eb="2">
      <t>チュウオウ</t>
    </rPh>
    <rPh sb="2" eb="3">
      <t>チ</t>
    </rPh>
    <phoneticPr fontId="6"/>
  </si>
  <si>
    <t>②営業利益率</t>
  </si>
  <si>
    <t>中規模事業者</t>
    <rPh sb="0" eb="3">
      <t>チュウキボ</t>
    </rPh>
    <rPh sb="3" eb="6">
      <t>ジギョウシャ</t>
    </rPh>
    <phoneticPr fontId="4"/>
  </si>
  <si>
    <t>小規模事業者</t>
    <rPh sb="0" eb="3">
      <t>ショウキボ</t>
    </rPh>
    <rPh sb="3" eb="6">
      <t>ジギョウシャ</t>
    </rPh>
    <phoneticPr fontId="4"/>
  </si>
  <si>
    <t>03_製造業</t>
    <rPh sb="3" eb="6">
      <t>セイゾウギョウ</t>
    </rPh>
    <phoneticPr fontId="6"/>
  </si>
  <si>
    <t>不使用</t>
    <rPh sb="0" eb="3">
      <t>フシヨウ</t>
    </rPh>
    <phoneticPr fontId="4"/>
  </si>
  <si>
    <t>③労働生産性（千円）</t>
  </si>
  <si>
    <t>④ＥＢＴＤＡ有利子負債倍率</t>
  </si>
  <si>
    <t>⑥営業運転資本回転期間</t>
  </si>
  <si>
    <t>⑤自己資本比率</t>
  </si>
  <si>
    <t>業種_大分類</t>
    <rPh sb="0" eb="2">
      <t>ギョウシュ</t>
    </rPh>
    <rPh sb="3" eb="6">
      <t>ダイブンルイ</t>
    </rPh>
    <phoneticPr fontId="1"/>
  </si>
  <si>
    <t>業種_小分類</t>
    <rPh sb="0" eb="2">
      <t>ギョウシュ</t>
    </rPh>
    <rPh sb="3" eb="6">
      <t>ショウブンルイ</t>
    </rPh>
    <phoneticPr fontId="1"/>
  </si>
  <si>
    <t>ⅳ</t>
    <phoneticPr fontId="1"/>
  </si>
  <si>
    <t>ⅲ</t>
    <phoneticPr fontId="1"/>
  </si>
  <si>
    <t>ⅱ</t>
    <phoneticPr fontId="1"/>
  </si>
  <si>
    <t>ⅰ</t>
    <phoneticPr fontId="1"/>
  </si>
  <si>
    <t>ⅳ</t>
    <phoneticPr fontId="1"/>
  </si>
  <si>
    <t>ⅲ</t>
    <phoneticPr fontId="1"/>
  </si>
  <si>
    <t>ⅱ</t>
    <phoneticPr fontId="1"/>
  </si>
  <si>
    <t>ⅰ</t>
    <phoneticPr fontId="1"/>
  </si>
  <si>
    <t>※１各項目の評点および総合評価点は各項目の業種基準値からの乖離を示すものであり、点数の高低が必ずしも企業の評価を示すものではありません。非財務指標も含め、総合的な判断が必要なことにご留意ください。
※２レーダーチャートで3期分の財務分析結果の推移が確認できるため、各指標が良化（あるいは悪化）した要因を非財務の対話シートを活用しながら把握することで、経営状況や課題の把握に繋がります。</t>
    <rPh sb="23" eb="25">
      <t>キジュン</t>
    </rPh>
    <rPh sb="115" eb="117">
      <t>ザイム</t>
    </rPh>
    <rPh sb="117" eb="119">
      <t>ブンセキ</t>
    </rPh>
    <rPh sb="119" eb="121">
      <t>ケッカ</t>
    </rPh>
    <phoneticPr fontId="1"/>
  </si>
  <si>
    <t>12_保険衛生、廃棄物処理業</t>
    <phoneticPr fontId="17"/>
  </si>
  <si>
    <t>※金額の単位は千円、従業員数の単位は人</t>
    <rPh sb="10" eb="13">
      <t>ジュウギョウイン</t>
    </rPh>
    <rPh sb="13" eb="14">
      <t>スウ</t>
    </rPh>
    <rPh sb="15" eb="17">
      <t>タンイ</t>
    </rPh>
    <rPh sb="18" eb="19">
      <t>ニン</t>
    </rPh>
    <phoneticPr fontId="1"/>
  </si>
  <si>
    <t>※労働生産性＝営業利益/従業員数</t>
    <rPh sb="1" eb="3">
      <t>ロウドウ</t>
    </rPh>
    <rPh sb="3" eb="6">
      <t>セイサンセイ</t>
    </rPh>
    <rPh sb="7" eb="9">
      <t>エイギョウ</t>
    </rPh>
    <rPh sb="9" eb="11">
      <t>リエキ</t>
    </rPh>
    <rPh sb="12" eb="15">
      <t>ジュウギョウイン</t>
    </rPh>
    <rPh sb="15" eb="16">
      <t>スウ</t>
    </rPh>
    <phoneticPr fontId="1"/>
  </si>
  <si>
    <t>④ＥＢＴＤＡ有利子負債倍率</t>
    <phoneticPr fontId="1"/>
  </si>
  <si>
    <t>※ＥＢＴＤＡ有利子負債倍率＝①（借入金－現金・預金）／②（営業利益＋減価償却費）</t>
    <phoneticPr fontId="1"/>
  </si>
  <si>
    <t>※以下の優先順位に基づき、点数を付与。</t>
    <rPh sb="1" eb="3">
      <t>イカ</t>
    </rPh>
    <rPh sb="4" eb="6">
      <t>ユウセン</t>
    </rPh>
    <rPh sb="6" eb="8">
      <t>ジュンイ</t>
    </rPh>
    <rPh sb="9" eb="10">
      <t>モト</t>
    </rPh>
    <rPh sb="13" eb="15">
      <t>テンスウ</t>
    </rPh>
    <rPh sb="16" eb="18">
      <t>フヨ</t>
    </rPh>
    <phoneticPr fontId="1"/>
  </si>
  <si>
    <t>本財務分析シートの業種区分</t>
    <rPh sb="0" eb="1">
      <t>ホン</t>
    </rPh>
    <rPh sb="1" eb="3">
      <t>ザイム</t>
    </rPh>
    <rPh sb="3" eb="5">
      <t>ブンセキ</t>
    </rPh>
    <rPh sb="9" eb="11">
      <t>ギョウシュ</t>
    </rPh>
    <rPh sb="11" eb="13">
      <t>クブン</t>
    </rPh>
    <phoneticPr fontId="45"/>
  </si>
  <si>
    <t>中小企業基本法　中小企業定義</t>
    <rPh sb="8" eb="10">
      <t>チュウショウ</t>
    </rPh>
    <rPh sb="10" eb="12">
      <t>キギョウ</t>
    </rPh>
    <phoneticPr fontId="45"/>
  </si>
  <si>
    <t>資本金の額又は出資の総額が3億円以下の会社 又は 常時使用する従業員の数が300人以下の会社及び個人</t>
    <phoneticPr fontId="45"/>
  </si>
  <si>
    <t>内、従業員20人以下の企業を「小規模企業」とする。</t>
    <rPh sb="0" eb="1">
      <t>ウチ</t>
    </rPh>
    <rPh sb="2" eb="5">
      <t>ジュウギョウイン</t>
    </rPh>
    <rPh sb="11" eb="13">
      <t>キギョウ</t>
    </rPh>
    <rPh sb="15" eb="18">
      <t>ショウキボ</t>
    </rPh>
    <rPh sb="18" eb="20">
      <t>キギョウ</t>
    </rPh>
    <phoneticPr fontId="45"/>
  </si>
  <si>
    <t>卸売業</t>
  </si>
  <si>
    <t>内、従業員5人以下の企業を「小規模企業」とする。</t>
    <rPh sb="0" eb="1">
      <t>ウチ</t>
    </rPh>
    <rPh sb="2" eb="5">
      <t>ジュウギョウイン</t>
    </rPh>
    <rPh sb="10" eb="12">
      <t>キギョウ</t>
    </rPh>
    <rPh sb="14" eb="17">
      <t>ショウキボ</t>
    </rPh>
    <rPh sb="17" eb="19">
      <t>キギョウ</t>
    </rPh>
    <phoneticPr fontId="45"/>
  </si>
  <si>
    <t>小売業</t>
  </si>
  <si>
    <t>資本金の額又は出資の総額が5千万円以下の会社 又は 常時使用する従業員の数が50人以下の会社及び個人</t>
    <phoneticPr fontId="45"/>
  </si>
  <si>
    <t>サービス業</t>
  </si>
  <si>
    <t>業種</t>
    <phoneticPr fontId="45"/>
  </si>
  <si>
    <t>製造業
その他</t>
    <phoneticPr fontId="1"/>
  </si>
  <si>
    <t>資本金の額又は出資の総額が1億円以下の会社 又は 常時使用する従業員の数が100人以下の会社及び個人</t>
    <phoneticPr fontId="45"/>
  </si>
  <si>
    <t>資本金の額又は出資の総額が5千万円以下の会社 又は 常時使用する従業員の数が100人以下の会社及び個人</t>
    <phoneticPr fontId="45"/>
  </si>
  <si>
    <t>※上表の       欄が空欄になると事業規模が判定できないため、必ず入力して下さい。</t>
    <rPh sb="1" eb="2">
      <t>ウエ</t>
    </rPh>
    <rPh sb="2" eb="3">
      <t>ヒョウ</t>
    </rPh>
    <rPh sb="11" eb="12">
      <t>ラン</t>
    </rPh>
    <rPh sb="13" eb="15">
      <t>クウラン</t>
    </rPh>
    <rPh sb="19" eb="21">
      <t>ジギョウ</t>
    </rPh>
    <rPh sb="21" eb="23">
      <t>キボ</t>
    </rPh>
    <rPh sb="24" eb="26">
      <t>ハンテイ</t>
    </rPh>
    <rPh sb="33" eb="34">
      <t>カナラ</t>
    </rPh>
    <rPh sb="35" eb="37">
      <t>ニュウリョク</t>
    </rPh>
    <rPh sb="39" eb="40">
      <t>クダ</t>
    </rPh>
    <phoneticPr fontId="1"/>
  </si>
  <si>
    <t>　　　　判定しております。</t>
    <phoneticPr fontId="1"/>
  </si>
  <si>
    <t xml:space="preserve">サービス業、医療業、保健衛生、
</t>
    <rPh sb="4" eb="5">
      <t>ギョウ</t>
    </rPh>
    <rPh sb="10" eb="12">
      <t>ホケン</t>
    </rPh>
    <rPh sb="12" eb="14">
      <t>エイセイ</t>
    </rPh>
    <phoneticPr fontId="17"/>
  </si>
  <si>
    <t>廃棄物処理業、観光業</t>
    <phoneticPr fontId="1"/>
  </si>
  <si>
    <t>(表1）</t>
    <phoneticPr fontId="1"/>
  </si>
  <si>
    <t>（借入金－現金・預金）／（営業利益＋減価償却費）　※9</t>
    <rPh sb="1" eb="3">
      <t>カリイレ</t>
    </rPh>
    <rPh sb="3" eb="4">
      <t>キン</t>
    </rPh>
    <rPh sb="5" eb="7">
      <t>ゲンキン</t>
    </rPh>
    <rPh sb="8" eb="10">
      <t>ヨキン</t>
    </rPh>
    <rPh sb="13" eb="15">
      <t>エイギョウ</t>
    </rPh>
    <rPh sb="15" eb="17">
      <t>リエキ</t>
    </rPh>
    <rPh sb="18" eb="20">
      <t>ゲンカ</t>
    </rPh>
    <rPh sb="20" eb="22">
      <t>ショウキャク</t>
    </rPh>
    <rPh sb="22" eb="23">
      <t>ヒ</t>
    </rPh>
    <phoneticPr fontId="1"/>
  </si>
  <si>
    <t>　　　優先③：①式及び②式が0超の時、本式にて算出された結果に基づき点数を付与</t>
    <rPh sb="3" eb="5">
      <t>ユウセン</t>
    </rPh>
    <rPh sb="9" eb="10">
      <t>オヨ</t>
    </rPh>
    <rPh sb="15" eb="16">
      <t>チョウ</t>
    </rPh>
    <rPh sb="17" eb="18">
      <t>トキ</t>
    </rPh>
    <rPh sb="19" eb="21">
      <t>ホンシキ</t>
    </rPh>
    <rPh sb="23" eb="25">
      <t>サンシュツ</t>
    </rPh>
    <rPh sb="28" eb="30">
      <t>ケッカ</t>
    </rPh>
    <rPh sb="31" eb="32">
      <t>モト</t>
    </rPh>
    <rPh sb="34" eb="36">
      <t>テンスウ</t>
    </rPh>
    <rPh sb="37" eb="39">
      <t>フヨ</t>
    </rPh>
    <phoneticPr fontId="1"/>
  </si>
  <si>
    <t>　　　　入力して下さい。</t>
    <phoneticPr fontId="1"/>
  </si>
  <si>
    <r>
      <t>従業員数（正社員）</t>
    </r>
    <r>
      <rPr>
        <sz val="8"/>
        <color theme="1"/>
        <rFont val="Meiryo UI"/>
        <family val="3"/>
        <charset val="128"/>
      </rPr>
      <t>※1</t>
    </r>
    <rPh sb="0" eb="3">
      <t>ジュウギョウイン</t>
    </rPh>
    <rPh sb="3" eb="4">
      <t>スウ</t>
    </rPh>
    <rPh sb="5" eb="8">
      <t>セイシャイン</t>
    </rPh>
    <phoneticPr fontId="1"/>
  </si>
  <si>
    <r>
      <t>資本金　　　　</t>
    </r>
    <r>
      <rPr>
        <sz val="8"/>
        <rFont val="Meiryo UI"/>
        <family val="3"/>
        <charset val="128"/>
      </rPr>
      <t>※2</t>
    </r>
    <rPh sb="0" eb="3">
      <t>シホンキン</t>
    </rPh>
    <phoneticPr fontId="1"/>
  </si>
  <si>
    <t>※1：従業員（正社員）には、パート及び派遣及び契約社員は含まれません。</t>
    <rPh sb="3" eb="6">
      <t>ジュウギョウイン</t>
    </rPh>
    <rPh sb="7" eb="10">
      <t>セイシャイン</t>
    </rPh>
    <rPh sb="17" eb="18">
      <t>オヨ</t>
    </rPh>
    <rPh sb="19" eb="21">
      <t>ハケン</t>
    </rPh>
    <rPh sb="21" eb="22">
      <t>オヨ</t>
    </rPh>
    <rPh sb="23" eb="25">
      <t>ケイヤク</t>
    </rPh>
    <rPh sb="25" eb="27">
      <t>シャイン</t>
    </rPh>
    <rPh sb="28" eb="29">
      <t>フク</t>
    </rPh>
    <phoneticPr fontId="1"/>
  </si>
  <si>
    <t>※2：個人事業主の場合は、資本金は「0」と入力して下さい。</t>
    <rPh sb="3" eb="5">
      <t>コジン</t>
    </rPh>
    <rPh sb="5" eb="8">
      <t>ジギョウヌシ</t>
    </rPh>
    <rPh sb="9" eb="11">
      <t>バアイ</t>
    </rPh>
    <rPh sb="13" eb="16">
      <t>シホンキン</t>
    </rPh>
    <rPh sb="21" eb="23">
      <t>ニュウリョク</t>
    </rPh>
    <rPh sb="25" eb="26">
      <t>クダ</t>
    </rPh>
    <phoneticPr fontId="1"/>
  </si>
  <si>
    <t>　　　優先①：（借入金－現金・預金）が0以下の場合は、「5点」を付与</t>
    <phoneticPr fontId="1"/>
  </si>
  <si>
    <t>14_その他</t>
  </si>
  <si>
    <t>02_林業</t>
  </si>
  <si>
    <t>03_漁業（水産養殖業を除く）</t>
  </si>
  <si>
    <t>04_水産養殖業</t>
  </si>
  <si>
    <t>05_鉱業，採石業，砂利採取業</t>
  </si>
  <si>
    <t>36_水道業</t>
  </si>
  <si>
    <t>37_通信業</t>
  </si>
  <si>
    <t>47_倉庫業</t>
  </si>
  <si>
    <t>48_運輸に附帯するサービス業</t>
  </si>
  <si>
    <t>49_郵便業（信書便事業を含む）</t>
  </si>
  <si>
    <t>62_銀行業</t>
  </si>
  <si>
    <t>63_協同組織金融業</t>
  </si>
  <si>
    <t>64_貸金業，クレジットカード業等非預金信用機関</t>
  </si>
  <si>
    <t>65_金融商品取引業，商品先物取引業</t>
  </si>
  <si>
    <t>66_補助的金融業等</t>
  </si>
  <si>
    <t>67_保険業（保険媒介代理業，保険サービス業を含む）</t>
  </si>
  <si>
    <t>72_専門サービス業（他に分類されないもの）</t>
  </si>
  <si>
    <t>79_その他の生活関連サービス業</t>
  </si>
  <si>
    <t>86_郵便局</t>
  </si>
  <si>
    <t>97_国家公務</t>
  </si>
  <si>
    <t>98_地方公務</t>
  </si>
  <si>
    <t>99_分類不能の産業</t>
  </si>
  <si>
    <t>A_農業，林業</t>
  </si>
  <si>
    <t>0100_主として管理事務を行う本社等</t>
  </si>
  <si>
    <t>0101_農業</t>
  </si>
  <si>
    <t>0109_その他の管理，補助的経済活動を行う事業所</t>
  </si>
  <si>
    <t>0111_米作農業</t>
  </si>
  <si>
    <t>0112_米作以外の穀作農業</t>
  </si>
  <si>
    <t>0113_野菜作農業（きのこ類の栽培を含む）</t>
  </si>
  <si>
    <t>0114_果樹作農業</t>
  </si>
  <si>
    <t>0115_花き作農業</t>
  </si>
  <si>
    <t>0116_工芸農作物農業</t>
  </si>
  <si>
    <t>0117_ばれいしょ・かんしょ作農業</t>
  </si>
  <si>
    <t>0119_その他の耕種農業</t>
  </si>
  <si>
    <t>0121_酪農業</t>
  </si>
  <si>
    <t>0122_肉用牛生産業</t>
  </si>
  <si>
    <t>0123_養豚業</t>
  </si>
  <si>
    <t>0124_養鶏業</t>
  </si>
  <si>
    <t>0125_畜産類似業</t>
  </si>
  <si>
    <t>0126_養蚕農業</t>
  </si>
  <si>
    <t>0129_その他の畜産農業</t>
  </si>
  <si>
    <t>0131_穀作サービス業</t>
  </si>
  <si>
    <t>0132_野菜作・果樹作サービス業</t>
  </si>
  <si>
    <t>0133_穀作、野菜作・果樹作以外の耕種サービス業</t>
  </si>
  <si>
    <t>0134_畜産サービス業（獣医業を除く）</t>
  </si>
  <si>
    <t>0141_園芸サービス業</t>
  </si>
  <si>
    <t>0200_主として管理事務を行う本社等</t>
  </si>
  <si>
    <t>1400_その他業種</t>
  </si>
  <si>
    <t>0209_その他の管理，補助的経済活動を行う事業所</t>
  </si>
  <si>
    <t>0211_育林業</t>
  </si>
  <si>
    <t>0221_素材生産業</t>
  </si>
  <si>
    <t>0231_製薪炭業</t>
  </si>
  <si>
    <t>0239_その他の特用林産物生産業（きのこ類の栽培を除く）</t>
  </si>
  <si>
    <t>0241_育林サービス業</t>
  </si>
  <si>
    <t>0242_素材生産サービス業</t>
  </si>
  <si>
    <t>0243_山林種苗生産サービス業</t>
  </si>
  <si>
    <t>0249_その他の林業サービス業</t>
  </si>
  <si>
    <t>0299_その他の林業</t>
  </si>
  <si>
    <t>B_漁業</t>
  </si>
  <si>
    <t>0300_主として管理事務を行う本社等</t>
  </si>
  <si>
    <t>0309_その他の管理，補助的経済活動を行う事業所</t>
  </si>
  <si>
    <t>0311_底びき網漁業</t>
  </si>
  <si>
    <t>0312_まき網漁業</t>
  </si>
  <si>
    <t>0313_刺網漁業</t>
  </si>
  <si>
    <t>0314_釣・はえ縄漁業</t>
  </si>
  <si>
    <t>0315_定置網漁業</t>
  </si>
  <si>
    <t>0316_地びき網・船びき網漁業</t>
  </si>
  <si>
    <t>0317_採貝・採藻業</t>
  </si>
  <si>
    <t>0318_捕鯨業</t>
  </si>
  <si>
    <t>0319_その他の海面漁業</t>
  </si>
  <si>
    <t>0321_内水面漁業</t>
  </si>
  <si>
    <t>0400_主として管理事務を行う本社等</t>
  </si>
  <si>
    <t>0409_その他の管理，補助的経済活動を行う事業所</t>
  </si>
  <si>
    <t>0411_魚類養殖業</t>
  </si>
  <si>
    <t>0412_貝類養殖業</t>
  </si>
  <si>
    <t>0413_藻類養殖業</t>
  </si>
  <si>
    <t>0414_真珠養殖業</t>
  </si>
  <si>
    <t>0415_種苗養殖業</t>
  </si>
  <si>
    <t>0419_その他の海面養殖業</t>
  </si>
  <si>
    <t>0421_内水面養殖業</t>
  </si>
  <si>
    <t>C_鉱業，採石業，砂利採取業</t>
  </si>
  <si>
    <t>0500_主として管理事務を行う本社等</t>
  </si>
  <si>
    <t>0509_その他の管理，補助的経済活動を行う事業所</t>
  </si>
  <si>
    <t>0511_金・銀鉱業</t>
  </si>
  <si>
    <t>0512_鉛・亜鉛鉱業</t>
  </si>
  <si>
    <t>0513_鉄鉱業</t>
  </si>
  <si>
    <t>0519_その他の金属鉱業</t>
  </si>
  <si>
    <t>0521_石炭鉱業（石炭選別業を含む）</t>
  </si>
  <si>
    <t>0522_亜炭鉱業</t>
  </si>
  <si>
    <t>0531_原油鉱業</t>
  </si>
  <si>
    <t>0532_天然ガス鉱業</t>
  </si>
  <si>
    <t>0541_花こう岩・同類似岩石採石業</t>
  </si>
  <si>
    <t>0542_石英粗面岩・同類似岩石採石業</t>
  </si>
  <si>
    <t>0543_安山岩・同類似岩石採石業</t>
  </si>
  <si>
    <t>0544_大理石採石業</t>
  </si>
  <si>
    <t>0545_ぎょう灰岩採石業</t>
  </si>
  <si>
    <t>0546_砂岩採石業</t>
  </si>
  <si>
    <t>0547_粘板岩採石業</t>
  </si>
  <si>
    <t>0548_砂・砂利・玉石採取業</t>
  </si>
  <si>
    <t>0549_その他の採石業、砂・砂利・玉石採取業</t>
  </si>
  <si>
    <t>0551_耐火粘土鉱業</t>
  </si>
  <si>
    <t>0552_ろう石鉱業</t>
  </si>
  <si>
    <t>0553_ドロマイト鉱業</t>
  </si>
  <si>
    <t>0554_長石鉱業</t>
  </si>
  <si>
    <t>0555_けい石鉱業</t>
  </si>
  <si>
    <t>0556_天然けい砂鉱業</t>
  </si>
  <si>
    <t>0557_石灰石鉱業</t>
  </si>
  <si>
    <t>0559_その他の窯業原料用鉱物鉱業</t>
  </si>
  <si>
    <t>0591_酸性白土鉱業</t>
  </si>
  <si>
    <t>0592_ベントナイト鉱業</t>
  </si>
  <si>
    <t>0593_けいそう土鉱業</t>
  </si>
  <si>
    <t>0594_滑石鉱業</t>
  </si>
  <si>
    <t>0599_他に分類されない鉱業</t>
  </si>
  <si>
    <t>D_建設業</t>
  </si>
  <si>
    <t>06_総合工事業</t>
  </si>
  <si>
    <t>0600_主として管理事務を行う本社等</t>
  </si>
  <si>
    <t>02_建設業</t>
  </si>
  <si>
    <t>0201_建設業</t>
  </si>
  <si>
    <t>0609_その他の管理，補助的経済活動を行う事業所</t>
  </si>
  <si>
    <t>0611_一般土木建築工事業</t>
  </si>
  <si>
    <t>0621_土木工事業（別掲を除く）</t>
  </si>
  <si>
    <t>0622_造園工事業</t>
  </si>
  <si>
    <t>0623_しゅんせつ工事業</t>
  </si>
  <si>
    <t>0631_舗装工事業</t>
  </si>
  <si>
    <t>0641_建築工事業（木造建築工事業を除く）</t>
  </si>
  <si>
    <t>0651_木造建築工事業</t>
  </si>
  <si>
    <t>0661_建築リフォーム工事業</t>
  </si>
  <si>
    <t>07_職別工事業(設備工事業を除く)</t>
  </si>
  <si>
    <t>0700_主として管理事務を行う本社等</t>
  </si>
  <si>
    <t>0709_その他の管理，補助的経済活動を行う事業所</t>
  </si>
  <si>
    <t>0711_大工工事業（型枠大工工事業を除く）</t>
  </si>
  <si>
    <t>0712_型枠大工工事業</t>
  </si>
  <si>
    <t>0721_とび工事業</t>
  </si>
  <si>
    <t>0722_土工・コンクリート工事業</t>
  </si>
  <si>
    <t>0723_特殊コンクリート工事業</t>
  </si>
  <si>
    <t>0731_鉄骨工事業</t>
  </si>
  <si>
    <t>0732_鉄筋工事業</t>
  </si>
  <si>
    <t>0741_石工工事業</t>
  </si>
  <si>
    <t>0742_れんが工事業</t>
  </si>
  <si>
    <t>0743_タイル工事業</t>
  </si>
  <si>
    <t>0744_コンクリートブロック工事業</t>
  </si>
  <si>
    <t>0751_左官工事業</t>
  </si>
  <si>
    <t>0761_金属製屋根工事業</t>
  </si>
  <si>
    <t>0762_板金工事業</t>
  </si>
  <si>
    <t>0763_建築金物工事業</t>
  </si>
  <si>
    <t>0771_塗装工事業（道路標示・区画線工事業を除く）</t>
  </si>
  <si>
    <t>0772_道路標示・区画線工事業</t>
  </si>
  <si>
    <t>0781_床工事業</t>
  </si>
  <si>
    <t>0782_内装工事業</t>
  </si>
  <si>
    <t>0791_ガラス工事業</t>
  </si>
  <si>
    <t>0792_金属製建具工事業</t>
  </si>
  <si>
    <t>0793_木製建具工事業</t>
  </si>
  <si>
    <t>0794_屋根工事業（金属製屋根工事業を除く）</t>
  </si>
  <si>
    <t>0795_防水工事業</t>
  </si>
  <si>
    <t>0796_はつり・解体工事業</t>
  </si>
  <si>
    <t>0799_他に分類されない職別工事業</t>
  </si>
  <si>
    <t>08_設備工事業</t>
  </si>
  <si>
    <t>0800_主として管理事務を行う本社等</t>
  </si>
  <si>
    <t>0809_その他の管理，補助的経済活動を行う事業所</t>
  </si>
  <si>
    <t>0811_一般電気工事業</t>
  </si>
  <si>
    <t>0812_電気配線工事業</t>
  </si>
  <si>
    <t>0821_電気通信工事業（有線テレビジョン放送設備設置工事業を除く）</t>
  </si>
  <si>
    <t>0822_有線テレビジョン放送設備設置工事業</t>
  </si>
  <si>
    <t>0823_信号装置工事業</t>
  </si>
  <si>
    <t>0831_一般管工事業</t>
  </si>
  <si>
    <t>0832_冷暖房設備工事業</t>
  </si>
  <si>
    <t>0833_給排水・衛生設備工事業</t>
  </si>
  <si>
    <t>0839_その他の管工事業</t>
  </si>
  <si>
    <t>0841_機械器具設置工事業（昇降設備工事業を除く）</t>
  </si>
  <si>
    <t>0842_昇降設備工事業</t>
  </si>
  <si>
    <t>0891_築炉工事業</t>
  </si>
  <si>
    <t>0892_熱絶縁工事業</t>
  </si>
  <si>
    <t>0893_道路標識設置工事業</t>
  </si>
  <si>
    <t>0894_さく井工事業</t>
  </si>
  <si>
    <t>E_製造業</t>
  </si>
  <si>
    <t>09_食料品製造業</t>
  </si>
  <si>
    <t>0900_主として管理事務を行う本社等</t>
  </si>
  <si>
    <t>03_製造業</t>
  </si>
  <si>
    <t>0909_その他の管理，補助的経済活動を行う事業所</t>
  </si>
  <si>
    <t>0911_部分肉・冷凍肉製造業</t>
  </si>
  <si>
    <t>0912_肉加工品製造業</t>
  </si>
  <si>
    <t>0913_処理牛乳・乳飲料製造業</t>
  </si>
  <si>
    <t>0914_乳製品製造業（処理牛乳、乳飲料を除く）</t>
  </si>
  <si>
    <t>0919_その他の畜産食料品製造業</t>
  </si>
  <si>
    <t>0921_水産缶詰・瓶詰製造業</t>
  </si>
  <si>
    <t>0922_海藻加工業</t>
  </si>
  <si>
    <t>0923_水産練製品製造業</t>
  </si>
  <si>
    <t>0924_塩干・塩蔵品製造業</t>
  </si>
  <si>
    <t>0925_冷凍水産物製造業</t>
  </si>
  <si>
    <t>0926_冷凍水産食品製造業</t>
  </si>
  <si>
    <t>0929_その他の水産食料品製造業</t>
  </si>
  <si>
    <t>0931_野菜缶詰・果実缶詰・農産保存食料品製造業（野菜漬物を除く）</t>
  </si>
  <si>
    <t>0932_野菜漬物製造業（缶詰、瓶詰、つぼ詰を除く）</t>
  </si>
  <si>
    <t>0941_味そ製造業</t>
  </si>
  <si>
    <t>0942_しょう油・食用アミノ酸製造業</t>
  </si>
  <si>
    <t>0943_ソース製造業</t>
  </si>
  <si>
    <t>0944_食酢製造業</t>
  </si>
  <si>
    <t>0949_その他の調味料製造業</t>
  </si>
  <si>
    <t>0951_砂糖製造業（砂糖精製業を除く）</t>
  </si>
  <si>
    <t>0952_砂糖精製業</t>
  </si>
  <si>
    <t>0953_ぶどう糖・水あめ・異性化糖製造業</t>
  </si>
  <si>
    <t>0961_精米・精麦業</t>
  </si>
  <si>
    <t>0962_小麦粉製造業</t>
  </si>
  <si>
    <t>0969_その他の精穀・製粉業</t>
  </si>
  <si>
    <t>0971_パン製造業</t>
  </si>
  <si>
    <t>0972_生菓子製造業</t>
  </si>
  <si>
    <t>0973_ビスケット類・干菓子製造業</t>
  </si>
  <si>
    <t>0974_米菓製造業</t>
  </si>
  <si>
    <t>0979_その他のパン・菓子製造業</t>
  </si>
  <si>
    <t>0981_動植物油脂製造業（食用油脂加工業を除く）</t>
  </si>
  <si>
    <t>0982_食用油脂加工業</t>
  </si>
  <si>
    <t>0991_でんぷん製造業</t>
  </si>
  <si>
    <t>0992_めん類製造業</t>
  </si>
  <si>
    <t>0993_豆腐・油揚製造業</t>
  </si>
  <si>
    <t>0994_あん類製造業</t>
  </si>
  <si>
    <t>0995_冷凍調理食品製造業</t>
  </si>
  <si>
    <t>0996_そう（惣）菜製造業</t>
  </si>
  <si>
    <t>0997_すし・弁当・調理パン製造業</t>
  </si>
  <si>
    <t>0998_レトルト食品製造業</t>
  </si>
  <si>
    <t>0999_他に分類されない食料品製造業</t>
  </si>
  <si>
    <t>10_飲料・たばこ・飼料製造業</t>
  </si>
  <si>
    <t>1000_主として管理事務を行う本社等</t>
  </si>
  <si>
    <t>0306_その他の製造業</t>
  </si>
  <si>
    <t>1009_その他の管理，補助的経済活動を行う事業所</t>
  </si>
  <si>
    <t>1011_清涼飲料製造業</t>
  </si>
  <si>
    <t>1021_果実酒製造業</t>
  </si>
  <si>
    <t>1022_ビール類製造業</t>
  </si>
  <si>
    <t>1023_清酒製造業</t>
  </si>
  <si>
    <t>1024_蒸留酒・混成酒製造業</t>
  </si>
  <si>
    <t>1031_製茶業</t>
  </si>
  <si>
    <t>1032_コーヒー製造業</t>
  </si>
  <si>
    <t>1041_製氷業</t>
  </si>
  <si>
    <t>1051_たばこ製造業（葉たばこ処理業を除く）</t>
  </si>
  <si>
    <t>1052_葉たばこ処理業</t>
  </si>
  <si>
    <t>1061_配合飼料製造業</t>
  </si>
  <si>
    <t>1062_単体飼料製造業</t>
  </si>
  <si>
    <t>1063_有機質肥料製造業</t>
  </si>
  <si>
    <t>11_繊維工業</t>
  </si>
  <si>
    <t>1100_主として管理事務を行う本社等</t>
  </si>
  <si>
    <t>1109_その他の管理，補助的経済活動を行う事業所</t>
  </si>
  <si>
    <t>1111_製糸業</t>
  </si>
  <si>
    <t>1112_化学繊維製造業</t>
  </si>
  <si>
    <t>1113_炭素繊維製造業</t>
  </si>
  <si>
    <t>1115_化学繊維紡績業</t>
  </si>
  <si>
    <t>1116_毛紡績業</t>
  </si>
  <si>
    <t>1117_ねん糸製造業（かさ高加工糸を除く）</t>
  </si>
  <si>
    <t>1118_かさ高加工糸製造業</t>
  </si>
  <si>
    <t>1119_その他の紡績業</t>
  </si>
  <si>
    <t>1121_綿・スフ織物業</t>
  </si>
  <si>
    <t>1122_絹・人絹織物業</t>
  </si>
  <si>
    <t>1123_毛織物業</t>
  </si>
  <si>
    <t>1124_麻織物業</t>
  </si>
  <si>
    <t>1125_細幅織物業</t>
  </si>
  <si>
    <t>1129_その他の織物業</t>
  </si>
  <si>
    <t>1131_丸編ニット生地製造業</t>
  </si>
  <si>
    <t>1132_たて編ニット生地製造業</t>
  </si>
  <si>
    <t>1133_横編ニット生地製造業</t>
  </si>
  <si>
    <t>1141_綿・スフ・麻織物機械染色業</t>
  </si>
  <si>
    <t>1142_絹・人絹織物機械染色業</t>
  </si>
  <si>
    <t>1143_毛織物機械染色整理業</t>
  </si>
  <si>
    <t>1144_織物整理業</t>
  </si>
  <si>
    <t>1145_織物手加工染色整理業</t>
  </si>
  <si>
    <t>1146_綿状繊維・糸染色整理業</t>
  </si>
  <si>
    <t>1147_ニット・レース染色整理業</t>
  </si>
  <si>
    <t>1148_繊維雑品染色整理業</t>
  </si>
  <si>
    <t>1151_綱製造業</t>
  </si>
  <si>
    <t>1152_漁網製造業</t>
  </si>
  <si>
    <t>1153_網地製造業（魚網を除く）</t>
  </si>
  <si>
    <t>1154_レース製造業</t>
  </si>
  <si>
    <t>1155_組ひも製造業</t>
  </si>
  <si>
    <t>1156_整毛業</t>
  </si>
  <si>
    <t>1157_フェルト・不織布製造業</t>
  </si>
  <si>
    <t>1158_上塗りした織物・防水した織物製造業</t>
  </si>
  <si>
    <t>1159_その他の繊維粗製品製造業</t>
  </si>
  <si>
    <t>1161_織物製成人男子・少年服製造業（不織布製及びレース製を含む）</t>
  </si>
  <si>
    <t>1162_織物製成人女子・少女服製造業（不織布製及びレース製を含む）</t>
  </si>
  <si>
    <t>1163_織物製乳幼児服製造業（不織布製及びレース製を含む）</t>
  </si>
  <si>
    <t>1164_織物製シャツ製造業（不織布製及びレース製を含み、下着を除く）</t>
  </si>
  <si>
    <t>1165_織物製事務用・作業用・衛生用・スポーツ用衣服・学校服製造業（不織布製及びレース製を含む）</t>
  </si>
  <si>
    <t>1166_ニット製外衣製造業（アウターシャツ類、セーター類などを除く）</t>
  </si>
  <si>
    <t>1167_ニット製アウターシャツ類製造業</t>
  </si>
  <si>
    <t>1168_セーター類製造業</t>
  </si>
  <si>
    <t>1169_その他の外衣・シャツ製造業</t>
  </si>
  <si>
    <t>1171_織物製下着製造業</t>
  </si>
  <si>
    <t>1172_ニット製下着製造業</t>
  </si>
  <si>
    <t>1173_織物製・ニット製寝着類製造業</t>
  </si>
  <si>
    <t>1174_補整着製造業</t>
  </si>
  <si>
    <t>1181_和装製品製造業（足袋を含む）</t>
  </si>
  <si>
    <t>1182_ネクタイ製造業</t>
  </si>
  <si>
    <t>1183_スカーフ・マフラー・ハンカチーフ製造業</t>
  </si>
  <si>
    <t>1184_靴下製造業</t>
  </si>
  <si>
    <t>1185_手袋製造業</t>
  </si>
  <si>
    <t>1186_帽子製造業（帽体を含む）</t>
  </si>
  <si>
    <t>1189_他に分類されない衣服・繊維製身の回り品製造業</t>
  </si>
  <si>
    <t>1191_寝具製造業</t>
  </si>
  <si>
    <t>1192_毛布製造業</t>
  </si>
  <si>
    <t>1193_じゅうたん・その他の繊維製床敷物製造業</t>
  </si>
  <si>
    <t>1194_帆布製品製造業</t>
  </si>
  <si>
    <t>1195_繊維製袋製造業</t>
  </si>
  <si>
    <t>1196_刺しゅう業</t>
  </si>
  <si>
    <t>1197_タオル製造業</t>
  </si>
  <si>
    <t>1198_繊維製衛生材料製造業</t>
  </si>
  <si>
    <t>12_木材・木製品製造業（家具を除く）</t>
  </si>
  <si>
    <t>1200_主として管理事務を行う本社等</t>
  </si>
  <si>
    <t>1209_その他の管理，補助的経済活動を行う事業所</t>
  </si>
  <si>
    <t>1211_一般製材業</t>
  </si>
  <si>
    <t>1212_単板（ベニヤ）製造業</t>
  </si>
  <si>
    <t>1219_その他の特殊製材業</t>
  </si>
  <si>
    <t>1221_造作材製造業（建具を除く）</t>
  </si>
  <si>
    <t>1222_合板製造業</t>
  </si>
  <si>
    <t>1223_集成材製造業</t>
  </si>
  <si>
    <t>1224_建築用木製組立材料製造業</t>
  </si>
  <si>
    <t>1225_パーティクルボード製造業</t>
  </si>
  <si>
    <t>1226_繊維板製造業</t>
  </si>
  <si>
    <t>1227_銘木製造業</t>
  </si>
  <si>
    <t>1228_床板製造業</t>
  </si>
  <si>
    <t>1231_竹・とう・きりゅう等容器製造業</t>
  </si>
  <si>
    <t>1232_木箱製造業</t>
  </si>
  <si>
    <t>1233_たる・おけ製造業</t>
  </si>
  <si>
    <t>1291_木材薬品処理業</t>
  </si>
  <si>
    <t>1292_コルク加工基礎資材・コルク製品製造業</t>
  </si>
  <si>
    <t>1299_他に分類されない木製品製造業（竹、とうを含む）</t>
  </si>
  <si>
    <t>13_家具・装備品製造業</t>
  </si>
  <si>
    <t>1300_主として管理事務を行う本社等</t>
  </si>
  <si>
    <t>1309_その他の管理，補助的経済活動を行う事業所</t>
  </si>
  <si>
    <t>1311_木製家具製造業（漆塗りを除く）</t>
  </si>
  <si>
    <t>1312_金属製家具製造業</t>
  </si>
  <si>
    <t>1313_マットレス・組スプリング製造業</t>
  </si>
  <si>
    <t>1321_宗教用具製造業</t>
  </si>
  <si>
    <t>1331_建具製造業</t>
  </si>
  <si>
    <t>1391_事務所用・店舗用装備品製造業</t>
  </si>
  <si>
    <t>1392_窓用・扉用日よけ、日本びょうぶ等製造業</t>
  </si>
  <si>
    <t>1393_鏡縁・額縁製造業</t>
  </si>
  <si>
    <t>1399_他に分類されない家具・装備品製造業</t>
  </si>
  <si>
    <t>14_パルプ・紙・紙加工品製造業</t>
  </si>
  <si>
    <t>1400_主として管理事務を行う本社等</t>
  </si>
  <si>
    <t>1409_その他の管理，補助的経済活動を行う事業所</t>
  </si>
  <si>
    <t>1411_パルプ製造業</t>
  </si>
  <si>
    <t>1421_洋紙製造業</t>
  </si>
  <si>
    <t>1422_板紙製造業</t>
  </si>
  <si>
    <t>1423_機械すき和紙製造業</t>
  </si>
  <si>
    <t>1424_手すき和紙製造業</t>
  </si>
  <si>
    <t>1431_塗工紙製造業（印刷用紙を除く）</t>
  </si>
  <si>
    <t>1432_段ボール製造業</t>
  </si>
  <si>
    <t>1433_壁紙・ふすま紙製造業</t>
  </si>
  <si>
    <t>1441_事務用・学用紙製品製造業</t>
  </si>
  <si>
    <t>1442_日用紙製品製造業</t>
  </si>
  <si>
    <t>1449_その他の紙製品製造業</t>
  </si>
  <si>
    <t>1451_重包装紙袋製造業</t>
  </si>
  <si>
    <t>1452_角底紙袋製造業</t>
  </si>
  <si>
    <t>1453_段ボール箱製造業</t>
  </si>
  <si>
    <t>1454_紙器製造業</t>
  </si>
  <si>
    <t>1499_その他のパルプ・紙・紙加工品製造業</t>
  </si>
  <si>
    <t>15_印刷・同関連業</t>
  </si>
  <si>
    <t>1500_主として管理事務を行う本社等</t>
  </si>
  <si>
    <t>1509_その他の管理，補助的経済活動を行う事業所</t>
  </si>
  <si>
    <t>1511_オフセット印刷業（紙に対するもの）</t>
  </si>
  <si>
    <t>1512_オフセット印刷以外の印刷業（紙に対するもの）</t>
  </si>
  <si>
    <t>1513_紙以外の印刷業</t>
  </si>
  <si>
    <t>1521_製版業</t>
  </si>
  <si>
    <t>1531_製本業</t>
  </si>
  <si>
    <t>1532_印刷物加工業</t>
  </si>
  <si>
    <t>1591_印刷関連サービス業</t>
  </si>
  <si>
    <t>16_化学工業</t>
  </si>
  <si>
    <t>1600_主として管理事務を行う本社等</t>
  </si>
  <si>
    <t>1609_その他の管理，補助的経済活動を行う事業所</t>
  </si>
  <si>
    <t>1611_窒素質・りん酸質肥料製造業</t>
  </si>
  <si>
    <t>1612_複合肥料製造業</t>
  </si>
  <si>
    <t>1619_その他の化学肥料製造業</t>
  </si>
  <si>
    <t>1621_ソーダ工業</t>
  </si>
  <si>
    <t>1622_無機顔料製造業</t>
  </si>
  <si>
    <t>1623_圧縮ガス・液化ガス製造業</t>
  </si>
  <si>
    <t>1624_塩製造業</t>
  </si>
  <si>
    <t>1629_その他の無機化学工業製品製造業</t>
  </si>
  <si>
    <t>1631_石油化学系基礎製品製造業（一貫して生産される誘導品を含む）</t>
  </si>
  <si>
    <t>1632_脂肪族系中間物製造業（脂肪族系溶剤を含む）</t>
  </si>
  <si>
    <t>1633_発酵工業</t>
  </si>
  <si>
    <t>1634_環式中間物・合成染料・有機顔料製造業</t>
  </si>
  <si>
    <t>1635_プラスチック製造業</t>
  </si>
  <si>
    <t>1636_合成ゴム製造業</t>
  </si>
  <si>
    <t>1639_その他の有機化学工業製品製造業</t>
  </si>
  <si>
    <t>1641_脂肪酸・硬化油・グリセリン製造業</t>
  </si>
  <si>
    <t>1642_石けん・合成洗剤製造業</t>
  </si>
  <si>
    <t>1643_界面活性剤製造業（石けん、合成洗剤を除く）</t>
  </si>
  <si>
    <t>1644_塗料製造業</t>
  </si>
  <si>
    <t>1645_印刷インキ製造業</t>
  </si>
  <si>
    <t>1646_洗浄剤・磨用剤製造業</t>
  </si>
  <si>
    <t>1647_ろうそく製造業</t>
  </si>
  <si>
    <t>1651_医薬品原薬製造業</t>
  </si>
  <si>
    <t>1652_医薬品製剤製造業</t>
  </si>
  <si>
    <t>1653_生物学的製剤製造業</t>
  </si>
  <si>
    <t>1654_生薬・漢方製剤製造業</t>
  </si>
  <si>
    <t>1655_動物用医薬品製造業</t>
  </si>
  <si>
    <t>1661_仕上用・皮膚用化粧品製造業（香水、オーデコロンを含む）</t>
  </si>
  <si>
    <t>1662_頭髪用化粧品製造業</t>
  </si>
  <si>
    <t>1669_その他の化粧品・歯磨・化粧用調整品製造業</t>
  </si>
  <si>
    <t>1691_火薬類製造業</t>
  </si>
  <si>
    <t>1692_農薬製造業</t>
  </si>
  <si>
    <t>1693_香料製造業</t>
  </si>
  <si>
    <t>1694_ゼラチン・接着剤製造業</t>
  </si>
  <si>
    <t>1695_写真感光材料製造業</t>
  </si>
  <si>
    <t>1696_天然樹脂製品・木材化学製品製造業</t>
  </si>
  <si>
    <t>1697_試薬製造業</t>
  </si>
  <si>
    <t>1699_他に分類されない化学工業製品製造業</t>
  </si>
  <si>
    <t>17_石油製品・石炭製品製造業</t>
  </si>
  <si>
    <t>1700_主として管理事務を行う本社等</t>
  </si>
  <si>
    <t>1709_その他の管理，補助的経済活動を行う事業所</t>
  </si>
  <si>
    <t>1711_石油精製業</t>
  </si>
  <si>
    <t>1721_潤滑油・グリース製造業（石油精製業によらないもの）</t>
  </si>
  <si>
    <t>1731_コークス製造業</t>
  </si>
  <si>
    <t>1741_舗装材料製造業</t>
  </si>
  <si>
    <t>1799_その他の石油製品・石炭製品製造業</t>
  </si>
  <si>
    <t>18_プラスチック製品製造業（別掲を除く）</t>
  </si>
  <si>
    <t>1800_主として管理事務を行う本社等</t>
  </si>
  <si>
    <t>1809_その他の管理，補助的経済活動を行う事業所</t>
  </si>
  <si>
    <t>1811_プラスチック板・棒製造業</t>
  </si>
  <si>
    <t>1812_プラスチック管製造業</t>
  </si>
  <si>
    <t>1813_プラスチック継手製造業</t>
  </si>
  <si>
    <t>1814_プラスチック異形押出製品製造業</t>
  </si>
  <si>
    <t>1815_プラスチック板・棒・管・継手・異形押出製品加工業</t>
  </si>
  <si>
    <t>1821_プラスチックフィルム製造業</t>
  </si>
  <si>
    <t>1822_プラスチックシート製造業</t>
  </si>
  <si>
    <t>1823_プラスチック床材製造業</t>
  </si>
  <si>
    <t>1824_合成皮革製造業</t>
  </si>
  <si>
    <t>1825_プラスチックフィルム・シート・床材・合成皮革加工業</t>
  </si>
  <si>
    <t>1831_電気機械器具用プラスチック製品製造業（加工業を除く）</t>
  </si>
  <si>
    <t>1832_輸送機械器具用プラスチック製品製造業（加工業を除く）</t>
  </si>
  <si>
    <t>1833_その他の工業用プラスチック製品製造業（加工業を除く）</t>
  </si>
  <si>
    <t>1834_工業用プラスチック製品加工業</t>
  </si>
  <si>
    <t>1841_軟質プラスチック発泡製品製造業（半硬質性を含む）</t>
  </si>
  <si>
    <t>1842_硬質プラスチック発泡製品製造業</t>
  </si>
  <si>
    <t>1843_強化プラスチック製板・棒・管・継手製造業</t>
  </si>
  <si>
    <t>1844_強化プラスチック製容器・浴槽等製造業</t>
  </si>
  <si>
    <t>1845_発泡・強化プラスチック製品加工業</t>
  </si>
  <si>
    <t>1851_プラスチック成形材料製造業</t>
  </si>
  <si>
    <t>1852_廃プラスチック製品製造業</t>
  </si>
  <si>
    <t>1891_プラスチック製日用雑貨・食卓用品製造業</t>
  </si>
  <si>
    <t>1892_プラスチック製容器製造業</t>
  </si>
  <si>
    <t>1897_他に分類されないプラスチック製品製造業</t>
  </si>
  <si>
    <t>1898_他に分類されないプラスチック製品加工業</t>
  </si>
  <si>
    <t>19_ゴム製品製造業</t>
  </si>
  <si>
    <t>1900_主として管理事務を行う本社等</t>
  </si>
  <si>
    <t>1909_その他の管理，補助的経済活動を行う事業所</t>
  </si>
  <si>
    <t>1911_自動車タイヤ・チューブ製造業</t>
  </si>
  <si>
    <t>1919_その他のタイヤ・チューブ製造業</t>
  </si>
  <si>
    <t>1921_ゴム製履物・同附属品製造業</t>
  </si>
  <si>
    <t>1922_プラスチック製履物・同附属品製造業</t>
  </si>
  <si>
    <t>1931_ゴムベルト製造業</t>
  </si>
  <si>
    <t>1932_ゴムホース製造業</t>
  </si>
  <si>
    <t>1933_工業用ゴム製品製造業</t>
  </si>
  <si>
    <t>1991_ゴム引布・同製品製造業</t>
  </si>
  <si>
    <t>1992_医療・衛生用ゴム製品製造業</t>
  </si>
  <si>
    <t>1993_ゴム練生地製造業</t>
  </si>
  <si>
    <t>1994_更生タイヤ製造業</t>
  </si>
  <si>
    <t>1995_再生ゴム製造業</t>
  </si>
  <si>
    <t>1999_他に分類されないゴム製品製造業</t>
  </si>
  <si>
    <t>20_なめし革・同製品・毛皮製造業</t>
  </si>
  <si>
    <t>2000_主として管理事務を行う本社等</t>
  </si>
  <si>
    <t>2009_その他の管理，補助的経済活動を行う事業所</t>
  </si>
  <si>
    <t>2011_なめし革製造業</t>
  </si>
  <si>
    <t>2021_工業用革製品製造業（手袋を除く）</t>
  </si>
  <si>
    <t>2031_革製履物用材料・同附属品製造業</t>
  </si>
  <si>
    <t>2041_革製履物製造業</t>
  </si>
  <si>
    <t>2051_革製手袋製造業</t>
  </si>
  <si>
    <t>2061_かばん製造業</t>
  </si>
  <si>
    <t>2071_袋物製造業（ハンドバッグを除く）</t>
  </si>
  <si>
    <t>2072_ハンドバッグ製造業</t>
  </si>
  <si>
    <t>2081_毛皮製造業</t>
  </si>
  <si>
    <t>2099_その他のなめし革製品製造業</t>
  </si>
  <si>
    <t>21_窯業・土石製品製造業</t>
  </si>
  <si>
    <t>2100_主として管理事務を行う本社等</t>
  </si>
  <si>
    <t>2109_その他の管理，補助的経済活動を行う事業所</t>
  </si>
  <si>
    <t>2111_板ガラス製造業</t>
  </si>
  <si>
    <t>2112_板ガラス加工業</t>
  </si>
  <si>
    <t>2113_ガラス製加工素材製造業</t>
  </si>
  <si>
    <t>2114_ガラス容器製造業</t>
  </si>
  <si>
    <t>2115_理化学用・医療用ガラス器具製造業</t>
  </si>
  <si>
    <t>2116_卓上用・ちゅう房用ガラス器具製造業</t>
  </si>
  <si>
    <t>2117_ガラス繊維・同製品製造業</t>
  </si>
  <si>
    <t>2119_その他のガラス・同製品製造業</t>
  </si>
  <si>
    <t>2121_セメント製造業</t>
  </si>
  <si>
    <t>2122_生コンクリート製造業</t>
  </si>
  <si>
    <t>2123_コンクリート製品製造業</t>
  </si>
  <si>
    <t>2129_その他のセメント製品製造業</t>
  </si>
  <si>
    <t>2131_粘土かわら製造業</t>
  </si>
  <si>
    <t>2132_普通れんが製造業</t>
  </si>
  <si>
    <t>2139_その他の建設用粘土製品製造業</t>
  </si>
  <si>
    <t>2141_衛生陶器製造業</t>
  </si>
  <si>
    <t>2142_食卓用・ちゅう房用陶磁器製造業</t>
  </si>
  <si>
    <t>2143_陶磁器製置物製造業</t>
  </si>
  <si>
    <t>2144_電気用陶磁器製造業</t>
  </si>
  <si>
    <t>2145_理化学用・工業用陶磁器製造業</t>
  </si>
  <si>
    <t>2146_陶磁器製タイル製造業</t>
  </si>
  <si>
    <t>2147_陶磁器絵付業</t>
  </si>
  <si>
    <t>2148_陶磁器用はい（坏）土製造業</t>
  </si>
  <si>
    <t>2149_その他の陶磁器・同関連製品製造業</t>
  </si>
  <si>
    <t>2151_耐火れんが製造業</t>
  </si>
  <si>
    <t>2152_不定形耐火物製造業</t>
  </si>
  <si>
    <t>2159_その他の耐火物製造業</t>
  </si>
  <si>
    <t>2161_炭素質電極製造業</t>
  </si>
  <si>
    <t>2169_その他の炭素・黒鉛製品製造業</t>
  </si>
  <si>
    <t>2171_研磨材製造業</t>
  </si>
  <si>
    <t>2172_研削と石製造業</t>
  </si>
  <si>
    <t>2173_研磨布紙製造業</t>
  </si>
  <si>
    <t>2179_その他の研磨材・同製品製造業</t>
  </si>
  <si>
    <t>2181_砕石製造業</t>
  </si>
  <si>
    <t>2182_再生骨材製造業</t>
  </si>
  <si>
    <t>2183_人工骨材製造業</t>
  </si>
  <si>
    <t>2184_石工品製造業</t>
  </si>
  <si>
    <t>2185_けいそう土・同製品製造業</t>
  </si>
  <si>
    <t>2186_鉱物・土石粉砕等処理業</t>
  </si>
  <si>
    <t>2191_ロックウール・同製品製造業</t>
  </si>
  <si>
    <t>2192_石こう（膏）製品製造業</t>
  </si>
  <si>
    <t>2193_石灰製造業</t>
  </si>
  <si>
    <t>2194_鋳型製造業（中子を含む）</t>
  </si>
  <si>
    <t>2199_他に分類されない窯業・土石製品製造業</t>
  </si>
  <si>
    <t>22_鉄鋼業</t>
  </si>
  <si>
    <t>2200_主として管理事務を行う本社等</t>
  </si>
  <si>
    <t>2209_その他の管理，補助的経済活動を行う事業所</t>
  </si>
  <si>
    <t>2211_高炉による製鉄業</t>
  </si>
  <si>
    <t>2212_高炉によらない製鉄業</t>
  </si>
  <si>
    <t>2213_フェロアロイ製造業</t>
  </si>
  <si>
    <t>2221_製鋼・製鋼圧延業</t>
  </si>
  <si>
    <t>2231_熱間圧延業（鋼管、伸鉄を除く）</t>
  </si>
  <si>
    <t>2232_冷間圧延業（鋼管、伸鉄を除く）</t>
  </si>
  <si>
    <t>2233_冷間ロール成型形鋼製造業</t>
  </si>
  <si>
    <t>2234_鋼管製造業</t>
  </si>
  <si>
    <t>2235_伸鉄業</t>
  </si>
  <si>
    <t>2236_磨棒鋼製造業</t>
  </si>
  <si>
    <t>2237_引抜鋼管製造業</t>
  </si>
  <si>
    <t>2238_伸線業</t>
  </si>
  <si>
    <t>2239_その他の製鋼を行わない鋼材製造業（表面処理鋼材を除く）</t>
  </si>
  <si>
    <t>2241_亜鉛鉄板製造業</t>
  </si>
  <si>
    <t>2249_その他の表面処理鋼材製造業</t>
  </si>
  <si>
    <t>2251_銑鉄鋳物製造業（鋳鉄管、可鍛鋳鉄を除く）</t>
  </si>
  <si>
    <t>2252_可鍛鋳鉄製造業</t>
  </si>
  <si>
    <t>2253_鋳鋼製造業</t>
  </si>
  <si>
    <t>2254_鍛工品製造業</t>
  </si>
  <si>
    <t>2255_鍛鋼製造業</t>
  </si>
  <si>
    <t>2291_鉄鋼シャースリット業</t>
  </si>
  <si>
    <t>2292_鉄スクラップ加工処理業</t>
  </si>
  <si>
    <t>2293_鋳鉄管製造業</t>
  </si>
  <si>
    <t>2299_他に分類されない鉄鋼業</t>
  </si>
  <si>
    <t>23_非鉄金属製造業</t>
  </si>
  <si>
    <t>2300_主として管理事務を行う本社等</t>
  </si>
  <si>
    <t>2309_その他の管理，補助的経済活動を行う事業所</t>
  </si>
  <si>
    <t>2311_銅第１次製錬・精製業</t>
  </si>
  <si>
    <t>2312_亜鉛第１次製錬・精製業</t>
  </si>
  <si>
    <t>2319_その他の非鉄金属第１次製錬・精製業</t>
  </si>
  <si>
    <t>2321_鉛第２次製錬・精製業（鉛合金製造業を含む）</t>
  </si>
  <si>
    <t>2322_アルミニウム第２次製錬・精製業（アルミニウム合金製造業を含む）</t>
  </si>
  <si>
    <t>2329_その他の非鉄金属第２次製錬・精製業（非鉄金属合金製造業を含む）</t>
  </si>
  <si>
    <t>2331_伸銅品製造業</t>
  </si>
  <si>
    <t>2332_アルミニウム・同合金圧延業（抽伸、押出しを含む）</t>
  </si>
  <si>
    <t>2339_その他の非鉄金属・同合金圧延業（抽伸、押出しを含む）</t>
  </si>
  <si>
    <t>2341_電線・ケーブル製造業（光ファイバケーブルを除く）</t>
  </si>
  <si>
    <t>2342_光ファイバケーブル製造業（通信複合ケーブルを含む）</t>
  </si>
  <si>
    <t>2351_銅・同合金鋳物製造業（ダイカストを除く）</t>
  </si>
  <si>
    <t>2352_非鉄金属鋳物製造業（銅・同合金鋳物及びダイカストを除く）</t>
  </si>
  <si>
    <t>2353_アルミニウム・同合金ダイカスト製造業</t>
  </si>
  <si>
    <t>2354_非鉄金属ダイカスト製造業（アルミニウム・同合金ダイカストを除く）</t>
  </si>
  <si>
    <t>2355_非鉄金属鍛造品製造業</t>
  </si>
  <si>
    <t>2391_核燃料製造業</t>
  </si>
  <si>
    <t>2399_他に分類されない非鉄金属製造業</t>
  </si>
  <si>
    <t>24_金属製品製造業</t>
  </si>
  <si>
    <t>2400_主として管理事務を行う本社等</t>
  </si>
  <si>
    <t>2409_その他の管理，補助的経済活動を行う事業所</t>
  </si>
  <si>
    <t>2411_ブリキ缶・その他のめっき板等製品製造業</t>
  </si>
  <si>
    <t>2421_洋食器製造業</t>
  </si>
  <si>
    <t>2422_機械刃物製造業</t>
  </si>
  <si>
    <t>2423_利器工匠具・手道具製造業（やすり、のこぎり、食卓用刃物を除く）</t>
  </si>
  <si>
    <t>2424_作業工具製造業</t>
  </si>
  <si>
    <t>2425_手引のこぎり・のこ刃製造業</t>
  </si>
  <si>
    <t>2426_農業用器具製造業（農業用機械を除く）</t>
  </si>
  <si>
    <t>2429_その他の金物類製造業</t>
  </si>
  <si>
    <t>2431_配管工事用附属品製造業（バルブ、コックを除く）</t>
  </si>
  <si>
    <t>2432_ガス機器・石油機器製造業</t>
  </si>
  <si>
    <t>2433_温風・温水暖房装置製造業</t>
  </si>
  <si>
    <t>2439_その他の暖房・調理装置製造業（電気機械器具、ガス機器、石油機器を除く）</t>
  </si>
  <si>
    <t>2441_鉄骨製造業</t>
  </si>
  <si>
    <t>2442_建設用金属製品製造業（鉄骨を除く）</t>
  </si>
  <si>
    <t>2443_金属製サッシ・ドア製造業</t>
  </si>
  <si>
    <t>2444_鉄骨系プレハブ住宅製造業</t>
  </si>
  <si>
    <t>2445_建築用金属製品製造業（サッシ、ドア、建築用金物を除く）</t>
  </si>
  <si>
    <t>2446_製缶板金業</t>
  </si>
  <si>
    <t>2451_アルミニウム・同合金プレス製品製造業</t>
  </si>
  <si>
    <t>2452_金属プレス製品製造業（アルミニウム・同合金を除く）</t>
  </si>
  <si>
    <t>2453_粉末や金製品製造業</t>
  </si>
  <si>
    <t>2461_金属製品塗装業</t>
  </si>
  <si>
    <t>2462_溶融めっき業（表面処理鋼材製造業を除く）</t>
  </si>
  <si>
    <t>2463_金属彫刻業</t>
  </si>
  <si>
    <t>2464_電気めっき業（表面処理鋼材製造業を除く）</t>
  </si>
  <si>
    <t>2465_金属熱処理業</t>
  </si>
  <si>
    <t>2469_その他の金属表面処理業</t>
  </si>
  <si>
    <t>2471_くぎ製造業</t>
  </si>
  <si>
    <t>2479_その他の金属線製品製造業</t>
  </si>
  <si>
    <t>2481_ボルト・ナット・リベット・小ねじ・木ねじ等製造業</t>
  </si>
  <si>
    <t>2491_金庫製造業</t>
  </si>
  <si>
    <t>2492_金属製スプリング製造業</t>
  </si>
  <si>
    <t>2499_他に分類されない金属製品製造業</t>
  </si>
  <si>
    <t>25_はん用機械器具製造業</t>
  </si>
  <si>
    <t>2500_主として管理事務を行う本社等</t>
  </si>
  <si>
    <t>2509_その他の管理，補助的経済活動を行う事業所</t>
  </si>
  <si>
    <t>2511_ボイラ製造業</t>
  </si>
  <si>
    <t>2512_蒸気機関・タービン・水力タービン製造業（舶用を除く）</t>
  </si>
  <si>
    <t>2513_はん用内燃機関製造業</t>
  </si>
  <si>
    <t>2519_その他の原動機製造業</t>
  </si>
  <si>
    <t>2521_ポンプ・同装置製造業</t>
  </si>
  <si>
    <t>2522_空気圧縮機・ガス圧縮機・送風機製造業</t>
  </si>
  <si>
    <t>2523_油圧・空圧機器製造業</t>
  </si>
  <si>
    <t>2531_動力伝導装置製造業（玉軸受、ころ軸受を除く）</t>
  </si>
  <si>
    <t>2532_エレベータ・エスカレータ製造業</t>
  </si>
  <si>
    <t>2533_物流運搬設備製造業</t>
  </si>
  <si>
    <t>2534_工業窯炉製造業</t>
  </si>
  <si>
    <t>2535_冷凍機・温湿調整装置製造業</t>
  </si>
  <si>
    <t>2591_消火器具・消火装置製造業</t>
  </si>
  <si>
    <t>2592_弁・同附属品製造業</t>
  </si>
  <si>
    <t>2593_パイプ加工・パイプ附属品加工業</t>
  </si>
  <si>
    <t>2594_玉軸受・ころ軸受製造業</t>
  </si>
  <si>
    <t>2595_ピストンリング製造業</t>
  </si>
  <si>
    <t>2596_他に分類されないはん用機械・装置製造業</t>
  </si>
  <si>
    <t>2599_各種機械・同部分品製造修理業（注文製造・修理）</t>
  </si>
  <si>
    <t>26_生産用機械器具製造業</t>
  </si>
  <si>
    <t>2600_主として管理事務を行う本社等</t>
  </si>
  <si>
    <t>2609_その他の管理，補助的経済活動を行う事業所</t>
  </si>
  <si>
    <t>2611_農業用機械製造業（農業用器具を除く）</t>
  </si>
  <si>
    <t>2621_建設機械・鉱山機械製造業</t>
  </si>
  <si>
    <t>2631_化学繊維機械・紡績機械製造業</t>
  </si>
  <si>
    <t>2632_製織機械・編組機械製造業</t>
  </si>
  <si>
    <t>2633_染色整理仕上機械製造業</t>
  </si>
  <si>
    <t>2634_繊維機械部分品・取付具・附属品製造業</t>
  </si>
  <si>
    <t>2635_縫製機械製造業</t>
  </si>
  <si>
    <t>2641_食品機械・同装置製造業</t>
  </si>
  <si>
    <t>2642_木材加工機械製造業</t>
  </si>
  <si>
    <t>2643_パルプ装置・製紙機械製造業</t>
  </si>
  <si>
    <t>2644_印刷・製本・紙工機械製造業</t>
  </si>
  <si>
    <t>2645_包装・荷造機械製造業</t>
  </si>
  <si>
    <t>2651_鋳造装置製造業</t>
  </si>
  <si>
    <t>2652_化学機械・同装置製造業</t>
  </si>
  <si>
    <t>2653_プラスチック加工機械・同附属装置製造業</t>
  </si>
  <si>
    <t>2661_金属工作機械製造業</t>
  </si>
  <si>
    <t>2662_金属加工機械製造業（金属工作機械を除く）</t>
  </si>
  <si>
    <t>2663_金属工作機械用・金属加工機械用部分品・附属品製造業（機械工具、金型を除く）</t>
  </si>
  <si>
    <t>2664_機械工具製造業（粉末や金業を除く）</t>
  </si>
  <si>
    <t>2671_半導体製造装置製造業</t>
  </si>
  <si>
    <t>2672_フラットパネルディスプレイ製造装置製造業</t>
  </si>
  <si>
    <t>2691_金属用金型・同部分品・附属品製造業</t>
  </si>
  <si>
    <t>2692_非金属用金型・同部分品・附属品製造業</t>
  </si>
  <si>
    <t>2693_真空装置・真空機器製造業</t>
  </si>
  <si>
    <t>2694_ロボット製造業</t>
  </si>
  <si>
    <t>2699_他に分類されない生産用機械・同部分品製造業</t>
  </si>
  <si>
    <t>27_業務用機械器具製造業</t>
  </si>
  <si>
    <t>2700_主として管理事務を行う本社等</t>
  </si>
  <si>
    <t>2709_その他の管理，補助的経済活動を行う事業所</t>
  </si>
  <si>
    <t>2711_複写機製造業</t>
  </si>
  <si>
    <t>2719_その他の事務用機械器具製造業</t>
  </si>
  <si>
    <t>2721_サービス用機械器具製造業</t>
  </si>
  <si>
    <t>2722_娯楽用機械製造業</t>
  </si>
  <si>
    <t>2723_自動販売機製造業</t>
  </si>
  <si>
    <t>2729_その他のサービス用・娯楽用機械器具製造業</t>
  </si>
  <si>
    <t>2731_体積計製造業</t>
  </si>
  <si>
    <t>2732_はかり製造業</t>
  </si>
  <si>
    <t>2733_圧力計・流量計・液面計等製造業</t>
  </si>
  <si>
    <t>2734_精密測定器製造業</t>
  </si>
  <si>
    <t>2735_分析機器製造業</t>
  </si>
  <si>
    <t>2736_試験機製造業</t>
  </si>
  <si>
    <t>2737_測量機械器具製造業</t>
  </si>
  <si>
    <t>2738_理化学機械器具製造業</t>
  </si>
  <si>
    <t>2739_その他の計量器・測定器・分析機器・試験機・測量機械器具・理化学機械器具製造業</t>
  </si>
  <si>
    <t>2741_医療用機械器具製造業</t>
  </si>
  <si>
    <t>2742_歯科用機械器具製造業</t>
  </si>
  <si>
    <t>2743_医療用品製造業（動物用医療機械器具を含む）</t>
  </si>
  <si>
    <t>2744_歯科材料製造業</t>
  </si>
  <si>
    <t>2751_顕微鏡・望遠鏡等製造業</t>
  </si>
  <si>
    <t>2752_写真機・映画用機械・同附属品製造業</t>
  </si>
  <si>
    <t>2753_光学機械用レンズ・プリズム製造業</t>
  </si>
  <si>
    <t>2761_武器製造業</t>
  </si>
  <si>
    <t>28_電子部品・デバイス・電子回路製造業</t>
  </si>
  <si>
    <t>2800_主として管理事務を行う本社等</t>
  </si>
  <si>
    <t>2809_その他の管理，補助的経済活動を行う事業所</t>
  </si>
  <si>
    <t>2811_電子管製造業</t>
  </si>
  <si>
    <t>2812_光電変換素子製造業</t>
  </si>
  <si>
    <t>2813_半導体素子製造業（光電変換素子を除く）</t>
  </si>
  <si>
    <t>2814_集積回路製造業</t>
  </si>
  <si>
    <t>2815_液晶パネル・フラットパネル製造業</t>
  </si>
  <si>
    <t>2821_抵抗器・コンデンサ・変成器・複合部品製造業</t>
  </si>
  <si>
    <t>2822_音響部品・磁気ヘッド・小形モータ製造業</t>
  </si>
  <si>
    <t>2823_コネクタ・スイッチ・リレー製造業</t>
  </si>
  <si>
    <t>2831_半導体メモリメディア製造業</t>
  </si>
  <si>
    <t>2832_光ディスク・磁気ディスク・磁気テープ製造業</t>
  </si>
  <si>
    <t>2841_電子回路基板製造業</t>
  </si>
  <si>
    <t>2842_電子回路実装基板製造業</t>
  </si>
  <si>
    <t>2851_電源ユニット・高周波ユニット・コントロールユニット製造業</t>
  </si>
  <si>
    <t>2859_その他のユニット部品製造業</t>
  </si>
  <si>
    <t>2899_その他の電子部品・デバイス・電子回路製造業</t>
  </si>
  <si>
    <t>29_電気機械器具製造業</t>
  </si>
  <si>
    <t>2900_主として管理事務を行う本社等</t>
  </si>
  <si>
    <t>2909_その他の管理，補助的経済活動を行う事業所</t>
  </si>
  <si>
    <t>2911_発電機・電動機・その他の回転電気機械製造業</t>
  </si>
  <si>
    <t>2912_変圧器類製造業（電子機器用を除く）</t>
  </si>
  <si>
    <t>2913_電力開閉装置製造業</t>
  </si>
  <si>
    <t>2914_配電盤・電力制御装置製造業</t>
  </si>
  <si>
    <t>2915_配線器具・配線付属品製造業</t>
  </si>
  <si>
    <t>2921_電気溶接機製造業</t>
  </si>
  <si>
    <t>2922_内燃機関電装品製造業</t>
  </si>
  <si>
    <t>2929_その他の産業用電気機械器具製造業（車両用、船舶用を含む）</t>
  </si>
  <si>
    <t>2931_ちゅう房機器製造業</t>
  </si>
  <si>
    <t>2932_空調・住宅関連機器製造業</t>
  </si>
  <si>
    <t>2933_衣料衛生関連機器製造業</t>
  </si>
  <si>
    <t>2939_その他の民生用電気機械器具製造業</t>
  </si>
  <si>
    <t>2941_電球製造業</t>
  </si>
  <si>
    <t>2942_電気照明器具製造業</t>
  </si>
  <si>
    <t>2951_蓄電池製造業</t>
  </si>
  <si>
    <t>2952_一次電池（乾電池、湿電池）製造業</t>
  </si>
  <si>
    <t>2961_Ｘ線装置製造業</t>
  </si>
  <si>
    <t>2962_医療用電子応用装置製造業</t>
  </si>
  <si>
    <t>2969_その他の電子応用装置製造業</t>
  </si>
  <si>
    <t>2971_電気計測器製造業（別掲を除く）</t>
  </si>
  <si>
    <t>2972_工業計器製造業</t>
  </si>
  <si>
    <t>2973_医療用計測器製造業</t>
  </si>
  <si>
    <t>2999_その他の電気機械器具製造業</t>
  </si>
  <si>
    <t>30_情報通信機械器具製造業</t>
  </si>
  <si>
    <t>3000_主として管理事務を行う本社等</t>
  </si>
  <si>
    <t>3009_その他の管理，補助的経済活動を行う事業所</t>
  </si>
  <si>
    <t>3011_有線通信機械器具製造業</t>
  </si>
  <si>
    <t>3012_携帯電話機・PHS電話機製造業</t>
  </si>
  <si>
    <t>3013_無線通信機械器具製造業</t>
  </si>
  <si>
    <t>3014_ラジオ受信機・テレビジョン受信機製造業</t>
  </si>
  <si>
    <t>3015_交通信号保安装置製造業</t>
  </si>
  <si>
    <t>3019_その他の通信機械器具・同関連機械器具製造業</t>
  </si>
  <si>
    <t>3021_ビデオ機器製造業</t>
  </si>
  <si>
    <t>3022_デジタルカメラ製造業</t>
  </si>
  <si>
    <t>3023_電気音響機械器具製造業</t>
  </si>
  <si>
    <t>3031_電子計算機製造業（パーソナルコンピュータを除く）</t>
  </si>
  <si>
    <t>3032_パーソナルコンピュータ製造業</t>
  </si>
  <si>
    <t>3033_外部記憶装置製造業</t>
  </si>
  <si>
    <t>3034_印刷装置製造業</t>
  </si>
  <si>
    <t>3035_表示装置製造業</t>
  </si>
  <si>
    <t>3039_その他の附属装置製造業</t>
  </si>
  <si>
    <t>31_輸送用機械器具製造業</t>
  </si>
  <si>
    <t>3100_主として管理事務を行う本社等</t>
  </si>
  <si>
    <t>3109_その他の管理，補助的経済活動を行う事業所</t>
  </si>
  <si>
    <t>3111_自動車製造業（二輪自動車を含む）</t>
  </si>
  <si>
    <t>3112_自動車車体・附随車製造業</t>
  </si>
  <si>
    <t>3113_自動車部分品・附属品製造業</t>
  </si>
  <si>
    <t>3121_鉄道車両製造業</t>
  </si>
  <si>
    <t>3122_鉄道車両用部分品製造業</t>
  </si>
  <si>
    <t>3131_船舶製造・修理業</t>
  </si>
  <si>
    <t>3132_船体ブロック製造業</t>
  </si>
  <si>
    <t>3133_舟艇製造・修理業</t>
  </si>
  <si>
    <t>3134_舶用機関製造業</t>
  </si>
  <si>
    <t>3141_航空機製造業</t>
  </si>
  <si>
    <t>3142_航空機用原動機製造業</t>
  </si>
  <si>
    <t>3149_その他の航空機部分品・補助装置製造業</t>
  </si>
  <si>
    <t>3151_フォークリフトトラック・同部分品・附属品製造業</t>
  </si>
  <si>
    <t>3159_その他の産業用運搬車両・同部分品・附属品製造業</t>
  </si>
  <si>
    <t>3191_自転車・同部分品製造業</t>
  </si>
  <si>
    <t>3199_他に分類されない輸送用機械器具製造業</t>
  </si>
  <si>
    <t>32_その他の製造業</t>
  </si>
  <si>
    <t>3200_主として管理事務を行う本社等</t>
  </si>
  <si>
    <t>3209_その他の管理，補助的経済活動を行う事業所</t>
  </si>
  <si>
    <t>3211_貴金属・宝石製装身具（ジュエリー）製品製造業</t>
  </si>
  <si>
    <t>3212_貴金属・宝石製装身具（ジュエリー）附属品・同材料加工業</t>
  </si>
  <si>
    <t>3219_その他の貴金属製品製造業</t>
  </si>
  <si>
    <t>3221_装身具・装飾品製造業（貴金属・宝石製を除く）</t>
  </si>
  <si>
    <t>3222_造花・装飾用羽毛製造業</t>
  </si>
  <si>
    <t>3223_ボタン製造業</t>
  </si>
  <si>
    <t>3224_針・ピン・ホック・スナップ・同関連品製造業</t>
  </si>
  <si>
    <t>3229_その他の装身具・装飾品製造業</t>
  </si>
  <si>
    <t>3231_時計・同部分品製造業</t>
  </si>
  <si>
    <t>3241_ピアノ製造業</t>
  </si>
  <si>
    <t>3249_その他の楽器・楽器部品・同材料製造業</t>
  </si>
  <si>
    <t>3251_娯楽用具・がん具製造業（人形を除く）</t>
  </si>
  <si>
    <t>3252_人形製造業</t>
  </si>
  <si>
    <t>3253_運動用具製造業</t>
  </si>
  <si>
    <t>3261_万年筆・ぺン類・鉛筆製造業</t>
  </si>
  <si>
    <t>3262_毛筆・絵画用品製造業（鉛筆を除く）</t>
  </si>
  <si>
    <t>3269_その他の事務用品製造業</t>
  </si>
  <si>
    <t>3271_漆器製造業</t>
  </si>
  <si>
    <t>3281_麦わら・パナマ類帽子・わら工品製造業</t>
  </si>
  <si>
    <t>3282_畳製造業</t>
  </si>
  <si>
    <t>3283_うちわ・扇子・ちょうちん製造業</t>
  </si>
  <si>
    <t>3284_ほうき・ブラシ製造業</t>
  </si>
  <si>
    <t>3285_喫煙用具製造業（貴金属・宝石製を除く）</t>
  </si>
  <si>
    <t>3289_その他の生活雑貨製品製造業</t>
  </si>
  <si>
    <t>3291_煙火製造業</t>
  </si>
  <si>
    <t>3292_看板・標識機製造業</t>
  </si>
  <si>
    <t>3294_モデル・模型製造業</t>
  </si>
  <si>
    <t>3295_工業用模型製造業</t>
  </si>
  <si>
    <t>3296_情報記録物製造業（新聞、書籍等の印刷物を除く）</t>
  </si>
  <si>
    <t>F_電気・ガス・熱供給・水道業</t>
  </si>
  <si>
    <t>33_電気業</t>
  </si>
  <si>
    <t>3300_主として管理事務を行う本社等</t>
  </si>
  <si>
    <t>0901_エネルギー</t>
  </si>
  <si>
    <t>3309_その他の管理，補助的経済活動を行う事業所</t>
  </si>
  <si>
    <t>3311_発電所</t>
  </si>
  <si>
    <t>3312_変電所</t>
  </si>
  <si>
    <t>34_ガス業</t>
  </si>
  <si>
    <t>3400_主として管理事務を行う本社等</t>
  </si>
  <si>
    <t>3409_その他の管理、補助的経済活動を行う事業所</t>
  </si>
  <si>
    <t>3411_ガス製造工場</t>
  </si>
  <si>
    <t>3412_ガス供給所</t>
  </si>
  <si>
    <t>35_熱供給業</t>
  </si>
  <si>
    <t>3500_主として管理事務を行う本社等</t>
  </si>
  <si>
    <t>3509_その他の管理，補助的経済活動を行う事業所</t>
  </si>
  <si>
    <t>3511_熱供給業</t>
  </si>
  <si>
    <t>3600_主として管理事務を行う本社等</t>
  </si>
  <si>
    <t>3609_その他の管理，補助的経済活動を行う事業所</t>
  </si>
  <si>
    <t>3611_上水道業</t>
  </si>
  <si>
    <t>3621_工業用水道業</t>
  </si>
  <si>
    <t>3631_下水道処理施設維持管理業</t>
  </si>
  <si>
    <t>3632_下水道管路施設維持管理業</t>
  </si>
  <si>
    <t>G_情報通信業</t>
  </si>
  <si>
    <t>3700_主として管理事務を行う本社等</t>
  </si>
  <si>
    <t>3709_その他の管理，補助的経済活動を行う事業所</t>
  </si>
  <si>
    <t>3711_地域電気通信業（有線放送電話業を除く）</t>
  </si>
  <si>
    <t>3712_長距離電気通信業</t>
  </si>
  <si>
    <t>3713_有線放送電話業</t>
  </si>
  <si>
    <t>3719_その他の固定電気通信業</t>
  </si>
  <si>
    <t>3721_移動電気通信業</t>
  </si>
  <si>
    <t>3731_電気通信に附帯するサービス業</t>
  </si>
  <si>
    <t>38_放送業</t>
  </si>
  <si>
    <t>3800_主として管理事務を行う本社等</t>
  </si>
  <si>
    <t>10_サービス業</t>
  </si>
  <si>
    <t>1006_その他のサービス業</t>
  </si>
  <si>
    <t>3809_その他の管理，補助的経済活動を行う事業所</t>
  </si>
  <si>
    <t>3811_公共放送業（有線放送業を除く）</t>
  </si>
  <si>
    <t>3821_テレビジョン放送業（衛星放送業を除く）</t>
  </si>
  <si>
    <t>3822_ラジオ放送業（衛星放送業を除く）</t>
  </si>
  <si>
    <t>3823_衛星放送業</t>
  </si>
  <si>
    <t>3829_その他の民間放送業</t>
  </si>
  <si>
    <t>3831_有線テレビジョン放送業</t>
  </si>
  <si>
    <t>3832_有線ラジオ放送業</t>
  </si>
  <si>
    <t>39_情報サービス業</t>
  </si>
  <si>
    <t>3900_主として管理事務を行う本社等</t>
  </si>
  <si>
    <t>3909_その他の管理，補助的経済活動を行う事業所</t>
  </si>
  <si>
    <t>3911_受託開発ソフトウェア業</t>
  </si>
  <si>
    <t>3912_組込みソフトウェア業</t>
  </si>
  <si>
    <t>3913_パッケージソフトウェア業</t>
  </si>
  <si>
    <t>3914_ゲームソフトウェア業</t>
  </si>
  <si>
    <t>3921_情報処理サービス業</t>
  </si>
  <si>
    <t>3922_情報提供サービス業</t>
  </si>
  <si>
    <t>3923_市場調査・世論調査・社会調査業</t>
  </si>
  <si>
    <t>3929_その他の情報処理・提供サービス業</t>
  </si>
  <si>
    <t>40_インターネット附随サービス業</t>
  </si>
  <si>
    <t>4000_主として管理事務を行う本社等</t>
  </si>
  <si>
    <t>4009_その他の管理，補助的経済活動を行う事業所</t>
  </si>
  <si>
    <t>4011_ポータルサイト・サーバ運営業</t>
  </si>
  <si>
    <t>4012_アプリケーション・サービス・コンテンツ・プロバイダ</t>
  </si>
  <si>
    <t>4013_インターネット利用サポート業</t>
  </si>
  <si>
    <t>41_映像・音声・文字情報制作業</t>
  </si>
  <si>
    <t>4100_主として管理事務を行う本社等</t>
  </si>
  <si>
    <t>4109_その他の管理，補助的経済活動を行う事業所</t>
  </si>
  <si>
    <t>4111_映画・ビデオ制作業（テレビジョン番組制作業、アニメーション制作業を除く）</t>
  </si>
  <si>
    <t>4112_テレビジョン番組制作業（アニメーション制作業を除く）</t>
  </si>
  <si>
    <t>4113_アニメーション制作業</t>
  </si>
  <si>
    <t>4114_映画・ビデオ・テレビジョン番組配給業</t>
  </si>
  <si>
    <t>4121_レコード制作業</t>
  </si>
  <si>
    <t>4122_ラジオ番組制作業</t>
  </si>
  <si>
    <t>4131_新聞業</t>
  </si>
  <si>
    <t>4141_出版業</t>
  </si>
  <si>
    <t>4151_広告制作業</t>
  </si>
  <si>
    <t>4161_ニュース供給業</t>
  </si>
  <si>
    <t>4169_その他の映像・音声・文字情報制作に附帯するサービス業</t>
  </si>
  <si>
    <t>H_運輸業，郵便業</t>
  </si>
  <si>
    <t>42_鉄道業</t>
  </si>
  <si>
    <t>4200_主として管理事務を行う本社等</t>
  </si>
  <si>
    <t>0801_運輸業</t>
  </si>
  <si>
    <t>4209_その他の管理，補助的経済活動を行う事業所</t>
  </si>
  <si>
    <t>4211_普通鉄道業</t>
  </si>
  <si>
    <t>4212_軌道業</t>
  </si>
  <si>
    <t>4213_地下鉄道業</t>
  </si>
  <si>
    <t>4214_モノレール鉄道業（地下鉄道業を除く）</t>
  </si>
  <si>
    <t>4215_案内軌条式鉄道業（地下鉄道業を除く）</t>
  </si>
  <si>
    <t>4216_鋼索鉄道業</t>
  </si>
  <si>
    <t>4217_索道業</t>
  </si>
  <si>
    <t>4219_その他の鉄道業</t>
  </si>
  <si>
    <t>43_道路旅客運送業</t>
  </si>
  <si>
    <t>4300_主として管理事務を行う本社等</t>
  </si>
  <si>
    <t>4309_その他の管理，補助的経済活動を行う事業所</t>
  </si>
  <si>
    <t>4311_一般乗合旅客自動車運送業</t>
  </si>
  <si>
    <t>4321_一般乗用旅客自動車運送業</t>
  </si>
  <si>
    <t>4331_一般貸切旅客自動車運送業</t>
  </si>
  <si>
    <t>4391_特定旅客自動車運送業</t>
  </si>
  <si>
    <t>4399_他に分類されない道路旅客運送業</t>
  </si>
  <si>
    <t>44_道路貨物運送業</t>
  </si>
  <si>
    <t>4400_主として管理事務を行う本社等</t>
  </si>
  <si>
    <t>4409_その他の管理，補助的経済活動を行う事業所</t>
  </si>
  <si>
    <t>4411_一般貨物自動車運送業（特別積合せ貨物運送業を除く）</t>
  </si>
  <si>
    <t>4412_特別積合せ貨物運送業</t>
  </si>
  <si>
    <t>4421_特定貨物自動車運送業</t>
  </si>
  <si>
    <t>4431_貨物軽自動車運送業</t>
  </si>
  <si>
    <t>4441_集配利用運送業</t>
  </si>
  <si>
    <t>4499_その他の道路貨物運送業</t>
  </si>
  <si>
    <t>45_水運業</t>
  </si>
  <si>
    <t>4500_主として管理事務を行う本社等</t>
  </si>
  <si>
    <t>4509_その他の管理，補助的経済活動を行う事業所</t>
  </si>
  <si>
    <t>4511_外航旅客海運業</t>
  </si>
  <si>
    <t>4512_外航貨物海運業</t>
  </si>
  <si>
    <t>4521_沿海旅客海運業</t>
  </si>
  <si>
    <t>4522_沿海貨物海運業</t>
  </si>
  <si>
    <t>4531_港湾旅客海運業</t>
  </si>
  <si>
    <t>4532_河川水運業</t>
  </si>
  <si>
    <t>4533_湖沼水運業</t>
  </si>
  <si>
    <t>4541_船舶貸渡業（内航船舶貸渡業を除く）</t>
  </si>
  <si>
    <t>4542_内航船舶貸渡業</t>
  </si>
  <si>
    <t>46_航空運輸業</t>
  </si>
  <si>
    <t>4600_主として管理事務を行う本社等</t>
  </si>
  <si>
    <t>4609_その他の管理，補助的経済活動を行う事業所</t>
  </si>
  <si>
    <t>4611_航空運送業</t>
  </si>
  <si>
    <t>4621_航空機使用業（航空運送業を除く）</t>
  </si>
  <si>
    <t>4700_主として管理事務を行う本社等</t>
  </si>
  <si>
    <t>4709_その他の管理，補助的経済活動を行う事業所</t>
  </si>
  <si>
    <t>4711_倉庫業（冷蔵倉庫業を除く）</t>
  </si>
  <si>
    <t>4721_冷蔵倉庫業</t>
  </si>
  <si>
    <t>4800_主として管理事務を行う本社等</t>
  </si>
  <si>
    <t>4809_その他の管理，補助的経済活動を行う事業所</t>
  </si>
  <si>
    <t>4811_港湾運送業</t>
  </si>
  <si>
    <t>4821_利用運送業（集配利用運送業を除く）</t>
  </si>
  <si>
    <t>4822_運送取次業</t>
  </si>
  <si>
    <t>4831_運送代理店</t>
  </si>
  <si>
    <t>4841_こん包業（組立こん包業を除く）</t>
  </si>
  <si>
    <t>4842_組立こん包業</t>
  </si>
  <si>
    <t>4851_鉄道施設提供業</t>
  </si>
  <si>
    <t>4852_道路運送固定施設業</t>
  </si>
  <si>
    <t>4853_自動車ターミナル業</t>
  </si>
  <si>
    <t>4854_貨物荷扱固定施設業</t>
  </si>
  <si>
    <t>4855_桟橋泊きょ業</t>
  </si>
  <si>
    <t>4856_飛行場業</t>
  </si>
  <si>
    <t>4891_海運仲立業</t>
  </si>
  <si>
    <t>4901_管理，補助的経済活動を行う事業所</t>
  </si>
  <si>
    <t>4911_郵便業（信書便事業を含む）</t>
  </si>
  <si>
    <t>I_卸売業，小売業</t>
  </si>
  <si>
    <t>50_各種商品卸売業</t>
  </si>
  <si>
    <t>5000_主として管理事務を行う本社等</t>
  </si>
  <si>
    <t>0404_その他の卸売業</t>
  </si>
  <si>
    <t>5008_自家用倉庫</t>
  </si>
  <si>
    <t>5009_その他の管理，補助的経済活動を行う事業所</t>
  </si>
  <si>
    <t>5011_各種商品卸売業（従業者が常時100人以上のもの）</t>
  </si>
  <si>
    <t>5019_その他の各種商品卸売業</t>
  </si>
  <si>
    <t>51_繊維・衣服等卸売業</t>
  </si>
  <si>
    <t>5100_主として管理事務を行う本社等</t>
  </si>
  <si>
    <t>5108_自家用倉庫</t>
  </si>
  <si>
    <t>5109_その他の管理，補助的経済活動を行う事業所</t>
  </si>
  <si>
    <t>5111_繊維原料卸売業</t>
  </si>
  <si>
    <t>5112_糸卸売業</t>
  </si>
  <si>
    <t>5113_織物卸売業（室内装飾繊維品を除く）</t>
  </si>
  <si>
    <t>5121_男子服卸売業</t>
  </si>
  <si>
    <t>5122_婦人・子供服卸売業</t>
  </si>
  <si>
    <t>5123_下着類卸売業</t>
  </si>
  <si>
    <t>5129_その他の衣服卸売業</t>
  </si>
  <si>
    <t>5131_寝具類卸売業</t>
  </si>
  <si>
    <t>5132_靴・履物卸売業</t>
  </si>
  <si>
    <t>5133_かばん・袋物卸売業</t>
  </si>
  <si>
    <t>5139_その他の身の回り品卸売業</t>
  </si>
  <si>
    <t>52_飲食料品卸売業</t>
  </si>
  <si>
    <t>5200_主として管理事務を行う本社等</t>
  </si>
  <si>
    <t>5208_自家用倉庫</t>
  </si>
  <si>
    <t>5209_その他の管理，補助的経済活動を行う事業所</t>
  </si>
  <si>
    <t>5211_米麦卸売業</t>
  </si>
  <si>
    <t>5212_雑穀・豆類卸売業</t>
  </si>
  <si>
    <t>5213_野菜卸売業</t>
  </si>
  <si>
    <t>5214_果実卸売業</t>
  </si>
  <si>
    <t>5215_食肉卸売業</t>
  </si>
  <si>
    <t>5216_生鮮魚介卸売業</t>
  </si>
  <si>
    <t>5219_その他の農畜産物・水産物卸売業</t>
  </si>
  <si>
    <t>5221_砂糖・味そ・しょう油卸売業</t>
  </si>
  <si>
    <t>5222_酒類卸売業</t>
  </si>
  <si>
    <t>5223_乾物卸売業</t>
  </si>
  <si>
    <t>5224_菓子・パン類卸売業</t>
  </si>
  <si>
    <t>5225_飲料卸売業（別掲を除く）</t>
  </si>
  <si>
    <t>5226_茶類卸売業</t>
  </si>
  <si>
    <t>5227_牛乳・乳製品卸売業</t>
  </si>
  <si>
    <t>5229_その他の食料・飲料卸売業</t>
  </si>
  <si>
    <t>53_建築材料，鉱物・金属材料等卸売業</t>
  </si>
  <si>
    <t>5300_主として管理事務を行う本社等</t>
  </si>
  <si>
    <t>5308_自家用倉庫</t>
  </si>
  <si>
    <t>5309_その他の管理，補助的経済活動を行う事業所</t>
  </si>
  <si>
    <t>5311_木材・竹材卸売業</t>
  </si>
  <si>
    <t>5312_セメント卸売業</t>
  </si>
  <si>
    <t>5313_板ガラス卸売業</t>
  </si>
  <si>
    <t>5314_建築用金属製品卸売業（建築用金物を除く）</t>
  </si>
  <si>
    <t>5319_その他の建築材料卸売業</t>
  </si>
  <si>
    <t>5321_塗料卸売業</t>
  </si>
  <si>
    <t>5322_プラスチック卸売業</t>
  </si>
  <si>
    <t>5329_その他の化学製品卸売業</t>
  </si>
  <si>
    <t>5331_石油卸売業</t>
  </si>
  <si>
    <t>5332_鉱物卸売業（石油を除く）</t>
  </si>
  <si>
    <t>5341_鉄鋼粗製品卸売業</t>
  </si>
  <si>
    <t>5342_鉄鋼一次製品卸売業</t>
  </si>
  <si>
    <t>5349_その他の鉄鋼製品卸売業</t>
  </si>
  <si>
    <t>5351_非鉄金属地金卸売業</t>
  </si>
  <si>
    <t>5352_非鉄金属製品卸売業</t>
  </si>
  <si>
    <t>5361_空瓶・空缶等空容器卸売業</t>
  </si>
  <si>
    <t>5362_鉄スクラップ卸売業</t>
  </si>
  <si>
    <t>5363_非鉄金属スクラップ卸売業</t>
  </si>
  <si>
    <t>5364_古紙卸売業</t>
  </si>
  <si>
    <t>5369_その他の再生資源卸売業</t>
  </si>
  <si>
    <t>54_機械器具卸売業</t>
  </si>
  <si>
    <t>5400_主として管理事務を行う本社等</t>
  </si>
  <si>
    <t>5408_自家用倉庫</t>
  </si>
  <si>
    <t>5409_その他の管理，補助的経済活動を行う事業所</t>
  </si>
  <si>
    <t>5411_農業用機械器具卸売業</t>
  </si>
  <si>
    <t>5412_建設機械・鉱山機械卸売業</t>
  </si>
  <si>
    <t>5413_金属加工機械卸売業</t>
  </si>
  <si>
    <t>5414_事務用機械器具卸売業</t>
  </si>
  <si>
    <t>5419_その他の産業機械器具卸売業</t>
  </si>
  <si>
    <t>5421_自動車卸売業（二輪自動車を含む）</t>
  </si>
  <si>
    <t>5422_自動車部分品・附属品卸売業（中古品を除く）</t>
  </si>
  <si>
    <t>5423_自動車中古部品卸売業</t>
  </si>
  <si>
    <t>5431_家庭用電気機械器具卸売業</t>
  </si>
  <si>
    <t>5432_電気機械器具卸売業（家庭用電気機械器具を除く）</t>
  </si>
  <si>
    <t>5491_輸送用機械器具卸売業（自動車を除く）</t>
  </si>
  <si>
    <t>5492_計量器・理化学機械器具・光学機械器具等卸売業</t>
  </si>
  <si>
    <t>5493_医療用機械器具卸売業（歯科用機械器具を含む）</t>
  </si>
  <si>
    <t>55_その他の卸売業</t>
  </si>
  <si>
    <t>5500_主として管理事務を行う本社等</t>
  </si>
  <si>
    <t>5508_自家用倉庫</t>
  </si>
  <si>
    <t>5509_その他の管理，補助的経済活動を行う事業所</t>
  </si>
  <si>
    <t>5511_家具・建具卸売業</t>
  </si>
  <si>
    <t>5512_荒物卸売業</t>
  </si>
  <si>
    <t>5513_畳卸売業</t>
  </si>
  <si>
    <t>5514_室内装飾繊維品卸売業</t>
  </si>
  <si>
    <t>5515_陶磁器・ガラス器卸売業</t>
  </si>
  <si>
    <t>5519_その他のじゅう器卸売業</t>
  </si>
  <si>
    <t>5521_医薬品卸売業</t>
  </si>
  <si>
    <t>5522_医療用品卸売業</t>
  </si>
  <si>
    <t>5523_化粧品卸売業</t>
  </si>
  <si>
    <t>5524_合成洗剤卸売業</t>
  </si>
  <si>
    <t>5531_紙卸売業</t>
  </si>
  <si>
    <t>5532_紙製品卸売業</t>
  </si>
  <si>
    <t>5591_金物卸売業</t>
  </si>
  <si>
    <t>5592_肥料・飼料卸売業</t>
  </si>
  <si>
    <t>5593_スポーツ用品卸売業</t>
  </si>
  <si>
    <t>5594_娯楽用品・がん具卸売業</t>
  </si>
  <si>
    <t>5595_たばこ卸売業</t>
  </si>
  <si>
    <t>5596_ジュエリー製品卸売業</t>
  </si>
  <si>
    <t>5597_書籍・雑誌卸売業</t>
  </si>
  <si>
    <t>5598_代理商、仲立業</t>
  </si>
  <si>
    <t>5599_他に分類されないその他の卸売業</t>
  </si>
  <si>
    <t>56_各種商品小売業</t>
  </si>
  <si>
    <t>5600_主として管理事務を行う本社等</t>
  </si>
  <si>
    <t>0501_小売業</t>
  </si>
  <si>
    <t>5608_自家用倉庫</t>
  </si>
  <si>
    <t>5609_その他の管理，補助的経済活動を行う事業所</t>
  </si>
  <si>
    <t>5611_百貨店、総合スーパー</t>
  </si>
  <si>
    <t>5699_その他の各種商品小売業（従業者が常時50人未満のもの）</t>
  </si>
  <si>
    <t>57_織物・衣服・身の回り品小売業</t>
  </si>
  <si>
    <t>5700_主として管理事務を行う本社等</t>
  </si>
  <si>
    <t>5708_自家用倉庫</t>
  </si>
  <si>
    <t>5709_その他の管理，補助的経済活動を行う事業所</t>
  </si>
  <si>
    <t>5711_呉服・服地小売業</t>
  </si>
  <si>
    <t>5712_寝具小売業</t>
  </si>
  <si>
    <t>5721_男子服小売業</t>
  </si>
  <si>
    <t>5731_婦人服小売業</t>
  </si>
  <si>
    <t>5732_子供服小売業</t>
  </si>
  <si>
    <t>5741_靴小売業</t>
  </si>
  <si>
    <t>5742_履物小売業（靴を除く）</t>
  </si>
  <si>
    <t>5791_かばん・袋物小売業</t>
  </si>
  <si>
    <t>5792_下着類小売業</t>
  </si>
  <si>
    <t>5793_洋品雑貨・小間物小売業</t>
  </si>
  <si>
    <t>5799_他に分類されない織物・衣服・身の回り品小売業</t>
  </si>
  <si>
    <t>58_飲食料品小売業</t>
  </si>
  <si>
    <t>5800_主として管理事務を行う本社等</t>
  </si>
  <si>
    <t>5808_自家用倉庫</t>
  </si>
  <si>
    <t>5809_その他の管理，補助的経済活動を行う事業所</t>
  </si>
  <si>
    <t>5811_各種食料品小売業</t>
  </si>
  <si>
    <t>5821_野菜小売業</t>
  </si>
  <si>
    <t>5822_果実小売業</t>
  </si>
  <si>
    <t>5831_食肉小売業（卵、鳥肉を除く）</t>
  </si>
  <si>
    <t>5832_卵・鳥肉小売業</t>
  </si>
  <si>
    <t>5841_鮮魚小売業</t>
  </si>
  <si>
    <t>5851_酒小売業</t>
  </si>
  <si>
    <t>5861_菓子小売業（製造小売）</t>
  </si>
  <si>
    <t>5862_菓子小売業（製造小売でないもの）</t>
  </si>
  <si>
    <t>5863_パン小売業（製造小売）</t>
  </si>
  <si>
    <t>5864_パン小売業（製造小売でないもの）</t>
  </si>
  <si>
    <t>5891_コンビニエンスストア（飲食料品を中心とするものに限る）</t>
  </si>
  <si>
    <t>5892_牛乳小売業</t>
  </si>
  <si>
    <t>5893_飲料小売業（別掲を除く）</t>
  </si>
  <si>
    <t>5894_茶類小売業</t>
  </si>
  <si>
    <t>5895_料理品小売業</t>
  </si>
  <si>
    <t>5896_米穀類小売業</t>
  </si>
  <si>
    <t>5897_豆腐・かまぼこ等加工食品小売業</t>
  </si>
  <si>
    <t>5898_乾物小売業</t>
  </si>
  <si>
    <t>5899_他に分類されない飲食料品小売業</t>
  </si>
  <si>
    <t>59_機械器具小売業</t>
  </si>
  <si>
    <t>5900_主として管理事務を行う本社等</t>
  </si>
  <si>
    <t>5908_自家用倉庫</t>
  </si>
  <si>
    <t>5909_その他の管理，補助的経済活動を行う事業所</t>
  </si>
  <si>
    <t>5911_自動車（新車）小売業</t>
  </si>
  <si>
    <t>5912_中古自動車小売業</t>
  </si>
  <si>
    <t>5913_自動車部分品・附属品小売業</t>
  </si>
  <si>
    <t>5914_二輪自動車小売業（原動機付自転車を含む）</t>
  </si>
  <si>
    <t>5921_自転車小売業</t>
  </si>
  <si>
    <t>5931_電気機械器具小売業（中古品を除く）</t>
  </si>
  <si>
    <t>5932_電気事務機械器具小売業（中古品を除く）</t>
  </si>
  <si>
    <t>5933_中古電気製品小売業</t>
  </si>
  <si>
    <t>5939_その他の機械器具小売業</t>
  </si>
  <si>
    <t>60_その他の小売業</t>
  </si>
  <si>
    <t>6000_主として管理事務を行う本社等</t>
  </si>
  <si>
    <t>6008_自家用倉庫</t>
  </si>
  <si>
    <t>6009_その他の管理，補助的経済活動を行う事業所</t>
  </si>
  <si>
    <t>6011_家具小売業</t>
  </si>
  <si>
    <t>6012_建具小売業</t>
  </si>
  <si>
    <t>6013_畳小売業</t>
  </si>
  <si>
    <t>6014_宗教用具小売業</t>
  </si>
  <si>
    <t>6021_金物小売業</t>
  </si>
  <si>
    <t>6022_荒物小売業</t>
  </si>
  <si>
    <t>6023_陶磁器・ガラス器小売業</t>
  </si>
  <si>
    <t>6029_他に分類されないじゅう器小売業</t>
  </si>
  <si>
    <t>6031_ドラッグストア</t>
  </si>
  <si>
    <t>6032_医薬品小売業（調剤薬局を除く）</t>
  </si>
  <si>
    <t>6033_調剤薬局</t>
  </si>
  <si>
    <t>6034_化粧品小売業</t>
  </si>
  <si>
    <t>6041_農業用機械器具小売業</t>
  </si>
  <si>
    <t>6042_苗・種子小売業</t>
  </si>
  <si>
    <t>6043_肥料・飼料小売業</t>
  </si>
  <si>
    <t>6051_ガソリンスタンド</t>
  </si>
  <si>
    <t>6052_燃料小売業（ガソリンスタンドを除く）</t>
  </si>
  <si>
    <t>6061_書籍・雑誌小売業（古本を除く）</t>
  </si>
  <si>
    <t>6062_古本小売業</t>
  </si>
  <si>
    <t>6063_新聞小売業</t>
  </si>
  <si>
    <t>6064_紙・文房具小売業</t>
  </si>
  <si>
    <t>6071_スポーツ用品小売業</t>
  </si>
  <si>
    <t>6072_がん具・娯楽用品小売業</t>
  </si>
  <si>
    <t>6073_楽器小売業</t>
  </si>
  <si>
    <t>6081_写真機・写真材料小売業</t>
  </si>
  <si>
    <t>6082_時計・眼鏡・光学機械小売業</t>
  </si>
  <si>
    <t>6091_ホームセンター</t>
  </si>
  <si>
    <t>6092_たばこ・喫煙具専門小売業</t>
  </si>
  <si>
    <t>6093_花・植木小売業</t>
  </si>
  <si>
    <t>6094_建築材料小売業</t>
  </si>
  <si>
    <t>6095_ジュエリー製品小売業</t>
  </si>
  <si>
    <t>6096_ペット・ペット用品小売業</t>
  </si>
  <si>
    <t>6097_骨とう品小売業</t>
  </si>
  <si>
    <t>6098_中古品小売業（骨とう品を除く）</t>
  </si>
  <si>
    <t>6099_他に分類されないその他の小売業</t>
  </si>
  <si>
    <t>61_無店舗小売業</t>
  </si>
  <si>
    <t>6100_主として管理事務を行う本社等</t>
  </si>
  <si>
    <t>6108_自家用倉庫</t>
  </si>
  <si>
    <t>6109_その他の管理，補助的経済活動を行う事業所</t>
  </si>
  <si>
    <t>6111_無店舗小売業（各種商品小売）</t>
  </si>
  <si>
    <t>6112_無店舗小売業（織物・衣服・身の回り品小売）</t>
  </si>
  <si>
    <t>6113_無店舗小売業（飲食料品小売）</t>
  </si>
  <si>
    <t>6114_無店舗小売業（機械器具小売）</t>
  </si>
  <si>
    <t>6119_無店舗小売業（その他の小売）</t>
  </si>
  <si>
    <t>6121_自動販売機による小売業</t>
  </si>
  <si>
    <t>6199_その他の無店舗小売業</t>
  </si>
  <si>
    <t>J_金融業，保険業</t>
  </si>
  <si>
    <t>6200_主として管理事務を行う本社等</t>
  </si>
  <si>
    <t>6209_その他の管理，補助的経済活動を行う事業所</t>
  </si>
  <si>
    <t>6211_中央銀行</t>
  </si>
  <si>
    <t>6221_普通銀行</t>
  </si>
  <si>
    <t>6222_郵便貯金銀行</t>
  </si>
  <si>
    <t>6223_信託銀行</t>
  </si>
  <si>
    <t>6229_その他の銀行</t>
  </si>
  <si>
    <t>6300_主として管理事務を行う本社等</t>
  </si>
  <si>
    <t>6309_その他の管理，補助的経済活動を行う事業所</t>
  </si>
  <si>
    <t>6311_信用金庫・同連合会</t>
  </si>
  <si>
    <t>6312_信用協同組合・同連合会</t>
  </si>
  <si>
    <t>6313_商工組合中央金庫</t>
  </si>
  <si>
    <t>6314_労働金庫・同連合会</t>
  </si>
  <si>
    <t>6321_農林中央金庫</t>
  </si>
  <si>
    <t>6322_信用農業協同組合連合会</t>
  </si>
  <si>
    <t>6323_信用漁業協同組合連合会、信用水産加工業協同組合連合会</t>
  </si>
  <si>
    <t>6324_農業協同組合</t>
  </si>
  <si>
    <t>6325_漁業協同組合、水産加工業協同組合</t>
  </si>
  <si>
    <t>6400_主として管理事務を行う本社等</t>
  </si>
  <si>
    <t>6409_その他の管理，補助的経済活動を行う事業所</t>
  </si>
  <si>
    <t>6411_消費者向け貸金業</t>
  </si>
  <si>
    <t>6412_事業者向け貸金業</t>
  </si>
  <si>
    <t>6421_質屋</t>
  </si>
  <si>
    <t>6431_クレジットカード業</t>
  </si>
  <si>
    <t>6432_割賦金融業</t>
  </si>
  <si>
    <t>6491_政府関係金融機関</t>
  </si>
  <si>
    <t>6492_住宅専門金融業</t>
  </si>
  <si>
    <t>6493_証券金融業</t>
  </si>
  <si>
    <t>6499_他に分類されない非預金信用機関</t>
  </si>
  <si>
    <t>6500_主として管理事務を行う本社等</t>
  </si>
  <si>
    <t>6509_その他の管理，補助的経済活動を行う事業所</t>
  </si>
  <si>
    <t>6511_金融商品取引業（投資助言・代理業・運用業、補助的金融商品取引業を除く）</t>
  </si>
  <si>
    <t>6512_投資助言・代理業</t>
  </si>
  <si>
    <t>6513_投資運用業</t>
  </si>
  <si>
    <t>6514_補助的金融商品取引業</t>
  </si>
  <si>
    <t>6521_商品先物取引業</t>
  </si>
  <si>
    <t>6522_商品投資顧問業</t>
  </si>
  <si>
    <t>6529_その他の商品先物取引業、商品投資顧問業</t>
  </si>
  <si>
    <t>6600_主として管理事務を行う本社等</t>
  </si>
  <si>
    <t>6609_その他の管理，補助的経済活動を行う事業所</t>
  </si>
  <si>
    <t>6611_短資業</t>
  </si>
  <si>
    <t>6612_手形交換所</t>
  </si>
  <si>
    <t>6613_両替業</t>
  </si>
  <si>
    <t>6614_信用保証機関</t>
  </si>
  <si>
    <t>6615_信用保証再保険機関</t>
  </si>
  <si>
    <t>6616_預・貯金等保険機関</t>
  </si>
  <si>
    <t>6617_金融商品取引所</t>
  </si>
  <si>
    <t>6618_商品取引所</t>
  </si>
  <si>
    <t>6619_その他の補助的金融業、金融附帯業</t>
  </si>
  <si>
    <t>6621_運用型信託業</t>
  </si>
  <si>
    <t>6622_管理型信託業</t>
  </si>
  <si>
    <t>6631_金融商品仲介業</t>
  </si>
  <si>
    <t>6632_信託契約代理業</t>
  </si>
  <si>
    <t>6639_その他の金融代理業</t>
  </si>
  <si>
    <t>6700_主として管理事務を行う本社等</t>
  </si>
  <si>
    <t>6709_その他の管理，補助的経済活動を行う事業所</t>
  </si>
  <si>
    <t>6711_生命保険業（郵便保険業、生命保険再保険業を除く）</t>
  </si>
  <si>
    <t>6712_郵便保険業</t>
  </si>
  <si>
    <t>6713_生命保険再保険業</t>
  </si>
  <si>
    <t>6719_その他の生命保険業</t>
  </si>
  <si>
    <t>6721_損害保険業（損害保険再保険業を除く）</t>
  </si>
  <si>
    <t>6722_損害保険再保険業</t>
  </si>
  <si>
    <t>6729_その他の損害保険業</t>
  </si>
  <si>
    <t>6731_共済事業（各種災害補償法によるもの）</t>
  </si>
  <si>
    <t>6732_共済事業（各種協同組合法等によるもの）</t>
  </si>
  <si>
    <t>6733_少額短期保険業</t>
  </si>
  <si>
    <t>6741_生命保険媒介業</t>
  </si>
  <si>
    <t>6742_損害保険代理業</t>
  </si>
  <si>
    <t>6743_共済事業媒介代理業・少額短期保険代理業</t>
  </si>
  <si>
    <t>6751_保険料率算出団体</t>
  </si>
  <si>
    <t>6752_損害査定業</t>
  </si>
  <si>
    <t>6759_その他の保険サービス業</t>
  </si>
  <si>
    <t>K_不動産業，物品賃貸業</t>
  </si>
  <si>
    <t>68_不動産取引業</t>
  </si>
  <si>
    <t>6800_主として管理事務を行う本社等</t>
  </si>
  <si>
    <t>0701_不動産業</t>
  </si>
  <si>
    <t>6809_その他の管理，補助的経済活動を行う事業所</t>
  </si>
  <si>
    <t>6811_建物売買業</t>
  </si>
  <si>
    <t>6812_土地売買業</t>
  </si>
  <si>
    <t>6821_不動産代理業・仲介業</t>
  </si>
  <si>
    <t>69_不動産賃貸業・管理業</t>
  </si>
  <si>
    <t>6900_主として管理事務を行う本社等</t>
  </si>
  <si>
    <t>6909_その他の管理，補助的経済活動を行う事業所</t>
  </si>
  <si>
    <t>6911_貸事務所業</t>
  </si>
  <si>
    <t>6912_土地賃貸業</t>
  </si>
  <si>
    <t>6919_その他の不動産賃貸業</t>
  </si>
  <si>
    <t>6921_貸家業</t>
  </si>
  <si>
    <t>6922_貸間業</t>
  </si>
  <si>
    <t>6931_駐車場業</t>
  </si>
  <si>
    <t>6941_不動産管理業</t>
  </si>
  <si>
    <t>70_物品賃貸業</t>
  </si>
  <si>
    <t>7000_主として管理事務を行う本社等</t>
  </si>
  <si>
    <t>7009_その他の管理，補助的経済活動を行う事業所</t>
  </si>
  <si>
    <t>7011_総合リース業</t>
  </si>
  <si>
    <t>7019_その他の各種物品賃貸業</t>
  </si>
  <si>
    <t>7021_産業用機械器具賃貸業（建設機械器具を除く）</t>
  </si>
  <si>
    <t>7022_建設機械器具賃貸業</t>
  </si>
  <si>
    <t>7031_事務用機械器具賃貸業（電子計算機を除く）</t>
  </si>
  <si>
    <t>7032_電子計算機・同関連機器賃貸業</t>
  </si>
  <si>
    <t>7041_自動車賃貸業</t>
  </si>
  <si>
    <t>7051_スポーツ・娯楽用品賃貸業</t>
  </si>
  <si>
    <t>7091_映画・演劇用品賃貸業</t>
  </si>
  <si>
    <t>7092_音楽・映像記録物賃貸業（別掲を除く）</t>
  </si>
  <si>
    <t>7093_貸衣しょう業（別掲を除く）</t>
  </si>
  <si>
    <t>7099_他に分類されない物品賃貸業</t>
  </si>
  <si>
    <t>L_学術研究，専門・技術サービス業</t>
  </si>
  <si>
    <t>71_学術・開発研究機関</t>
  </si>
  <si>
    <t>7101_管理，補助的経済活動を行う事業所</t>
  </si>
  <si>
    <t>7111_理学研究所</t>
  </si>
  <si>
    <t>7112_工学研究所</t>
  </si>
  <si>
    <t>7113_農学研究所</t>
  </si>
  <si>
    <t>7114_医学・薬学研究所</t>
  </si>
  <si>
    <t>7121_人文・社会科学研究所</t>
  </si>
  <si>
    <t>7201_管理，補助的経済活動を行う事業所</t>
  </si>
  <si>
    <t>7211_法律事務所</t>
  </si>
  <si>
    <t>7212_特許事務所</t>
  </si>
  <si>
    <t>7221_公証人役場、司法書士事務所</t>
  </si>
  <si>
    <t>7222_土地家屋調査士事務所</t>
  </si>
  <si>
    <t>7231_行政書士事務所</t>
  </si>
  <si>
    <t>7241_公認会計士事務所</t>
  </si>
  <si>
    <t>7242_税理士事務所</t>
  </si>
  <si>
    <t>7251_社会保険労務士事務所</t>
  </si>
  <si>
    <t>7261_デザイン業</t>
  </si>
  <si>
    <t>7271_著述家業</t>
  </si>
  <si>
    <t>7272_芸術家業</t>
  </si>
  <si>
    <t>7281_経営コンサルタント業</t>
  </si>
  <si>
    <t>7291_興信所</t>
  </si>
  <si>
    <t>7292_翻訳業（著述家業を除く）</t>
  </si>
  <si>
    <t>7293_通訳業，通訳案内業</t>
  </si>
  <si>
    <t>7294_不動産鑑定業</t>
  </si>
  <si>
    <t>7299_他に分類されない専門サービス業</t>
  </si>
  <si>
    <t>73_広告業</t>
  </si>
  <si>
    <t>7300_主として管理事務を行う本社等</t>
  </si>
  <si>
    <t>7309_その他の管理，補助的経済活動を行う事業所</t>
  </si>
  <si>
    <t>7311_広告業</t>
  </si>
  <si>
    <t>74_技術サービス業（他に分類されないもの）</t>
  </si>
  <si>
    <t>7401_管理，補助的経済活動を行う事業所</t>
  </si>
  <si>
    <t>7411_獣医業</t>
  </si>
  <si>
    <t>7421_建築設計業</t>
  </si>
  <si>
    <t>7422_測量業</t>
  </si>
  <si>
    <t>7429_その他の土木建築サービス業</t>
  </si>
  <si>
    <t>7431_機械設計業</t>
  </si>
  <si>
    <t>7441_商品検査業</t>
  </si>
  <si>
    <t>7442_非破壊検査業</t>
  </si>
  <si>
    <t>7451_一般計量証明業</t>
  </si>
  <si>
    <t>7452_環境計量証明業</t>
  </si>
  <si>
    <t>7459_その他の計量証明業</t>
  </si>
  <si>
    <t>7461_写真業（商業写真業を除く）</t>
  </si>
  <si>
    <t>7462_商業写真業</t>
  </si>
  <si>
    <t>7499_その他の技術サービス業</t>
  </si>
  <si>
    <t>M_宿泊業，飲食サービス業</t>
  </si>
  <si>
    <t>75_宿泊業</t>
  </si>
  <si>
    <t>7500_主として管理事務を行う本社等</t>
  </si>
  <si>
    <t>7509_その他の管理，補助的経済活動を行う事業所</t>
  </si>
  <si>
    <t>7511_旅館、ホテル</t>
  </si>
  <si>
    <t>7521_簡易宿所</t>
  </si>
  <si>
    <t>7531_下宿業</t>
  </si>
  <si>
    <t>7591_会社・団体の宿泊所</t>
  </si>
  <si>
    <t>7592_リゾートクラブ</t>
  </si>
  <si>
    <t>7599_他に分類されない宿泊業</t>
  </si>
  <si>
    <t>76_飲食店</t>
  </si>
  <si>
    <t>7600_主として管理事務を行う本社等</t>
  </si>
  <si>
    <t>0601_飲食業</t>
  </si>
  <si>
    <t>7609_その他の管理，補助的経済活動を行う事業所</t>
  </si>
  <si>
    <t>7611_食堂、レストラン（専門料理店を除く）</t>
  </si>
  <si>
    <t>7621_日本料理店</t>
  </si>
  <si>
    <t>7622_料亭</t>
  </si>
  <si>
    <t>7623_中華料理店</t>
  </si>
  <si>
    <t>7624_ラーメン店</t>
  </si>
  <si>
    <t>7625_焼肉店</t>
  </si>
  <si>
    <t>7629_その他の専門料理店</t>
  </si>
  <si>
    <t>7631_そば・うどん店</t>
  </si>
  <si>
    <t>7641_すし店</t>
  </si>
  <si>
    <t>7651_酒場、ビヤホール</t>
  </si>
  <si>
    <t>7661_バー、キャバレー、ナイトクラブ</t>
  </si>
  <si>
    <t>7671_喫茶店</t>
  </si>
  <si>
    <t>7691_ハンバーガー店</t>
  </si>
  <si>
    <t>7692_お好み焼・焼きそば・たこ焼店</t>
  </si>
  <si>
    <t>7699_他に分類されない飲食店</t>
  </si>
  <si>
    <t>77_持ち帰り・配達飲食サービス業</t>
  </si>
  <si>
    <t>7700_主として管理事務を行う本社等</t>
  </si>
  <si>
    <t>7709_その他の管理，補助的経済活動を行う事業所</t>
  </si>
  <si>
    <t>7711_持ち帰り飲食サービス業</t>
  </si>
  <si>
    <t>7721_配達飲食サービス業</t>
  </si>
  <si>
    <t>N_生活関連サービス業，娯楽業</t>
  </si>
  <si>
    <t>78_洗濯・理容・美容・浴場業</t>
  </si>
  <si>
    <t>7800_主として管理事務を行う本社等</t>
  </si>
  <si>
    <t>7809_その他の管理，補助的経済活動を行う事業所</t>
  </si>
  <si>
    <t>7811_普通洗濯業</t>
  </si>
  <si>
    <t>7812_洗濯物取次業</t>
  </si>
  <si>
    <t>7813_リネンサプライ業</t>
  </si>
  <si>
    <t>7821_理容業</t>
  </si>
  <si>
    <t>7831_美容業</t>
  </si>
  <si>
    <t>7841_一般公衆浴場業</t>
  </si>
  <si>
    <t>7851_その他の公衆浴場業</t>
  </si>
  <si>
    <t>7891_洗張・染物業</t>
  </si>
  <si>
    <t>7892_エステティック業</t>
  </si>
  <si>
    <t>7893_リラクゼーション業(手技を用いるもの)</t>
  </si>
  <si>
    <t>7894_ネイルサービス業</t>
  </si>
  <si>
    <t>7899_他に分類されない洗濯・理容・美容・浴場業</t>
  </si>
  <si>
    <t>7900_主として管理事務を行う本社等</t>
  </si>
  <si>
    <t>7909_その他の管理，補助的経済活動を行う事業所</t>
  </si>
  <si>
    <t>7911_旅行業（旅行業者代理業を除く）</t>
  </si>
  <si>
    <t>7921_家事サービス業（住込みのもの）</t>
  </si>
  <si>
    <t>7922_家事サービス業（住込みでないもの）</t>
  </si>
  <si>
    <t>7931_衣服裁縫修理業</t>
  </si>
  <si>
    <t>7941_物品預り業</t>
  </si>
  <si>
    <t>7951_火葬業</t>
  </si>
  <si>
    <t>7952_墓地管理業</t>
  </si>
  <si>
    <t>7961_葬儀業</t>
  </si>
  <si>
    <t>7962_結婚式場業</t>
  </si>
  <si>
    <t>7963_冠婚葬祭互助会</t>
  </si>
  <si>
    <t>7991_食品賃加工業</t>
  </si>
  <si>
    <t>7992_結婚相談業、結婚式場紹介業</t>
  </si>
  <si>
    <t>7993_写真プリント，現像・焼付業</t>
  </si>
  <si>
    <t>7999_他に分類されないその他の生活関連サービス業</t>
  </si>
  <si>
    <t>80_娯楽業</t>
  </si>
  <si>
    <t>8000_主として管理事務を行う本社等</t>
  </si>
  <si>
    <t>8009_その他の管理，補助的経済活動を行う事業所</t>
  </si>
  <si>
    <t>8011_映画館</t>
  </si>
  <si>
    <t>8021_劇場</t>
  </si>
  <si>
    <t>8022_興行場</t>
  </si>
  <si>
    <t>8023_劇団</t>
  </si>
  <si>
    <t>8024_楽団、舞踊団</t>
  </si>
  <si>
    <t>8025_演芸・スポーツ等興行団</t>
  </si>
  <si>
    <t>8031_競輪場</t>
  </si>
  <si>
    <t>8032_競馬場</t>
  </si>
  <si>
    <t>8033_自動車・モータボートの競走場</t>
  </si>
  <si>
    <t>8034_競輪競技団</t>
  </si>
  <si>
    <t>8035_競馬競技団</t>
  </si>
  <si>
    <t>8036_自動車・モータボートの競技団</t>
  </si>
  <si>
    <t>8041_スポーツ施設提供業（別掲を除く）</t>
  </si>
  <si>
    <t>8042_体育館</t>
  </si>
  <si>
    <t>8043_ゴルフ場</t>
  </si>
  <si>
    <t>8044_ゴルフ練習場</t>
  </si>
  <si>
    <t>8045_ボウリング場</t>
  </si>
  <si>
    <t>8046_テニス場</t>
  </si>
  <si>
    <t>8047_バッティング・テニス練習場</t>
  </si>
  <si>
    <t>8048_フィットネスクラブ</t>
  </si>
  <si>
    <t>8051_公園</t>
  </si>
  <si>
    <t>8052_遊園地（テーマパークを除く）</t>
  </si>
  <si>
    <t>8053_テーマパーク</t>
  </si>
  <si>
    <t>8061_ビリヤード場</t>
  </si>
  <si>
    <t>8062_囲碁・将棋所</t>
  </si>
  <si>
    <t>8063_マージャンクラブ</t>
  </si>
  <si>
    <t>8064_パチンコホール</t>
  </si>
  <si>
    <t>8065_ゲームセンター</t>
  </si>
  <si>
    <t>8069_その他の遊戯場</t>
  </si>
  <si>
    <t>8091_ダンスホール</t>
  </si>
  <si>
    <t>8092_マリーナ業</t>
  </si>
  <si>
    <t>8093_遊漁船業</t>
  </si>
  <si>
    <t>8094_芸ぎ業</t>
  </si>
  <si>
    <t>8095_カラオケボックス業</t>
  </si>
  <si>
    <t>8096_娯楽に附帯するサービス業</t>
  </si>
  <si>
    <t>8099_他に分類されない娯楽業</t>
  </si>
  <si>
    <t>O_教育，学習支援業</t>
  </si>
  <si>
    <t>81_学校教育</t>
  </si>
  <si>
    <t>8101_管理，補助的経済活動を行う事業所</t>
  </si>
  <si>
    <t>8111_幼稚園</t>
  </si>
  <si>
    <t>8121_小学校</t>
  </si>
  <si>
    <t>8131_中学校</t>
  </si>
  <si>
    <t>8141_高等学校</t>
  </si>
  <si>
    <t>8142_中等教育学校</t>
  </si>
  <si>
    <t>8151_特別支援学校</t>
  </si>
  <si>
    <t>8161_大学</t>
  </si>
  <si>
    <t>8162_短期大学</t>
  </si>
  <si>
    <t>8163_高等専門学校</t>
  </si>
  <si>
    <t>8171_専修学校</t>
  </si>
  <si>
    <t>8172_各種学校</t>
  </si>
  <si>
    <t>8181_学校教育支援機関</t>
  </si>
  <si>
    <t>8191_幼保連携型認定こども園</t>
  </si>
  <si>
    <t>82_その他の教育，学習支援業</t>
  </si>
  <si>
    <t>8200_主として管理事務を行う本社等</t>
  </si>
  <si>
    <t>8209_その他の管理，補助的経済活動を行う事業所</t>
  </si>
  <si>
    <t>8211_公民館</t>
  </si>
  <si>
    <t>8212_図書館</t>
  </si>
  <si>
    <t>8213_博物館、美術館</t>
  </si>
  <si>
    <t>8214_動物園、植物園、水族館</t>
  </si>
  <si>
    <t>8215_青少年教育施設</t>
  </si>
  <si>
    <t>8216_社会通信教育</t>
  </si>
  <si>
    <t>8219_その他の社会教育</t>
  </si>
  <si>
    <t>8221_職員教育施設・支援業</t>
  </si>
  <si>
    <t>8222_職業訓練施設</t>
  </si>
  <si>
    <t>8229_その他の職業・教育支援施設</t>
  </si>
  <si>
    <t>8231_学習塾</t>
  </si>
  <si>
    <t>8241_音楽教授業</t>
  </si>
  <si>
    <t>8242_書道教授業</t>
  </si>
  <si>
    <t>8243_生花・茶道教授業</t>
  </si>
  <si>
    <t>8244_そろばん教授業</t>
  </si>
  <si>
    <t>8245_外国語会話教授業</t>
  </si>
  <si>
    <t>8246_スポーツ・健康教授業</t>
  </si>
  <si>
    <t>8249_その他の教養・技能教授業</t>
  </si>
  <si>
    <t>8299_他に分類されない教育，学習支援業</t>
  </si>
  <si>
    <t>P_医療，福祉</t>
  </si>
  <si>
    <t>83_医療業</t>
  </si>
  <si>
    <t>8300_主として管理事務を行う本社等</t>
  </si>
  <si>
    <t>1101_医療業</t>
  </si>
  <si>
    <t>8309_その他の管理，補助的経済活動を行う事業所</t>
  </si>
  <si>
    <t>8311_一般病院</t>
  </si>
  <si>
    <t>8312_精神科病院</t>
  </si>
  <si>
    <t>8321_有床診療所</t>
  </si>
  <si>
    <t>8322_無床診療所</t>
  </si>
  <si>
    <t>8331_歯科診療所</t>
  </si>
  <si>
    <t>8341_助産所</t>
  </si>
  <si>
    <t>8342_看護業</t>
  </si>
  <si>
    <t>8351_あん摩マッサージ指圧師・はり師・きゅう師・柔道整復師の施術所</t>
  </si>
  <si>
    <t>8359_その他の療術業</t>
  </si>
  <si>
    <t>8361_歯科技工所</t>
  </si>
  <si>
    <t>8369_その他の医療に附帯するサービス業</t>
  </si>
  <si>
    <t>84_保健衛生</t>
  </si>
  <si>
    <t>8400_主として管理事務を行う本社等</t>
  </si>
  <si>
    <t>1201_保険衛生、廃棄物処理業</t>
  </si>
  <si>
    <t>8409_その他の管理，補助的経済活動を行う事業所</t>
  </si>
  <si>
    <t>8411_保健所</t>
  </si>
  <si>
    <t>8421_結核健康相談施設</t>
  </si>
  <si>
    <t>8422_精神保健相談施設</t>
  </si>
  <si>
    <t>8423_母子健康相談施設</t>
  </si>
  <si>
    <t>8429_その他の健康相談施設</t>
  </si>
  <si>
    <t>8491_検疫所（動物検疫所、植物防疫所を除く）</t>
  </si>
  <si>
    <t>8492_検査業</t>
  </si>
  <si>
    <t>8493_消毒業</t>
  </si>
  <si>
    <t>8499_他に分類されない保健衛生</t>
  </si>
  <si>
    <t>85_社会保険・社会福祉・介護事業</t>
  </si>
  <si>
    <t>8500_主として管理事務を行う本社等</t>
  </si>
  <si>
    <t>8509_その他の管理，補助的経済活動を行う事業所</t>
  </si>
  <si>
    <t>8511_社会保険事業団体</t>
  </si>
  <si>
    <t>8521_福祉事務所</t>
  </si>
  <si>
    <t>8531_保育所</t>
  </si>
  <si>
    <t>8539_その他の児童福祉事業</t>
  </si>
  <si>
    <t>8541_特別養護老人ホーム</t>
  </si>
  <si>
    <t>8542_介護老人保健施設</t>
  </si>
  <si>
    <t>8543_通所・短期入所介護事業</t>
  </si>
  <si>
    <t>8544_訪問介護事業</t>
  </si>
  <si>
    <t>8545_認知症老人グループホーム</t>
  </si>
  <si>
    <t>8546_有料老人ホーム</t>
  </si>
  <si>
    <t>8549_その他の老人福祉・介護事業</t>
  </si>
  <si>
    <t>8551_居住支援事業</t>
  </si>
  <si>
    <t>8559_その他の障害者福祉事業</t>
  </si>
  <si>
    <t>8591_更生保護事業</t>
  </si>
  <si>
    <t>8599_他に分類されない社会保険・社会福祉・介護事業</t>
  </si>
  <si>
    <t>Q_複合サービス事業</t>
  </si>
  <si>
    <t>8601_管理，補助的経済活動を行う事業所</t>
  </si>
  <si>
    <t>8611_郵便局</t>
  </si>
  <si>
    <t>8621_簡易郵便局</t>
  </si>
  <si>
    <t>8629_その他の郵便局受託業</t>
  </si>
  <si>
    <t>87_協同組合（他に分類されないもの）</t>
  </si>
  <si>
    <t>8701_管理，補助的経済活動を行う事業所</t>
  </si>
  <si>
    <t>8711_農業協同組合（他に分類されないもの）</t>
  </si>
  <si>
    <t>8712_漁業協同組合（他に分類されないもの）</t>
  </si>
  <si>
    <t>8713_水産加工業協同組合（他に分類されないもの）</t>
  </si>
  <si>
    <t>8714_森林組合（他に分類されないもの）</t>
  </si>
  <si>
    <t>8721_事業協同組合（他に分類されないもの）</t>
  </si>
  <si>
    <t>R_サービス業（他に分類されないもの）</t>
  </si>
  <si>
    <t>88_廃棄物処理業</t>
  </si>
  <si>
    <t>8800_主として管理事務を行う本社等</t>
  </si>
  <si>
    <t>8809_その他の管理，補助的経済活動を行う事業所</t>
  </si>
  <si>
    <t>8811_し尿収集運搬業</t>
  </si>
  <si>
    <t>8812_し尿処分業</t>
  </si>
  <si>
    <t>8813_浄化槽清掃業</t>
  </si>
  <si>
    <t>8814_浄化槽保守点検業</t>
  </si>
  <si>
    <t>8815_ごみ収集運搬業</t>
  </si>
  <si>
    <t>8816_ごみ処分業</t>
  </si>
  <si>
    <t>8817_清掃事務所</t>
  </si>
  <si>
    <t>8821_産業廃棄物収集運搬業</t>
  </si>
  <si>
    <t>8822_産業廃棄物処分業</t>
  </si>
  <si>
    <t>8823_特別管理産業廃棄物収集運搬業</t>
  </si>
  <si>
    <t>8824_特別管理産業廃棄物処分業</t>
  </si>
  <si>
    <t>8891_死亡獣畜取扱業</t>
  </si>
  <si>
    <t>8899_他に分類されない廃棄物処理業</t>
  </si>
  <si>
    <t>89_自動車整備業</t>
  </si>
  <si>
    <t>8901_管理，補助的経済活動を行う事業所</t>
  </si>
  <si>
    <t>8911_自動車一般整備業</t>
  </si>
  <si>
    <t>8919_その他の自動車整備業</t>
  </si>
  <si>
    <t>90_機械等修理業（別掲を除く）</t>
  </si>
  <si>
    <t>9000_主として管理事務を行う本社等</t>
  </si>
  <si>
    <t>9009_その他の管理，補助的経済活動を行う事業所</t>
  </si>
  <si>
    <t>9011_一般機械修理業（建設・鉱山機械を除く）</t>
  </si>
  <si>
    <t>9012_建設・鉱山機械整備業</t>
  </si>
  <si>
    <t>9021_電気機械器具修理業</t>
  </si>
  <si>
    <t>9031_表具業</t>
  </si>
  <si>
    <t>9091_家具修理業</t>
  </si>
  <si>
    <t>9092_時計修理業</t>
  </si>
  <si>
    <t>9093_履物修理業</t>
  </si>
  <si>
    <t>9094_かじ業</t>
  </si>
  <si>
    <t>9099_他に分類されない修理業</t>
  </si>
  <si>
    <t>91_職業紹介・労働者派遣業</t>
  </si>
  <si>
    <t>9100_主として管理事務を行う本社等</t>
  </si>
  <si>
    <t>9109_その他の管理，補助的経済活動を行う事業所</t>
  </si>
  <si>
    <t>9111_職業紹介業</t>
  </si>
  <si>
    <t>9121_労働者派遣業</t>
  </si>
  <si>
    <t>92_その他の事業サービス業</t>
  </si>
  <si>
    <t>9200_主として管理事務を行う本社等</t>
  </si>
  <si>
    <t>9209_その他の管理，補助的経済活動を行う事業所</t>
  </si>
  <si>
    <t>9211_速記・ワープロ入力業</t>
  </si>
  <si>
    <t>9212_複写業</t>
  </si>
  <si>
    <t>9221_ビルメンテナンス業</t>
  </si>
  <si>
    <t>9229_その他の建物サービス業</t>
  </si>
  <si>
    <t>9231_警備業</t>
  </si>
  <si>
    <t>9291_ディスプレイ業</t>
  </si>
  <si>
    <t>9292_産業用設備洗浄業</t>
  </si>
  <si>
    <t>9293_看板書き業</t>
  </si>
  <si>
    <t>9294_コールセンター業</t>
  </si>
  <si>
    <t>9299_他に分類されないその他の事業サービス業</t>
  </si>
  <si>
    <t>93_政治・経済・文化団体</t>
  </si>
  <si>
    <t>9311_実業団体</t>
  </si>
  <si>
    <t>9312_同業団体</t>
  </si>
  <si>
    <t>9321_労働団体</t>
  </si>
  <si>
    <t>9331_学術団体</t>
  </si>
  <si>
    <t>9332_文化団体</t>
  </si>
  <si>
    <t>9341_政治団体</t>
  </si>
  <si>
    <t>9399_他に分類されない非営利的団体</t>
  </si>
  <si>
    <t>94_宗教</t>
  </si>
  <si>
    <t>9411_神社、神道教会</t>
  </si>
  <si>
    <t>9412_教派事務所</t>
  </si>
  <si>
    <t>9421_寺院、仏教教会</t>
  </si>
  <si>
    <t>9422_宗派事務所</t>
  </si>
  <si>
    <t>9431_キリスト教教会、修道院</t>
  </si>
  <si>
    <t>9432_教団事務所</t>
  </si>
  <si>
    <t>9491_その他の宗教の教会</t>
  </si>
  <si>
    <t>9499_その他の宗教の教団事務所</t>
  </si>
  <si>
    <t>95_その他のサービス業</t>
  </si>
  <si>
    <t>9501_管理，補助的経済活動を行う事業所</t>
  </si>
  <si>
    <t>9511_集会場</t>
  </si>
  <si>
    <t>9521_と畜場</t>
  </si>
  <si>
    <t>9599_他に分類されないサービス業</t>
  </si>
  <si>
    <t>96_外国公務</t>
  </si>
  <si>
    <t>9611_外国公館</t>
  </si>
  <si>
    <t>9699_その他の外国公務</t>
  </si>
  <si>
    <t>S_公務（他に分類されるものを除く）</t>
  </si>
  <si>
    <t>9711_立法機関</t>
  </si>
  <si>
    <t>9721_司法機関</t>
  </si>
  <si>
    <t>9731_行政機関</t>
  </si>
  <si>
    <t>9811_都道府県機関</t>
  </si>
  <si>
    <t>9821_市町村機関</t>
  </si>
  <si>
    <t>T_分類不能の産業</t>
  </si>
  <si>
    <t>9999_分類不能の産業</t>
  </si>
  <si>
    <t>日本標準分類
_大分類</t>
    <rPh sb="0" eb="2">
      <t>ニホン</t>
    </rPh>
    <rPh sb="2" eb="4">
      <t>ヒョウジュン</t>
    </rPh>
    <rPh sb="4" eb="6">
      <t>ブンルイ</t>
    </rPh>
    <rPh sb="8" eb="9">
      <t>ダイ</t>
    </rPh>
    <rPh sb="9" eb="11">
      <t>ブンルイ</t>
    </rPh>
    <phoneticPr fontId="1"/>
  </si>
  <si>
    <t>日本標準分類
_中分類</t>
    <rPh sb="0" eb="2">
      <t>ニホン</t>
    </rPh>
    <rPh sb="2" eb="4">
      <t>ヒョウジュン</t>
    </rPh>
    <rPh sb="4" eb="6">
      <t>ブンルイ</t>
    </rPh>
    <rPh sb="8" eb="11">
      <t>チュウブンルイ</t>
    </rPh>
    <phoneticPr fontId="1"/>
  </si>
  <si>
    <t>日本標準分類
_細分類</t>
    <rPh sb="0" eb="2">
      <t>ニホン</t>
    </rPh>
    <rPh sb="2" eb="4">
      <t>ヒョウジュン</t>
    </rPh>
    <rPh sb="4" eb="6">
      <t>ブンルイ</t>
    </rPh>
    <rPh sb="8" eb="11">
      <t>サイブンルイ</t>
    </rPh>
    <phoneticPr fontId="1"/>
  </si>
  <si>
    <t>1114_綿紡績業</t>
  </si>
  <si>
    <t>1199_他に分類されない繊維製品製造業</t>
  </si>
  <si>
    <t>3293_パレット製造業</t>
  </si>
  <si>
    <t>3297_眼鏡製造業（枠を含む）</t>
  </si>
  <si>
    <t>3299_他に分類されないその他の製造業</t>
  </si>
  <si>
    <t>4899_他に分類されない運輸に附帯するサービス業</t>
  </si>
  <si>
    <t>7282_純粋持株会社</t>
  </si>
  <si>
    <t>7912_旅行業者代理業</t>
  </si>
  <si>
    <t xml:space="preserve"> 　コピー＆ペーストして下さい。</t>
    <phoneticPr fontId="1"/>
  </si>
  <si>
    <t>14_その他</t>
    <rPh sb="5" eb="6">
      <t>ホカ</t>
    </rPh>
    <phoneticPr fontId="17"/>
  </si>
  <si>
    <t>ロカベン23業種_大分類</t>
    <rPh sb="6" eb="8">
      <t>ギョウシュ</t>
    </rPh>
    <rPh sb="9" eb="12">
      <t>ダイブンルイ</t>
    </rPh>
    <phoneticPr fontId="17"/>
  </si>
  <si>
    <t xml:space="preserve">※プルダウンメニューが利用できない場合は「業種シート」から 該当する日本標準分類を
　 </t>
    <rPh sb="34" eb="36">
      <t>ニホン</t>
    </rPh>
    <rPh sb="36" eb="38">
      <t>ヒョウジュン</t>
    </rPh>
    <rPh sb="38" eb="40">
      <t>ブンルイ</t>
    </rPh>
    <phoneticPr fontId="1"/>
  </si>
  <si>
    <t>05_小売業、06_飲食業</t>
    <rPh sb="3" eb="6">
      <t>コウリギョウ</t>
    </rPh>
    <phoneticPr fontId="17"/>
  </si>
  <si>
    <t>10_サービス業、11_医療業、12_保健衛生、廃棄物処理業、13_観光業</t>
    <rPh sb="7" eb="8">
      <t>ギョウ</t>
    </rPh>
    <rPh sb="19" eb="21">
      <t>ホケン</t>
    </rPh>
    <rPh sb="21" eb="23">
      <t>エイセイ</t>
    </rPh>
    <rPh sb="24" eb="27">
      <t>ハイキブツ</t>
    </rPh>
    <rPh sb="27" eb="29">
      <t>ショリ</t>
    </rPh>
    <rPh sb="29" eb="30">
      <t>ギョウ</t>
    </rPh>
    <phoneticPr fontId="17"/>
  </si>
  <si>
    <t>製造業
その他</t>
  </si>
  <si>
    <t>中小企業基本法　中小企業定義
業種区分</t>
    <rPh sb="15" eb="17">
      <t>ギョウシュ</t>
    </rPh>
    <rPh sb="17" eb="19">
      <t>クブン</t>
    </rPh>
    <phoneticPr fontId="17"/>
  </si>
  <si>
    <t>ローカルベンチマーク業種大分類</t>
    <rPh sb="10" eb="12">
      <t>ギョウシュ</t>
    </rPh>
    <rPh sb="12" eb="15">
      <t>ダイブンルイ</t>
    </rPh>
    <phoneticPr fontId="17"/>
  </si>
  <si>
    <t>　　　優先②：（営業利益＋減価償却費）が0以下の場合は、「1点」を付与</t>
    <rPh sb="3" eb="5">
      <t>ユウセン</t>
    </rPh>
    <rPh sb="21" eb="23">
      <t>イカ</t>
    </rPh>
    <rPh sb="24" eb="26">
      <t>バアイ</t>
    </rPh>
    <rPh sb="30" eb="31">
      <t>テン</t>
    </rPh>
    <rPh sb="33" eb="35">
      <t>フヨ</t>
    </rPh>
    <phoneticPr fontId="1"/>
  </si>
  <si>
    <t>　　　優先③：（借入金－現金・預金）が0超の時及び（営業利益＋減価償却費）が0超の時、本式にて算出された結果に基づき点数を付与</t>
    <rPh sb="3" eb="5">
      <t>ユウセン</t>
    </rPh>
    <rPh sb="8" eb="10">
      <t>カリイレ</t>
    </rPh>
    <rPh sb="10" eb="11">
      <t>キン</t>
    </rPh>
    <rPh sb="12" eb="14">
      <t>ゲンキン</t>
    </rPh>
    <rPh sb="15" eb="17">
      <t>ヨキン</t>
    </rPh>
    <rPh sb="20" eb="21">
      <t>チョウ</t>
    </rPh>
    <rPh sb="22" eb="23">
      <t>トキ</t>
    </rPh>
    <rPh sb="23" eb="24">
      <t>オヨ</t>
    </rPh>
    <rPh sb="26" eb="28">
      <t>エイギョウ</t>
    </rPh>
    <rPh sb="28" eb="30">
      <t>リエキ</t>
    </rPh>
    <rPh sb="31" eb="33">
      <t>ゲンカ</t>
    </rPh>
    <rPh sb="33" eb="35">
      <t>ショウキャク</t>
    </rPh>
    <rPh sb="35" eb="36">
      <t>ヒ</t>
    </rPh>
    <rPh sb="39" eb="40">
      <t>コ</t>
    </rPh>
    <rPh sb="41" eb="42">
      <t>トキ</t>
    </rPh>
    <rPh sb="43" eb="45">
      <t>ホンシキ</t>
    </rPh>
    <rPh sb="47" eb="49">
      <t>サンシュツ</t>
    </rPh>
    <rPh sb="52" eb="54">
      <t>ケッカ</t>
    </rPh>
    <rPh sb="55" eb="56">
      <t>モト</t>
    </rPh>
    <rPh sb="58" eb="60">
      <t>テンスウ</t>
    </rPh>
    <rPh sb="61" eb="63">
      <t>フヨ</t>
    </rPh>
    <phoneticPr fontId="1"/>
  </si>
  <si>
    <t>14_その他</t>
    <rPh sb="5" eb="6">
      <t>ホカ</t>
    </rPh>
    <phoneticPr fontId="1"/>
  </si>
  <si>
    <t>　　　優先②：②式が0以下（営業利益＋減価償却費&lt;=0）の場合は、「1点」を付与</t>
    <rPh sb="3" eb="5">
      <t>ユウセン</t>
    </rPh>
    <rPh sb="11" eb="13">
      <t>イカ</t>
    </rPh>
    <rPh sb="29" eb="31">
      <t>バアイ</t>
    </rPh>
    <rPh sb="35" eb="36">
      <t>テン</t>
    </rPh>
    <rPh sb="38" eb="40">
      <t>フヨ</t>
    </rPh>
    <phoneticPr fontId="1"/>
  </si>
  <si>
    <t>　　　優先①：①式が0以下（借入金＜現金・預金又は借入金＝現金・預金＝0）の場合は、「5点」を付与</t>
    <rPh sb="3" eb="5">
      <t>ユウセン</t>
    </rPh>
    <rPh sb="8" eb="9">
      <t>シキ</t>
    </rPh>
    <rPh sb="11" eb="13">
      <t>イカ</t>
    </rPh>
    <rPh sb="23" eb="24">
      <t>マタ</t>
    </rPh>
    <rPh sb="25" eb="27">
      <t>カリイレ</t>
    </rPh>
    <rPh sb="27" eb="28">
      <t>キン</t>
    </rPh>
    <rPh sb="29" eb="31">
      <t>ゲンキン</t>
    </rPh>
    <rPh sb="32" eb="34">
      <t>ヨキン</t>
    </rPh>
    <rPh sb="47" eb="49">
      <t>フヨ</t>
    </rPh>
    <phoneticPr fontId="1"/>
  </si>
  <si>
    <t>0601_飲食業</t>
    <phoneticPr fontId="1"/>
  </si>
  <si>
    <t>0801_運輸業</t>
    <phoneticPr fontId="1"/>
  </si>
  <si>
    <t>13_観光業</t>
    <rPh sb="3" eb="5">
      <t>カンコウ</t>
    </rPh>
    <rPh sb="5" eb="6">
      <t>ギョウ</t>
    </rPh>
    <phoneticPr fontId="46"/>
  </si>
  <si>
    <t>1301_観光業</t>
  </si>
  <si>
    <t>0306_その他の製造業</t>
    <rPh sb="7" eb="8">
      <t>ホカ</t>
    </rPh>
    <rPh sb="9" eb="12">
      <t>セイゾウギョウ</t>
    </rPh>
    <phoneticPr fontId="1"/>
  </si>
  <si>
    <t>0404_その他の卸売業</t>
    <rPh sb="7" eb="8">
      <t>ホカ</t>
    </rPh>
    <rPh sb="9" eb="12">
      <t>オロシウリギョウ</t>
    </rPh>
    <phoneticPr fontId="1"/>
  </si>
  <si>
    <t>1006_その他のサービス業</t>
    <rPh sb="7" eb="8">
      <t>ホカ</t>
    </rPh>
    <rPh sb="13" eb="14">
      <t>ギョウ</t>
    </rPh>
    <phoneticPr fontId="1"/>
  </si>
  <si>
    <t>0101_農業</t>
    <phoneticPr fontId="17"/>
  </si>
  <si>
    <t>0201_建設業</t>
    <rPh sb="5" eb="7">
      <t>ケンセツ</t>
    </rPh>
    <rPh sb="7" eb="8">
      <t>ギョウ</t>
    </rPh>
    <phoneticPr fontId="1"/>
  </si>
  <si>
    <t>0501_小売業</t>
    <phoneticPr fontId="17"/>
  </si>
  <si>
    <t>0601_飲食業</t>
    <phoneticPr fontId="17"/>
  </si>
  <si>
    <t>0701_不動産業</t>
    <phoneticPr fontId="17"/>
  </si>
  <si>
    <t>0801_運輸業</t>
    <phoneticPr fontId="17"/>
  </si>
  <si>
    <t>0901_エネルギー</t>
    <phoneticPr fontId="17"/>
  </si>
  <si>
    <t>1101_医療業</t>
    <phoneticPr fontId="17"/>
  </si>
  <si>
    <t>1201_保険衛生、廃棄物処理業</t>
    <phoneticPr fontId="17"/>
  </si>
  <si>
    <t>1301_観光業</t>
    <phoneticPr fontId="17"/>
  </si>
  <si>
    <t xml:space="preserve">ローカルベンチマーク23業種_大分類 </t>
    <rPh sb="12" eb="14">
      <t>ギョウシュ</t>
    </rPh>
    <rPh sb="15" eb="18">
      <t>ダイブンルイ</t>
    </rPh>
    <phoneticPr fontId="1"/>
  </si>
  <si>
    <t>日本標準分類</t>
    <rPh sb="0" eb="2">
      <t>ニホン</t>
    </rPh>
    <rPh sb="2" eb="4">
      <t>ヒョウジュン</t>
    </rPh>
    <rPh sb="4" eb="6">
      <t>ブンルイ</t>
    </rPh>
    <phoneticPr fontId="1"/>
  </si>
  <si>
    <t>【入力】財務分析
[ローカルベンチマーク23業種_
大分類]に該当</t>
    <rPh sb="1" eb="3">
      <t>ニュウリョク</t>
    </rPh>
    <rPh sb="4" eb="6">
      <t>ザイム</t>
    </rPh>
    <rPh sb="6" eb="8">
      <t>ブンセキ</t>
    </rPh>
    <rPh sb="22" eb="24">
      <t>ギョウシュ</t>
    </rPh>
    <rPh sb="26" eb="27">
      <t>ダイ</t>
    </rPh>
    <rPh sb="27" eb="29">
      <t>ブンルイ</t>
    </rPh>
    <rPh sb="31" eb="33">
      <t>ガイトウ</t>
    </rPh>
    <phoneticPr fontId="17"/>
  </si>
  <si>
    <t>【入力】財務分析シート
[ローカルベンチマーク23業種
_小分類]に該当</t>
    <rPh sb="1" eb="3">
      <t>ニュウリョク</t>
    </rPh>
    <rPh sb="4" eb="6">
      <t>ザイム</t>
    </rPh>
    <rPh sb="6" eb="8">
      <t>ブンセキ</t>
    </rPh>
    <rPh sb="25" eb="27">
      <t>ギョウシュ</t>
    </rPh>
    <rPh sb="29" eb="30">
      <t>ショウ</t>
    </rPh>
    <rPh sb="30" eb="32">
      <t>ブンルイ</t>
    </rPh>
    <rPh sb="34" eb="36">
      <t>ガイトウ</t>
    </rPh>
    <phoneticPr fontId="17"/>
  </si>
  <si>
    <t>01_農業、02_建設業、03_製造業、07_不動産業、08_運輸業、09_エネルギー、14_その他</t>
    <rPh sb="3" eb="5">
      <t>ノウギョウ</t>
    </rPh>
    <rPh sb="9" eb="12">
      <t>ケンセツギョウ</t>
    </rPh>
    <rPh sb="31" eb="34">
      <t>ウンユギョウ</t>
    </rPh>
    <rPh sb="49" eb="50">
      <t>ホカ</t>
    </rPh>
    <phoneticPr fontId="17"/>
  </si>
  <si>
    <t>業種確認ボタン</t>
    <rPh sb="0" eb="2">
      <t>ギョウシュ</t>
    </rPh>
    <rPh sb="2" eb="4">
      <t>カクニン</t>
    </rPh>
    <phoneticPr fontId="1"/>
  </si>
  <si>
    <t>1400_その他業種</t>
    <phoneticPr fontId="17"/>
  </si>
  <si>
    <t xml:space="preserve">ローカルベンチマーク23業種_小分類 </t>
    <rPh sb="12" eb="14">
      <t>ギョウシュ</t>
    </rPh>
    <rPh sb="15" eb="16">
      <t>ショウ</t>
    </rPh>
    <rPh sb="16" eb="18">
      <t>ブンルイ</t>
    </rPh>
    <phoneticPr fontId="1"/>
  </si>
  <si>
    <t>事業規模　※3</t>
    <rPh sb="0" eb="2">
      <t>ジギョウ</t>
    </rPh>
    <rPh sb="2" eb="4">
      <t>キボ</t>
    </rPh>
    <phoneticPr fontId="1"/>
  </si>
  <si>
    <r>
      <t>減価償却費　</t>
    </r>
    <r>
      <rPr>
        <sz val="8"/>
        <rFont val="Meiryo UI"/>
        <family val="3"/>
        <charset val="128"/>
      </rPr>
      <t>※4</t>
    </r>
    <rPh sb="0" eb="2">
      <t>ゲンカ</t>
    </rPh>
    <rPh sb="2" eb="4">
      <t>ショウキャク</t>
    </rPh>
    <rPh sb="4" eb="5">
      <t>ヒ</t>
    </rPh>
    <phoneticPr fontId="1"/>
  </si>
  <si>
    <r>
      <t xml:space="preserve">受取手形　　 </t>
    </r>
    <r>
      <rPr>
        <sz val="8"/>
        <rFont val="Meiryo UI"/>
        <family val="3"/>
        <charset val="128"/>
      </rPr>
      <t>※5</t>
    </r>
    <rPh sb="0" eb="2">
      <t>ウケトリ</t>
    </rPh>
    <rPh sb="2" eb="4">
      <t>テガタ</t>
    </rPh>
    <phoneticPr fontId="1"/>
  </si>
  <si>
    <r>
      <t xml:space="preserve">支払手形　　 </t>
    </r>
    <r>
      <rPr>
        <sz val="8"/>
        <rFont val="Meiryo UI"/>
        <family val="3"/>
        <charset val="128"/>
      </rPr>
      <t>※6</t>
    </r>
    <rPh sb="0" eb="2">
      <t>シハライ</t>
    </rPh>
    <rPh sb="2" eb="4">
      <t>テガタ</t>
    </rPh>
    <phoneticPr fontId="1"/>
  </si>
  <si>
    <r>
      <t>借入金 　　 　</t>
    </r>
    <r>
      <rPr>
        <sz val="8"/>
        <rFont val="Meiryo UI"/>
        <family val="3"/>
        <charset val="128"/>
      </rPr>
      <t>※7</t>
    </r>
    <rPh sb="0" eb="2">
      <t>カリイレ</t>
    </rPh>
    <rPh sb="2" eb="3">
      <t>キン</t>
    </rPh>
    <phoneticPr fontId="1"/>
  </si>
  <si>
    <t>③労働生産性 ※8</t>
    <rPh sb="1" eb="3">
      <t>ロウドウ</t>
    </rPh>
    <rPh sb="3" eb="6">
      <t>セイサンセイ</t>
    </rPh>
    <phoneticPr fontId="1"/>
  </si>
  <si>
    <t>④EBITDA有利子負債倍率 ※9</t>
    <rPh sb="7" eb="8">
      <t>ユウ</t>
    </rPh>
    <rPh sb="8" eb="10">
      <t>リシ</t>
    </rPh>
    <rPh sb="10" eb="12">
      <t>フサイ</t>
    </rPh>
    <rPh sb="12" eb="14">
      <t>バイリツ</t>
    </rPh>
    <phoneticPr fontId="1"/>
  </si>
  <si>
    <t>③労働生産性　※8</t>
    <rPh sb="1" eb="3">
      <t>ロウドウ</t>
    </rPh>
    <rPh sb="3" eb="6">
      <t>セイサンセイ</t>
    </rPh>
    <phoneticPr fontId="1"/>
  </si>
  <si>
    <t>④EBITDA有利子負債倍率　※9</t>
    <rPh sb="7" eb="8">
      <t>ユウ</t>
    </rPh>
    <rPh sb="8" eb="10">
      <t>リシ</t>
    </rPh>
    <rPh sb="10" eb="12">
      <t>フサイ</t>
    </rPh>
    <rPh sb="12" eb="14">
      <t>バイリツ</t>
    </rPh>
    <phoneticPr fontId="1"/>
  </si>
  <si>
    <t>※3：事業規模は、中小企業基本法の中小企業者の定義(表1）に基づき</t>
    <rPh sb="3" eb="5">
      <t>ジギョウ</t>
    </rPh>
    <rPh sb="5" eb="7">
      <t>キボ</t>
    </rPh>
    <rPh sb="26" eb="27">
      <t>ヒョウ</t>
    </rPh>
    <rPh sb="30" eb="31">
      <t>モト</t>
    </rPh>
    <phoneticPr fontId="1"/>
  </si>
  <si>
    <t>※4：製造原価、一般管理販売費等に計上されている減価償却費の合計を</t>
    <rPh sb="3" eb="5">
      <t>セイゾウ</t>
    </rPh>
    <rPh sb="5" eb="7">
      <t>ゲンカ</t>
    </rPh>
    <rPh sb="8" eb="10">
      <t>イッパン</t>
    </rPh>
    <rPh sb="10" eb="12">
      <t>カンリ</t>
    </rPh>
    <rPh sb="12" eb="15">
      <t>ハンバイヒ</t>
    </rPh>
    <rPh sb="15" eb="16">
      <t>トウ</t>
    </rPh>
    <rPh sb="17" eb="19">
      <t>ケイジョウ</t>
    </rPh>
    <rPh sb="24" eb="26">
      <t>ゲンカ</t>
    </rPh>
    <rPh sb="26" eb="29">
      <t>ショウキャクヒ</t>
    </rPh>
    <rPh sb="30" eb="32">
      <t>ゴウケイ</t>
    </rPh>
    <phoneticPr fontId="1"/>
  </si>
  <si>
    <t>※5：受取手形には、割引手形を含めた金額を入力して下さい。</t>
    <rPh sb="3" eb="4">
      <t>ウ</t>
    </rPh>
    <rPh sb="4" eb="5">
      <t>トリ</t>
    </rPh>
    <rPh sb="5" eb="7">
      <t>テガタ</t>
    </rPh>
    <rPh sb="10" eb="12">
      <t>ワリビキ</t>
    </rPh>
    <rPh sb="12" eb="14">
      <t>テガタ</t>
    </rPh>
    <rPh sb="15" eb="16">
      <t>フク</t>
    </rPh>
    <rPh sb="18" eb="20">
      <t>キンガク</t>
    </rPh>
    <rPh sb="21" eb="23">
      <t>ニュウリョク</t>
    </rPh>
    <rPh sb="25" eb="26">
      <t>クダ</t>
    </rPh>
    <phoneticPr fontId="1"/>
  </si>
  <si>
    <t>※6：支払手形には、設備支払手形は含めません。</t>
    <rPh sb="3" eb="5">
      <t>シハライ</t>
    </rPh>
    <rPh sb="5" eb="7">
      <t>テガタ</t>
    </rPh>
    <rPh sb="10" eb="12">
      <t>セツビ</t>
    </rPh>
    <rPh sb="12" eb="14">
      <t>シハライ</t>
    </rPh>
    <rPh sb="14" eb="16">
      <t>テガタ</t>
    </rPh>
    <rPh sb="17" eb="18">
      <t>フク</t>
    </rPh>
    <phoneticPr fontId="1"/>
  </si>
  <si>
    <t>※8：本分析の労働生産性は簡易的に計算したものとなりますので、経営力向上計画等に記載の際は、それぞれの定義に沿った数値を各自で計算して下さい。</t>
    <rPh sb="3" eb="4">
      <t>ホン</t>
    </rPh>
    <rPh sb="4" eb="6">
      <t>ブンセキ</t>
    </rPh>
    <rPh sb="7" eb="9">
      <t>ロウドウ</t>
    </rPh>
    <rPh sb="9" eb="12">
      <t>セイサンセイ</t>
    </rPh>
    <rPh sb="13" eb="15">
      <t>カンイ</t>
    </rPh>
    <rPh sb="15" eb="16">
      <t>テキ</t>
    </rPh>
    <rPh sb="17" eb="19">
      <t>ケイサン</t>
    </rPh>
    <rPh sb="31" eb="33">
      <t>ケイエイ</t>
    </rPh>
    <rPh sb="33" eb="34">
      <t>リョク</t>
    </rPh>
    <rPh sb="34" eb="36">
      <t>コウジョウ</t>
    </rPh>
    <rPh sb="36" eb="38">
      <t>ケイカク</t>
    </rPh>
    <rPh sb="38" eb="39">
      <t>ナド</t>
    </rPh>
    <rPh sb="40" eb="42">
      <t>キサイ</t>
    </rPh>
    <rPh sb="43" eb="44">
      <t>サイ</t>
    </rPh>
    <rPh sb="51" eb="53">
      <t>テイギ</t>
    </rPh>
    <rPh sb="54" eb="55">
      <t>ソ</t>
    </rPh>
    <rPh sb="57" eb="59">
      <t>スウチ</t>
    </rPh>
    <rPh sb="60" eb="62">
      <t>カクジ</t>
    </rPh>
    <rPh sb="63" eb="65">
      <t>ケイサン</t>
    </rPh>
    <rPh sb="67" eb="68">
      <t>クダ</t>
    </rPh>
    <phoneticPr fontId="1"/>
  </si>
  <si>
    <t>※9：以下の優先順位に基づき、点数を付与します。</t>
    <rPh sb="3" eb="5">
      <t>イカ</t>
    </rPh>
    <rPh sb="6" eb="8">
      <t>ユウセン</t>
    </rPh>
    <rPh sb="8" eb="10">
      <t>ジュンイ</t>
    </rPh>
    <rPh sb="11" eb="12">
      <t>モト</t>
    </rPh>
    <rPh sb="15" eb="17">
      <t>テンスウ</t>
    </rPh>
    <rPh sb="18" eb="20">
      <t>フヨ</t>
    </rPh>
    <phoneticPr fontId="1"/>
  </si>
  <si>
    <t>※金額の単位は千円</t>
    <rPh sb="8" eb="9">
      <t>エン</t>
    </rPh>
    <phoneticPr fontId="1"/>
  </si>
  <si>
    <t>農業、建設業、製造業、不動産業、</t>
    <rPh sb="0" eb="2">
      <t>ノウギョウ</t>
    </rPh>
    <rPh sb="3" eb="6">
      <t>ケンセツギョウ</t>
    </rPh>
    <phoneticPr fontId="17"/>
  </si>
  <si>
    <t>運輸業、エネルギー、その他</t>
    <rPh sb="12" eb="13">
      <t>ホカ</t>
    </rPh>
    <phoneticPr fontId="1"/>
  </si>
  <si>
    <t>分析対象外</t>
    <rPh sb="0" eb="2">
      <t>ブンセキ</t>
    </rPh>
    <rPh sb="2" eb="4">
      <t>タイショウ</t>
    </rPh>
    <rPh sb="4" eb="5">
      <t>ガイ</t>
    </rPh>
    <phoneticPr fontId="17"/>
  </si>
  <si>
    <t>⇒</t>
    <phoneticPr fontId="17"/>
  </si>
  <si>
    <t>　　　　尚、中小企業以外の「中堅企業等」は、「中規模企業」として事業規模判定をしております。</t>
    <rPh sb="4" eb="5">
      <t>ナオ</t>
    </rPh>
    <rPh sb="6" eb="8">
      <t>チュウショウ</t>
    </rPh>
    <rPh sb="8" eb="10">
      <t>キギョウ</t>
    </rPh>
    <rPh sb="10" eb="12">
      <t>イガイ</t>
    </rPh>
    <rPh sb="14" eb="16">
      <t>チュウケン</t>
    </rPh>
    <rPh sb="16" eb="18">
      <t>キギョウ</t>
    </rPh>
    <rPh sb="18" eb="19">
      <t>トウ</t>
    </rPh>
    <rPh sb="23" eb="26">
      <t>チュウキボ</t>
    </rPh>
    <rPh sb="26" eb="28">
      <t>キギョウ</t>
    </rPh>
    <rPh sb="32" eb="34">
      <t>ジギョウ</t>
    </rPh>
    <rPh sb="34" eb="36">
      <t>キボ</t>
    </rPh>
    <rPh sb="36" eb="38">
      <t>ハンテイ</t>
    </rPh>
    <phoneticPr fontId="1"/>
  </si>
  <si>
    <t xml:space="preserve">       従業員兼役員は含まれます。</t>
    <rPh sb="7" eb="10">
      <t>ジュウギョウイン</t>
    </rPh>
    <rPh sb="10" eb="11">
      <t>ケン</t>
    </rPh>
    <rPh sb="11" eb="13">
      <t>ヤクイン</t>
    </rPh>
    <rPh sb="14" eb="15">
      <t>フク</t>
    </rPh>
    <phoneticPr fontId="1"/>
  </si>
  <si>
    <t>※7：借入金は、長期借入・短期借入・1年以内返済長期借入金の合計を入力して下さい。なお、長期借入・短期借入・1年以内返済長期借入金の内数となっていない役員借入金は基準値の計算上、含まれません。</t>
    <rPh sb="3" eb="5">
      <t>カリイレ</t>
    </rPh>
    <rPh sb="5" eb="6">
      <t>キン</t>
    </rPh>
    <rPh sb="8" eb="10">
      <t>チョウキ</t>
    </rPh>
    <rPh sb="10" eb="12">
      <t>カリイレ</t>
    </rPh>
    <rPh sb="13" eb="15">
      <t>タンキ</t>
    </rPh>
    <rPh sb="15" eb="17">
      <t>カリイレ</t>
    </rPh>
    <rPh sb="19" eb="20">
      <t>ネン</t>
    </rPh>
    <rPh sb="20" eb="22">
      <t>イナイ</t>
    </rPh>
    <rPh sb="22" eb="24">
      <t>ヘンサイ</t>
    </rPh>
    <rPh sb="24" eb="26">
      <t>チョウキ</t>
    </rPh>
    <rPh sb="26" eb="28">
      <t>カリイレ</t>
    </rPh>
    <rPh sb="28" eb="29">
      <t>キン</t>
    </rPh>
    <rPh sb="30" eb="32">
      <t>ゴウケイ</t>
    </rPh>
    <rPh sb="44" eb="46">
      <t>チョウキ</t>
    </rPh>
    <rPh sb="46" eb="48">
      <t>カリイレ</t>
    </rPh>
    <rPh sb="49" eb="51">
      <t>タンキ</t>
    </rPh>
    <rPh sb="51" eb="53">
      <t>カリイレ</t>
    </rPh>
    <rPh sb="55" eb="56">
      <t>ネン</t>
    </rPh>
    <rPh sb="56" eb="58">
      <t>イナイ</t>
    </rPh>
    <rPh sb="58" eb="60">
      <t>ヘンサイ</t>
    </rPh>
    <rPh sb="60" eb="62">
      <t>チョウキ</t>
    </rPh>
    <rPh sb="62" eb="64">
      <t>カリイレ</t>
    </rPh>
    <rPh sb="64" eb="65">
      <t>キン</t>
    </rPh>
    <rPh sb="66" eb="68">
      <t>ウチスウ</t>
    </rPh>
    <rPh sb="75" eb="77">
      <t>ヤクイン</t>
    </rPh>
    <rPh sb="77" eb="79">
      <t>カリイレ</t>
    </rPh>
    <rPh sb="79" eb="80">
      <t>キン</t>
    </rPh>
    <rPh sb="81" eb="84">
      <t>キジュンチ</t>
    </rPh>
    <rPh sb="85" eb="88">
      <t>ケイサンジョウ</t>
    </rPh>
    <rPh sb="89" eb="90">
      <t>フク</t>
    </rPh>
    <phoneticPr fontId="1"/>
  </si>
  <si>
    <t>　　　　役員のみの企業で上記定義によると0名となる場合については、1名として下さい。</t>
    <rPh sb="4" eb="6">
      <t>ヤクイン</t>
    </rPh>
    <rPh sb="9" eb="11">
      <t>キギョウ</t>
    </rPh>
    <rPh sb="12" eb="14">
      <t>ジョウキ</t>
    </rPh>
    <rPh sb="14" eb="16">
      <t>テイギ</t>
    </rPh>
    <rPh sb="21" eb="22">
      <t>メイ</t>
    </rPh>
    <rPh sb="25" eb="27">
      <t>バアイ</t>
    </rPh>
    <rPh sb="34" eb="35">
      <t>メイ</t>
    </rPh>
    <rPh sb="38" eb="39">
      <t>クダ</t>
    </rPh>
    <phoneticPr fontId="1"/>
  </si>
  <si>
    <t>1213_木材チップ製造業</t>
    <rPh sb="5" eb="7">
      <t>モクザイ</t>
    </rPh>
    <rPh sb="10" eb="13">
      <t>セイゾウギョウ</t>
    </rPh>
    <phoneticPr fontId="17"/>
  </si>
  <si>
    <t>1301_観光業</t>
    <phoneticPr fontId="1"/>
  </si>
  <si>
    <t>1301_観光業</t>
    <phoneticPr fontId="1"/>
  </si>
  <si>
    <t>1301_観光業</t>
    <phoneticPr fontId="1"/>
  </si>
  <si>
    <t>04_卸売業</t>
    <rPh sb="3" eb="6">
      <t>オロシウリギョウ</t>
    </rPh>
    <phoneticPr fontId="1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</si>
</sst>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
    <numFmt numFmtId="177" formatCode="0.0&quot;倍&quot;"/>
    <numFmt numFmtId="178" formatCode="#,##0\(&quot;千&quot;&quot;円&quot;\)"/>
    <numFmt numFmtId="179" formatCode="#,##0.0\(&quot;倍&quot;\)"/>
    <numFmt numFmtId="180" formatCode="#,##0.0\(&quot;ヶ&quot;&quot;月&quot;\)"/>
    <numFmt numFmtId="181" formatCode="#,##0\(&quot;人&quot;\)"/>
    <numFmt numFmtId="182" formatCode="#,##0_ ;[Red]\-#,##0\ "/>
    <numFmt numFmtId="183" formatCode="0.0&quot;ヶ月&quot;"/>
    <numFmt numFmtId="184" formatCode="yyyy&quot;年&quot;m&quot;月&quot;;@"/>
    <numFmt numFmtId="185" formatCode="0_ "/>
    <numFmt numFmtId="186" formatCode="#,###\(&quot;千&quot;&quot;円&quot;\)"/>
    <numFmt numFmtId="187" formatCode="#,###\(&quot;人&quot;\)"/>
  </numFmts>
  <fonts count="47" x14ac:knownFonts="1">
    <font>
      <sz val="11"/>
      <color theme="1"/>
      <name val="ＭＳ Ｐゴシック"/>
      <family val="3"/>
      <charset val="128"/>
      <scheme val="minor"/>
    </font>
    <font>
      <sz val="6"/>
      <name val="ＭＳ Ｐゴシック"/>
      <family val="3"/>
      <charset val="128"/>
    </font>
    <font>
      <sz val="10"/>
      <name val="ＭＳ Ｐゴシック"/>
      <family val="3"/>
      <charset val="128"/>
    </font>
    <font>
      <sz val="9"/>
      <color indexed="8"/>
      <name val="ＭＳ Ｐゴシック"/>
      <family val="3"/>
      <charset val="128"/>
    </font>
    <font>
      <sz val="11"/>
      <name val="ＭＳ Ｐゴシック"/>
      <family val="3"/>
      <charset val="128"/>
    </font>
    <font>
      <sz val="9"/>
      <name val="ＭＳ Ｐゴシック"/>
      <family val="3"/>
      <charset val="128"/>
    </font>
    <font>
      <sz val="6"/>
      <name val="ＭＳ Ｐゴシック"/>
      <family val="3"/>
      <charset val="128"/>
    </font>
    <font>
      <sz val="11"/>
      <color theme="1"/>
      <name val="ＭＳ Ｐゴシック"/>
      <family val="3"/>
      <charset val="128"/>
      <scheme val="minor"/>
    </font>
    <font>
      <sz val="10"/>
      <color theme="1"/>
      <name val="ＭＳ Ｐゴシック"/>
      <family val="3"/>
      <charset val="128"/>
      <scheme val="minor"/>
    </font>
    <font>
      <sz val="9"/>
      <color theme="1"/>
      <name val="ＭＳ Ｐゴシック"/>
      <family val="3"/>
      <charset val="128"/>
    </font>
    <font>
      <b/>
      <sz val="12"/>
      <color theme="5"/>
      <name val="ＭＳ Ｐゴシック"/>
      <family val="3"/>
      <charset val="128"/>
      <scheme val="minor"/>
    </font>
    <font>
      <sz val="12"/>
      <color theme="1"/>
      <name val="ＭＳ Ｐゴシック"/>
      <family val="3"/>
      <charset val="128"/>
      <scheme val="minor"/>
    </font>
    <font>
      <sz val="10"/>
      <color theme="1"/>
      <name val="Meiryo UI"/>
      <family val="3"/>
      <charset val="128"/>
    </font>
    <font>
      <b/>
      <sz val="10"/>
      <color theme="1"/>
      <name val="Meiryo UI"/>
      <family val="3"/>
      <charset val="128"/>
    </font>
    <font>
      <sz val="8"/>
      <color theme="1"/>
      <name val="Meiryo UI"/>
      <family val="3"/>
      <charset val="128"/>
    </font>
    <font>
      <sz val="10"/>
      <name val="Meiryo UI"/>
      <family val="3"/>
      <charset val="128"/>
    </font>
    <font>
      <sz val="10"/>
      <color indexed="8"/>
      <name val="Meiryo UI"/>
      <family val="3"/>
      <charset val="128"/>
    </font>
    <font>
      <sz val="6"/>
      <name val="ＭＳ Ｐゴシック"/>
      <family val="3"/>
      <charset val="128"/>
      <scheme val="minor"/>
    </font>
    <font>
      <sz val="9"/>
      <color theme="1"/>
      <name val="Meiryo UI"/>
      <family val="3"/>
      <charset val="128"/>
    </font>
    <font>
      <sz val="10"/>
      <color theme="4" tint="0.79998168889431442"/>
      <name val="ＭＳ Ｐゴシック"/>
      <family val="3"/>
      <charset val="128"/>
      <scheme val="minor"/>
    </font>
    <font>
      <sz val="6"/>
      <color theme="1"/>
      <name val="Meiryo UI"/>
      <family val="3"/>
      <charset val="128"/>
    </font>
    <font>
      <b/>
      <sz val="9"/>
      <color theme="1"/>
      <name val="Meiryo UI"/>
      <family val="3"/>
      <charset val="128"/>
    </font>
    <font>
      <b/>
      <sz val="9"/>
      <color theme="0"/>
      <name val="Meiryo UI"/>
      <family val="3"/>
      <charset val="128"/>
    </font>
    <font>
      <b/>
      <sz val="10"/>
      <color theme="0"/>
      <name val="Meiryo UI"/>
      <family val="3"/>
      <charset val="128"/>
    </font>
    <font>
      <sz val="10"/>
      <color theme="0" tint="-0.34998626667073579"/>
      <name val="ＭＳ Ｐゴシック"/>
      <family val="3"/>
      <charset val="128"/>
      <scheme val="minor"/>
    </font>
    <font>
      <sz val="6"/>
      <color theme="0" tint="-0.34998626667073579"/>
      <name val="Meiryo UI"/>
      <family val="3"/>
      <charset val="128"/>
    </font>
    <font>
      <sz val="10"/>
      <color theme="0" tint="-0.34998626667073579"/>
      <name val="Meiryo UI"/>
      <family val="3"/>
      <charset val="128"/>
    </font>
    <font>
      <b/>
      <sz val="7"/>
      <color theme="0"/>
      <name val="Meiryo UI"/>
      <family val="3"/>
      <charset val="128"/>
    </font>
    <font>
      <sz val="10"/>
      <color theme="0"/>
      <name val="Meiryo UI"/>
      <family val="3"/>
      <charset val="128"/>
    </font>
    <font>
      <sz val="12"/>
      <color indexed="8"/>
      <name val="Meiryo UI"/>
      <family val="3"/>
      <charset val="128"/>
    </font>
    <font>
      <sz val="9"/>
      <color indexed="8"/>
      <name val="Meiryo UI"/>
      <family val="3"/>
      <charset val="128"/>
    </font>
    <font>
      <b/>
      <sz val="12"/>
      <color theme="0"/>
      <name val="Meiryo UI"/>
      <family val="3"/>
      <charset val="128"/>
    </font>
    <font>
      <b/>
      <sz val="14"/>
      <color theme="0"/>
      <name val="Meiryo UI"/>
      <family val="3"/>
      <charset val="128"/>
    </font>
    <font>
      <sz val="10"/>
      <color rgb="FF002060"/>
      <name val="Meiryo UI"/>
      <family val="3"/>
      <charset val="128"/>
    </font>
    <font>
      <b/>
      <sz val="11"/>
      <name val="Meiryo UI"/>
      <family val="3"/>
      <charset val="128"/>
    </font>
    <font>
      <sz val="11"/>
      <name val="Meiryo UI"/>
      <family val="3"/>
      <charset val="128"/>
    </font>
    <font>
      <sz val="9"/>
      <name val="Meiryo UI"/>
      <family val="3"/>
      <charset val="128"/>
    </font>
    <font>
      <b/>
      <sz val="7"/>
      <name val="Meiryo UI"/>
      <family val="3"/>
      <charset val="128"/>
    </font>
    <font>
      <sz val="10"/>
      <name val="ＭＳ Ｐゴシック"/>
      <family val="3"/>
      <charset val="128"/>
      <scheme val="minor"/>
    </font>
    <font>
      <b/>
      <sz val="10"/>
      <name val="Meiryo UI"/>
      <family val="3"/>
      <charset val="128"/>
    </font>
    <font>
      <b/>
      <sz val="10"/>
      <color indexed="8"/>
      <name val="Meiryo UI"/>
      <family val="3"/>
      <charset val="128"/>
    </font>
    <font>
      <sz val="9"/>
      <color theme="1"/>
      <name val="ＭＳ Ｐゴシック"/>
      <family val="3"/>
      <charset val="128"/>
      <scheme val="minor"/>
    </font>
    <font>
      <sz val="9"/>
      <name val="ＭＳ Ｐゴシック"/>
      <family val="3"/>
      <charset val="128"/>
      <scheme val="minor"/>
    </font>
    <font>
      <sz val="8"/>
      <name val="Meiryo UI"/>
      <family val="3"/>
      <charset val="128"/>
    </font>
    <font>
      <b/>
      <sz val="9"/>
      <color indexed="81"/>
      <name val="ＭＳ Ｐゴシック"/>
      <family val="3"/>
      <charset val="128"/>
    </font>
    <font>
      <sz val="6"/>
      <name val="ＭＳ Ｐゴシック"/>
      <family val="2"/>
      <charset val="128"/>
      <scheme val="minor"/>
    </font>
    <font>
      <sz val="11"/>
      <color rgb="FFFF0000"/>
      <name val="ＭＳ Ｐゴシック"/>
      <family val="3"/>
      <charset val="128"/>
      <scheme val="minor"/>
    </font>
  </fonts>
  <fills count="17">
    <fill>
      <patternFill patternType="none"/>
    </fill>
    <fill>
      <patternFill patternType="gray125"/>
    </fill>
    <fill>
      <patternFill patternType="solid">
        <fgColor rgb="FFFFFF99"/>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E6F8FA"/>
        <bgColor indexed="64"/>
      </patternFill>
    </fill>
    <fill>
      <patternFill patternType="solid">
        <fgColor theme="9" tint="0.39994506668294322"/>
        <bgColor indexed="64"/>
      </patternFill>
    </fill>
    <fill>
      <patternFill patternType="mediumGray">
        <fgColor rgb="FFFFFF00"/>
        <bgColor auto="1"/>
      </patternFill>
    </fill>
    <fill>
      <patternFill patternType="solid">
        <fgColor rgb="FF002060"/>
        <bgColor indexed="64"/>
      </patternFill>
    </fill>
    <fill>
      <patternFill patternType="solid">
        <fgColor theme="3"/>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FFFF00"/>
        <bgColor indexed="64"/>
      </patternFill>
    </fill>
    <fill>
      <patternFill patternType="solid">
        <fgColor theme="0" tint="-4.9989318521683403E-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style="thin">
        <color theme="0"/>
      </top>
      <bottom style="thin">
        <color theme="0"/>
      </bottom>
      <diagonal/>
    </border>
    <border>
      <left/>
      <right/>
      <top style="thin">
        <color theme="0"/>
      </top>
      <bottom style="thin">
        <color theme="0"/>
      </bottom>
      <diagonal/>
    </border>
    <border>
      <left/>
      <right style="thin">
        <color indexed="64"/>
      </right>
      <top style="thin">
        <color theme="0"/>
      </top>
      <bottom style="thin">
        <color theme="0"/>
      </bottom>
      <diagonal/>
    </border>
    <border>
      <left style="thin">
        <color rgb="FF002060"/>
      </left>
      <right/>
      <top style="thin">
        <color rgb="FF002060"/>
      </top>
      <bottom style="thin">
        <color rgb="FF002060"/>
      </bottom>
      <diagonal/>
    </border>
    <border>
      <left/>
      <right/>
      <top style="thin">
        <color rgb="FF002060"/>
      </top>
      <bottom style="thin">
        <color rgb="FF002060"/>
      </bottom>
      <diagonal/>
    </border>
    <border>
      <left/>
      <right style="thin">
        <color indexed="64"/>
      </right>
      <top style="thin">
        <color rgb="FF002060"/>
      </top>
      <bottom style="thin">
        <color rgb="FF002060"/>
      </bottom>
      <diagonal/>
    </border>
    <border>
      <left style="thin">
        <color indexed="64"/>
      </left>
      <right/>
      <top/>
      <bottom style="thin">
        <color theme="0"/>
      </bottom>
      <diagonal/>
    </border>
    <border>
      <left/>
      <right/>
      <top/>
      <bottom style="thin">
        <color theme="0"/>
      </bottom>
      <diagonal/>
    </border>
    <border>
      <left/>
      <right style="thin">
        <color indexed="64"/>
      </right>
      <top/>
      <bottom style="thin">
        <color theme="0"/>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dotted">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right style="dotted">
        <color indexed="64"/>
      </right>
      <top/>
      <bottom/>
      <diagonal/>
    </border>
    <border>
      <left/>
      <right style="medium">
        <color indexed="64"/>
      </right>
      <top/>
      <bottom/>
      <diagonal/>
    </border>
    <border>
      <left/>
      <right style="dotted">
        <color indexed="64"/>
      </right>
      <top style="thin">
        <color indexed="64"/>
      </top>
      <bottom/>
      <diagonal/>
    </border>
    <border>
      <left/>
      <right style="medium">
        <color indexed="64"/>
      </right>
      <top style="thin">
        <color indexed="64"/>
      </top>
      <bottom/>
      <diagonal/>
    </border>
    <border>
      <left/>
      <right style="dotted">
        <color indexed="64"/>
      </right>
      <top/>
      <bottom style="thin">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dotted">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theme="0"/>
      </top>
      <bottom/>
      <diagonal/>
    </border>
    <border>
      <left style="medium">
        <color indexed="64"/>
      </left>
      <right style="thin">
        <color indexed="64"/>
      </right>
      <top/>
      <bottom style="medium">
        <color indexed="64"/>
      </bottom>
      <diagonal/>
    </border>
    <border>
      <left style="thick">
        <color rgb="FFFF0000"/>
      </left>
      <right style="medium">
        <color rgb="FFFF0000"/>
      </right>
      <top style="thick">
        <color rgb="FFFF0000"/>
      </top>
      <bottom style="thick">
        <color rgb="FFFF0000"/>
      </bottom>
      <diagonal/>
    </border>
    <border>
      <left style="medium">
        <color rgb="FFFF0000"/>
      </left>
      <right style="medium">
        <color rgb="FFFF0000"/>
      </right>
      <top style="thick">
        <color rgb="FFFF0000"/>
      </top>
      <bottom style="thick">
        <color rgb="FFFF0000"/>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rgb="FFFF0000"/>
      </left>
      <right style="medium">
        <color rgb="FFFF0000"/>
      </right>
      <top style="medium">
        <color rgb="FFFF0000"/>
      </top>
      <bottom style="medium">
        <color rgb="FFFF0000"/>
      </bottom>
      <diagonal/>
    </border>
    <border>
      <left style="thin">
        <color indexed="64"/>
      </left>
      <right style="medium">
        <color indexed="64"/>
      </right>
      <top style="medium">
        <color indexed="64"/>
      </top>
      <bottom style="medium">
        <color indexed="64"/>
      </bottom>
      <diagonal/>
    </border>
    <border>
      <left style="dotted">
        <color indexed="64"/>
      </left>
      <right/>
      <top style="medium">
        <color indexed="64"/>
      </top>
      <bottom/>
      <diagonal/>
    </border>
    <border>
      <left style="dotted">
        <color indexed="64"/>
      </left>
      <right/>
      <top/>
      <bottom/>
      <diagonal/>
    </border>
    <border>
      <left style="dotted">
        <color indexed="64"/>
      </left>
      <right/>
      <top/>
      <bottom style="thin">
        <color indexed="64"/>
      </bottom>
      <diagonal/>
    </border>
    <border>
      <left style="dotted">
        <color indexed="64"/>
      </left>
      <right/>
      <top style="thin">
        <color indexed="64"/>
      </top>
      <bottom/>
      <diagonal/>
    </border>
    <border>
      <left style="dotted">
        <color indexed="64"/>
      </left>
      <right/>
      <top/>
      <bottom style="medium">
        <color indexed="64"/>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6">
    <xf numFmtId="0" fontId="0" fillId="0" borderId="0">
      <alignment vertical="center"/>
    </xf>
    <xf numFmtId="9" fontId="7" fillId="0" borderId="0" applyFont="0" applyFill="0" applyBorder="0" applyAlignment="0" applyProtection="0">
      <alignment vertical="center"/>
    </xf>
    <xf numFmtId="38" fontId="7" fillId="0" borderId="0" applyFont="0" applyFill="0" applyBorder="0" applyAlignment="0" applyProtection="0">
      <alignment vertical="center"/>
    </xf>
    <xf numFmtId="0" fontId="2" fillId="0" borderId="0"/>
    <xf numFmtId="0" fontId="7" fillId="0" borderId="0"/>
    <xf numFmtId="0" fontId="4" fillId="0" borderId="0"/>
  </cellStyleXfs>
  <cellXfs count="463">
    <xf numFmtId="0" fontId="0" fillId="0" borderId="0" xfId="0">
      <alignment vertical="center"/>
    </xf>
    <xf numFmtId="0" fontId="5" fillId="2" borderId="1" xfId="5" applyFont="1" applyFill="1" applyBorder="1" applyAlignment="1">
      <alignment horizontal="center" vertical="center" wrapText="1"/>
    </xf>
    <xf numFmtId="0" fontId="5" fillId="2" borderId="1" xfId="5" applyFont="1" applyFill="1" applyBorder="1" applyAlignment="1">
      <alignment horizontal="center" vertical="center"/>
    </xf>
    <xf numFmtId="0" fontId="3" fillId="2" borderId="1" xfId="0" applyFont="1" applyFill="1" applyBorder="1" applyAlignment="1">
      <alignment horizontal="center" vertical="center"/>
    </xf>
    <xf numFmtId="0" fontId="8" fillId="0" borderId="0" xfId="0" applyFont="1">
      <alignment vertical="center"/>
    </xf>
    <xf numFmtId="0" fontId="5" fillId="0" borderId="1" xfId="5" applyFont="1" applyBorder="1" applyAlignment="1">
      <alignment vertical="center" wrapText="1"/>
    </xf>
    <xf numFmtId="176" fontId="5" fillId="0" borderId="1" xfId="1" applyNumberFormat="1" applyFont="1" applyBorder="1" applyAlignment="1">
      <alignment horizontal="right" vertical="center"/>
    </xf>
    <xf numFmtId="38" fontId="5" fillId="0" borderId="1" xfId="2" applyFont="1" applyBorder="1" applyAlignment="1">
      <alignment horizontal="right" vertical="center"/>
    </xf>
    <xf numFmtId="177" fontId="5" fillId="0" borderId="1" xfId="1" applyNumberFormat="1" applyFont="1" applyBorder="1" applyAlignment="1">
      <alignment vertical="center"/>
    </xf>
    <xf numFmtId="177" fontId="3" fillId="0" borderId="1" xfId="1" applyNumberFormat="1" applyFont="1" applyBorder="1" applyAlignment="1">
      <alignment vertical="center"/>
    </xf>
    <xf numFmtId="177" fontId="5" fillId="0" borderId="1" xfId="3" applyNumberFormat="1" applyFont="1" applyBorder="1" applyAlignment="1">
      <alignment horizontal="right" vertical="center"/>
    </xf>
    <xf numFmtId="0" fontId="10" fillId="4" borderId="0" xfId="0" applyFont="1" applyFill="1">
      <alignment vertical="center"/>
    </xf>
    <xf numFmtId="0" fontId="11" fillId="4" borderId="0" xfId="0" applyFont="1" applyFill="1">
      <alignment vertical="center"/>
    </xf>
    <xf numFmtId="176" fontId="3" fillId="0" borderId="1" xfId="1" applyNumberFormat="1" applyFont="1" applyBorder="1" applyAlignment="1" applyProtection="1">
      <alignment vertical="center"/>
    </xf>
    <xf numFmtId="176" fontId="5" fillId="0" borderId="1" xfId="1" applyNumberFormat="1" applyFont="1" applyBorder="1" applyAlignment="1" applyProtection="1">
      <alignment horizontal="right" vertical="center"/>
    </xf>
    <xf numFmtId="183" fontId="9" fillId="0" borderId="1" xfId="2" applyNumberFormat="1" applyFont="1" applyBorder="1" applyAlignment="1">
      <alignment vertical="center"/>
    </xf>
    <xf numFmtId="0" fontId="8" fillId="5" borderId="0" xfId="0" applyFont="1" applyFill="1" applyBorder="1" applyAlignment="1">
      <alignment horizontal="center" vertical="center"/>
    </xf>
    <xf numFmtId="0" fontId="12" fillId="0" borderId="1" xfId="0" applyFont="1" applyFill="1" applyBorder="1">
      <alignment vertical="center"/>
    </xf>
    <xf numFmtId="0" fontId="12" fillId="0" borderId="1" xfId="0" applyFont="1" applyFill="1" applyBorder="1" applyAlignment="1">
      <alignment horizontal="right" vertical="center"/>
    </xf>
    <xf numFmtId="0" fontId="12" fillId="0" borderId="6" xfId="0" applyFont="1" applyFill="1" applyBorder="1">
      <alignment vertical="center"/>
    </xf>
    <xf numFmtId="0" fontId="12" fillId="0" borderId="0" xfId="0" applyFont="1" applyFill="1" applyBorder="1">
      <alignment vertical="center"/>
    </xf>
    <xf numFmtId="0" fontId="12" fillId="0" borderId="2" xfId="0" applyFont="1" applyFill="1" applyBorder="1">
      <alignment vertical="center"/>
    </xf>
    <xf numFmtId="0" fontId="12" fillId="0" borderId="3" xfId="0" applyFont="1" applyFill="1" applyBorder="1">
      <alignment vertical="center"/>
    </xf>
    <xf numFmtId="178" fontId="12" fillId="0" borderId="1" xfId="0" applyNumberFormat="1" applyFont="1" applyFill="1" applyBorder="1">
      <alignment vertical="center"/>
    </xf>
    <xf numFmtId="0" fontId="12" fillId="0" borderId="4" xfId="0" applyFont="1" applyFill="1" applyBorder="1">
      <alignment vertical="center"/>
    </xf>
    <xf numFmtId="0" fontId="8" fillId="5" borderId="0" xfId="0" applyFont="1" applyFill="1">
      <alignment vertical="center"/>
    </xf>
    <xf numFmtId="0" fontId="12" fillId="0" borderId="0" xfId="0" applyFont="1" applyFill="1">
      <alignment vertical="center"/>
    </xf>
    <xf numFmtId="0" fontId="12" fillId="5" borderId="0" xfId="0" applyFont="1" applyFill="1">
      <alignment vertical="center"/>
    </xf>
    <xf numFmtId="0" fontId="15" fillId="6" borderId="1" xfId="0" applyFont="1" applyFill="1" applyBorder="1" applyAlignment="1">
      <alignment horizontal="center" vertical="center"/>
    </xf>
    <xf numFmtId="0" fontId="12" fillId="6" borderId="1" xfId="0" applyFont="1" applyFill="1" applyBorder="1" applyAlignment="1">
      <alignment horizontal="center" vertical="center"/>
    </xf>
    <xf numFmtId="0" fontId="12" fillId="0" borderId="10" xfId="0" applyFont="1" applyFill="1" applyBorder="1">
      <alignment vertical="center"/>
    </xf>
    <xf numFmtId="0" fontId="12" fillId="0" borderId="12" xfId="0" applyFont="1" applyFill="1" applyBorder="1">
      <alignment vertical="center"/>
    </xf>
    <xf numFmtId="0" fontId="12" fillId="0" borderId="8" xfId="0" applyFont="1" applyFill="1" applyBorder="1">
      <alignment vertical="center"/>
    </xf>
    <xf numFmtId="176" fontId="12" fillId="0" borderId="1" xfId="1" applyNumberFormat="1" applyFont="1" applyFill="1" applyBorder="1">
      <alignment vertical="center"/>
    </xf>
    <xf numFmtId="179" fontId="12" fillId="0" borderId="1" xfId="0" applyNumberFormat="1" applyFont="1" applyFill="1" applyBorder="1">
      <alignment vertical="center"/>
    </xf>
    <xf numFmtId="180" fontId="12" fillId="0" borderId="1" xfId="0" applyNumberFormat="1" applyFont="1" applyFill="1" applyBorder="1">
      <alignment vertical="center"/>
    </xf>
    <xf numFmtId="0" fontId="16" fillId="0" borderId="0" xfId="4" applyFont="1" applyAlignment="1">
      <alignment vertical="center"/>
    </xf>
    <xf numFmtId="0" fontId="16" fillId="0" borderId="0" xfId="4" applyFont="1" applyAlignment="1">
      <alignment horizontal="center" vertical="center"/>
    </xf>
    <xf numFmtId="182" fontId="12" fillId="7" borderId="1" xfId="0" applyNumberFormat="1" applyFont="1" applyFill="1" applyBorder="1" applyProtection="1">
      <alignment vertical="center"/>
      <protection locked="0"/>
    </xf>
    <xf numFmtId="0" fontId="12" fillId="0" borderId="5" xfId="0" applyFont="1" applyFill="1" applyBorder="1" applyAlignment="1">
      <alignment horizontal="left" vertical="center"/>
    </xf>
    <xf numFmtId="0" fontId="12" fillId="0" borderId="13" xfId="0" applyFont="1" applyFill="1" applyBorder="1" applyAlignment="1">
      <alignment horizontal="left" vertical="center"/>
    </xf>
    <xf numFmtId="184" fontId="12" fillId="7" borderId="1" xfId="0" applyNumberFormat="1" applyFont="1" applyFill="1" applyBorder="1" applyProtection="1">
      <alignment vertical="center"/>
      <protection locked="0"/>
    </xf>
    <xf numFmtId="0" fontId="12" fillId="6" borderId="13" xfId="0" applyFont="1" applyFill="1" applyBorder="1" applyAlignment="1">
      <alignment horizontal="center" vertical="center"/>
    </xf>
    <xf numFmtId="0" fontId="23" fillId="8" borderId="12" xfId="4" applyFont="1" applyFill="1" applyBorder="1" applyAlignment="1">
      <alignment vertical="center"/>
    </xf>
    <xf numFmtId="0" fontId="28" fillId="8" borderId="6" xfId="4" applyFont="1" applyFill="1" applyBorder="1" applyAlignment="1">
      <alignment vertical="center"/>
    </xf>
    <xf numFmtId="0" fontId="28" fillId="8" borderId="7" xfId="4" applyFont="1" applyFill="1" applyBorder="1" applyAlignment="1">
      <alignment vertical="center"/>
    </xf>
    <xf numFmtId="0" fontId="23" fillId="8" borderId="16" xfId="4" applyFont="1" applyFill="1" applyBorder="1" applyAlignment="1">
      <alignment vertical="center"/>
    </xf>
    <xf numFmtId="0" fontId="28" fillId="8" borderId="17" xfId="4" applyFont="1" applyFill="1" applyBorder="1" applyAlignment="1">
      <alignment vertical="center"/>
    </xf>
    <xf numFmtId="0" fontId="28" fillId="8" borderId="18" xfId="4" applyFont="1" applyFill="1" applyBorder="1" applyAlignment="1">
      <alignment vertical="center"/>
    </xf>
    <xf numFmtId="0" fontId="23" fillId="8" borderId="22" xfId="4" applyFont="1" applyFill="1" applyBorder="1" applyAlignment="1">
      <alignment vertical="center"/>
    </xf>
    <xf numFmtId="0" fontId="28" fillId="8" borderId="23" xfId="4" applyFont="1" applyFill="1" applyBorder="1" applyAlignment="1">
      <alignment vertical="center"/>
    </xf>
    <xf numFmtId="0" fontId="28" fillId="8" borderId="24" xfId="4" applyFont="1" applyFill="1" applyBorder="1" applyAlignment="1">
      <alignment vertical="center"/>
    </xf>
    <xf numFmtId="0" fontId="23" fillId="8" borderId="14" xfId="4" applyFont="1" applyFill="1" applyBorder="1" applyAlignment="1">
      <alignment vertical="center"/>
    </xf>
    <xf numFmtId="0" fontId="28" fillId="8" borderId="8" xfId="4" applyFont="1" applyFill="1" applyBorder="1" applyAlignment="1">
      <alignment vertical="center"/>
    </xf>
    <xf numFmtId="0" fontId="28" fillId="8" borderId="9" xfId="4" applyFont="1" applyFill="1" applyBorder="1" applyAlignment="1">
      <alignment vertical="center"/>
    </xf>
    <xf numFmtId="0" fontId="29" fillId="0" borderId="0" xfId="4" applyFont="1" applyAlignment="1">
      <alignment horizontal="left" vertical="center"/>
    </xf>
    <xf numFmtId="0" fontId="29" fillId="0" borderId="0" xfId="4" applyFont="1" applyAlignment="1">
      <alignment vertical="center"/>
    </xf>
    <xf numFmtId="0" fontId="23" fillId="8" borderId="4" xfId="4" applyFont="1" applyFill="1" applyBorder="1" applyAlignment="1">
      <alignment horizontal="left" vertical="center"/>
    </xf>
    <xf numFmtId="0" fontId="16" fillId="0" borderId="12" xfId="4" applyFont="1" applyBorder="1" applyAlignment="1">
      <alignment horizontal="left" vertical="center"/>
    </xf>
    <xf numFmtId="0" fontId="16" fillId="0" borderId="6" xfId="4" applyFont="1" applyBorder="1" applyAlignment="1">
      <alignment vertical="center"/>
    </xf>
    <xf numFmtId="0" fontId="16" fillId="0" borderId="7" xfId="4" applyFont="1" applyBorder="1" applyAlignment="1">
      <alignment vertical="center"/>
    </xf>
    <xf numFmtId="0" fontId="16" fillId="0" borderId="11" xfId="4" applyFont="1" applyBorder="1" applyAlignment="1">
      <alignment horizontal="left" vertical="center"/>
    </xf>
    <xf numFmtId="0" fontId="16" fillId="0" borderId="0" xfId="4" applyFont="1" applyBorder="1" applyAlignment="1">
      <alignment vertical="center"/>
    </xf>
    <xf numFmtId="0" fontId="16" fillId="0" borderId="15" xfId="4" applyFont="1" applyBorder="1" applyAlignment="1">
      <alignment vertical="center"/>
    </xf>
    <xf numFmtId="0" fontId="30" fillId="0" borderId="12" xfId="4" applyFont="1" applyBorder="1" applyAlignment="1">
      <alignment horizontal="left" vertical="center"/>
    </xf>
    <xf numFmtId="0" fontId="23" fillId="8" borderId="6" xfId="4" applyFont="1" applyFill="1" applyBorder="1" applyAlignment="1">
      <alignment vertical="center"/>
    </xf>
    <xf numFmtId="0" fontId="23" fillId="8" borderId="17" xfId="4" applyFont="1" applyFill="1" applyBorder="1" applyAlignment="1">
      <alignment vertical="center"/>
    </xf>
    <xf numFmtId="0" fontId="23" fillId="8" borderId="23" xfId="4" applyFont="1" applyFill="1" applyBorder="1" applyAlignment="1">
      <alignment vertical="center"/>
    </xf>
    <xf numFmtId="0" fontId="23" fillId="8" borderId="8" xfId="4" applyFont="1" applyFill="1" applyBorder="1" applyAlignment="1">
      <alignment vertical="center"/>
    </xf>
    <xf numFmtId="0" fontId="16" fillId="0" borderId="0" xfId="4" applyFont="1" applyBorder="1" applyAlignment="1">
      <alignment horizontal="center" vertical="center"/>
    </xf>
    <xf numFmtId="0" fontId="16" fillId="3" borderId="26" xfId="4" applyFont="1" applyFill="1" applyBorder="1" applyAlignment="1">
      <alignment vertical="center"/>
    </xf>
    <xf numFmtId="0" fontId="16" fillId="3" borderId="27" xfId="4" applyFont="1" applyFill="1" applyBorder="1" applyAlignment="1">
      <alignment vertical="center"/>
    </xf>
    <xf numFmtId="0" fontId="16" fillId="3" borderId="28" xfId="4" applyFont="1" applyFill="1" applyBorder="1" applyAlignment="1">
      <alignment vertical="center"/>
    </xf>
    <xf numFmtId="0" fontId="16" fillId="3" borderId="11" xfId="4" applyFont="1" applyFill="1" applyBorder="1" applyAlignment="1">
      <alignment vertical="center"/>
    </xf>
    <xf numFmtId="0" fontId="16" fillId="3" borderId="0" xfId="4" applyFont="1" applyFill="1" applyBorder="1" applyAlignment="1">
      <alignment vertical="center"/>
    </xf>
    <xf numFmtId="0" fontId="16" fillId="3" borderId="31" xfId="4" applyFont="1" applyFill="1" applyBorder="1" applyAlignment="1">
      <alignment vertical="center"/>
    </xf>
    <xf numFmtId="0" fontId="16" fillId="3" borderId="12" xfId="4" applyFont="1" applyFill="1" applyBorder="1" applyAlignment="1">
      <alignment vertical="center"/>
    </xf>
    <xf numFmtId="0" fontId="16" fillId="3" borderId="6" xfId="4" applyFont="1" applyFill="1" applyBorder="1" applyAlignment="1">
      <alignment vertical="center"/>
    </xf>
    <xf numFmtId="0" fontId="16" fillId="3" borderId="33" xfId="4" applyFont="1" applyFill="1" applyBorder="1" applyAlignment="1">
      <alignment vertical="center"/>
    </xf>
    <xf numFmtId="0" fontId="16" fillId="3" borderId="14" xfId="4" applyFont="1" applyFill="1" applyBorder="1" applyAlignment="1">
      <alignment vertical="center"/>
    </xf>
    <xf numFmtId="0" fontId="16" fillId="3" borderId="8" xfId="4" applyFont="1" applyFill="1" applyBorder="1" applyAlignment="1">
      <alignment vertical="center"/>
    </xf>
    <xf numFmtId="0" fontId="16" fillId="3" borderId="35" xfId="4" applyFont="1" applyFill="1" applyBorder="1" applyAlignment="1">
      <alignment vertical="center"/>
    </xf>
    <xf numFmtId="0" fontId="16" fillId="3" borderId="37" xfId="4" applyFont="1" applyFill="1" applyBorder="1" applyAlignment="1">
      <alignment vertical="center"/>
    </xf>
    <xf numFmtId="0" fontId="16" fillId="3" borderId="38" xfId="4" applyFont="1" applyFill="1" applyBorder="1" applyAlignment="1">
      <alignment vertical="center"/>
    </xf>
    <xf numFmtId="0" fontId="16" fillId="3" borderId="39" xfId="4" applyFont="1" applyFill="1" applyBorder="1" applyAlignment="1">
      <alignment vertical="center"/>
    </xf>
    <xf numFmtId="0" fontId="33" fillId="0" borderId="0" xfId="4" applyFont="1" applyAlignment="1">
      <alignment vertical="center"/>
    </xf>
    <xf numFmtId="0" fontId="8" fillId="5" borderId="0" xfId="0" applyFont="1" applyFill="1" applyAlignment="1">
      <alignment horizontal="center" vertical="center"/>
    </xf>
    <xf numFmtId="0" fontId="8" fillId="5" borderId="0" xfId="0" applyFont="1" applyFill="1" applyBorder="1">
      <alignment vertical="center"/>
    </xf>
    <xf numFmtId="0" fontId="12" fillId="5" borderId="0" xfId="0" applyFont="1" applyFill="1" applyBorder="1">
      <alignment vertical="center"/>
    </xf>
    <xf numFmtId="0" fontId="18" fillId="5" borderId="0" xfId="0" applyFont="1" applyFill="1" applyBorder="1" applyAlignment="1">
      <alignment vertical="center"/>
    </xf>
    <xf numFmtId="178" fontId="18" fillId="5" borderId="0" xfId="0" applyNumberFormat="1" applyFont="1" applyFill="1" applyBorder="1" applyAlignment="1">
      <alignment horizontal="right" vertical="center"/>
    </xf>
    <xf numFmtId="181" fontId="18" fillId="5" borderId="0" xfId="0" applyNumberFormat="1" applyFont="1" applyFill="1" applyBorder="1" applyAlignment="1">
      <alignment horizontal="right" vertical="center"/>
    </xf>
    <xf numFmtId="0" fontId="12" fillId="5" borderId="0" xfId="0" applyFont="1" applyFill="1" applyBorder="1" applyAlignment="1">
      <alignment vertical="center"/>
    </xf>
    <xf numFmtId="0" fontId="8" fillId="5" borderId="0" xfId="0" applyFont="1" applyFill="1" applyBorder="1" applyAlignment="1">
      <alignment horizontal="left" vertical="center"/>
    </xf>
    <xf numFmtId="0" fontId="19" fillId="5" borderId="0" xfId="0" applyFont="1" applyFill="1" applyBorder="1" applyAlignment="1">
      <alignment horizontal="center" vertical="center"/>
    </xf>
    <xf numFmtId="0" fontId="24" fillId="5" borderId="0" xfId="0" applyFont="1" applyFill="1" applyBorder="1" applyAlignment="1">
      <alignment horizontal="center" vertical="center"/>
    </xf>
    <xf numFmtId="0" fontId="20" fillId="5" borderId="11" xfId="0" applyFont="1" applyFill="1" applyBorder="1" applyAlignment="1">
      <alignment vertical="center"/>
    </xf>
    <xf numFmtId="0" fontId="20" fillId="5" borderId="0" xfId="0" applyFont="1" applyFill="1" applyBorder="1" applyAlignment="1">
      <alignment vertical="center"/>
    </xf>
    <xf numFmtId="0" fontId="14" fillId="5" borderId="11" xfId="0" applyFont="1" applyFill="1" applyBorder="1" applyAlignment="1">
      <alignment vertical="center"/>
    </xf>
    <xf numFmtId="0" fontId="14" fillId="5" borderId="0" xfId="0" applyFont="1" applyFill="1" applyBorder="1" applyAlignment="1">
      <alignment vertical="center"/>
    </xf>
    <xf numFmtId="0" fontId="25" fillId="5" borderId="0" xfId="0" applyFont="1" applyFill="1" applyBorder="1" applyAlignment="1">
      <alignment horizontal="center" vertical="center" wrapText="1"/>
    </xf>
    <xf numFmtId="176" fontId="18" fillId="5" borderId="11" xfId="1" applyNumberFormat="1" applyFont="1" applyFill="1" applyBorder="1" applyAlignment="1">
      <alignment vertical="center"/>
    </xf>
    <xf numFmtId="176" fontId="18" fillId="5" borderId="0" xfId="1" applyNumberFormat="1" applyFont="1" applyFill="1" applyBorder="1" applyAlignment="1">
      <alignment vertical="center"/>
    </xf>
    <xf numFmtId="0" fontId="26" fillId="5" borderId="0" xfId="0" applyFont="1" applyFill="1" applyBorder="1" applyAlignment="1">
      <alignment horizontal="right" vertical="center"/>
    </xf>
    <xf numFmtId="178" fontId="18" fillId="5" borderId="11" xfId="0" applyNumberFormat="1" applyFont="1" applyFill="1" applyBorder="1" applyAlignment="1">
      <alignment vertical="center"/>
    </xf>
    <xf numFmtId="178" fontId="18" fillId="5" borderId="0" xfId="0" applyNumberFormat="1" applyFont="1" applyFill="1" applyBorder="1" applyAlignment="1">
      <alignment vertical="center"/>
    </xf>
    <xf numFmtId="179" fontId="18" fillId="5" borderId="11" xfId="0" applyNumberFormat="1" applyFont="1" applyFill="1" applyBorder="1" applyAlignment="1">
      <alignment vertical="center"/>
    </xf>
    <xf numFmtId="180" fontId="18" fillId="5" borderId="11" xfId="0" applyNumberFormat="1" applyFont="1" applyFill="1" applyBorder="1" applyAlignment="1">
      <alignment vertical="center"/>
    </xf>
    <xf numFmtId="180" fontId="18" fillId="5" borderId="0" xfId="0" applyNumberFormat="1" applyFont="1" applyFill="1" applyBorder="1" applyAlignment="1">
      <alignment vertical="center"/>
    </xf>
    <xf numFmtId="0" fontId="12" fillId="5" borderId="0" xfId="0" applyFont="1" applyFill="1" applyBorder="1" applyAlignment="1">
      <alignment horizontal="right" vertical="center"/>
    </xf>
    <xf numFmtId="180" fontId="12" fillId="5" borderId="0" xfId="0" applyNumberFormat="1" applyFont="1" applyFill="1" applyBorder="1" applyAlignment="1">
      <alignment horizontal="right" vertical="center"/>
    </xf>
    <xf numFmtId="0" fontId="14" fillId="5" borderId="0" xfId="0" applyFont="1" applyFill="1" applyBorder="1" applyAlignment="1">
      <alignment vertical="center" wrapText="1"/>
    </xf>
    <xf numFmtId="0" fontId="14" fillId="5" borderId="0" xfId="0" applyFont="1" applyFill="1" applyBorder="1" applyAlignment="1">
      <alignment horizontal="left" vertical="center" wrapText="1"/>
    </xf>
    <xf numFmtId="0" fontId="36" fillId="5" borderId="0" xfId="0" applyFont="1" applyFill="1" applyBorder="1" applyAlignment="1">
      <alignment vertical="center"/>
    </xf>
    <xf numFmtId="0" fontId="38" fillId="5" borderId="0" xfId="0" applyFont="1" applyFill="1" applyBorder="1" applyAlignment="1">
      <alignment horizontal="center" vertical="center"/>
    </xf>
    <xf numFmtId="0" fontId="12" fillId="0" borderId="0" xfId="0" applyFont="1" applyFill="1" applyBorder="1" applyAlignment="1">
      <alignment vertical="center"/>
    </xf>
    <xf numFmtId="0" fontId="12" fillId="0" borderId="0" xfId="0" applyFont="1" applyFill="1" applyBorder="1" applyAlignment="1">
      <alignment horizontal="center" vertical="center"/>
    </xf>
    <xf numFmtId="0" fontId="15" fillId="0" borderId="44" xfId="0" applyFont="1" applyFill="1" applyBorder="1" applyAlignment="1">
      <alignment horizontal="center" vertical="center"/>
    </xf>
    <xf numFmtId="0" fontId="14" fillId="5" borderId="0" xfId="0" applyFont="1" applyFill="1" applyBorder="1" applyAlignment="1">
      <alignment vertical="top" wrapText="1"/>
    </xf>
    <xf numFmtId="0" fontId="13" fillId="5" borderId="0" xfId="0" applyFont="1" applyFill="1">
      <alignment vertical="center"/>
    </xf>
    <xf numFmtId="0" fontId="12" fillId="10" borderId="0" xfId="0" applyFont="1" applyFill="1">
      <alignment vertical="center"/>
    </xf>
    <xf numFmtId="0" fontId="12" fillId="10" borderId="0" xfId="0" applyFont="1" applyFill="1" applyBorder="1" applyAlignment="1">
      <alignment vertical="center"/>
    </xf>
    <xf numFmtId="0" fontId="8" fillId="10" borderId="0" xfId="0" applyFont="1" applyFill="1" applyAlignment="1">
      <alignment horizontal="center" vertical="center"/>
    </xf>
    <xf numFmtId="0" fontId="12" fillId="10" borderId="0" xfId="0" applyFont="1" applyFill="1" applyBorder="1" applyAlignment="1">
      <alignment horizontal="center" vertical="center"/>
    </xf>
    <xf numFmtId="0" fontId="8" fillId="10" borderId="0" xfId="0" applyFont="1" applyFill="1" applyBorder="1" applyAlignment="1">
      <alignment horizontal="center" vertical="center"/>
    </xf>
    <xf numFmtId="0" fontId="15" fillId="10" borderId="1" xfId="0" applyFont="1" applyFill="1" applyBorder="1" applyAlignment="1">
      <alignment horizontal="center" vertical="center"/>
    </xf>
    <xf numFmtId="0" fontId="12" fillId="6" borderId="1" xfId="0" applyFont="1" applyFill="1" applyBorder="1" applyAlignment="1">
      <alignment horizontal="center" vertical="center"/>
    </xf>
    <xf numFmtId="0" fontId="8" fillId="0" borderId="0" xfId="0" applyFont="1" applyAlignment="1">
      <alignment horizontal="center" vertical="center"/>
    </xf>
    <xf numFmtId="0" fontId="8" fillId="0" borderId="0" xfId="0" applyFont="1" applyBorder="1">
      <alignment vertical="center"/>
    </xf>
    <xf numFmtId="176" fontId="12" fillId="0" borderId="0" xfId="1" applyNumberFormat="1" applyFont="1" applyFill="1" applyBorder="1">
      <alignment vertical="center"/>
    </xf>
    <xf numFmtId="179" fontId="12" fillId="0" borderId="0" xfId="1" applyNumberFormat="1" applyFont="1" applyFill="1" applyBorder="1">
      <alignment vertical="center"/>
    </xf>
    <xf numFmtId="0" fontId="8" fillId="10" borderId="0" xfId="0" applyFont="1" applyFill="1">
      <alignment vertical="center"/>
    </xf>
    <xf numFmtId="0" fontId="11" fillId="10" borderId="0" xfId="0" applyFont="1" applyFill="1">
      <alignment vertical="center"/>
    </xf>
    <xf numFmtId="182" fontId="12" fillId="7" borderId="48" xfId="0" applyNumberFormat="1" applyFont="1" applyFill="1" applyBorder="1" applyProtection="1">
      <alignment vertical="center"/>
      <protection locked="0"/>
    </xf>
    <xf numFmtId="0" fontId="12" fillId="0" borderId="0" xfId="0" applyFont="1" applyFill="1" applyBorder="1" applyAlignment="1">
      <alignment horizontal="left" vertical="center"/>
    </xf>
    <xf numFmtId="0" fontId="12" fillId="10" borderId="0" xfId="0" applyFont="1" applyFill="1" applyBorder="1" applyAlignment="1">
      <alignment horizontal="left" vertical="center"/>
    </xf>
    <xf numFmtId="0" fontId="8" fillId="0" borderId="0" xfId="0" applyFont="1" applyAlignment="1">
      <alignment vertical="center"/>
    </xf>
    <xf numFmtId="0" fontId="8" fillId="0" borderId="0" xfId="0" applyFont="1" applyAlignment="1">
      <alignment horizontal="left" vertical="center"/>
    </xf>
    <xf numFmtId="185" fontId="15" fillId="10" borderId="1" xfId="0" applyNumberFormat="1" applyFont="1" applyFill="1" applyBorder="1" applyAlignment="1">
      <alignment horizontal="center" vertical="center"/>
    </xf>
    <xf numFmtId="0" fontId="0" fillId="0" borderId="49" xfId="0" applyBorder="1">
      <alignment vertical="center"/>
    </xf>
    <xf numFmtId="176" fontId="12" fillId="0" borderId="1" xfId="1" applyNumberFormat="1" applyFont="1" applyFill="1" applyBorder="1" applyAlignment="1">
      <alignment horizontal="right" vertical="center"/>
    </xf>
    <xf numFmtId="0" fontId="5" fillId="2" borderId="1" xfId="0" applyFont="1" applyFill="1" applyBorder="1" applyAlignment="1">
      <alignment horizontal="center" vertical="center"/>
    </xf>
    <xf numFmtId="176" fontId="5" fillId="0" borderId="1" xfId="1" applyNumberFormat="1" applyFont="1" applyBorder="1" applyAlignment="1" applyProtection="1">
      <alignment vertical="center"/>
    </xf>
    <xf numFmtId="0" fontId="41" fillId="0" borderId="0" xfId="0" applyFont="1" applyAlignment="1">
      <alignment vertical="center"/>
    </xf>
    <xf numFmtId="0" fontId="42" fillId="0" borderId="1" xfId="0" applyFont="1" applyBorder="1" applyAlignment="1">
      <alignment vertical="center"/>
    </xf>
    <xf numFmtId="0" fontId="5" fillId="0" borderId="1" xfId="5" applyFont="1" applyBorder="1" applyAlignment="1">
      <alignment horizontal="left" vertical="center"/>
    </xf>
    <xf numFmtId="0" fontId="42" fillId="0" borderId="1" xfId="0" applyFont="1" applyBorder="1" applyAlignment="1">
      <alignment horizontal="left" vertical="center"/>
    </xf>
    <xf numFmtId="0" fontId="5" fillId="0" borderId="1" xfId="5" applyFont="1" applyBorder="1" applyAlignment="1">
      <alignment horizontal="left" vertical="center" wrapText="1"/>
    </xf>
    <xf numFmtId="176" fontId="5" fillId="0" borderId="1" xfId="1" applyNumberFormat="1" applyFont="1" applyBorder="1" applyAlignment="1">
      <alignment horizontal="left" vertical="center"/>
    </xf>
    <xf numFmtId="38" fontId="5" fillId="0" borderId="1" xfId="2" applyFont="1" applyBorder="1" applyAlignment="1">
      <alignment horizontal="left" vertical="center"/>
    </xf>
    <xf numFmtId="0" fontId="41" fillId="0" borderId="1" xfId="0" applyFont="1" applyBorder="1" applyAlignment="1">
      <alignment horizontal="left" vertical="center"/>
    </xf>
    <xf numFmtId="178" fontId="12" fillId="0" borderId="1" xfId="1" applyNumberFormat="1" applyFont="1" applyFill="1" applyBorder="1" applyAlignment="1">
      <alignment horizontal="right" vertical="center"/>
    </xf>
    <xf numFmtId="179" fontId="12" fillId="0" borderId="1" xfId="1" applyNumberFormat="1" applyFont="1" applyFill="1" applyBorder="1" applyAlignment="1">
      <alignment horizontal="right" vertical="center"/>
    </xf>
    <xf numFmtId="180" fontId="12" fillId="0" borderId="1" xfId="1" applyNumberFormat="1" applyFont="1" applyFill="1" applyBorder="1" applyAlignment="1">
      <alignment horizontal="right" vertical="center"/>
    </xf>
    <xf numFmtId="177" fontId="3" fillId="0" borderId="1" xfId="1" applyNumberFormat="1" applyFont="1" applyBorder="1" applyAlignment="1">
      <alignment horizontal="left" vertical="center"/>
    </xf>
    <xf numFmtId="183" fontId="3" fillId="0" borderId="1" xfId="2" applyNumberFormat="1" applyFont="1" applyBorder="1" applyAlignment="1">
      <alignment horizontal="left" vertical="center"/>
    </xf>
    <xf numFmtId="176" fontId="9" fillId="0" borderId="1" xfId="1" applyNumberFormat="1" applyFont="1" applyBorder="1" applyAlignment="1">
      <alignment horizontal="left" vertical="center"/>
    </xf>
    <xf numFmtId="0" fontId="0" fillId="0" borderId="11" xfId="0" applyBorder="1">
      <alignment vertical="center"/>
    </xf>
    <xf numFmtId="0" fontId="0" fillId="0" borderId="0" xfId="0" applyBorder="1">
      <alignment vertical="center"/>
    </xf>
    <xf numFmtId="0" fontId="0" fillId="0" borderId="15" xfId="0" applyBorder="1">
      <alignment vertical="center"/>
    </xf>
    <xf numFmtId="0" fontId="0" fillId="11" borderId="14" xfId="0" applyFill="1" applyBorder="1">
      <alignment vertical="center"/>
    </xf>
    <xf numFmtId="0" fontId="0" fillId="11" borderId="8" xfId="0" applyFill="1" applyBorder="1">
      <alignment vertical="center"/>
    </xf>
    <xf numFmtId="0" fontId="0" fillId="11" borderId="9" xfId="0" applyFill="1" applyBorder="1">
      <alignment vertical="center"/>
    </xf>
    <xf numFmtId="0" fontId="0" fillId="0" borderId="10" xfId="0" applyBorder="1">
      <alignment vertical="center"/>
    </xf>
    <xf numFmtId="0" fontId="0" fillId="11" borderId="13" xfId="0" applyFill="1" applyBorder="1">
      <alignment vertical="center"/>
    </xf>
    <xf numFmtId="0" fontId="0" fillId="0" borderId="12"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11" borderId="4" xfId="0" applyFill="1" applyBorder="1" applyAlignment="1">
      <alignment horizontal="center" vertical="center"/>
    </xf>
    <xf numFmtId="0" fontId="0" fillId="11" borderId="1" xfId="0" applyFill="1" applyBorder="1" applyAlignment="1">
      <alignment horizontal="center" vertical="center"/>
    </xf>
    <xf numFmtId="0" fontId="0" fillId="11" borderId="2" xfId="0" applyFill="1" applyBorder="1" applyAlignment="1">
      <alignment horizontal="center" vertical="center"/>
    </xf>
    <xf numFmtId="0" fontId="0" fillId="11" borderId="3" xfId="0" applyFill="1" applyBorder="1" applyAlignment="1">
      <alignment horizontal="center" vertical="center"/>
    </xf>
    <xf numFmtId="0" fontId="0" fillId="0" borderId="0" xfId="0" applyAlignment="1">
      <alignment horizontal="center" vertical="center"/>
    </xf>
    <xf numFmtId="0" fontId="15" fillId="0" borderId="4" xfId="0" applyFont="1" applyFill="1" applyBorder="1" applyAlignment="1">
      <alignment horizontal="left" vertical="center"/>
    </xf>
    <xf numFmtId="0" fontId="15" fillId="0" borderId="2" xfId="0" applyFont="1" applyFill="1" applyBorder="1" applyAlignment="1">
      <alignment horizontal="left" vertical="center"/>
    </xf>
    <xf numFmtId="0" fontId="15" fillId="0" borderId="3" xfId="0" applyFont="1" applyFill="1" applyBorder="1" applyAlignment="1">
      <alignment horizontal="left" vertical="center"/>
    </xf>
    <xf numFmtId="0" fontId="14" fillId="10" borderId="0" xfId="0" applyFont="1" applyFill="1" applyBorder="1" applyAlignment="1">
      <alignment vertical="top" wrapText="1"/>
    </xf>
    <xf numFmtId="0" fontId="14" fillId="10" borderId="0" xfId="0" applyFont="1" applyFill="1" applyBorder="1" applyAlignment="1">
      <alignment vertical="top"/>
    </xf>
    <xf numFmtId="0" fontId="39" fillId="10" borderId="0" xfId="0" applyFont="1" applyFill="1" applyAlignment="1">
      <alignment horizontal="left" vertical="center"/>
    </xf>
    <xf numFmtId="0" fontId="13" fillId="10" borderId="0" xfId="0" applyFont="1" applyFill="1" applyAlignment="1">
      <alignment horizontal="left" vertical="center"/>
    </xf>
    <xf numFmtId="0" fontId="12" fillId="6" borderId="4" xfId="0" applyFont="1" applyFill="1" applyBorder="1" applyAlignment="1">
      <alignment horizontal="center" vertical="center"/>
    </xf>
    <xf numFmtId="0" fontId="12" fillId="6" borderId="3" xfId="0" applyFont="1" applyFill="1" applyBorder="1" applyAlignment="1">
      <alignment horizontal="center" vertical="center"/>
    </xf>
    <xf numFmtId="0" fontId="12" fillId="6" borderId="1" xfId="0" applyFont="1" applyFill="1" applyBorder="1" applyAlignment="1">
      <alignment horizontal="center" vertical="center"/>
    </xf>
    <xf numFmtId="0" fontId="13" fillId="10" borderId="0" xfId="0" applyFont="1" applyFill="1" applyAlignment="1">
      <alignment vertical="center"/>
    </xf>
    <xf numFmtId="0" fontId="39" fillId="10" borderId="0" xfId="0" applyFont="1" applyFill="1" applyAlignment="1">
      <alignment vertical="center"/>
    </xf>
    <xf numFmtId="0" fontId="12" fillId="13" borderId="1" xfId="0" applyFont="1" applyFill="1" applyBorder="1" applyAlignment="1">
      <alignment horizontal="center" vertical="center"/>
    </xf>
    <xf numFmtId="0" fontId="12" fillId="10" borderId="5" xfId="0" applyFont="1" applyFill="1" applyBorder="1">
      <alignment vertical="center"/>
    </xf>
    <xf numFmtId="0" fontId="12" fillId="10" borderId="6" xfId="0" applyFont="1" applyFill="1" applyBorder="1">
      <alignment vertical="center"/>
    </xf>
    <xf numFmtId="0" fontId="12" fillId="10" borderId="7" xfId="0" applyFont="1" applyFill="1" applyBorder="1">
      <alignment vertical="center"/>
    </xf>
    <xf numFmtId="0" fontId="12" fillId="10" borderId="14" xfId="0" applyFont="1" applyFill="1" applyBorder="1">
      <alignment vertical="center"/>
    </xf>
    <xf numFmtId="0" fontId="12" fillId="10" borderId="4" xfId="0" applyFont="1" applyFill="1" applyBorder="1">
      <alignment vertical="center"/>
    </xf>
    <xf numFmtId="0" fontId="12" fillId="10" borderId="3" xfId="0" applyFont="1" applyFill="1" applyBorder="1">
      <alignment vertical="center"/>
    </xf>
    <xf numFmtId="0" fontId="12" fillId="10" borderId="5" xfId="0" applyFont="1" applyFill="1" applyBorder="1" applyAlignment="1">
      <alignment horizontal="left" vertical="top"/>
    </xf>
    <xf numFmtId="0" fontId="12" fillId="10" borderId="13" xfId="0" applyFont="1" applyFill="1" applyBorder="1" applyAlignment="1">
      <alignment horizontal="left" vertical="top"/>
    </xf>
    <xf numFmtId="0" fontId="8" fillId="0" borderId="6" xfId="0" applyFont="1" applyBorder="1">
      <alignment vertical="center"/>
    </xf>
    <xf numFmtId="0" fontId="13" fillId="10" borderId="6" xfId="0" applyFont="1" applyFill="1" applyBorder="1" applyAlignment="1">
      <alignment horizontal="left" vertical="center"/>
    </xf>
    <xf numFmtId="0" fontId="13" fillId="10" borderId="7" xfId="0" applyFont="1" applyFill="1" applyBorder="1" applyAlignment="1">
      <alignment horizontal="left" vertical="center"/>
    </xf>
    <xf numFmtId="0" fontId="8" fillId="0" borderId="2" xfId="0" applyFont="1" applyBorder="1">
      <alignment vertical="center"/>
    </xf>
    <xf numFmtId="0" fontId="13" fillId="10" borderId="2" xfId="0" applyFont="1" applyFill="1" applyBorder="1" applyAlignment="1">
      <alignment horizontal="left" vertical="center"/>
    </xf>
    <xf numFmtId="0" fontId="13" fillId="10" borderId="3" xfId="0" applyFont="1" applyFill="1" applyBorder="1" applyAlignment="1">
      <alignment horizontal="left" vertical="center"/>
    </xf>
    <xf numFmtId="184" fontId="12" fillId="0" borderId="9" xfId="0" applyNumberFormat="1" applyFont="1" applyFill="1" applyBorder="1" applyAlignment="1">
      <alignment horizontal="left" vertical="center"/>
    </xf>
    <xf numFmtId="184" fontId="12" fillId="0" borderId="13" xfId="0" applyNumberFormat="1" applyFont="1" applyFill="1" applyBorder="1" applyAlignment="1">
      <alignment horizontal="left" vertical="center"/>
    </xf>
    <xf numFmtId="184" fontId="12" fillId="0" borderId="14" xfId="0" applyNumberFormat="1" applyFont="1" applyFill="1" applyBorder="1" applyAlignment="1">
      <alignment horizontal="left" vertical="center"/>
    </xf>
    <xf numFmtId="0" fontId="12" fillId="0" borderId="4" xfId="0" applyFont="1" applyFill="1" applyBorder="1" applyAlignment="1">
      <alignment horizontal="left" vertical="center"/>
    </xf>
    <xf numFmtId="0" fontId="12" fillId="0" borderId="2" xfId="0" applyFont="1" applyFill="1" applyBorder="1" applyAlignment="1">
      <alignment horizontal="left" vertical="center"/>
    </xf>
    <xf numFmtId="0" fontId="12" fillId="0" borderId="3" xfId="0" applyFont="1" applyFill="1" applyBorder="1" applyAlignment="1">
      <alignment horizontal="left" vertical="center"/>
    </xf>
    <xf numFmtId="184" fontId="12" fillId="0" borderId="8" xfId="0" applyNumberFormat="1" applyFont="1" applyFill="1" applyBorder="1" applyAlignment="1">
      <alignment horizontal="left" vertical="center"/>
    </xf>
    <xf numFmtId="0" fontId="12" fillId="10" borderId="14" xfId="0" applyFont="1" applyFill="1" applyBorder="1" applyAlignment="1">
      <alignment horizontal="left" vertical="center"/>
    </xf>
    <xf numFmtId="0" fontId="12" fillId="10" borderId="9" xfId="0" applyFont="1" applyFill="1" applyBorder="1" applyAlignment="1">
      <alignment horizontal="left" vertical="center"/>
    </xf>
    <xf numFmtId="0" fontId="12" fillId="10" borderId="12" xfId="0" applyFont="1" applyFill="1" applyBorder="1" applyAlignment="1">
      <alignment horizontal="left" vertical="top" wrapText="1"/>
    </xf>
    <xf numFmtId="0" fontId="12" fillId="10" borderId="7" xfId="0" applyFont="1" applyFill="1" applyBorder="1" applyAlignment="1">
      <alignment horizontal="left" vertical="top" wrapText="1"/>
    </xf>
    <xf numFmtId="0" fontId="8" fillId="0" borderId="3" xfId="0" applyFont="1" applyFill="1" applyBorder="1">
      <alignment vertical="center"/>
    </xf>
    <xf numFmtId="0" fontId="8" fillId="0" borderId="7" xfId="0" applyFont="1" applyFill="1" applyBorder="1">
      <alignment vertical="center"/>
    </xf>
    <xf numFmtId="0" fontId="8" fillId="0" borderId="9" xfId="0" applyFont="1" applyFill="1" applyBorder="1">
      <alignment vertical="center"/>
    </xf>
    <xf numFmtId="0" fontId="39" fillId="10" borderId="0" xfId="0" applyFont="1" applyFill="1" applyAlignment="1">
      <alignment horizontal="left" vertical="center"/>
    </xf>
    <xf numFmtId="0" fontId="15" fillId="6" borderId="13" xfId="0" applyFont="1" applyFill="1" applyBorder="1" applyAlignment="1">
      <alignment horizontal="center" vertical="center"/>
    </xf>
    <xf numFmtId="0" fontId="20" fillId="0" borderId="0" xfId="0" applyFont="1" applyAlignment="1">
      <alignment vertical="center" wrapText="1"/>
    </xf>
    <xf numFmtId="0" fontId="20" fillId="0" borderId="0" xfId="0" applyFont="1">
      <alignment vertical="center"/>
    </xf>
    <xf numFmtId="0" fontId="46" fillId="0" borderId="0" xfId="0" applyFont="1">
      <alignment vertical="center"/>
    </xf>
    <xf numFmtId="0" fontId="0" fillId="0" borderId="13" xfId="0" applyFill="1" applyBorder="1">
      <alignment vertical="center"/>
    </xf>
    <xf numFmtId="0" fontId="0" fillId="11" borderId="1" xfId="0" applyFill="1" applyBorder="1" applyAlignment="1">
      <alignment horizontal="center" vertical="center" wrapText="1"/>
    </xf>
    <xf numFmtId="0" fontId="12" fillId="0" borderId="0" xfId="0" applyFont="1">
      <alignment vertical="center"/>
    </xf>
    <xf numFmtId="0" fontId="12" fillId="0" borderId="0" xfId="0" applyFont="1" applyAlignment="1">
      <alignment vertical="center" wrapText="1"/>
    </xf>
    <xf numFmtId="0" fontId="15" fillId="14" borderId="47" xfId="0" applyNumberFormat="1" applyFont="1" applyFill="1" applyBorder="1" applyAlignment="1">
      <alignment horizontal="center" vertical="center" wrapText="1"/>
    </xf>
    <xf numFmtId="0" fontId="15" fillId="14" borderId="59" xfId="0" applyNumberFormat="1" applyFont="1" applyFill="1" applyBorder="1" applyAlignment="1">
      <alignment horizontal="center" vertical="center" wrapText="1"/>
    </xf>
    <xf numFmtId="0" fontId="15" fillId="0" borderId="0" xfId="0" applyFont="1" applyFill="1">
      <alignment vertical="center"/>
    </xf>
    <xf numFmtId="0" fontId="15" fillId="0" borderId="0" xfId="0" applyFont="1" applyFill="1" applyBorder="1" applyAlignment="1">
      <alignment vertical="center"/>
    </xf>
    <xf numFmtId="0" fontId="41" fillId="12" borderId="1" xfId="0" applyFont="1" applyFill="1" applyBorder="1" applyAlignment="1">
      <alignment vertical="center"/>
    </xf>
    <xf numFmtId="0" fontId="41" fillId="0" borderId="1" xfId="0" applyFont="1" applyFill="1" applyBorder="1" applyAlignment="1">
      <alignment vertical="center" wrapText="1"/>
    </xf>
    <xf numFmtId="0" fontId="41" fillId="0" borderId="0" xfId="0" applyFont="1">
      <alignment vertical="center"/>
    </xf>
    <xf numFmtId="0" fontId="41" fillId="0" borderId="0" xfId="0" applyFont="1" applyAlignment="1">
      <alignment vertical="center" wrapText="1"/>
    </xf>
    <xf numFmtId="0" fontId="12" fillId="6" borderId="1" xfId="0" applyFont="1" applyFill="1" applyBorder="1" applyAlignment="1">
      <alignment horizontal="center" vertical="center"/>
    </xf>
    <xf numFmtId="0" fontId="13" fillId="0" borderId="0" xfId="0" applyFont="1">
      <alignment vertical="center"/>
    </xf>
    <xf numFmtId="180" fontId="18" fillId="0" borderId="4" xfId="0" applyNumberFormat="1" applyFont="1" applyFill="1" applyBorder="1" applyAlignment="1">
      <alignment horizontal="right" vertical="center"/>
    </xf>
    <xf numFmtId="180" fontId="18" fillId="0" borderId="3" xfId="0" applyNumberFormat="1" applyFont="1" applyFill="1" applyBorder="1" applyAlignment="1">
      <alignment horizontal="right" vertical="center"/>
    </xf>
    <xf numFmtId="176" fontId="18" fillId="0" borderId="4" xfId="1" applyNumberFormat="1" applyFont="1" applyFill="1" applyBorder="1" applyAlignment="1">
      <alignment horizontal="right" vertical="center"/>
    </xf>
    <xf numFmtId="176" fontId="18" fillId="0" borderId="3" xfId="1" applyNumberFormat="1" applyFont="1" applyFill="1" applyBorder="1" applyAlignment="1">
      <alignment horizontal="right" vertical="center"/>
    </xf>
    <xf numFmtId="179" fontId="18" fillId="0" borderId="4" xfId="0" applyNumberFormat="1" applyFont="1" applyFill="1" applyBorder="1" applyAlignment="1">
      <alignment horizontal="right" vertical="center"/>
    </xf>
    <xf numFmtId="179" fontId="18" fillId="0" borderId="3" xfId="0" applyNumberFormat="1" applyFont="1" applyFill="1" applyBorder="1" applyAlignment="1">
      <alignment horizontal="right" vertical="center"/>
    </xf>
    <xf numFmtId="0" fontId="21" fillId="0" borderId="4" xfId="0" applyFont="1" applyFill="1" applyBorder="1" applyAlignment="1">
      <alignment horizontal="right" vertical="center"/>
    </xf>
    <xf numFmtId="0" fontId="21" fillId="0" borderId="3" xfId="0" applyFont="1" applyFill="1" applyBorder="1" applyAlignment="1">
      <alignment horizontal="right" vertical="center"/>
    </xf>
    <xf numFmtId="176" fontId="18" fillId="10" borderId="4" xfId="1" applyNumberFormat="1" applyFont="1" applyFill="1" applyBorder="1" applyAlignment="1">
      <alignment horizontal="right" vertical="center"/>
    </xf>
    <xf numFmtId="176" fontId="18" fillId="10" borderId="3" xfId="1" applyNumberFormat="1" applyFont="1" applyFill="1" applyBorder="1" applyAlignment="1">
      <alignment horizontal="right" vertical="center"/>
    </xf>
    <xf numFmtId="0" fontId="14" fillId="5" borderId="0" xfId="0" applyFont="1" applyFill="1" applyBorder="1" applyAlignment="1">
      <alignment horizontal="left" vertical="center" wrapText="1"/>
    </xf>
    <xf numFmtId="176" fontId="18" fillId="10" borderId="2" xfId="1" applyNumberFormat="1" applyFont="1" applyFill="1" applyBorder="1" applyAlignment="1">
      <alignment horizontal="right" vertical="center"/>
    </xf>
    <xf numFmtId="0" fontId="15" fillId="10" borderId="1" xfId="0" applyFont="1" applyFill="1" applyBorder="1" applyAlignment="1">
      <alignment horizontal="center" vertical="center"/>
    </xf>
    <xf numFmtId="180" fontId="18" fillId="10" borderId="4" xfId="1" applyNumberFormat="1" applyFont="1" applyFill="1" applyBorder="1" applyAlignment="1">
      <alignment horizontal="right" vertical="center"/>
    </xf>
    <xf numFmtId="180" fontId="18" fillId="10" borderId="2" xfId="1" applyNumberFormat="1" applyFont="1" applyFill="1" applyBorder="1" applyAlignment="1">
      <alignment horizontal="right" vertical="center"/>
    </xf>
    <xf numFmtId="180" fontId="18" fillId="10" borderId="3" xfId="1" applyNumberFormat="1" applyFont="1" applyFill="1" applyBorder="1" applyAlignment="1">
      <alignment horizontal="right" vertical="center"/>
    </xf>
    <xf numFmtId="185" fontId="18" fillId="10" borderId="4" xfId="1" applyNumberFormat="1" applyFont="1" applyFill="1" applyBorder="1" applyAlignment="1">
      <alignment horizontal="right" vertical="center"/>
    </xf>
    <xf numFmtId="185" fontId="18" fillId="10" borderId="3" xfId="1" applyNumberFormat="1" applyFont="1" applyFill="1" applyBorder="1" applyAlignment="1">
      <alignment horizontal="right" vertical="center"/>
    </xf>
    <xf numFmtId="0" fontId="14" fillId="10" borderId="4" xfId="0" applyFont="1" applyFill="1" applyBorder="1" applyAlignment="1">
      <alignment horizontal="left" vertical="center"/>
    </xf>
    <xf numFmtId="0" fontId="14" fillId="10" borderId="2" xfId="0" applyFont="1" applyFill="1" applyBorder="1" applyAlignment="1">
      <alignment horizontal="left" vertical="center"/>
    </xf>
    <xf numFmtId="0" fontId="14" fillId="10" borderId="3" xfId="0" applyFont="1" applyFill="1" applyBorder="1" applyAlignment="1">
      <alignment horizontal="left" vertical="center"/>
    </xf>
    <xf numFmtId="0" fontId="36" fillId="10" borderId="1" xfId="0" applyFont="1" applyFill="1" applyBorder="1" applyAlignment="1">
      <alignment horizontal="center" vertical="center" wrapText="1"/>
    </xf>
    <xf numFmtId="0" fontId="18" fillId="10" borderId="4" xfId="0" applyFont="1" applyFill="1" applyBorder="1" applyAlignment="1">
      <alignment horizontal="right" vertical="center"/>
    </xf>
    <xf numFmtId="0" fontId="18" fillId="10" borderId="3" xfId="0" applyFont="1" applyFill="1" applyBorder="1" applyAlignment="1">
      <alignment horizontal="right" vertical="center"/>
    </xf>
    <xf numFmtId="0" fontId="18" fillId="0" borderId="0" xfId="0" applyFont="1" applyFill="1" applyBorder="1" applyAlignment="1">
      <alignment horizontal="center" vertical="center" wrapText="1"/>
    </xf>
    <xf numFmtId="0" fontId="14" fillId="0" borderId="4" xfId="0" applyFont="1" applyFill="1" applyBorder="1" applyAlignment="1">
      <alignment horizontal="left" vertical="center"/>
    </xf>
    <xf numFmtId="0" fontId="14" fillId="0" borderId="2" xfId="0" applyFont="1" applyFill="1" applyBorder="1" applyAlignment="1">
      <alignment horizontal="left" vertical="center"/>
    </xf>
    <xf numFmtId="0" fontId="14" fillId="0" borderId="3" xfId="0" applyFont="1" applyFill="1" applyBorder="1" applyAlignment="1">
      <alignment horizontal="left" vertical="center"/>
    </xf>
    <xf numFmtId="0" fontId="18" fillId="10" borderId="12" xfId="0" applyFont="1" applyFill="1" applyBorder="1" applyAlignment="1">
      <alignment horizontal="center" vertical="center"/>
    </xf>
    <xf numFmtId="0" fontId="18" fillId="10" borderId="6" xfId="0" applyFont="1" applyFill="1" applyBorder="1" applyAlignment="1">
      <alignment horizontal="center" vertical="center"/>
    </xf>
    <xf numFmtId="0" fontId="18" fillId="10" borderId="7" xfId="0" applyFont="1" applyFill="1" applyBorder="1" applyAlignment="1">
      <alignment horizontal="center" vertical="center"/>
    </xf>
    <xf numFmtId="0" fontId="18" fillId="10" borderId="14" xfId="0" applyFont="1" applyFill="1" applyBorder="1" applyAlignment="1">
      <alignment horizontal="center" vertical="center"/>
    </xf>
    <xf numFmtId="0" fontId="18" fillId="10" borderId="8" xfId="0" applyFont="1" applyFill="1" applyBorder="1" applyAlignment="1">
      <alignment horizontal="center" vertical="center"/>
    </xf>
    <xf numFmtId="0" fontId="18" fillId="10" borderId="9" xfId="0" applyFont="1" applyFill="1" applyBorder="1" applyAlignment="1">
      <alignment horizontal="center" vertical="center"/>
    </xf>
    <xf numFmtId="178" fontId="18" fillId="10" borderId="4" xfId="0" applyNumberFormat="1" applyFont="1" applyFill="1" applyBorder="1" applyAlignment="1">
      <alignment horizontal="right" vertical="center"/>
    </xf>
    <xf numFmtId="178" fontId="18" fillId="10" borderId="3" xfId="0" applyNumberFormat="1" applyFont="1" applyFill="1" applyBorder="1" applyAlignment="1">
      <alignment horizontal="right" vertical="center"/>
    </xf>
    <xf numFmtId="178" fontId="18" fillId="10" borderId="2" xfId="0" applyNumberFormat="1" applyFont="1" applyFill="1" applyBorder="1" applyAlignment="1">
      <alignment horizontal="right" vertical="center"/>
    </xf>
    <xf numFmtId="180" fontId="18" fillId="10" borderId="4" xfId="0" applyNumberFormat="1" applyFont="1" applyFill="1" applyBorder="1" applyAlignment="1">
      <alignment horizontal="right" vertical="center"/>
    </xf>
    <xf numFmtId="180" fontId="18" fillId="10" borderId="3" xfId="0" applyNumberFormat="1" applyFont="1" applyFill="1" applyBorder="1" applyAlignment="1">
      <alignment horizontal="right" vertical="center"/>
    </xf>
    <xf numFmtId="0" fontId="14" fillId="10" borderId="4" xfId="0" applyFont="1" applyFill="1" applyBorder="1" applyAlignment="1">
      <alignment horizontal="center" vertical="center"/>
    </xf>
    <xf numFmtId="0" fontId="14" fillId="10" borderId="3" xfId="0" applyFont="1" applyFill="1" applyBorder="1" applyAlignment="1">
      <alignment horizontal="center" vertical="center"/>
    </xf>
    <xf numFmtId="0" fontId="14" fillId="10" borderId="2" xfId="0" applyFont="1" applyFill="1" applyBorder="1" applyAlignment="1">
      <alignment horizontal="center" vertical="center"/>
    </xf>
    <xf numFmtId="0" fontId="14" fillId="0" borderId="4" xfId="0" applyFont="1" applyFill="1" applyBorder="1" applyAlignment="1">
      <alignment horizontal="center" vertical="center"/>
    </xf>
    <xf numFmtId="0" fontId="14" fillId="0" borderId="3" xfId="0" applyFont="1" applyFill="1" applyBorder="1" applyAlignment="1">
      <alignment horizontal="center" vertical="center"/>
    </xf>
    <xf numFmtId="0" fontId="39" fillId="0" borderId="43" xfId="0" applyFont="1" applyFill="1" applyBorder="1" applyAlignment="1">
      <alignment horizontal="center" vertical="center" wrapText="1"/>
    </xf>
    <xf numFmtId="0" fontId="39" fillId="0" borderId="44" xfId="0" applyFont="1" applyFill="1" applyBorder="1" applyAlignment="1">
      <alignment horizontal="center" vertical="center" wrapText="1"/>
    </xf>
    <xf numFmtId="0" fontId="27" fillId="5" borderId="0" xfId="0" applyFont="1" applyFill="1" applyBorder="1" applyAlignment="1">
      <alignment horizontal="left" vertical="center"/>
    </xf>
    <xf numFmtId="178" fontId="18" fillId="0" borderId="4" xfId="0" applyNumberFormat="1" applyFont="1" applyFill="1" applyBorder="1" applyAlignment="1">
      <alignment horizontal="right" vertical="center"/>
    </xf>
    <xf numFmtId="178" fontId="18" fillId="0" borderId="3" xfId="0" applyNumberFormat="1" applyFont="1" applyFill="1" applyBorder="1" applyAlignment="1">
      <alignment horizontal="right" vertical="center"/>
    </xf>
    <xf numFmtId="178" fontId="36" fillId="0" borderId="4" xfId="0" applyNumberFormat="1" applyFont="1" applyFill="1" applyBorder="1" applyAlignment="1">
      <alignment horizontal="right" vertical="center"/>
    </xf>
    <xf numFmtId="178" fontId="36" fillId="0" borderId="2" xfId="0" applyNumberFormat="1" applyFont="1" applyFill="1" applyBorder="1" applyAlignment="1">
      <alignment horizontal="right" vertical="center"/>
    </xf>
    <xf numFmtId="178" fontId="36" fillId="0" borderId="3" xfId="0" applyNumberFormat="1" applyFont="1" applyFill="1" applyBorder="1" applyAlignment="1">
      <alignment horizontal="right" vertical="center"/>
    </xf>
    <xf numFmtId="184" fontId="20" fillId="0" borderId="4" xfId="0" applyNumberFormat="1" applyFont="1" applyFill="1" applyBorder="1" applyAlignment="1">
      <alignment horizontal="center" vertical="center"/>
    </xf>
    <xf numFmtId="184" fontId="20" fillId="0" borderId="2" xfId="0" applyNumberFormat="1" applyFont="1" applyFill="1" applyBorder="1" applyAlignment="1">
      <alignment horizontal="center" vertical="center"/>
    </xf>
    <xf numFmtId="184" fontId="20" fillId="0" borderId="3" xfId="0" applyNumberFormat="1" applyFont="1" applyFill="1" applyBorder="1" applyAlignment="1">
      <alignment horizontal="center" vertical="center"/>
    </xf>
    <xf numFmtId="0" fontId="14" fillId="0" borderId="14" xfId="0" applyFont="1" applyFill="1" applyBorder="1" applyAlignment="1">
      <alignment horizontal="center" vertical="center"/>
    </xf>
    <xf numFmtId="0" fontId="14" fillId="0" borderId="9" xfId="0" applyFont="1" applyFill="1" applyBorder="1" applyAlignment="1">
      <alignment horizontal="center" vertical="center"/>
    </xf>
    <xf numFmtId="179" fontId="18" fillId="0" borderId="2" xfId="0" applyNumberFormat="1" applyFont="1" applyFill="1" applyBorder="1" applyAlignment="1">
      <alignment horizontal="right" vertical="center"/>
    </xf>
    <xf numFmtId="0" fontId="14" fillId="0" borderId="12" xfId="0" applyFont="1" applyFill="1" applyBorder="1" applyAlignment="1">
      <alignment horizontal="left" vertical="center" wrapText="1"/>
    </xf>
    <xf numFmtId="0" fontId="14" fillId="0" borderId="6" xfId="0" applyFont="1" applyFill="1" applyBorder="1" applyAlignment="1">
      <alignment horizontal="left" vertical="center" wrapText="1"/>
    </xf>
    <xf numFmtId="0" fontId="14" fillId="0" borderId="7" xfId="0" applyFont="1" applyFill="1" applyBorder="1" applyAlignment="1">
      <alignment horizontal="left" vertical="center" wrapText="1"/>
    </xf>
    <xf numFmtId="0" fontId="14" fillId="0" borderId="11" xfId="0" applyFont="1" applyFill="1" applyBorder="1" applyAlignment="1">
      <alignment horizontal="left" vertical="center" wrapText="1"/>
    </xf>
    <xf numFmtId="0" fontId="14" fillId="0" borderId="0" xfId="0" applyFont="1" applyFill="1" applyBorder="1" applyAlignment="1">
      <alignment horizontal="left" vertical="center" wrapText="1"/>
    </xf>
    <xf numFmtId="0" fontId="14" fillId="0" borderId="15" xfId="0" applyFont="1" applyFill="1" applyBorder="1" applyAlignment="1">
      <alignment horizontal="left" vertical="center" wrapText="1"/>
    </xf>
    <xf numFmtId="0" fontId="14" fillId="0" borderId="14" xfId="0" applyFont="1" applyFill="1" applyBorder="1" applyAlignment="1">
      <alignment horizontal="left" vertical="center" wrapText="1"/>
    </xf>
    <xf numFmtId="0" fontId="14" fillId="0" borderId="8" xfId="0" applyFont="1" applyFill="1" applyBorder="1" applyAlignment="1">
      <alignment horizontal="left" vertical="center" wrapText="1"/>
    </xf>
    <xf numFmtId="0" fontId="14" fillId="0" borderId="9" xfId="0" applyFont="1" applyFill="1" applyBorder="1" applyAlignment="1">
      <alignment horizontal="left" vertical="center" wrapText="1"/>
    </xf>
    <xf numFmtId="184" fontId="20" fillId="10" borderId="4" xfId="0" applyNumberFormat="1" applyFont="1" applyFill="1" applyBorder="1" applyAlignment="1">
      <alignment horizontal="center" vertical="center"/>
    </xf>
    <xf numFmtId="184" fontId="20" fillId="10" borderId="2" xfId="0" applyNumberFormat="1" applyFont="1" applyFill="1" applyBorder="1" applyAlignment="1">
      <alignment horizontal="center" vertical="center"/>
    </xf>
    <xf numFmtId="184" fontId="20" fillId="10" borderId="3" xfId="0" applyNumberFormat="1" applyFont="1" applyFill="1" applyBorder="1" applyAlignment="1">
      <alignment horizontal="center" vertical="center"/>
    </xf>
    <xf numFmtId="0" fontId="14" fillId="10" borderId="14" xfId="0" applyFont="1" applyFill="1" applyBorder="1" applyAlignment="1">
      <alignment horizontal="center" vertical="center"/>
    </xf>
    <xf numFmtId="0" fontId="14" fillId="10" borderId="9" xfId="0" applyFont="1" applyFill="1" applyBorder="1" applyAlignment="1">
      <alignment horizontal="center" vertical="center"/>
    </xf>
    <xf numFmtId="0" fontId="37" fillId="0" borderId="4" xfId="0" applyFont="1" applyFill="1" applyBorder="1" applyAlignment="1">
      <alignment horizontal="left" vertical="center"/>
    </xf>
    <xf numFmtId="0" fontId="37" fillId="0" borderId="2" xfId="0" applyFont="1" applyFill="1" applyBorder="1" applyAlignment="1">
      <alignment horizontal="left" vertical="center"/>
    </xf>
    <xf numFmtId="0" fontId="37" fillId="0" borderId="3" xfId="0" applyFont="1" applyFill="1" applyBorder="1" applyAlignment="1">
      <alignment horizontal="left" vertical="center"/>
    </xf>
    <xf numFmtId="0" fontId="18" fillId="0" borderId="12" xfId="0" applyFont="1" applyFill="1" applyBorder="1" applyAlignment="1">
      <alignment horizontal="center" vertical="center"/>
    </xf>
    <xf numFmtId="0" fontId="18" fillId="0" borderId="6" xfId="0" applyFont="1" applyFill="1" applyBorder="1" applyAlignment="1">
      <alignment horizontal="center" vertical="center"/>
    </xf>
    <xf numFmtId="0" fontId="18" fillId="0" borderId="7" xfId="0" applyFont="1" applyFill="1" applyBorder="1" applyAlignment="1">
      <alignment horizontal="center" vertical="center"/>
    </xf>
    <xf numFmtId="0" fontId="18" fillId="0" borderId="14" xfId="0" applyFont="1" applyFill="1" applyBorder="1" applyAlignment="1">
      <alignment horizontal="center" vertical="center"/>
    </xf>
    <xf numFmtId="0" fontId="18" fillId="0" borderId="8" xfId="0" applyFont="1" applyFill="1" applyBorder="1" applyAlignment="1">
      <alignment horizontal="center" vertical="center"/>
    </xf>
    <xf numFmtId="0" fontId="18" fillId="0" borderId="9" xfId="0" applyFont="1" applyFill="1" applyBorder="1" applyAlignment="1">
      <alignment horizontal="center" vertical="center"/>
    </xf>
    <xf numFmtId="0" fontId="35" fillId="0" borderId="4" xfId="0" applyFont="1" applyFill="1" applyBorder="1" applyAlignment="1">
      <alignment horizontal="left" vertical="center"/>
    </xf>
    <xf numFmtId="0" fontId="35" fillId="0" borderId="2" xfId="0" applyFont="1" applyFill="1" applyBorder="1" applyAlignment="1">
      <alignment horizontal="left" vertical="center"/>
    </xf>
    <xf numFmtId="0" fontId="35" fillId="0" borderId="3" xfId="0" applyFont="1" applyFill="1" applyBorder="1" applyAlignment="1">
      <alignment horizontal="left" vertical="center"/>
    </xf>
    <xf numFmtId="0" fontId="36" fillId="0" borderId="4" xfId="0" applyFont="1" applyFill="1" applyBorder="1" applyAlignment="1">
      <alignment horizontal="left" vertical="center"/>
    </xf>
    <xf numFmtId="0" fontId="36" fillId="0" borderId="2" xfId="0" applyFont="1" applyFill="1" applyBorder="1" applyAlignment="1">
      <alignment horizontal="left" vertical="center"/>
    </xf>
    <xf numFmtId="0" fontId="36" fillId="0" borderId="3" xfId="0" applyFont="1" applyFill="1" applyBorder="1" applyAlignment="1">
      <alignment horizontal="left" vertical="center"/>
    </xf>
    <xf numFmtId="181" fontId="36" fillId="0" borderId="4" xfId="0" applyNumberFormat="1" applyFont="1" applyFill="1" applyBorder="1" applyAlignment="1">
      <alignment horizontal="right" vertical="center"/>
    </xf>
    <xf numFmtId="181" fontId="36" fillId="0" borderId="2" xfId="0" applyNumberFormat="1" applyFont="1" applyFill="1" applyBorder="1" applyAlignment="1">
      <alignment horizontal="right" vertical="center"/>
    </xf>
    <xf numFmtId="181" fontId="36" fillId="0" borderId="3" xfId="0" applyNumberFormat="1" applyFont="1" applyFill="1" applyBorder="1" applyAlignment="1">
      <alignment horizontal="right" vertical="center"/>
    </xf>
    <xf numFmtId="0" fontId="34" fillId="0" borderId="19" xfId="0" applyFont="1" applyFill="1" applyBorder="1" applyAlignment="1">
      <alignment horizontal="left" vertical="center"/>
    </xf>
    <xf numFmtId="0" fontId="34" fillId="0" borderId="20" xfId="0" applyFont="1" applyFill="1" applyBorder="1" applyAlignment="1">
      <alignment horizontal="left" vertical="center"/>
    </xf>
    <xf numFmtId="0" fontId="34" fillId="0" borderId="21" xfId="0" applyFont="1" applyFill="1" applyBorder="1" applyAlignment="1">
      <alignment horizontal="left" vertical="center"/>
    </xf>
    <xf numFmtId="0" fontId="15" fillId="6" borderId="4" xfId="0" applyFont="1" applyFill="1" applyBorder="1" applyAlignment="1">
      <alignment horizontal="center" vertical="center"/>
    </xf>
    <xf numFmtId="0" fontId="15" fillId="6" borderId="3" xfId="0" applyFont="1" applyFill="1" applyBorder="1" applyAlignment="1">
      <alignment horizontal="center" vertical="center"/>
    </xf>
    <xf numFmtId="0" fontId="12" fillId="7" borderId="55" xfId="0" applyFont="1" applyFill="1" applyBorder="1" applyAlignment="1" applyProtection="1">
      <alignment horizontal="left" vertical="center"/>
      <protection locked="0"/>
    </xf>
    <xf numFmtId="0" fontId="12" fillId="7" borderId="56" xfId="0" applyFont="1" applyFill="1" applyBorder="1" applyAlignment="1" applyProtection="1">
      <alignment horizontal="left" vertical="center"/>
      <protection locked="0"/>
    </xf>
    <xf numFmtId="0" fontId="12" fillId="7" borderId="57" xfId="0" applyFont="1" applyFill="1" applyBorder="1" applyAlignment="1" applyProtection="1">
      <alignment horizontal="left" vertical="center"/>
      <protection locked="0"/>
    </xf>
    <xf numFmtId="0" fontId="12" fillId="7" borderId="12" xfId="0" applyFont="1" applyFill="1" applyBorder="1" applyAlignment="1" applyProtection="1">
      <alignment horizontal="left" vertical="center"/>
      <protection locked="0"/>
    </xf>
    <xf numFmtId="0" fontId="12" fillId="7" borderId="6" xfId="0" applyFont="1" applyFill="1" applyBorder="1" applyAlignment="1" applyProtection="1">
      <alignment horizontal="left" vertical="center"/>
      <protection locked="0"/>
    </xf>
    <xf numFmtId="0" fontId="12" fillId="7" borderId="7" xfId="0" applyFont="1" applyFill="1" applyBorder="1" applyAlignment="1" applyProtection="1">
      <alignment horizontal="left" vertical="center"/>
      <protection locked="0"/>
    </xf>
    <xf numFmtId="0" fontId="12" fillId="16" borderId="4" xfId="0" applyFont="1" applyFill="1" applyBorder="1" applyAlignment="1">
      <alignment horizontal="left" vertical="center"/>
    </xf>
    <xf numFmtId="0" fontId="12" fillId="16" borderId="3" xfId="0" applyFont="1" applyFill="1" applyBorder="1" applyAlignment="1">
      <alignment horizontal="left" vertical="center"/>
    </xf>
    <xf numFmtId="0" fontId="12" fillId="0" borderId="1" xfId="0" applyFont="1" applyFill="1" applyBorder="1" applyAlignment="1">
      <alignment horizontal="left" vertical="center"/>
    </xf>
    <xf numFmtId="0" fontId="12" fillId="0" borderId="4" xfId="0" applyFont="1" applyFill="1" applyBorder="1" applyAlignment="1">
      <alignment horizontal="left" vertical="center"/>
    </xf>
    <xf numFmtId="0" fontId="15" fillId="0" borderId="4" xfId="0" applyFont="1" applyFill="1" applyBorder="1" applyAlignment="1">
      <alignment horizontal="left" vertical="center"/>
    </xf>
    <xf numFmtId="0" fontId="15" fillId="0" borderId="3" xfId="0" applyFont="1" applyFill="1" applyBorder="1" applyAlignment="1">
      <alignment horizontal="left" vertical="center"/>
    </xf>
    <xf numFmtId="0" fontId="15" fillId="6" borderId="12" xfId="0" applyFont="1" applyFill="1" applyBorder="1" applyAlignment="1">
      <alignment horizontal="center" vertical="center"/>
    </xf>
    <xf numFmtId="0" fontId="15" fillId="6" borderId="7" xfId="0" applyFont="1" applyFill="1" applyBorder="1" applyAlignment="1">
      <alignment horizontal="center" vertical="center"/>
    </xf>
    <xf numFmtId="0" fontId="15" fillId="6" borderId="14" xfId="0" applyFont="1" applyFill="1" applyBorder="1" applyAlignment="1">
      <alignment horizontal="center" vertical="center"/>
    </xf>
    <xf numFmtId="0" fontId="15" fillId="6" borderId="9" xfId="0" applyFont="1" applyFill="1" applyBorder="1" applyAlignment="1">
      <alignment horizontal="center" vertical="center"/>
    </xf>
    <xf numFmtId="0" fontId="15" fillId="6" borderId="2" xfId="0" applyFont="1" applyFill="1" applyBorder="1" applyAlignment="1">
      <alignment horizontal="center" vertical="center"/>
    </xf>
    <xf numFmtId="0" fontId="12" fillId="10" borderId="0" xfId="0" applyFont="1" applyFill="1" applyBorder="1" applyAlignment="1">
      <alignment horizontal="left" vertical="top" wrapText="1"/>
    </xf>
    <xf numFmtId="0" fontId="12" fillId="0" borderId="64" xfId="0" applyFont="1" applyFill="1" applyBorder="1" applyAlignment="1">
      <alignment horizontal="left" vertical="center"/>
    </xf>
    <xf numFmtId="0" fontId="12" fillId="0" borderId="65" xfId="0" applyFont="1" applyFill="1" applyBorder="1" applyAlignment="1">
      <alignment horizontal="left" vertical="center"/>
    </xf>
    <xf numFmtId="0" fontId="12" fillId="0" borderId="49" xfId="0" applyFont="1" applyFill="1" applyBorder="1" applyAlignment="1">
      <alignment horizontal="left" vertical="center"/>
    </xf>
    <xf numFmtId="0" fontId="12" fillId="10" borderId="0" xfId="0" applyFont="1" applyFill="1" applyBorder="1" applyAlignment="1">
      <alignment horizontal="left" vertical="center" wrapText="1"/>
    </xf>
    <xf numFmtId="0" fontId="15" fillId="6" borderId="1" xfId="0" applyFont="1" applyFill="1" applyBorder="1" applyAlignment="1">
      <alignment horizontal="center" vertical="center"/>
    </xf>
    <xf numFmtId="0" fontId="12" fillId="7" borderId="4" xfId="0" applyFont="1" applyFill="1" applyBorder="1" applyAlignment="1" applyProtection="1">
      <alignment horizontal="left" vertical="center"/>
      <protection locked="0"/>
    </xf>
    <xf numFmtId="0" fontId="12" fillId="7" borderId="2" xfId="0" applyFont="1" applyFill="1" applyBorder="1" applyAlignment="1" applyProtection="1">
      <alignment horizontal="left" vertical="center"/>
      <protection locked="0"/>
    </xf>
    <xf numFmtId="0" fontId="12" fillId="7" borderId="3" xfId="0" applyFont="1" applyFill="1" applyBorder="1" applyAlignment="1" applyProtection="1">
      <alignment horizontal="left" vertical="center"/>
      <protection locked="0"/>
    </xf>
    <xf numFmtId="0" fontId="8" fillId="0" borderId="0" xfId="0" applyFont="1" applyAlignment="1">
      <alignment horizontal="center" vertical="center"/>
    </xf>
    <xf numFmtId="184" fontId="12" fillId="0" borderId="4" xfId="0" applyNumberFormat="1" applyFont="1" applyFill="1" applyBorder="1" applyAlignment="1">
      <alignment horizontal="center" vertical="center"/>
    </xf>
    <xf numFmtId="184" fontId="12" fillId="0" borderId="3" xfId="0" applyNumberFormat="1" applyFont="1" applyFill="1" applyBorder="1" applyAlignment="1">
      <alignment horizontal="center" vertical="center"/>
    </xf>
    <xf numFmtId="0" fontId="12" fillId="6" borderId="1" xfId="0" applyFont="1" applyFill="1" applyBorder="1" applyAlignment="1">
      <alignment horizontal="center" vertical="center"/>
    </xf>
    <xf numFmtId="0" fontId="12" fillId="10" borderId="12" xfId="0" applyFont="1" applyFill="1" applyBorder="1" applyAlignment="1">
      <alignment horizontal="left" vertical="top"/>
    </xf>
    <xf numFmtId="0" fontId="12" fillId="10" borderId="7" xfId="0" applyFont="1" applyFill="1" applyBorder="1" applyAlignment="1">
      <alignment horizontal="left" vertical="top"/>
    </xf>
    <xf numFmtId="0" fontId="12" fillId="10" borderId="14" xfId="0" applyFont="1" applyFill="1" applyBorder="1" applyAlignment="1">
      <alignment horizontal="left" vertical="top"/>
    </xf>
    <xf numFmtId="0" fontId="12" fillId="10" borderId="9" xfId="0" applyFont="1" applyFill="1" applyBorder="1" applyAlignment="1">
      <alignment horizontal="left" vertical="top"/>
    </xf>
    <xf numFmtId="0" fontId="12" fillId="10" borderId="5" xfId="0" applyFont="1" applyFill="1" applyBorder="1" applyAlignment="1">
      <alignment horizontal="left" vertical="top"/>
    </xf>
    <xf numFmtId="0" fontId="12" fillId="10" borderId="13" xfId="0" applyFont="1" applyFill="1" applyBorder="1" applyAlignment="1">
      <alignment horizontal="left" vertical="top"/>
    </xf>
    <xf numFmtId="0" fontId="12" fillId="13" borderId="4" xfId="0" applyFont="1" applyFill="1" applyBorder="1" applyAlignment="1">
      <alignment horizontal="center" vertical="center"/>
    </xf>
    <xf numFmtId="0" fontId="12" fillId="13" borderId="2" xfId="0" applyFont="1" applyFill="1" applyBorder="1" applyAlignment="1">
      <alignment horizontal="center" vertical="center"/>
    </xf>
    <xf numFmtId="0" fontId="12" fillId="13" borderId="3" xfId="0" applyFont="1" applyFill="1" applyBorder="1" applyAlignment="1">
      <alignment horizontal="center" vertical="center"/>
    </xf>
    <xf numFmtId="0" fontId="12" fillId="6" borderId="4" xfId="0" applyFont="1" applyFill="1" applyBorder="1" applyAlignment="1">
      <alignment horizontal="center" vertical="center"/>
    </xf>
    <xf numFmtId="0" fontId="12" fillId="6" borderId="2" xfId="0" applyFont="1" applyFill="1" applyBorder="1" applyAlignment="1">
      <alignment horizontal="center" vertical="center"/>
    </xf>
    <xf numFmtId="0" fontId="12" fillId="6" borderId="3" xfId="0" applyFont="1" applyFill="1" applyBorder="1" applyAlignment="1">
      <alignment horizontal="center" vertical="center"/>
    </xf>
    <xf numFmtId="0" fontId="12" fillId="0" borderId="12" xfId="0" applyFont="1" applyFill="1" applyBorder="1" applyAlignment="1">
      <alignment horizontal="left" vertical="center"/>
    </xf>
    <xf numFmtId="0" fontId="12" fillId="0" borderId="6" xfId="0" applyFont="1" applyFill="1" applyBorder="1" applyAlignment="1">
      <alignment horizontal="left" vertical="center"/>
    </xf>
    <xf numFmtId="0" fontId="12" fillId="0" borderId="7" xfId="0" applyFont="1" applyFill="1" applyBorder="1" applyAlignment="1">
      <alignment horizontal="left" vertical="center"/>
    </xf>
    <xf numFmtId="0" fontId="12" fillId="0" borderId="14" xfId="0" applyFont="1" applyFill="1" applyBorder="1" applyAlignment="1">
      <alignment horizontal="left" vertical="center"/>
    </xf>
    <xf numFmtId="0" fontId="12" fillId="0" borderId="8" xfId="0" applyFont="1" applyFill="1" applyBorder="1" applyAlignment="1">
      <alignment horizontal="left" vertical="center"/>
    </xf>
    <xf numFmtId="0" fontId="12" fillId="0" borderId="9" xfId="0" applyFont="1" applyFill="1" applyBorder="1" applyAlignment="1">
      <alignment horizontal="left" vertical="center"/>
    </xf>
    <xf numFmtId="0" fontId="12" fillId="10" borderId="12" xfId="0" applyFont="1" applyFill="1" applyBorder="1" applyAlignment="1">
      <alignment horizontal="left" vertical="top" wrapText="1"/>
    </xf>
    <xf numFmtId="0" fontId="12" fillId="10" borderId="7" xfId="0" applyFont="1" applyFill="1" applyBorder="1" applyAlignment="1">
      <alignment horizontal="left" vertical="top" wrapText="1"/>
    </xf>
    <xf numFmtId="0" fontId="12" fillId="13" borderId="1" xfId="0" applyFont="1" applyFill="1" applyBorder="1" applyAlignment="1">
      <alignment horizontal="center" vertical="center"/>
    </xf>
    <xf numFmtId="0" fontId="12" fillId="10" borderId="5" xfId="0" applyFont="1" applyFill="1" applyBorder="1" applyAlignment="1">
      <alignment horizontal="left" vertical="top" wrapText="1"/>
    </xf>
    <xf numFmtId="0" fontId="12" fillId="10" borderId="13" xfId="0" applyFont="1" applyFill="1" applyBorder="1" applyAlignment="1">
      <alignment horizontal="left" vertical="top" wrapText="1"/>
    </xf>
    <xf numFmtId="0" fontId="16" fillId="2" borderId="2" xfId="4" applyFont="1" applyFill="1" applyBorder="1" applyAlignment="1" applyProtection="1">
      <alignment horizontal="center" vertical="center" shrinkToFit="1"/>
      <protection locked="0"/>
    </xf>
    <xf numFmtId="0" fontId="16" fillId="2" borderId="3" xfId="4" applyFont="1" applyFill="1" applyBorder="1" applyAlignment="1" applyProtection="1">
      <alignment horizontal="center" vertical="center" shrinkToFit="1"/>
      <protection locked="0"/>
    </xf>
    <xf numFmtId="0" fontId="16" fillId="2" borderId="11" xfId="4" applyFont="1" applyFill="1" applyBorder="1" applyAlignment="1" applyProtection="1">
      <alignment horizontal="left" vertical="center" wrapText="1"/>
      <protection locked="0"/>
    </xf>
    <xf numFmtId="0" fontId="16" fillId="2" borderId="0" xfId="4" applyFont="1" applyFill="1" applyBorder="1" applyAlignment="1" applyProtection="1">
      <alignment horizontal="left" vertical="center" wrapText="1"/>
      <protection locked="0"/>
    </xf>
    <xf numFmtId="0" fontId="16" fillId="2" borderId="15" xfId="4" applyFont="1" applyFill="1" applyBorder="1" applyAlignment="1" applyProtection="1">
      <alignment horizontal="left" vertical="center" wrapText="1"/>
      <protection locked="0"/>
    </xf>
    <xf numFmtId="0" fontId="16" fillId="2" borderId="14" xfId="4" applyFont="1" applyFill="1" applyBorder="1" applyAlignment="1" applyProtection="1">
      <alignment horizontal="left" vertical="center" wrapText="1"/>
      <protection locked="0"/>
    </xf>
    <xf numFmtId="0" fontId="16" fillId="2" borderId="8" xfId="4" applyFont="1" applyFill="1" applyBorder="1" applyAlignment="1" applyProtection="1">
      <alignment horizontal="left" vertical="center" wrapText="1"/>
      <protection locked="0"/>
    </xf>
    <xf numFmtId="0" fontId="16" fillId="2" borderId="9" xfId="4" applyFont="1" applyFill="1" applyBorder="1" applyAlignment="1" applyProtection="1">
      <alignment horizontal="left" vertical="center" wrapText="1"/>
      <protection locked="0"/>
    </xf>
    <xf numFmtId="0" fontId="16" fillId="2" borderId="11" xfId="4" applyFont="1" applyFill="1" applyBorder="1" applyAlignment="1">
      <alignment horizontal="left" vertical="center" wrapText="1"/>
    </xf>
    <xf numFmtId="0" fontId="16" fillId="2" borderId="0" xfId="4" applyFont="1" applyFill="1" applyBorder="1" applyAlignment="1">
      <alignment horizontal="left" vertical="center" wrapText="1"/>
    </xf>
    <xf numFmtId="0" fontId="16" fillId="2" borderId="15" xfId="4" applyFont="1" applyFill="1" applyBorder="1" applyAlignment="1">
      <alignment horizontal="left" vertical="center" wrapText="1"/>
    </xf>
    <xf numFmtId="0" fontId="16" fillId="2" borderId="14" xfId="4" applyFont="1" applyFill="1" applyBorder="1" applyAlignment="1">
      <alignment horizontal="left" vertical="center" wrapText="1"/>
    </xf>
    <xf numFmtId="0" fontId="16" fillId="2" borderId="8" xfId="4" applyFont="1" applyFill="1" applyBorder="1" applyAlignment="1">
      <alignment horizontal="left" vertical="center" wrapText="1"/>
    </xf>
    <xf numFmtId="0" fontId="16" fillId="2" borderId="9" xfId="4" applyFont="1" applyFill="1" applyBorder="1" applyAlignment="1">
      <alignment horizontal="left" vertical="center" wrapText="1"/>
    </xf>
    <xf numFmtId="0" fontId="23" fillId="8" borderId="4" xfId="4" applyFont="1" applyFill="1" applyBorder="1" applyAlignment="1">
      <alignment horizontal="center" vertical="center"/>
    </xf>
    <xf numFmtId="0" fontId="23" fillId="8" borderId="2" xfId="4" applyFont="1" applyFill="1" applyBorder="1" applyAlignment="1">
      <alignment horizontal="center" vertical="center"/>
    </xf>
    <xf numFmtId="0" fontId="23" fillId="8" borderId="3" xfId="4" applyFont="1" applyFill="1" applyBorder="1" applyAlignment="1">
      <alignment horizontal="center" vertical="center"/>
    </xf>
    <xf numFmtId="0" fontId="40" fillId="0" borderId="45" xfId="4" applyFont="1" applyBorder="1" applyAlignment="1">
      <alignment horizontal="center" vertical="center"/>
    </xf>
    <xf numFmtId="0" fontId="40" fillId="0" borderId="27" xfId="4" applyFont="1" applyBorder="1" applyAlignment="1">
      <alignment horizontal="center" vertical="center"/>
    </xf>
    <xf numFmtId="0" fontId="40" fillId="0" borderId="29" xfId="4" applyFont="1" applyBorder="1" applyAlignment="1">
      <alignment horizontal="center" vertical="center"/>
    </xf>
    <xf numFmtId="0" fontId="40" fillId="0" borderId="46" xfId="4" applyFont="1" applyBorder="1" applyAlignment="1">
      <alignment horizontal="center" vertical="center"/>
    </xf>
    <xf numFmtId="0" fontId="40" fillId="0" borderId="0" xfId="4" applyFont="1" applyBorder="1" applyAlignment="1">
      <alignment horizontal="center" vertical="center"/>
    </xf>
    <xf numFmtId="0" fontId="40" fillId="0" borderId="32" xfId="4" applyFont="1" applyBorder="1" applyAlignment="1">
      <alignment horizontal="center" vertical="center"/>
    </xf>
    <xf numFmtId="0" fontId="40" fillId="0" borderId="47" xfId="4" applyFont="1" applyBorder="1" applyAlignment="1">
      <alignment horizontal="center" vertical="center"/>
    </xf>
    <xf numFmtId="0" fontId="40" fillId="0" borderId="38" xfId="4" applyFont="1" applyBorder="1" applyAlignment="1">
      <alignment horizontal="center" vertical="center"/>
    </xf>
    <xf numFmtId="0" fontId="40" fillId="0" borderId="40" xfId="4" applyFont="1" applyBorder="1" applyAlignment="1">
      <alignment horizontal="center" vertical="center"/>
    </xf>
    <xf numFmtId="0" fontId="16" fillId="0" borderId="4" xfId="4" applyFont="1" applyBorder="1" applyAlignment="1">
      <alignment vertical="center"/>
    </xf>
    <xf numFmtId="0" fontId="16" fillId="0" borderId="2" xfId="4" applyFont="1" applyBorder="1" applyAlignment="1">
      <alignment vertical="center"/>
    </xf>
    <xf numFmtId="0" fontId="16" fillId="0" borderId="3" xfId="4" applyFont="1" applyBorder="1" applyAlignment="1">
      <alignment vertical="center"/>
    </xf>
    <xf numFmtId="186" fontId="16" fillId="0" borderId="4" xfId="4" applyNumberFormat="1" applyFont="1" applyBorder="1" applyAlignment="1">
      <alignment horizontal="left" vertical="center"/>
    </xf>
    <xf numFmtId="186" fontId="16" fillId="0" borderId="2" xfId="4" applyNumberFormat="1" applyFont="1" applyBorder="1" applyAlignment="1">
      <alignment horizontal="left" vertical="center"/>
    </xf>
    <xf numFmtId="186" fontId="16" fillId="0" borderId="3" xfId="4" applyNumberFormat="1" applyFont="1" applyBorder="1" applyAlignment="1">
      <alignment horizontal="left" vertical="center"/>
    </xf>
    <xf numFmtId="187" fontId="16" fillId="0" borderId="4" xfId="4" applyNumberFormat="1" applyFont="1" applyBorder="1" applyAlignment="1">
      <alignment horizontal="left" vertical="center"/>
    </xf>
    <xf numFmtId="187" fontId="16" fillId="0" borderId="2" xfId="4" applyNumberFormat="1" applyFont="1" applyBorder="1" applyAlignment="1">
      <alignment horizontal="left" vertical="center"/>
    </xf>
    <xf numFmtId="187" fontId="16" fillId="0" borderId="3" xfId="4" applyNumberFormat="1" applyFont="1" applyBorder="1" applyAlignment="1">
      <alignment horizontal="left" vertical="center"/>
    </xf>
    <xf numFmtId="0" fontId="16" fillId="2" borderId="45" xfId="4" applyFont="1" applyFill="1" applyBorder="1" applyAlignment="1" applyProtection="1">
      <alignment horizontal="left" vertical="center" wrapText="1"/>
      <protection locked="0"/>
    </xf>
    <xf numFmtId="0" fontId="16" fillId="2" borderId="27" xfId="4" applyFont="1" applyFill="1" applyBorder="1" applyAlignment="1" applyProtection="1">
      <alignment horizontal="left" vertical="center" wrapText="1"/>
      <protection locked="0"/>
    </xf>
    <xf numFmtId="0" fontId="16" fillId="2" borderId="29" xfId="4" applyFont="1" applyFill="1" applyBorder="1" applyAlignment="1" applyProtection="1">
      <alignment horizontal="left" vertical="center" wrapText="1"/>
      <protection locked="0"/>
    </xf>
    <xf numFmtId="0" fontId="16" fillId="2" borderId="46" xfId="4" applyFont="1" applyFill="1" applyBorder="1" applyAlignment="1" applyProtection="1">
      <alignment horizontal="left" vertical="center" wrapText="1"/>
      <protection locked="0"/>
    </xf>
    <xf numFmtId="0" fontId="16" fillId="2" borderId="32" xfId="4" applyFont="1" applyFill="1" applyBorder="1" applyAlignment="1" applyProtection="1">
      <alignment horizontal="left" vertical="center" wrapText="1"/>
      <protection locked="0"/>
    </xf>
    <xf numFmtId="0" fontId="16" fillId="2" borderId="47" xfId="4" applyFont="1" applyFill="1" applyBorder="1" applyAlignment="1" applyProtection="1">
      <alignment horizontal="left" vertical="center" wrapText="1"/>
      <protection locked="0"/>
    </xf>
    <xf numFmtId="0" fontId="16" fillId="2" borderId="38" xfId="4" applyFont="1" applyFill="1" applyBorder="1" applyAlignment="1" applyProtection="1">
      <alignment horizontal="left" vertical="center" wrapText="1"/>
      <protection locked="0"/>
    </xf>
    <xf numFmtId="0" fontId="16" fillId="2" borderId="40" xfId="4" applyFont="1" applyFill="1" applyBorder="1" applyAlignment="1" applyProtection="1">
      <alignment horizontal="left" vertical="center" wrapText="1"/>
      <protection locked="0"/>
    </xf>
    <xf numFmtId="0" fontId="16" fillId="2" borderId="26" xfId="4" applyFont="1" applyFill="1" applyBorder="1" applyAlignment="1" applyProtection="1">
      <alignment horizontal="left" vertical="center" wrapText="1"/>
      <protection locked="0"/>
    </xf>
    <xf numFmtId="0" fontId="16" fillId="2" borderId="37" xfId="4" applyFont="1" applyFill="1" applyBorder="1" applyAlignment="1" applyProtection="1">
      <alignment horizontal="left" vertical="center" wrapText="1"/>
      <protection locked="0"/>
    </xf>
    <xf numFmtId="0" fontId="16" fillId="2" borderId="50" xfId="4" applyFont="1" applyFill="1" applyBorder="1" applyAlignment="1" applyProtection="1">
      <alignment horizontal="left" vertical="center" wrapText="1"/>
      <protection locked="0"/>
    </xf>
    <xf numFmtId="0" fontId="16" fillId="2" borderId="51" xfId="4" applyFont="1" applyFill="1" applyBorder="1" applyAlignment="1" applyProtection="1">
      <alignment horizontal="left" vertical="center" wrapText="1"/>
      <protection locked="0"/>
    </xf>
    <xf numFmtId="0" fontId="16" fillId="2" borderId="52" xfId="4" applyFont="1" applyFill="1" applyBorder="1" applyAlignment="1" applyProtection="1">
      <alignment horizontal="left" vertical="center" wrapText="1"/>
      <protection locked="0"/>
    </xf>
    <xf numFmtId="0" fontId="16" fillId="2" borderId="36" xfId="4" applyFont="1" applyFill="1" applyBorder="1" applyAlignment="1" applyProtection="1">
      <alignment horizontal="left" vertical="center" wrapText="1"/>
      <protection locked="0"/>
    </xf>
    <xf numFmtId="0" fontId="16" fillId="2" borderId="53" xfId="4" applyFont="1" applyFill="1" applyBorder="1" applyAlignment="1" applyProtection="1">
      <alignment horizontal="left" vertical="center" wrapText="1"/>
      <protection locked="0"/>
    </xf>
    <xf numFmtId="0" fontId="16" fillId="2" borderId="6" xfId="4" applyFont="1" applyFill="1" applyBorder="1" applyAlignment="1" applyProtection="1">
      <alignment horizontal="left" vertical="center" wrapText="1"/>
      <protection locked="0"/>
    </xf>
    <xf numFmtId="0" fontId="16" fillId="2" borderId="34" xfId="4" applyFont="1" applyFill="1" applyBorder="1" applyAlignment="1" applyProtection="1">
      <alignment horizontal="left" vertical="center" wrapText="1"/>
      <protection locked="0"/>
    </xf>
    <xf numFmtId="0" fontId="16" fillId="2" borderId="54" xfId="4" applyFont="1" applyFill="1" applyBorder="1" applyAlignment="1" applyProtection="1">
      <alignment horizontal="left" vertical="center" wrapText="1"/>
      <protection locked="0"/>
    </xf>
    <xf numFmtId="0" fontId="32" fillId="9" borderId="25" xfId="4" applyFont="1" applyFill="1" applyBorder="1" applyAlignment="1">
      <alignment horizontal="center" vertical="center" textRotation="255"/>
    </xf>
    <xf numFmtId="0" fontId="32" fillId="9" borderId="30" xfId="4" applyFont="1" applyFill="1" applyBorder="1" applyAlignment="1">
      <alignment horizontal="center" vertical="center" textRotation="255"/>
    </xf>
    <xf numFmtId="0" fontId="32" fillId="9" borderId="42" xfId="4" applyFont="1" applyFill="1" applyBorder="1" applyAlignment="1">
      <alignment horizontal="center" vertical="center" textRotation="255"/>
    </xf>
    <xf numFmtId="0" fontId="32" fillId="9" borderId="45" xfId="4" applyFont="1" applyFill="1" applyBorder="1" applyAlignment="1">
      <alignment horizontal="center" vertical="center" textRotation="255"/>
    </xf>
    <xf numFmtId="0" fontId="32" fillId="9" borderId="46" xfId="4" applyFont="1" applyFill="1" applyBorder="1" applyAlignment="1">
      <alignment horizontal="center" vertical="center" textRotation="255"/>
    </xf>
    <xf numFmtId="0" fontId="32" fillId="9" borderId="47" xfId="4" applyFont="1" applyFill="1" applyBorder="1" applyAlignment="1">
      <alignment horizontal="center" vertical="center" textRotation="255"/>
    </xf>
    <xf numFmtId="0" fontId="23" fillId="9" borderId="25" xfId="4" applyFont="1" applyFill="1" applyBorder="1" applyAlignment="1">
      <alignment horizontal="center" vertical="center" textRotation="255"/>
    </xf>
    <xf numFmtId="0" fontId="31" fillId="9" borderId="30" xfId="4" applyFont="1" applyFill="1" applyBorder="1" applyAlignment="1">
      <alignment horizontal="center" vertical="center" textRotation="255"/>
    </xf>
    <xf numFmtId="0" fontId="23" fillId="9" borderId="30" xfId="4" applyFont="1" applyFill="1" applyBorder="1" applyAlignment="1">
      <alignment horizontal="center" vertical="center" textRotation="255"/>
    </xf>
    <xf numFmtId="0" fontId="22" fillId="9" borderId="25" xfId="4" applyFont="1" applyFill="1" applyBorder="1" applyAlignment="1">
      <alignment horizontal="center" vertical="center" textRotation="255" wrapText="1"/>
    </xf>
    <xf numFmtId="0" fontId="22" fillId="9" borderId="30" xfId="4" applyFont="1" applyFill="1" applyBorder="1" applyAlignment="1">
      <alignment horizontal="center" vertical="center" textRotation="255"/>
    </xf>
    <xf numFmtId="0" fontId="23" fillId="9" borderId="41" xfId="4" applyFont="1" applyFill="1" applyBorder="1" applyAlignment="1">
      <alignment horizontal="center" vertical="center" textRotation="255"/>
    </xf>
    <xf numFmtId="0" fontId="23" fillId="9" borderId="42" xfId="4" applyFont="1" applyFill="1" applyBorder="1" applyAlignment="1">
      <alignment horizontal="center" vertical="center" textRotation="255"/>
    </xf>
    <xf numFmtId="0" fontId="31" fillId="9" borderId="25" xfId="4" applyFont="1" applyFill="1" applyBorder="1" applyAlignment="1">
      <alignment horizontal="center" vertical="center" textRotation="255"/>
    </xf>
    <xf numFmtId="0" fontId="31" fillId="9" borderId="42" xfId="4" applyFont="1" applyFill="1" applyBorder="1" applyAlignment="1">
      <alignment horizontal="center" vertical="center" textRotation="255"/>
    </xf>
    <xf numFmtId="0" fontId="12" fillId="15" borderId="45" xfId="0" applyFont="1" applyFill="1" applyBorder="1" applyAlignment="1">
      <alignment horizontal="center" vertical="center" wrapText="1"/>
    </xf>
    <xf numFmtId="0" fontId="12" fillId="15" borderId="47" xfId="0" applyFont="1" applyFill="1" applyBorder="1" applyAlignment="1">
      <alignment horizontal="center" vertical="center" wrapText="1"/>
    </xf>
    <xf numFmtId="0" fontId="12" fillId="13" borderId="60" xfId="0" applyFont="1" applyFill="1" applyBorder="1" applyAlignment="1">
      <alignment horizontal="center" vertical="center" wrapText="1"/>
    </xf>
    <xf numFmtId="0" fontId="12" fillId="13" borderId="62" xfId="0" applyFont="1" applyFill="1" applyBorder="1" applyAlignment="1">
      <alignment horizontal="center" vertical="center"/>
    </xf>
    <xf numFmtId="0" fontId="12" fillId="13" borderId="63" xfId="0" applyFont="1" applyFill="1" applyBorder="1" applyAlignment="1">
      <alignment horizontal="center" vertical="center"/>
    </xf>
    <xf numFmtId="0" fontId="12" fillId="15" borderId="58" xfId="0" applyFont="1" applyFill="1" applyBorder="1" applyAlignment="1">
      <alignment horizontal="center" vertical="center" wrapText="1"/>
    </xf>
    <xf numFmtId="0" fontId="12" fillId="15" borderId="59" xfId="0" applyFont="1" applyFill="1" applyBorder="1" applyAlignment="1">
      <alignment horizontal="center" vertical="center" wrapText="1"/>
    </xf>
    <xf numFmtId="0" fontId="0" fillId="0" borderId="12" xfId="0" applyBorder="1" applyAlignment="1">
      <alignment horizontal="left" vertical="center" wrapText="1"/>
    </xf>
    <xf numFmtId="0" fontId="0" fillId="0" borderId="7" xfId="0" applyBorder="1" applyAlignment="1">
      <alignment horizontal="left" vertical="center" wrapText="1"/>
    </xf>
    <xf numFmtId="0" fontId="0" fillId="0" borderId="11" xfId="0" applyBorder="1" applyAlignment="1">
      <alignment horizontal="left" vertical="center" wrapText="1"/>
    </xf>
    <xf numFmtId="0" fontId="0" fillId="0" borderId="15" xfId="0" applyBorder="1" applyAlignment="1">
      <alignment horizontal="left" vertical="center" wrapText="1"/>
    </xf>
    <xf numFmtId="0" fontId="0" fillId="0" borderId="60" xfId="0" applyBorder="1" applyAlignment="1">
      <alignment horizontal="center" vertical="center"/>
    </xf>
    <xf numFmtId="0" fontId="0" fillId="0" borderId="61" xfId="0" applyBorder="1" applyAlignment="1">
      <alignment horizontal="center" vertical="center"/>
    </xf>
  </cellXfs>
  <cellStyles count="6">
    <cellStyle name="パーセント" xfId="1" builtinId="5"/>
    <cellStyle name="桁区切り" xfId="2" builtinId="6"/>
    <cellStyle name="標準" xfId="0" builtinId="0"/>
    <cellStyle name="標準 2" xfId="3" xr:uid="{00000000-0005-0000-0000-000003000000}"/>
    <cellStyle name="標準 3" xfId="4" xr:uid="{00000000-0005-0000-0000-000004000000}"/>
    <cellStyle name="標準_Sheet4" xfId="5" xr:uid="{00000000-0005-0000-0000-000005000000}"/>
  </cellStyles>
  <dxfs count="74">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9" defaultPivotStyle="PivotStyleLight16"/>
  <colors>
    <mruColors>
      <color rgb="FFFFFF99"/>
      <color rgb="FFE6FFFF"/>
      <color rgb="FFE6F8FA"/>
      <color rgb="FF000000"/>
      <color rgb="FF002E8A"/>
      <color rgb="FFFF7575"/>
      <color rgb="FFE4EBF4"/>
      <color rgb="FFDBE5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058518374241108"/>
          <c:y val="0.16076868685325157"/>
          <c:w val="0.61711969661872701"/>
          <c:h val="0.69762805080495838"/>
        </c:manualLayout>
      </c:layout>
      <c:radarChart>
        <c:radarStyle val="marker"/>
        <c:varyColors val="0"/>
        <c:ser>
          <c:idx val="0"/>
          <c:order val="0"/>
          <c:tx>
            <c:strRef>
              <c:f>'財務分析シート ver3'!$H$19</c:f>
              <c:strCache>
                <c:ptCount val="1"/>
              </c:strCache>
            </c:strRef>
          </c:tx>
          <c:spPr>
            <a:ln w="25400" cap="rnd">
              <a:solidFill>
                <a:schemeClr val="accent6"/>
              </a:solidFill>
              <a:round/>
            </a:ln>
            <a:effectLst/>
          </c:spPr>
          <c:marker>
            <c:symbol val="circle"/>
            <c:size val="7"/>
            <c:spPr>
              <a:solidFill>
                <a:schemeClr val="accent6"/>
              </a:solidFill>
              <a:ln w="9525">
                <a:solidFill>
                  <a:schemeClr val="accent6"/>
                </a:solidFill>
              </a:ln>
              <a:effectLst/>
            </c:spPr>
          </c:marker>
          <c:cat>
            <c:strRef>
              <c:f>'財務分析シート ver3'!$B$21:$B$26</c:f>
              <c:strCache>
                <c:ptCount val="6"/>
                <c:pt idx="0">
                  <c:v>①売上増加率</c:v>
                </c:pt>
                <c:pt idx="1">
                  <c:v>②営業利益率</c:v>
                </c:pt>
                <c:pt idx="2">
                  <c:v>③労働生産性</c:v>
                </c:pt>
                <c:pt idx="3">
                  <c:v>④EBITDA有利子負債倍率</c:v>
                </c:pt>
                <c:pt idx="4">
                  <c:v>⑤営業運転資本回転期間</c:v>
                </c:pt>
                <c:pt idx="5">
                  <c:v>⑥自己資本比率</c:v>
                </c:pt>
              </c:strCache>
            </c:strRef>
          </c:cat>
          <c:val>
            <c:numRef>
              <c:f>'財務分析シート ver3'!$H$21:$H$26</c:f>
              <c:numCache>
                <c:formatCode>General</c:formatCode>
                <c:ptCount val="6"/>
              </c:numCache>
            </c:numRef>
          </c:val>
          <c:extLst>
            <c:ext xmlns:c16="http://schemas.microsoft.com/office/drawing/2014/chart" uri="{C3380CC4-5D6E-409C-BE32-E72D297353CC}">
              <c16:uniqueId val="{00000000-6A60-473C-A05F-EFF4A13E0EC7}"/>
            </c:ext>
          </c:extLst>
        </c:ser>
        <c:ser>
          <c:idx val="3"/>
          <c:order val="1"/>
          <c:tx>
            <c:strRef>
              <c:f>【入力】財務分析!$O$4</c:f>
              <c:strCache>
                <c:ptCount val="1"/>
                <c:pt idx="0">
                  <c:v>2015年3月</c:v>
                </c:pt>
              </c:strCache>
            </c:strRef>
          </c:tx>
          <c:spPr>
            <a:ln w="25400">
              <a:solidFill>
                <a:schemeClr val="bg1">
                  <a:lumMod val="50000"/>
                </a:schemeClr>
              </a:solidFill>
              <a:prstDash val="sysDash"/>
            </a:ln>
          </c:spPr>
          <c:marker>
            <c:symbol val="diamond"/>
            <c:size val="7"/>
            <c:spPr>
              <a:solidFill>
                <a:schemeClr val="bg1">
                  <a:lumMod val="50000"/>
                </a:schemeClr>
              </a:solidFill>
              <a:ln>
                <a:solidFill>
                  <a:schemeClr val="tx1">
                    <a:lumMod val="65000"/>
                    <a:lumOff val="35000"/>
                  </a:schemeClr>
                </a:solidFill>
              </a:ln>
            </c:spPr>
          </c:marker>
          <c:val>
            <c:numRef>
              <c:f>【入力】財務分析!$P$6:$P$11</c:f>
              <c:numCache>
                <c:formatCode>General</c:formatCode>
                <c:ptCount val="6"/>
                <c:pt idx="0">
                  <c:v>2</c:v>
                </c:pt>
                <c:pt idx="1">
                  <c:v>2</c:v>
                </c:pt>
                <c:pt idx="2">
                  <c:v>2</c:v>
                </c:pt>
                <c:pt idx="3">
                  <c:v>1</c:v>
                </c:pt>
                <c:pt idx="4">
                  <c:v>2</c:v>
                </c:pt>
                <c:pt idx="5">
                  <c:v>3</c:v>
                </c:pt>
              </c:numCache>
            </c:numRef>
          </c:val>
          <c:extLst>
            <c:ext xmlns:c16="http://schemas.microsoft.com/office/drawing/2014/chart" uri="{C3380CC4-5D6E-409C-BE32-E72D297353CC}">
              <c16:uniqueId val="{00000001-6A60-473C-A05F-EFF4A13E0EC7}"/>
            </c:ext>
          </c:extLst>
        </c:ser>
        <c:ser>
          <c:idx val="4"/>
          <c:order val="2"/>
          <c:tx>
            <c:strRef>
              <c:f>【入力】財務分析!$M$4</c:f>
              <c:strCache>
                <c:ptCount val="1"/>
                <c:pt idx="0">
                  <c:v>2016年3月</c:v>
                </c:pt>
              </c:strCache>
            </c:strRef>
          </c:tx>
          <c:spPr>
            <a:ln w="25400">
              <a:solidFill>
                <a:srgbClr val="0070C0"/>
              </a:solidFill>
              <a:prstDash val="sysDash"/>
            </a:ln>
          </c:spPr>
          <c:marker>
            <c:symbol val="diamond"/>
            <c:size val="7"/>
            <c:spPr>
              <a:solidFill>
                <a:srgbClr val="0070C0"/>
              </a:solidFill>
              <a:ln>
                <a:solidFill>
                  <a:schemeClr val="bg1">
                    <a:lumMod val="65000"/>
                  </a:schemeClr>
                </a:solidFill>
              </a:ln>
            </c:spPr>
          </c:marker>
          <c:val>
            <c:numRef>
              <c:f>【入力】財務分析!$N$6:$N$11</c:f>
              <c:numCache>
                <c:formatCode>General</c:formatCode>
                <c:ptCount val="6"/>
                <c:pt idx="0">
                  <c:v>2</c:v>
                </c:pt>
                <c:pt idx="1">
                  <c:v>2</c:v>
                </c:pt>
                <c:pt idx="2">
                  <c:v>2</c:v>
                </c:pt>
                <c:pt idx="3">
                  <c:v>1</c:v>
                </c:pt>
                <c:pt idx="4">
                  <c:v>1</c:v>
                </c:pt>
                <c:pt idx="5">
                  <c:v>2</c:v>
                </c:pt>
              </c:numCache>
            </c:numRef>
          </c:val>
          <c:extLst>
            <c:ext xmlns:c16="http://schemas.microsoft.com/office/drawing/2014/chart" uri="{C3380CC4-5D6E-409C-BE32-E72D297353CC}">
              <c16:uniqueId val="{00000002-6A60-473C-A05F-EFF4A13E0EC7}"/>
            </c:ext>
          </c:extLst>
        </c:ser>
        <c:ser>
          <c:idx val="2"/>
          <c:order val="3"/>
          <c:tx>
            <c:strRef>
              <c:f>【入力】財務分析!$K$4</c:f>
              <c:strCache>
                <c:ptCount val="1"/>
                <c:pt idx="0">
                  <c:v>2017年3月</c:v>
                </c:pt>
              </c:strCache>
            </c:strRef>
          </c:tx>
          <c:spPr>
            <a:ln>
              <a:solidFill>
                <a:schemeClr val="accent6"/>
              </a:solidFill>
            </a:ln>
          </c:spPr>
          <c:marker>
            <c:symbol val="circle"/>
            <c:size val="7"/>
            <c:spPr>
              <a:solidFill>
                <a:srgbClr val="FF0000"/>
              </a:solidFill>
              <a:ln>
                <a:solidFill>
                  <a:schemeClr val="accent6"/>
                </a:solidFill>
              </a:ln>
            </c:spPr>
          </c:marker>
          <c:val>
            <c:numRef>
              <c:f>【入力】財務分析!$L$6:$L$11</c:f>
              <c:numCache>
                <c:formatCode>General</c:formatCode>
                <c:ptCount val="6"/>
                <c:pt idx="0">
                  <c:v>3</c:v>
                </c:pt>
                <c:pt idx="1">
                  <c:v>2</c:v>
                </c:pt>
                <c:pt idx="2">
                  <c:v>3</c:v>
                </c:pt>
                <c:pt idx="3">
                  <c:v>5</c:v>
                </c:pt>
                <c:pt idx="4">
                  <c:v>2</c:v>
                </c:pt>
                <c:pt idx="5">
                  <c:v>3</c:v>
                </c:pt>
              </c:numCache>
            </c:numRef>
          </c:val>
          <c:extLst>
            <c:ext xmlns:c16="http://schemas.microsoft.com/office/drawing/2014/chart" uri="{C3380CC4-5D6E-409C-BE32-E72D297353CC}">
              <c16:uniqueId val="{00000003-6A60-473C-A05F-EFF4A13E0EC7}"/>
            </c:ext>
          </c:extLst>
        </c:ser>
        <c:dLbls>
          <c:showLegendKey val="0"/>
          <c:showVal val="0"/>
          <c:showCatName val="0"/>
          <c:showSerName val="0"/>
          <c:showPercent val="0"/>
          <c:showBubbleSize val="0"/>
        </c:dLbls>
        <c:axId val="317346472"/>
        <c:axId val="317344120"/>
      </c:radarChart>
      <c:catAx>
        <c:axId val="317346472"/>
        <c:scaling>
          <c:orientation val="minMax"/>
        </c:scaling>
        <c:delete val="1"/>
        <c:axPos val="b"/>
        <c:majorGridlines>
          <c:spPr>
            <a:ln w="9525">
              <a:noFill/>
            </a:ln>
          </c:spPr>
        </c:majorGridlines>
        <c:numFmt formatCode="General" sourceLinked="1"/>
        <c:majorTickMark val="out"/>
        <c:minorTickMark val="none"/>
        <c:tickLblPos val="nextTo"/>
        <c:crossAx val="317344120"/>
        <c:crosses val="autoZero"/>
        <c:auto val="0"/>
        <c:lblAlgn val="ctr"/>
        <c:lblOffset val="100"/>
        <c:noMultiLvlLbl val="0"/>
      </c:catAx>
      <c:valAx>
        <c:axId val="31734412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17346472"/>
        <c:crosses val="autoZero"/>
        <c:crossBetween val="between"/>
        <c:majorUnit val="1"/>
      </c:valAx>
      <c:spPr>
        <a:noFill/>
        <a:ln w="25400">
          <a:noFill/>
        </a:ln>
      </c:spPr>
    </c:plotArea>
    <c:plotVisOnly val="1"/>
    <c:dispBlanksAs val="gap"/>
    <c:showDLblsOverMax val="0"/>
  </c:chart>
  <c:spPr>
    <a:solidFill>
      <a:schemeClr val="bg1"/>
    </a:solidFill>
    <a:ln w="9525" cap="flat" cmpd="sng" algn="ctr">
      <a:solidFill>
        <a:schemeClr val="bg1"/>
      </a:solidFill>
      <a:round/>
    </a:ln>
    <a:effectLst/>
  </c:spPr>
  <c:txPr>
    <a:bodyPr/>
    <a:lstStyle/>
    <a:p>
      <a:pPr>
        <a:defRPr/>
      </a:pPr>
      <a:endParaRPr lang="ja-JP"/>
    </a:p>
  </c:txPr>
  <c:printSettings>
    <c:headerFooter/>
    <c:pageMargins b="0.75000000000000022" l="0.70000000000000018" r="0.70000000000000018" t="0.75000000000000022" header="0.3000000000000001" footer="0.3000000000000001"/>
    <c:pageSetup orientation="portrait"/>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image" Target="../media/image4.gif"/><Relationship Id="rId2" Type="http://schemas.openxmlformats.org/officeDocument/2006/relationships/image" Target="../media/image3.jpe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hyperlink" Target="#&#12304;&#21442;&#29031;&#12305;&#26989;&#31278;!A2"/><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hyperlink" Target="#&#12304;&#20837;&#21147;&#12305;&#36001;&#21209;&#20998;&#26512;!D9"/></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38156</xdr:colOff>
      <xdr:row>2</xdr:row>
      <xdr:rowOff>35304</xdr:rowOff>
    </xdr:from>
    <xdr:to>
      <xdr:col>21</xdr:col>
      <xdr:colOff>73891</xdr:colOff>
      <xdr:row>27</xdr:row>
      <xdr:rowOff>293303</xdr:rowOff>
    </xdr:to>
    <xdr:graphicFrame macro="">
      <xdr:nvGraphicFramePr>
        <xdr:cNvPr id="2" name="グラフ 3">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13562</xdr:colOff>
      <xdr:row>0</xdr:row>
      <xdr:rowOff>101661</xdr:rowOff>
    </xdr:from>
    <xdr:to>
      <xdr:col>6</xdr:col>
      <xdr:colOff>112054</xdr:colOff>
      <xdr:row>2</xdr:row>
      <xdr:rowOff>100192</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5268" y="101661"/>
          <a:ext cx="2911168" cy="794149"/>
        </a:xfrm>
        <a:prstGeom prst="rect">
          <a:avLst/>
        </a:prstGeom>
      </xdr:spPr>
    </xdr:pic>
    <xdr:clientData/>
  </xdr:twoCellAnchor>
  <xdr:twoCellAnchor>
    <xdr:from>
      <xdr:col>11</xdr:col>
      <xdr:colOff>30201</xdr:colOff>
      <xdr:row>0</xdr:row>
      <xdr:rowOff>119527</xdr:rowOff>
    </xdr:from>
    <xdr:to>
      <xdr:col>21</xdr:col>
      <xdr:colOff>65936</xdr:colOff>
      <xdr:row>1</xdr:row>
      <xdr:rowOff>374615</xdr:rowOff>
    </xdr:to>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5184907" y="119527"/>
          <a:ext cx="5112000" cy="636088"/>
        </a:xfrm>
        <a:prstGeom prst="rect">
          <a:avLst/>
        </a:prstGeom>
        <a:solidFill>
          <a:schemeClr val="bg1"/>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b="0">
              <a:solidFill>
                <a:sysClr val="windowText" lastClr="000000"/>
              </a:solidFill>
              <a:latin typeface="Meiryo UI" panose="020B0604030504040204" pitchFamily="50" charset="-128"/>
              <a:ea typeface="Meiryo UI" panose="020B0604030504040204" pitchFamily="50" charset="-128"/>
            </a:rPr>
            <a:t>財　　務　　分　　析　　結　　果</a:t>
          </a:r>
        </a:p>
      </xdr:txBody>
    </xdr:sp>
    <xdr:clientData/>
  </xdr:twoCellAnchor>
  <xdr:twoCellAnchor editAs="oneCell">
    <xdr:from>
      <xdr:col>1</xdr:col>
      <xdr:colOff>1461</xdr:colOff>
      <xdr:row>41</xdr:row>
      <xdr:rowOff>123264</xdr:rowOff>
    </xdr:from>
    <xdr:to>
      <xdr:col>3</xdr:col>
      <xdr:colOff>101311</xdr:colOff>
      <xdr:row>43</xdr:row>
      <xdr:rowOff>150326</xdr:rowOff>
    </xdr:to>
    <xdr:pic>
      <xdr:nvPicPr>
        <xdr:cNvPr id="5" name="図 4" descr="経済産業省">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3167" y="6958852"/>
          <a:ext cx="1758320" cy="442800"/>
        </a:xfrm>
        <a:prstGeom prst="rect">
          <a:avLst/>
        </a:prstGeom>
        <a:solidFill>
          <a:sysClr val="window" lastClr="FFFFFF"/>
        </a:solidFill>
      </xdr:spPr>
    </xdr:pic>
    <xdr:clientData/>
  </xdr:twoCellAnchor>
  <mc:AlternateContent xmlns:mc="http://schemas.openxmlformats.org/markup-compatibility/2006">
    <mc:Choice xmlns:a14="http://schemas.microsoft.com/office/drawing/2010/main" Requires="a14">
      <xdr:twoCellAnchor editAs="oneCell">
        <xdr:from>
          <xdr:col>24</xdr:col>
          <xdr:colOff>60960</xdr:colOff>
          <xdr:row>0</xdr:row>
          <xdr:rowOff>137160</xdr:rowOff>
        </xdr:from>
        <xdr:to>
          <xdr:col>28</xdr:col>
          <xdr:colOff>190500</xdr:colOff>
          <xdr:row>1</xdr:row>
          <xdr:rowOff>373380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145677</xdr:colOff>
      <xdr:row>1</xdr:row>
      <xdr:rowOff>278486</xdr:rowOff>
    </xdr:from>
    <xdr:to>
      <xdr:col>10</xdr:col>
      <xdr:colOff>1</xdr:colOff>
      <xdr:row>2</xdr:row>
      <xdr:rowOff>100192</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3160059" y="659486"/>
          <a:ext cx="1714501" cy="236324"/>
        </a:xfrm>
        <a:prstGeom prst="rect">
          <a:avLst/>
        </a:prstGeom>
        <a:solidFill>
          <a:schemeClr val="bg1"/>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900" b="0">
              <a:solidFill>
                <a:sysClr val="windowText" lastClr="000000"/>
              </a:solidFill>
              <a:latin typeface="Meiryo UI" panose="020B0604030504040204" pitchFamily="50" charset="-128"/>
              <a:ea typeface="Meiryo UI" panose="020B0604030504040204" pitchFamily="50" charset="-128"/>
            </a:rPr>
            <a:t>2018</a:t>
          </a:r>
          <a:r>
            <a:rPr kumimoji="1" lang="ja-JP" altLang="en-US" sz="900" b="0">
              <a:solidFill>
                <a:sysClr val="windowText" lastClr="000000"/>
              </a:solidFill>
              <a:latin typeface="Meiryo UI" panose="020B0604030504040204" pitchFamily="50" charset="-128"/>
              <a:ea typeface="Meiryo UI" panose="020B0604030504040204" pitchFamily="50" charset="-128"/>
            </a:rPr>
            <a:t>年度版</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0.77695</cdr:x>
      <cdr:y>0.35778</cdr:y>
    </cdr:from>
    <cdr:to>
      <cdr:x>0.99746</cdr:x>
      <cdr:y>0.4042</cdr:y>
    </cdr:to>
    <cdr:sp macro="" textlink="">
      <cdr:nvSpPr>
        <cdr:cNvPr id="2" name="正方形/長方形 1"/>
        <cdr:cNvSpPr/>
      </cdr:nvSpPr>
      <cdr:spPr>
        <a:xfrm xmlns:a="http://schemas.openxmlformats.org/drawingml/2006/main">
          <a:off x="2528996" y="1030187"/>
          <a:ext cx="717768" cy="133672"/>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②営業利益率</a:t>
          </a:r>
        </a:p>
      </cdr:txBody>
    </cdr:sp>
  </cdr:relSizeAnchor>
  <cdr:relSizeAnchor xmlns:cdr="http://schemas.openxmlformats.org/drawingml/2006/chartDrawing">
    <cdr:from>
      <cdr:x>0.77523</cdr:x>
      <cdr:y>0.69571</cdr:y>
    </cdr:from>
    <cdr:to>
      <cdr:x>0.99574</cdr:x>
      <cdr:y>0.75828</cdr:y>
    </cdr:to>
    <cdr:sp macro="" textlink="">
      <cdr:nvSpPr>
        <cdr:cNvPr id="3" name="正方形/長方形 2"/>
        <cdr:cNvSpPr/>
      </cdr:nvSpPr>
      <cdr:spPr>
        <a:xfrm xmlns:a="http://schemas.openxmlformats.org/drawingml/2006/main">
          <a:off x="2523410" y="2003233"/>
          <a:ext cx="717768" cy="18016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③労働生産性</a:t>
          </a:r>
        </a:p>
      </cdr:txBody>
    </cdr:sp>
  </cdr:relSizeAnchor>
  <cdr:relSizeAnchor xmlns:cdr="http://schemas.openxmlformats.org/drawingml/2006/chartDrawing">
    <cdr:from>
      <cdr:x>0.30983</cdr:x>
      <cdr:y>0.92334</cdr:y>
    </cdr:from>
    <cdr:to>
      <cdr:x>0.69572</cdr:x>
      <cdr:y>0.98879</cdr:y>
    </cdr:to>
    <cdr:sp macro="" textlink="">
      <cdr:nvSpPr>
        <cdr:cNvPr id="4" name="正方形/長方形 3"/>
        <cdr:cNvSpPr/>
      </cdr:nvSpPr>
      <cdr:spPr>
        <a:xfrm xmlns:a="http://schemas.openxmlformats.org/drawingml/2006/main">
          <a:off x="1008523" y="2658655"/>
          <a:ext cx="1256093" cy="18845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④</a:t>
          </a:r>
          <a:r>
            <a:rPr kumimoji="1" lang="en-US" altLang="ja-JP"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EBITDA</a:t>
          </a:r>
          <a:r>
            <a:rPr kumimoji="1" lang="ja-JP" altLang="en-US"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有利子負債倍率</a:t>
          </a:r>
        </a:p>
      </cdr:txBody>
    </cdr:sp>
  </cdr:relSizeAnchor>
  <cdr:relSizeAnchor xmlns:cdr="http://schemas.openxmlformats.org/drawingml/2006/chartDrawing">
    <cdr:from>
      <cdr:x>0</cdr:x>
      <cdr:y>0.72619</cdr:y>
    </cdr:from>
    <cdr:to>
      <cdr:x>0.25437</cdr:x>
      <cdr:y>0.79164</cdr:y>
    </cdr:to>
    <cdr:sp macro="" textlink="">
      <cdr:nvSpPr>
        <cdr:cNvPr id="5" name="正方形/長方形 4"/>
        <cdr:cNvSpPr/>
      </cdr:nvSpPr>
      <cdr:spPr>
        <a:xfrm xmlns:a="http://schemas.openxmlformats.org/drawingml/2006/main">
          <a:off x="0" y="2121524"/>
          <a:ext cx="828000" cy="19121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lnSpc>
              <a:spcPts val="1080"/>
            </a:lnSpc>
          </a:pPr>
          <a:r>
            <a:rPr kumimoji="1" lang="ja-JP" altLang="en-US"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⑤営業運転資本</a:t>
          </a:r>
          <a:endParaRPr kumimoji="1" lang="en-US" altLang="ja-JP"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xmlns:a="http://schemas.openxmlformats.org/drawingml/2006/main">
          <a:pPr algn="ctr">
            <a:lnSpc>
              <a:spcPts val="1080"/>
            </a:lnSpc>
          </a:pPr>
          <a:r>
            <a:rPr kumimoji="1" lang="ja-JP" altLang="en-US"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回転期間</a:t>
          </a:r>
        </a:p>
      </cdr:txBody>
    </cdr:sp>
  </cdr:relSizeAnchor>
  <cdr:relSizeAnchor xmlns:cdr="http://schemas.openxmlformats.org/drawingml/2006/chartDrawing">
    <cdr:from>
      <cdr:x>0.80391</cdr:x>
      <cdr:y>0.30616</cdr:y>
    </cdr:from>
    <cdr:to>
      <cdr:x>0.9724</cdr:x>
      <cdr:y>0.35226</cdr:y>
    </cdr:to>
    <cdr:sp macro="" textlink="">
      <cdr:nvSpPr>
        <cdr:cNvPr id="7" name="正方形/長方形 6"/>
        <cdr:cNvSpPr/>
      </cdr:nvSpPr>
      <cdr:spPr>
        <a:xfrm xmlns:a="http://schemas.openxmlformats.org/drawingml/2006/main">
          <a:off x="2616773" y="881560"/>
          <a:ext cx="548424" cy="132745"/>
        </a:xfrm>
        <a:prstGeom xmlns:a="http://schemas.openxmlformats.org/drawingml/2006/main" prst="rect">
          <a:avLst/>
        </a:prstGeom>
        <a:solidFill xmlns:a="http://schemas.openxmlformats.org/drawingml/2006/main">
          <a:schemeClr val="accent3"/>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800" b="1">
              <a:latin typeface="Meiryo UI" panose="020B0604030504040204" pitchFamily="50" charset="-128"/>
              <a:ea typeface="Meiryo UI" panose="020B0604030504040204" pitchFamily="50" charset="-128"/>
              <a:cs typeface="Meiryo UI" panose="020B0604030504040204" pitchFamily="50" charset="-128"/>
            </a:rPr>
            <a:t>収益性</a:t>
          </a:r>
        </a:p>
      </cdr:txBody>
    </cdr:sp>
  </cdr:relSizeAnchor>
  <cdr:relSizeAnchor xmlns:cdr="http://schemas.openxmlformats.org/drawingml/2006/chartDrawing">
    <cdr:from>
      <cdr:x>0.03751</cdr:x>
      <cdr:y>0.2994</cdr:y>
    </cdr:from>
    <cdr:to>
      <cdr:x>0.21621</cdr:x>
      <cdr:y>0.3455</cdr:y>
    </cdr:to>
    <cdr:sp macro="" textlink="">
      <cdr:nvSpPr>
        <cdr:cNvPr id="8" name="正方形/長方形 7"/>
        <cdr:cNvSpPr/>
      </cdr:nvSpPr>
      <cdr:spPr>
        <a:xfrm xmlns:a="http://schemas.openxmlformats.org/drawingml/2006/main">
          <a:off x="122085" y="874685"/>
          <a:ext cx="581683" cy="134685"/>
        </a:xfrm>
        <a:prstGeom xmlns:a="http://schemas.openxmlformats.org/drawingml/2006/main" prst="rect">
          <a:avLst/>
        </a:prstGeom>
        <a:solidFill xmlns:a="http://schemas.openxmlformats.org/drawingml/2006/main">
          <a:schemeClr val="accent3"/>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800" b="1">
              <a:latin typeface="Meiryo UI" panose="020B0604030504040204" pitchFamily="50" charset="-128"/>
              <a:ea typeface="Meiryo UI" panose="020B0604030504040204" pitchFamily="50" charset="-128"/>
              <a:cs typeface="Meiryo UI" panose="020B0604030504040204" pitchFamily="50" charset="-128"/>
            </a:rPr>
            <a:t>安全性</a:t>
          </a:r>
        </a:p>
      </cdr:txBody>
    </cdr:sp>
  </cdr:relSizeAnchor>
  <cdr:relSizeAnchor xmlns:cdr="http://schemas.openxmlformats.org/drawingml/2006/chartDrawing">
    <cdr:from>
      <cdr:x>0</cdr:x>
      <cdr:y>0.35635</cdr:y>
    </cdr:from>
    <cdr:to>
      <cdr:x>0.24774</cdr:x>
      <cdr:y>0.39839</cdr:y>
    </cdr:to>
    <cdr:sp macro="" textlink="">
      <cdr:nvSpPr>
        <cdr:cNvPr id="9" name="正方形/長方形 8"/>
        <cdr:cNvSpPr/>
      </cdr:nvSpPr>
      <cdr:spPr>
        <a:xfrm xmlns:a="http://schemas.openxmlformats.org/drawingml/2006/main">
          <a:off x="0" y="1041073"/>
          <a:ext cx="806400" cy="12279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⑥自己資本比率</a:t>
          </a:r>
        </a:p>
      </cdr:txBody>
    </cdr:sp>
  </cdr:relSizeAnchor>
  <cdr:relSizeAnchor xmlns:cdr="http://schemas.openxmlformats.org/drawingml/2006/chartDrawing">
    <cdr:from>
      <cdr:x>0.03768</cdr:x>
      <cdr:y>0.64616</cdr:y>
    </cdr:from>
    <cdr:to>
      <cdr:x>0.21638</cdr:x>
      <cdr:y>0.69083</cdr:y>
    </cdr:to>
    <cdr:sp macro="" textlink="">
      <cdr:nvSpPr>
        <cdr:cNvPr id="10" name="正方形/長方形 9"/>
        <cdr:cNvSpPr/>
      </cdr:nvSpPr>
      <cdr:spPr>
        <a:xfrm xmlns:a="http://schemas.openxmlformats.org/drawingml/2006/main">
          <a:off x="122649" y="1887743"/>
          <a:ext cx="581682" cy="130498"/>
        </a:xfrm>
        <a:prstGeom xmlns:a="http://schemas.openxmlformats.org/drawingml/2006/main" prst="rect">
          <a:avLst/>
        </a:prstGeom>
        <a:solidFill xmlns:a="http://schemas.openxmlformats.org/drawingml/2006/main">
          <a:schemeClr val="accent3"/>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800" b="1">
              <a:latin typeface="Meiryo UI" panose="020B0604030504040204" pitchFamily="50" charset="-128"/>
              <a:ea typeface="Meiryo UI" panose="020B0604030504040204" pitchFamily="50" charset="-128"/>
              <a:cs typeface="Meiryo UI" panose="020B0604030504040204" pitchFamily="50" charset="-128"/>
            </a:rPr>
            <a:t>効率性</a:t>
          </a:r>
        </a:p>
      </cdr:txBody>
    </cdr:sp>
  </cdr:relSizeAnchor>
  <cdr:relSizeAnchor xmlns:cdr="http://schemas.openxmlformats.org/drawingml/2006/chartDrawing">
    <cdr:from>
      <cdr:x>0.80491</cdr:x>
      <cdr:y>0.65014</cdr:y>
    </cdr:from>
    <cdr:to>
      <cdr:x>0.97339</cdr:x>
      <cdr:y>0.69624</cdr:y>
    </cdr:to>
    <cdr:sp macro="" textlink="">
      <cdr:nvSpPr>
        <cdr:cNvPr id="11" name="正方形/長方形 10"/>
        <cdr:cNvSpPr/>
      </cdr:nvSpPr>
      <cdr:spPr>
        <a:xfrm xmlns:a="http://schemas.openxmlformats.org/drawingml/2006/main">
          <a:off x="2620017" y="1872014"/>
          <a:ext cx="548425" cy="132745"/>
        </a:xfrm>
        <a:prstGeom xmlns:a="http://schemas.openxmlformats.org/drawingml/2006/main" prst="rect">
          <a:avLst/>
        </a:prstGeom>
        <a:solidFill xmlns:a="http://schemas.openxmlformats.org/drawingml/2006/main">
          <a:schemeClr val="accent3"/>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800" b="1">
              <a:latin typeface="Meiryo UI" panose="020B0604030504040204" pitchFamily="50" charset="-128"/>
              <a:ea typeface="Meiryo UI" panose="020B0604030504040204" pitchFamily="50" charset="-128"/>
              <a:cs typeface="Meiryo UI" panose="020B0604030504040204" pitchFamily="50" charset="-128"/>
            </a:rPr>
            <a:t>生産性</a:t>
          </a:r>
        </a:p>
      </cdr:txBody>
    </cdr:sp>
  </cdr:relSizeAnchor>
  <cdr:relSizeAnchor xmlns:cdr="http://schemas.openxmlformats.org/drawingml/2006/chartDrawing">
    <cdr:from>
      <cdr:x>0.42159</cdr:x>
      <cdr:y>0.88844</cdr:y>
    </cdr:from>
    <cdr:to>
      <cdr:x>0.58697</cdr:x>
      <cdr:y>0.93324</cdr:y>
    </cdr:to>
    <cdr:sp macro="" textlink="">
      <cdr:nvSpPr>
        <cdr:cNvPr id="13" name="正方形/長方形 12"/>
        <cdr:cNvSpPr/>
      </cdr:nvSpPr>
      <cdr:spPr>
        <a:xfrm xmlns:a="http://schemas.openxmlformats.org/drawingml/2006/main">
          <a:off x="1372305" y="2558169"/>
          <a:ext cx="538325" cy="128995"/>
        </a:xfrm>
        <a:prstGeom xmlns:a="http://schemas.openxmlformats.org/drawingml/2006/main" prst="rect">
          <a:avLst/>
        </a:prstGeom>
        <a:solidFill xmlns:a="http://schemas.openxmlformats.org/drawingml/2006/main">
          <a:schemeClr val="accent3"/>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800" b="1">
              <a:latin typeface="Meiryo UI" panose="020B0604030504040204" pitchFamily="50" charset="-128"/>
              <a:ea typeface="Meiryo UI" panose="020B0604030504040204" pitchFamily="50" charset="-128"/>
              <a:cs typeface="Meiryo UI" panose="020B0604030504040204" pitchFamily="50" charset="-128"/>
            </a:rPr>
            <a:t>健全性</a:t>
          </a:r>
        </a:p>
      </cdr:txBody>
    </cdr:sp>
  </cdr:relSizeAnchor>
  <cdr:relSizeAnchor xmlns:cdr="http://schemas.openxmlformats.org/drawingml/2006/chartDrawing">
    <cdr:from>
      <cdr:x>0.37059</cdr:x>
      <cdr:y>0.0349</cdr:y>
    </cdr:from>
    <cdr:to>
      <cdr:x>0.6139</cdr:x>
      <cdr:y>0.0799</cdr:y>
    </cdr:to>
    <cdr:sp macro="" textlink="">
      <cdr:nvSpPr>
        <cdr:cNvPr id="15" name="正方形/長方形 14"/>
        <cdr:cNvSpPr/>
      </cdr:nvSpPr>
      <cdr:spPr>
        <a:xfrm xmlns:a="http://schemas.openxmlformats.org/drawingml/2006/main">
          <a:off x="1206273" y="101964"/>
          <a:ext cx="792000" cy="131460"/>
        </a:xfrm>
        <a:prstGeom xmlns:a="http://schemas.openxmlformats.org/drawingml/2006/main" prst="rect">
          <a:avLst/>
        </a:prstGeom>
        <a:solidFill xmlns:a="http://schemas.openxmlformats.org/drawingml/2006/main">
          <a:schemeClr val="accent3"/>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800" b="1">
              <a:latin typeface="Meiryo UI" panose="020B0604030504040204" pitchFamily="50" charset="-128"/>
              <a:ea typeface="Meiryo UI" panose="020B0604030504040204" pitchFamily="50" charset="-128"/>
              <a:cs typeface="Meiryo UI" panose="020B0604030504040204" pitchFamily="50" charset="-128"/>
            </a:rPr>
            <a:t>売上持続性</a:t>
          </a:r>
        </a:p>
      </cdr:txBody>
    </cdr:sp>
  </cdr:relSizeAnchor>
  <cdr:relSizeAnchor xmlns:cdr="http://schemas.openxmlformats.org/drawingml/2006/chartDrawing">
    <cdr:from>
      <cdr:x>0.38386</cdr:x>
      <cdr:y>0.08201</cdr:y>
    </cdr:from>
    <cdr:to>
      <cdr:x>0.60492</cdr:x>
      <cdr:y>0.1293</cdr:y>
    </cdr:to>
    <cdr:sp macro="" textlink="">
      <cdr:nvSpPr>
        <cdr:cNvPr id="16" name="正方形/長方形 15"/>
        <cdr:cNvSpPr/>
      </cdr:nvSpPr>
      <cdr:spPr>
        <a:xfrm xmlns:a="http://schemas.openxmlformats.org/drawingml/2006/main">
          <a:off x="1249490" y="239586"/>
          <a:ext cx="719554" cy="13815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nchorCtr="0"/>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kumimoji="1" lang="ja-JP" altLang="en-US" sz="6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①売上増加率</a:t>
          </a:r>
        </a:p>
      </cdr:txBody>
    </cdr:sp>
  </cdr:relSizeAnchor>
  <cdr:relSizeAnchor xmlns:cdr="http://schemas.openxmlformats.org/drawingml/2006/chartDrawing">
    <cdr:from>
      <cdr:x>0.74969</cdr:x>
      <cdr:y>0.0303</cdr:y>
    </cdr:from>
    <cdr:to>
      <cdr:x>0.99002</cdr:x>
      <cdr:y>0.21759</cdr:y>
    </cdr:to>
    <cdr:pic>
      <cdr:nvPicPr>
        <cdr:cNvPr id="6" name="chart">
          <a:extLst xmlns:a="http://schemas.openxmlformats.org/drawingml/2006/main">
            <a:ext uri="{FF2B5EF4-FFF2-40B4-BE49-F238E27FC236}">
              <a16:creationId xmlns:a16="http://schemas.microsoft.com/office/drawing/2014/main" id="{94D64AC4-CC75-43CC-8A84-261F53B3487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832412" y="123265"/>
          <a:ext cx="1228571" cy="761905"/>
        </a:xfrm>
        <a:prstGeom xmlns:a="http://schemas.openxmlformats.org/drawingml/2006/main" prst="rect">
          <a:avLst/>
        </a:prstGeom>
      </cdr:spPr>
    </cdr:pic>
  </cdr:relSizeAnchor>
</c:userShapes>
</file>

<file path=xl/drawings/drawing3.xml><?xml version="1.0" encoding="utf-8"?>
<xdr:wsDr xmlns:xdr="http://schemas.openxmlformats.org/drawingml/2006/spreadsheetDrawing" xmlns:a="http://schemas.openxmlformats.org/drawingml/2006/main">
  <xdr:twoCellAnchor>
    <xdr:from>
      <xdr:col>1</xdr:col>
      <xdr:colOff>537882</xdr:colOff>
      <xdr:row>20</xdr:row>
      <xdr:rowOff>33619</xdr:rowOff>
    </xdr:from>
    <xdr:to>
      <xdr:col>1</xdr:col>
      <xdr:colOff>753882</xdr:colOff>
      <xdr:row>20</xdr:row>
      <xdr:rowOff>141619</xdr:rowOff>
    </xdr:to>
    <xdr:sp macro="" textlink="">
      <xdr:nvSpPr>
        <xdr:cNvPr id="4" name="正方形/長方形 3">
          <a:extLst>
            <a:ext uri="{FF2B5EF4-FFF2-40B4-BE49-F238E27FC236}">
              <a16:creationId xmlns:a16="http://schemas.microsoft.com/office/drawing/2014/main" id="{00000000-0008-0000-0100-000004000000}"/>
            </a:ext>
          </a:extLst>
        </xdr:cNvPr>
        <xdr:cNvSpPr/>
      </xdr:nvSpPr>
      <xdr:spPr>
        <a:xfrm>
          <a:off x="694764" y="3160060"/>
          <a:ext cx="216000" cy="108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154781</xdr:colOff>
      <xdr:row>13</xdr:row>
      <xdr:rowOff>66674</xdr:rowOff>
    </xdr:from>
    <xdr:to>
      <xdr:col>4</xdr:col>
      <xdr:colOff>445293</xdr:colOff>
      <xdr:row>15</xdr:row>
      <xdr:rowOff>119062</xdr:rowOff>
    </xdr:to>
    <xdr:pic>
      <xdr:nvPicPr>
        <xdr:cNvPr id="16" name="図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781" y="2352674"/>
          <a:ext cx="3588543"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11906</xdr:colOff>
      <xdr:row>7</xdr:row>
      <xdr:rowOff>14288</xdr:rowOff>
    </xdr:from>
    <xdr:to>
      <xdr:col>5</xdr:col>
      <xdr:colOff>877781</xdr:colOff>
      <xdr:row>7</xdr:row>
      <xdr:rowOff>172688</xdr:rowOff>
    </xdr:to>
    <xdr:sp macro="" textlink="">
      <xdr:nvSpPr>
        <xdr:cNvPr id="2" name="額縁 1">
          <a:hlinkClick xmlns:r="http://schemas.openxmlformats.org/officeDocument/2006/relationships" r:id="rId2"/>
          <a:extLst>
            <a:ext uri="{FF2B5EF4-FFF2-40B4-BE49-F238E27FC236}">
              <a16:creationId xmlns:a16="http://schemas.microsoft.com/office/drawing/2014/main" id="{00000000-0008-0000-0100-000002000000}"/>
            </a:ext>
          </a:extLst>
        </xdr:cNvPr>
        <xdr:cNvSpPr/>
      </xdr:nvSpPr>
      <xdr:spPr>
        <a:xfrm>
          <a:off x="2107406" y="1366838"/>
          <a:ext cx="2637525" cy="158400"/>
        </a:xfrm>
        <a:prstGeom prst="bevel">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900" b="1">
              <a:solidFill>
                <a:sysClr val="windowText" lastClr="000000"/>
              </a:solidFill>
              <a:latin typeface="Meiryo UI" panose="020B0604030504040204" pitchFamily="50" charset="-128"/>
              <a:ea typeface="Meiryo UI" panose="020B0604030504040204" pitchFamily="50" charset="-128"/>
            </a:rPr>
            <a:t>このボタンを押すと</a:t>
          </a:r>
          <a:r>
            <a:rPr kumimoji="1" lang="en-US" altLang="ja-JP" sz="900" b="1">
              <a:solidFill>
                <a:sysClr val="windowText" lastClr="000000"/>
              </a:solidFill>
              <a:latin typeface="Meiryo UI" panose="020B0604030504040204" pitchFamily="50" charset="-128"/>
              <a:ea typeface="Meiryo UI" panose="020B0604030504040204" pitchFamily="50" charset="-128"/>
            </a:rPr>
            <a:t>【</a:t>
          </a:r>
          <a:r>
            <a:rPr kumimoji="1" lang="ja-JP" altLang="en-US" sz="900" b="1">
              <a:solidFill>
                <a:sysClr val="windowText" lastClr="000000"/>
              </a:solidFill>
              <a:latin typeface="Meiryo UI" panose="020B0604030504040204" pitchFamily="50" charset="-128"/>
              <a:ea typeface="Meiryo UI" panose="020B0604030504040204" pitchFamily="50" charset="-128"/>
            </a:rPr>
            <a:t>業種シート</a:t>
          </a:r>
          <a:r>
            <a:rPr kumimoji="1" lang="en-US" altLang="ja-JP" sz="900" b="1">
              <a:solidFill>
                <a:sysClr val="windowText" lastClr="000000"/>
              </a:solidFill>
              <a:latin typeface="Meiryo UI" panose="020B0604030504040204" pitchFamily="50" charset="-128"/>
              <a:ea typeface="Meiryo UI" panose="020B0604030504040204" pitchFamily="50" charset="-128"/>
            </a:rPr>
            <a:t>】</a:t>
          </a:r>
          <a:r>
            <a:rPr kumimoji="1" lang="ja-JP" altLang="en-US" sz="900" b="1">
              <a:solidFill>
                <a:sysClr val="windowText" lastClr="000000"/>
              </a:solidFill>
              <a:latin typeface="Meiryo UI" panose="020B0604030504040204" pitchFamily="50" charset="-128"/>
              <a:ea typeface="Meiryo UI" panose="020B0604030504040204" pitchFamily="50" charset="-128"/>
            </a:rPr>
            <a:t>が確認できます</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28574</xdr:colOff>
      <xdr:row>0</xdr:row>
      <xdr:rowOff>28575</xdr:rowOff>
    </xdr:from>
    <xdr:to>
      <xdr:col>8</xdr:col>
      <xdr:colOff>398316</xdr:colOff>
      <xdr:row>4</xdr:row>
      <xdr:rowOff>9525</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599" y="28575"/>
          <a:ext cx="3293917" cy="895350"/>
        </a:xfrm>
        <a:prstGeom prst="rect">
          <a:avLst/>
        </a:prstGeom>
      </xdr:spPr>
    </xdr:pic>
    <xdr:clientData/>
  </xdr:twoCellAnchor>
  <xdr:twoCellAnchor editAs="oneCell">
    <xdr:from>
      <xdr:col>0</xdr:col>
      <xdr:colOff>192342</xdr:colOff>
      <xdr:row>32</xdr:row>
      <xdr:rowOff>202795</xdr:rowOff>
    </xdr:from>
    <xdr:to>
      <xdr:col>5</xdr:col>
      <xdr:colOff>71398</xdr:colOff>
      <xdr:row>34</xdr:row>
      <xdr:rowOff>222998</xdr:rowOff>
    </xdr:to>
    <xdr:pic>
      <xdr:nvPicPr>
        <xdr:cNvPr id="3" name="図 2" descr="経済産業省">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2342" y="7775170"/>
          <a:ext cx="1869781" cy="4774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28575</xdr:colOff>
      <xdr:row>20</xdr:row>
      <xdr:rowOff>95250</xdr:rowOff>
    </xdr:from>
    <xdr:to>
      <xdr:col>10</xdr:col>
      <xdr:colOff>152400</xdr:colOff>
      <xdr:row>20</xdr:row>
      <xdr:rowOff>104775</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a:xfrm flipV="1">
          <a:off x="2019300" y="4924425"/>
          <a:ext cx="2114550" cy="9525"/>
        </a:xfrm>
        <a:prstGeom prst="straightConnector1">
          <a:avLst/>
        </a:prstGeom>
        <a:ln w="38100">
          <a:solidFill>
            <a:schemeClr val="tx2"/>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352425</xdr:colOff>
      <xdr:row>21</xdr:row>
      <xdr:rowOff>171450</xdr:rowOff>
    </xdr:from>
    <xdr:to>
      <xdr:col>10</xdr:col>
      <xdr:colOff>161925</xdr:colOff>
      <xdr:row>22</xdr:row>
      <xdr:rowOff>200025</xdr:rowOff>
    </xdr:to>
    <xdr:cxnSp macro="">
      <xdr:nvCxnSpPr>
        <xdr:cNvPr id="5" name="カギ線コネクタ 4">
          <a:extLst>
            <a:ext uri="{FF2B5EF4-FFF2-40B4-BE49-F238E27FC236}">
              <a16:creationId xmlns:a16="http://schemas.microsoft.com/office/drawing/2014/main" id="{00000000-0008-0000-0200-000005000000}"/>
            </a:ext>
          </a:extLst>
        </xdr:cNvPr>
        <xdr:cNvCxnSpPr/>
      </xdr:nvCxnSpPr>
      <xdr:spPr>
        <a:xfrm flipV="1">
          <a:off x="3048000" y="5229225"/>
          <a:ext cx="1095375" cy="257175"/>
        </a:xfrm>
        <a:prstGeom prst="bentConnector3">
          <a:avLst>
            <a:gd name="adj1" fmla="val 435"/>
          </a:avLst>
        </a:prstGeom>
        <a:ln w="38100">
          <a:solidFill>
            <a:schemeClr val="tx2"/>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21</xdr:row>
      <xdr:rowOff>95250</xdr:rowOff>
    </xdr:from>
    <xdr:to>
      <xdr:col>17</xdr:col>
      <xdr:colOff>104775</xdr:colOff>
      <xdr:row>22</xdr:row>
      <xdr:rowOff>209550</xdr:rowOff>
    </xdr:to>
    <xdr:cxnSp macro="">
      <xdr:nvCxnSpPr>
        <xdr:cNvPr id="6" name="カギ線コネクタ 5">
          <a:extLst>
            <a:ext uri="{FF2B5EF4-FFF2-40B4-BE49-F238E27FC236}">
              <a16:creationId xmlns:a16="http://schemas.microsoft.com/office/drawing/2014/main" id="{00000000-0008-0000-0200-000006000000}"/>
            </a:ext>
          </a:extLst>
        </xdr:cNvPr>
        <xdr:cNvCxnSpPr/>
      </xdr:nvCxnSpPr>
      <xdr:spPr>
        <a:xfrm>
          <a:off x="5981700" y="5153025"/>
          <a:ext cx="800100" cy="342900"/>
        </a:xfrm>
        <a:prstGeom prst="bentConnector3">
          <a:avLst>
            <a:gd name="adj1" fmla="val 100000"/>
          </a:avLst>
        </a:prstGeom>
        <a:ln w="38100">
          <a:solidFill>
            <a:schemeClr val="tx2"/>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381000</xdr:colOff>
      <xdr:row>20</xdr:row>
      <xdr:rowOff>133350</xdr:rowOff>
    </xdr:from>
    <xdr:to>
      <xdr:col>21</xdr:col>
      <xdr:colOff>9525</xdr:colOff>
      <xdr:row>22</xdr:row>
      <xdr:rowOff>209549</xdr:rowOff>
    </xdr:to>
    <xdr:cxnSp macro="">
      <xdr:nvCxnSpPr>
        <xdr:cNvPr id="7" name="カギ線コネクタ 6">
          <a:extLst>
            <a:ext uri="{FF2B5EF4-FFF2-40B4-BE49-F238E27FC236}">
              <a16:creationId xmlns:a16="http://schemas.microsoft.com/office/drawing/2014/main" id="{00000000-0008-0000-0200-000007000000}"/>
            </a:ext>
          </a:extLst>
        </xdr:cNvPr>
        <xdr:cNvCxnSpPr/>
      </xdr:nvCxnSpPr>
      <xdr:spPr>
        <a:xfrm flipV="1">
          <a:off x="7486650" y="4962525"/>
          <a:ext cx="685800" cy="533399"/>
        </a:xfrm>
        <a:prstGeom prst="bentConnector3">
          <a:avLst>
            <a:gd name="adj1" fmla="val 0"/>
          </a:avLst>
        </a:prstGeom>
        <a:ln w="38100">
          <a:solidFill>
            <a:schemeClr val="tx2"/>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28574</xdr:colOff>
      <xdr:row>0</xdr:row>
      <xdr:rowOff>28575</xdr:rowOff>
    </xdr:from>
    <xdr:to>
      <xdr:col>7</xdr:col>
      <xdr:colOff>62139</xdr:colOff>
      <xdr:row>4</xdr:row>
      <xdr:rowOff>9525</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799" y="28575"/>
          <a:ext cx="3291115" cy="895350"/>
        </a:xfrm>
        <a:prstGeom prst="rect">
          <a:avLst/>
        </a:prstGeom>
      </xdr:spPr>
    </xdr:pic>
    <xdr:clientData/>
  </xdr:twoCellAnchor>
  <xdr:twoCellAnchor editAs="oneCell">
    <xdr:from>
      <xdr:col>1</xdr:col>
      <xdr:colOff>78043</xdr:colOff>
      <xdr:row>36</xdr:row>
      <xdr:rowOff>26863</xdr:rowOff>
    </xdr:from>
    <xdr:to>
      <xdr:col>4</xdr:col>
      <xdr:colOff>659147</xdr:colOff>
      <xdr:row>38</xdr:row>
      <xdr:rowOff>47065</xdr:rowOff>
    </xdr:to>
    <xdr:pic>
      <xdr:nvPicPr>
        <xdr:cNvPr id="3" name="図 2" descr="経済産業省">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4268" y="8656513"/>
          <a:ext cx="1866979" cy="477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280147</xdr:colOff>
      <xdr:row>29</xdr:row>
      <xdr:rowOff>83484</xdr:rowOff>
    </xdr:from>
    <xdr:to>
      <xdr:col>24</xdr:col>
      <xdr:colOff>168088</xdr:colOff>
      <xdr:row>29</xdr:row>
      <xdr:rowOff>330014</xdr:rowOff>
    </xdr:to>
    <xdr:sp macro="" textlink="">
      <xdr:nvSpPr>
        <xdr:cNvPr id="4" name="二等辺三角形 3">
          <a:extLst>
            <a:ext uri="{FF2B5EF4-FFF2-40B4-BE49-F238E27FC236}">
              <a16:creationId xmlns:a16="http://schemas.microsoft.com/office/drawing/2014/main" id="{00000000-0008-0000-0300-000004000000}"/>
            </a:ext>
          </a:extLst>
        </xdr:cNvPr>
        <xdr:cNvSpPr/>
      </xdr:nvSpPr>
      <xdr:spPr>
        <a:xfrm flipV="1">
          <a:off x="3509122" y="6712884"/>
          <a:ext cx="7403166" cy="246530"/>
        </a:xfrm>
        <a:prstGeom prst="triangle">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a:p>
      </xdr:txBody>
    </xdr:sp>
    <xdr:clientData/>
  </xdr:twoCellAnchor>
  <xdr:twoCellAnchor>
    <xdr:from>
      <xdr:col>12</xdr:col>
      <xdr:colOff>246529</xdr:colOff>
      <xdr:row>34</xdr:row>
      <xdr:rowOff>159530</xdr:rowOff>
    </xdr:from>
    <xdr:to>
      <xdr:col>20</xdr:col>
      <xdr:colOff>347381</xdr:colOff>
      <xdr:row>34</xdr:row>
      <xdr:rowOff>159530</xdr:rowOff>
    </xdr:to>
    <xdr:cxnSp macro="">
      <xdr:nvCxnSpPr>
        <xdr:cNvPr id="5" name="直線コネクタ 4">
          <a:extLst>
            <a:ext uri="{FF2B5EF4-FFF2-40B4-BE49-F238E27FC236}">
              <a16:creationId xmlns:a16="http://schemas.microsoft.com/office/drawing/2014/main" id="{00000000-0008-0000-0300-000005000000}"/>
            </a:ext>
          </a:extLst>
        </xdr:cNvPr>
        <xdr:cNvCxnSpPr/>
      </xdr:nvCxnSpPr>
      <xdr:spPr>
        <a:xfrm>
          <a:off x="5618629" y="8122430"/>
          <a:ext cx="3377452" cy="0"/>
        </a:xfrm>
        <a:prstGeom prst="line">
          <a:avLst/>
        </a:prstGeom>
        <a:ln w="38100">
          <a:solidFill>
            <a:srgbClr val="00206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253253</xdr:colOff>
      <xdr:row>33</xdr:row>
      <xdr:rowOff>221568</xdr:rowOff>
    </xdr:from>
    <xdr:to>
      <xdr:col>12</xdr:col>
      <xdr:colOff>257735</xdr:colOff>
      <xdr:row>34</xdr:row>
      <xdr:rowOff>172968</xdr:rowOff>
    </xdr:to>
    <xdr:cxnSp macro="">
      <xdr:nvCxnSpPr>
        <xdr:cNvPr id="6" name="直線コネクタ 5">
          <a:extLst>
            <a:ext uri="{FF2B5EF4-FFF2-40B4-BE49-F238E27FC236}">
              <a16:creationId xmlns:a16="http://schemas.microsoft.com/office/drawing/2014/main" id="{00000000-0008-0000-0300-000006000000}"/>
            </a:ext>
          </a:extLst>
        </xdr:cNvPr>
        <xdr:cNvCxnSpPr/>
      </xdr:nvCxnSpPr>
      <xdr:spPr>
        <a:xfrm flipH="1">
          <a:off x="5625353" y="7955868"/>
          <a:ext cx="4482" cy="180000"/>
        </a:xfrm>
        <a:prstGeom prst="line">
          <a:avLst/>
        </a:prstGeom>
        <a:ln w="38100">
          <a:solidFill>
            <a:srgbClr val="00206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338418</xdr:colOff>
      <xdr:row>33</xdr:row>
      <xdr:rowOff>221568</xdr:rowOff>
    </xdr:from>
    <xdr:to>
      <xdr:col>20</xdr:col>
      <xdr:colOff>342900</xdr:colOff>
      <xdr:row>34</xdr:row>
      <xdr:rowOff>172968</xdr:rowOff>
    </xdr:to>
    <xdr:cxnSp macro="">
      <xdr:nvCxnSpPr>
        <xdr:cNvPr id="7" name="直線コネクタ 6">
          <a:extLst>
            <a:ext uri="{FF2B5EF4-FFF2-40B4-BE49-F238E27FC236}">
              <a16:creationId xmlns:a16="http://schemas.microsoft.com/office/drawing/2014/main" id="{00000000-0008-0000-0300-000007000000}"/>
            </a:ext>
          </a:extLst>
        </xdr:cNvPr>
        <xdr:cNvCxnSpPr/>
      </xdr:nvCxnSpPr>
      <xdr:spPr>
        <a:xfrm flipH="1">
          <a:off x="8987118" y="7955868"/>
          <a:ext cx="4482" cy="180000"/>
        </a:xfrm>
        <a:prstGeom prst="line">
          <a:avLst/>
        </a:prstGeom>
        <a:ln w="38100">
          <a:solidFill>
            <a:srgbClr val="00206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215153</xdr:colOff>
      <xdr:row>34</xdr:row>
      <xdr:rowOff>175933</xdr:rowOff>
    </xdr:from>
    <xdr:to>
      <xdr:col>16</xdr:col>
      <xdr:colOff>219635</xdr:colOff>
      <xdr:row>34</xdr:row>
      <xdr:rowOff>463933</xdr:rowOff>
    </xdr:to>
    <xdr:cxnSp macro="">
      <xdr:nvCxnSpPr>
        <xdr:cNvPr id="8" name="直線コネクタ 7">
          <a:extLst>
            <a:ext uri="{FF2B5EF4-FFF2-40B4-BE49-F238E27FC236}">
              <a16:creationId xmlns:a16="http://schemas.microsoft.com/office/drawing/2014/main" id="{00000000-0008-0000-0300-000008000000}"/>
            </a:ext>
          </a:extLst>
        </xdr:cNvPr>
        <xdr:cNvCxnSpPr/>
      </xdr:nvCxnSpPr>
      <xdr:spPr>
        <a:xfrm flipH="1">
          <a:off x="7301753" y="8138833"/>
          <a:ext cx="4482" cy="259425"/>
        </a:xfrm>
        <a:prstGeom prst="line">
          <a:avLst/>
        </a:prstGeom>
        <a:ln w="38100">
          <a:solidFill>
            <a:srgbClr val="002060"/>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38100</xdr:colOff>
      <xdr:row>29</xdr:row>
      <xdr:rowOff>66675</xdr:rowOff>
    </xdr:from>
    <xdr:ext cx="1082348" cy="259045"/>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6696075" y="6696075"/>
          <a:ext cx="1082348" cy="259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00" b="1">
              <a:solidFill>
                <a:srgbClr val="002060"/>
              </a:solidFill>
            </a:rPr>
            <a:t>対話内容の総括</a:t>
          </a:r>
        </a:p>
      </xdr:txBody>
    </xdr:sp>
    <xdr:clientData/>
  </xdr:oneCellAnchor>
  <xdr:twoCellAnchor>
    <xdr:from>
      <xdr:col>12</xdr:col>
      <xdr:colOff>253253</xdr:colOff>
      <xdr:row>33</xdr:row>
      <xdr:rowOff>221568</xdr:rowOff>
    </xdr:from>
    <xdr:to>
      <xdr:col>12</xdr:col>
      <xdr:colOff>257735</xdr:colOff>
      <xdr:row>34</xdr:row>
      <xdr:rowOff>172968</xdr:rowOff>
    </xdr:to>
    <xdr:cxnSp macro="">
      <xdr:nvCxnSpPr>
        <xdr:cNvPr id="10" name="直線コネクタ 9">
          <a:extLst>
            <a:ext uri="{FF2B5EF4-FFF2-40B4-BE49-F238E27FC236}">
              <a16:creationId xmlns:a16="http://schemas.microsoft.com/office/drawing/2014/main" id="{00000000-0008-0000-0300-00000A000000}"/>
            </a:ext>
          </a:extLst>
        </xdr:cNvPr>
        <xdr:cNvCxnSpPr/>
      </xdr:nvCxnSpPr>
      <xdr:spPr>
        <a:xfrm flipH="1">
          <a:off x="5930153" y="7955868"/>
          <a:ext cx="4482" cy="180000"/>
        </a:xfrm>
        <a:prstGeom prst="line">
          <a:avLst/>
        </a:prstGeom>
        <a:ln w="38100">
          <a:solidFill>
            <a:srgbClr val="00206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338418</xdr:colOff>
      <xdr:row>33</xdr:row>
      <xdr:rowOff>221568</xdr:rowOff>
    </xdr:from>
    <xdr:to>
      <xdr:col>20</xdr:col>
      <xdr:colOff>342900</xdr:colOff>
      <xdr:row>34</xdr:row>
      <xdr:rowOff>172968</xdr:rowOff>
    </xdr:to>
    <xdr:cxnSp macro="">
      <xdr:nvCxnSpPr>
        <xdr:cNvPr id="11" name="直線コネクタ 10">
          <a:extLst>
            <a:ext uri="{FF2B5EF4-FFF2-40B4-BE49-F238E27FC236}">
              <a16:creationId xmlns:a16="http://schemas.microsoft.com/office/drawing/2014/main" id="{00000000-0008-0000-0300-00000B000000}"/>
            </a:ext>
          </a:extLst>
        </xdr:cNvPr>
        <xdr:cNvCxnSpPr/>
      </xdr:nvCxnSpPr>
      <xdr:spPr>
        <a:xfrm flipH="1">
          <a:off x="9291918" y="7955868"/>
          <a:ext cx="4482" cy="180000"/>
        </a:xfrm>
        <a:prstGeom prst="line">
          <a:avLst/>
        </a:prstGeom>
        <a:ln w="38100">
          <a:solidFill>
            <a:srgbClr val="00206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104775</xdr:colOff>
      <xdr:row>0</xdr:row>
      <xdr:rowOff>66675</xdr:rowOff>
    </xdr:from>
    <xdr:to>
      <xdr:col>1</xdr:col>
      <xdr:colOff>2133600</xdr:colOff>
      <xdr:row>1</xdr:row>
      <xdr:rowOff>386475</xdr:rowOff>
    </xdr:to>
    <xdr:sp macro="" textlink="">
      <xdr:nvSpPr>
        <xdr:cNvPr id="2" name="額縁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04775" y="66675"/>
          <a:ext cx="3952875" cy="396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000" b="1">
              <a:latin typeface="Meiryo UI" panose="020B0604030504040204" pitchFamily="50" charset="-128"/>
              <a:ea typeface="Meiryo UI" panose="020B0604030504040204" pitchFamily="50" charset="-128"/>
            </a:rPr>
            <a:t>このボタンを押すと</a:t>
          </a:r>
          <a:r>
            <a:rPr kumimoji="1" lang="en-US" altLang="ja-JP" sz="1200" b="1">
              <a:latin typeface="Meiryo UI" panose="020B0604030504040204" pitchFamily="50" charset="-128"/>
              <a:ea typeface="Meiryo UI" panose="020B0604030504040204" pitchFamily="50" charset="-128"/>
            </a:rPr>
            <a:t>【</a:t>
          </a:r>
          <a:r>
            <a:rPr kumimoji="1" lang="ja-JP" altLang="en-US" sz="1200" b="1">
              <a:latin typeface="Meiryo UI" panose="020B0604030504040204" pitchFamily="50" charset="-128"/>
              <a:ea typeface="Meiryo UI" panose="020B0604030504040204" pitchFamily="50" charset="-128"/>
            </a:rPr>
            <a:t>業種入力画面</a:t>
          </a:r>
          <a:r>
            <a:rPr kumimoji="1" lang="en-US" altLang="ja-JP" sz="1200" b="1">
              <a:latin typeface="Meiryo UI" panose="020B0604030504040204" pitchFamily="50" charset="-128"/>
              <a:ea typeface="Meiryo UI" panose="020B0604030504040204" pitchFamily="50" charset="-128"/>
            </a:rPr>
            <a:t>]</a:t>
          </a:r>
          <a:r>
            <a:rPr kumimoji="1" lang="ja-JP" altLang="en-US" sz="1000" b="1">
              <a:latin typeface="Meiryo UI" panose="020B0604030504040204" pitchFamily="50" charset="-128"/>
              <a:ea typeface="Meiryo UI" panose="020B0604030504040204" pitchFamily="50" charset="-128"/>
            </a:rPr>
            <a:t>に戻ります</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06&#26696;&#20214;&#20849;&#26377;&#12501;&#12457;&#12523;&#12480;\2026&#65374;2026999\2026462&#32076;&#28168;&#29987;&#26989;&#30465;\04%20&#20181;&#25499;\03_&#12487;&#12540;&#12479;&#20998;&#26512;\00_&#12484;&#12540;&#12523;&#25913;&#23450;\&#12304;&#29694;&#34892;&#29256;&#12305;tool_miyata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診断結果】財務分析シート (2)"/>
      <sheetName val="財務（財務の傾向）"/>
      <sheetName val="非財務（商流・業務フロー）"/>
      <sheetName val="非財務（4つの視点）"/>
      <sheetName val="【診断結果】財務分析シート"/>
      <sheetName val="入力シート"/>
      <sheetName val="非財務ヒアリングシート①"/>
      <sheetName val="非財務ヒアリングシート②"/>
      <sheetName val="table_売上増加率"/>
      <sheetName val="table_営業利益率"/>
      <sheetName val="table_労働生産性"/>
      <sheetName val="table_EBITDA"/>
      <sheetName val="table_営業運転資本回転期間"/>
      <sheetName val="table_自己資本比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2060"/>
  </sheetPr>
  <dimension ref="A1:AA47"/>
  <sheetViews>
    <sheetView showGridLines="0" showRowColHeaders="0" tabSelected="1" view="pageBreakPreview" zoomScale="85" zoomScaleNormal="100" zoomScaleSheetLayoutView="85" workbookViewId="0">
      <selection activeCell="AE19" sqref="AE19"/>
    </sheetView>
  </sheetViews>
  <sheetFormatPr defaultColWidth="8.88671875" defaultRowHeight="12" customHeight="1" x14ac:dyDescent="0.2"/>
  <cols>
    <col min="1" max="1" width="2.6640625" style="86" customWidth="1"/>
    <col min="2" max="2" width="15.6640625" style="86" customWidth="1"/>
    <col min="3" max="3" width="6.109375" style="86" customWidth="1"/>
    <col min="4" max="4" width="3" style="86" customWidth="1"/>
    <col min="5" max="5" width="3.109375" style="86" customWidth="1"/>
    <col min="6" max="6" width="9.109375" style="86" customWidth="1"/>
    <col min="7" max="7" width="5.6640625" style="86" customWidth="1"/>
    <col min="8" max="8" width="6.6640625" style="86" customWidth="1"/>
    <col min="9" max="9" width="5.6640625" style="86" customWidth="1"/>
    <col min="10" max="10" width="6.6640625" style="86" customWidth="1"/>
    <col min="11" max="11" width="3.6640625" style="86" customWidth="1"/>
    <col min="12" max="12" width="2.109375" style="86" customWidth="1"/>
    <col min="13" max="13" width="7.109375" style="86" customWidth="1"/>
    <col min="14" max="17" width="6.109375" style="86" customWidth="1"/>
    <col min="18" max="18" width="1.77734375" style="86" customWidth="1"/>
    <col min="19" max="19" width="8.33203125" style="86" customWidth="1"/>
    <col min="20" max="20" width="8.109375" style="86" customWidth="1"/>
    <col min="21" max="21" width="14.44140625" style="86" customWidth="1"/>
    <col min="22" max="22" width="1.6640625" style="86" customWidth="1"/>
    <col min="23" max="23" width="2.77734375" style="86" customWidth="1"/>
    <col min="24" max="24" width="2" style="86" customWidth="1"/>
    <col min="25" max="26" width="1.6640625" style="86" customWidth="1"/>
    <col min="27" max="16384" width="8.88671875" style="86"/>
  </cols>
  <sheetData>
    <row r="1" spans="1:26" ht="30" customHeight="1" x14ac:dyDescent="0.2">
      <c r="A1" s="16"/>
      <c r="B1" s="16"/>
      <c r="C1" s="16"/>
      <c r="D1" s="16"/>
      <c r="E1" s="16"/>
      <c r="F1" s="16"/>
      <c r="G1" s="16"/>
      <c r="H1" s="16"/>
      <c r="I1" s="16"/>
      <c r="J1" s="16"/>
      <c r="K1" s="16"/>
      <c r="L1" s="16"/>
      <c r="M1" s="16"/>
      <c r="N1" s="16"/>
      <c r="O1" s="16"/>
      <c r="P1" s="16"/>
      <c r="Q1" s="16"/>
      <c r="R1" s="16"/>
      <c r="S1" s="16"/>
      <c r="T1" s="16"/>
      <c r="U1" s="16"/>
      <c r="V1" s="16"/>
      <c r="W1" s="16"/>
      <c r="X1" s="16"/>
      <c r="Y1" s="16"/>
      <c r="Z1" s="16"/>
    </row>
    <row r="2" spans="1:26" ht="33" customHeight="1" x14ac:dyDescent="0.2">
      <c r="A2" s="16"/>
      <c r="B2" s="16"/>
      <c r="C2" s="16"/>
      <c r="D2" s="16"/>
      <c r="E2" s="16"/>
      <c r="F2" s="16"/>
      <c r="G2" s="16"/>
      <c r="H2" s="16"/>
      <c r="I2" s="16"/>
      <c r="J2" s="16"/>
      <c r="K2" s="16"/>
      <c r="L2" s="16"/>
      <c r="M2" s="16"/>
      <c r="N2" s="16"/>
      <c r="O2" s="16"/>
      <c r="P2" s="16"/>
      <c r="Q2" s="16"/>
      <c r="R2" s="16"/>
      <c r="S2" s="16"/>
      <c r="T2" s="16"/>
      <c r="U2" s="16"/>
      <c r="V2" s="16"/>
      <c r="W2" s="16"/>
      <c r="X2" s="16"/>
      <c r="Y2" s="16"/>
      <c r="Z2" s="16"/>
    </row>
    <row r="3" spans="1:26" ht="10.5" customHeight="1" x14ac:dyDescent="0.2">
      <c r="A3" s="16"/>
      <c r="B3" s="16"/>
      <c r="C3" s="16"/>
      <c r="D3" s="16"/>
      <c r="E3" s="16"/>
      <c r="F3" s="16"/>
      <c r="G3" s="16"/>
      <c r="H3" s="16"/>
      <c r="I3" s="16"/>
      <c r="J3" s="16"/>
      <c r="K3" s="16"/>
      <c r="L3" s="16"/>
      <c r="M3" s="16"/>
      <c r="N3" s="280"/>
      <c r="O3" s="280"/>
      <c r="P3" s="280"/>
      <c r="Q3" s="280"/>
      <c r="R3" s="16"/>
      <c r="S3" s="16"/>
      <c r="T3" s="16"/>
      <c r="U3" s="16"/>
      <c r="V3" s="16"/>
      <c r="W3" s="16"/>
      <c r="X3" s="16"/>
      <c r="Y3" s="16"/>
      <c r="Z3" s="16"/>
    </row>
    <row r="4" spans="1:26" s="25" customFormat="1" ht="14.4" x14ac:dyDescent="0.2">
      <c r="A4" s="16"/>
      <c r="B4" s="20" t="s">
        <v>10</v>
      </c>
      <c r="C4" s="20"/>
      <c r="D4" s="20"/>
      <c r="E4" s="20"/>
      <c r="F4" s="20"/>
      <c r="G4" s="20"/>
      <c r="H4" s="20"/>
      <c r="I4" s="20"/>
      <c r="J4" s="20"/>
      <c r="L4" s="88"/>
      <c r="M4" s="16"/>
      <c r="N4" s="16"/>
      <c r="O4" s="16"/>
      <c r="P4" s="16"/>
      <c r="Q4" s="16"/>
      <c r="R4" s="16"/>
      <c r="S4" s="16"/>
      <c r="T4" s="16"/>
      <c r="U4" s="16"/>
      <c r="V4" s="16"/>
      <c r="W4" s="16"/>
      <c r="X4" s="87"/>
      <c r="Y4" s="16"/>
      <c r="Z4" s="16"/>
    </row>
    <row r="5" spans="1:26" s="25" customFormat="1" ht="25.5" customHeight="1" x14ac:dyDescent="0.2">
      <c r="A5" s="16"/>
      <c r="B5" s="324" t="s">
        <v>11</v>
      </c>
      <c r="C5" s="325"/>
      <c r="D5" s="326"/>
      <c r="E5" s="315" t="str">
        <f>【入力】財務分析!D5</f>
        <v>株式会社○○</v>
      </c>
      <c r="F5" s="316"/>
      <c r="G5" s="316"/>
      <c r="H5" s="316"/>
      <c r="I5" s="316"/>
      <c r="J5" s="317"/>
      <c r="L5" s="89"/>
      <c r="M5" s="16"/>
      <c r="N5" s="16"/>
      <c r="O5" s="16"/>
      <c r="P5" s="16"/>
      <c r="Q5" s="16"/>
      <c r="R5" s="16"/>
      <c r="S5" s="16"/>
      <c r="T5" s="16"/>
      <c r="U5" s="16"/>
      <c r="V5" s="16"/>
      <c r="W5" s="16"/>
      <c r="X5" s="87"/>
      <c r="Y5" s="16"/>
      <c r="Z5" s="16"/>
    </row>
    <row r="6" spans="1:26" s="25" customFormat="1" ht="8.25" customHeight="1" x14ac:dyDescent="0.2">
      <c r="A6" s="16"/>
      <c r="B6" s="113"/>
      <c r="C6" s="113"/>
      <c r="D6" s="113"/>
      <c r="E6" s="113"/>
      <c r="F6" s="113"/>
      <c r="G6" s="113"/>
      <c r="H6" s="113"/>
      <c r="I6" s="113"/>
      <c r="J6" s="113"/>
      <c r="L6" s="89"/>
      <c r="M6" s="16"/>
      <c r="N6" s="16"/>
      <c r="O6" s="16"/>
      <c r="P6" s="16"/>
      <c r="Q6" s="16"/>
      <c r="R6" s="16"/>
      <c r="S6" s="16"/>
      <c r="T6" s="16"/>
      <c r="U6" s="16"/>
      <c r="V6" s="16"/>
      <c r="W6" s="16"/>
      <c r="X6" s="87"/>
      <c r="Y6" s="16"/>
      <c r="Z6" s="16"/>
    </row>
    <row r="7" spans="1:26" s="25" customFormat="1" ht="14.25" customHeight="1" x14ac:dyDescent="0.2">
      <c r="A7" s="16"/>
      <c r="B7" s="306" t="s">
        <v>12</v>
      </c>
      <c r="C7" s="307"/>
      <c r="D7" s="308"/>
      <c r="E7" s="318" t="str">
        <f>【入力】財務分析!D6</f>
        <v>東京都○○</v>
      </c>
      <c r="F7" s="319"/>
      <c r="G7" s="319"/>
      <c r="H7" s="319"/>
      <c r="I7" s="319"/>
      <c r="J7" s="320"/>
      <c r="L7" s="89"/>
      <c r="M7" s="16"/>
      <c r="N7" s="16"/>
      <c r="O7" s="16"/>
      <c r="P7" s="16"/>
      <c r="Q7" s="16"/>
      <c r="R7" s="16"/>
      <c r="S7" s="16"/>
      <c r="T7" s="16"/>
      <c r="U7" s="16"/>
      <c r="V7" s="16"/>
      <c r="W7" s="16"/>
      <c r="X7" s="87"/>
      <c r="Y7" s="16"/>
      <c r="Z7" s="16"/>
    </row>
    <row r="8" spans="1:26" s="25" customFormat="1" ht="14.25" customHeight="1" x14ac:dyDescent="0.2">
      <c r="A8" s="16"/>
      <c r="B8" s="306" t="s">
        <v>13</v>
      </c>
      <c r="C8" s="307"/>
      <c r="D8" s="308"/>
      <c r="E8" s="318" t="str">
        <f>【入力】財務分析!D7</f>
        <v>○○　○○</v>
      </c>
      <c r="F8" s="319"/>
      <c r="G8" s="319"/>
      <c r="H8" s="319"/>
      <c r="I8" s="319"/>
      <c r="J8" s="320"/>
      <c r="L8" s="89"/>
      <c r="M8" s="16"/>
      <c r="N8" s="16"/>
      <c r="O8" s="16"/>
      <c r="P8" s="16"/>
      <c r="Q8" s="16"/>
      <c r="R8" s="16"/>
      <c r="S8" s="16"/>
      <c r="T8" s="16"/>
      <c r="U8" s="16"/>
      <c r="V8" s="16"/>
      <c r="W8" s="16"/>
      <c r="X8" s="87"/>
      <c r="Y8" s="16"/>
      <c r="Z8" s="16"/>
    </row>
    <row r="9" spans="1:26" ht="12" customHeight="1" x14ac:dyDescent="0.2">
      <c r="A9" s="16"/>
      <c r="B9" s="306" t="s">
        <v>214</v>
      </c>
      <c r="C9" s="307"/>
      <c r="D9" s="308"/>
      <c r="E9" s="318" t="str">
        <f>【入力】財務分析!D9</f>
        <v>13_観光業</v>
      </c>
      <c r="F9" s="319"/>
      <c r="G9" s="319"/>
      <c r="H9" s="319"/>
      <c r="I9" s="319"/>
      <c r="J9" s="320"/>
      <c r="L9" s="89"/>
      <c r="M9" s="16"/>
      <c r="N9" s="16"/>
      <c r="O9" s="16"/>
      <c r="P9" s="16"/>
      <c r="Q9" s="16"/>
      <c r="R9" s="16"/>
      <c r="S9" s="16"/>
      <c r="T9" s="16"/>
      <c r="U9" s="16"/>
      <c r="V9" s="16"/>
      <c r="W9" s="16"/>
      <c r="X9" s="16"/>
      <c r="Y9" s="16"/>
      <c r="Z9" s="16"/>
    </row>
    <row r="10" spans="1:26" ht="12" customHeight="1" x14ac:dyDescent="0.2">
      <c r="A10" s="16"/>
      <c r="B10" s="306" t="s">
        <v>215</v>
      </c>
      <c r="C10" s="307"/>
      <c r="D10" s="308"/>
      <c r="E10" s="318" t="str">
        <f>【入力】財務分析!D10</f>
        <v>1301_観光業</v>
      </c>
      <c r="F10" s="319"/>
      <c r="G10" s="319"/>
      <c r="H10" s="319"/>
      <c r="I10" s="319"/>
      <c r="J10" s="320"/>
      <c r="L10" s="89"/>
      <c r="M10" s="16"/>
      <c r="N10" s="16"/>
      <c r="O10" s="16"/>
      <c r="P10" s="16"/>
      <c r="Q10" s="16"/>
      <c r="R10" s="16"/>
      <c r="S10" s="16"/>
      <c r="T10" s="16"/>
      <c r="U10" s="16"/>
      <c r="V10" s="16"/>
      <c r="W10" s="16"/>
      <c r="X10" s="16"/>
      <c r="Y10" s="16"/>
      <c r="Z10" s="16"/>
    </row>
    <row r="11" spans="1:26" ht="12" customHeight="1" x14ac:dyDescent="0.2">
      <c r="A11" s="16"/>
      <c r="B11" s="306" t="s">
        <v>133</v>
      </c>
      <c r="C11" s="307"/>
      <c r="D11" s="308"/>
      <c r="E11" s="318" t="str">
        <f>【入力】財務分析!D20</f>
        <v>中規模事業者</v>
      </c>
      <c r="F11" s="319"/>
      <c r="G11" s="319"/>
      <c r="H11" s="319"/>
      <c r="I11" s="319"/>
      <c r="J11" s="320"/>
      <c r="L11" s="89"/>
      <c r="M11" s="16"/>
      <c r="N11" s="16"/>
      <c r="O11" s="16"/>
      <c r="P11" s="16"/>
      <c r="Q11" s="16"/>
      <c r="R11" s="16"/>
      <c r="S11" s="16"/>
      <c r="T11" s="16"/>
      <c r="U11" s="16"/>
      <c r="V11" s="16"/>
      <c r="W11" s="16"/>
      <c r="X11" s="16"/>
      <c r="Y11" s="16"/>
      <c r="Z11" s="16"/>
    </row>
    <row r="12" spans="1:26" ht="7.5" customHeight="1" x14ac:dyDescent="0.2">
      <c r="A12" s="16"/>
      <c r="B12" s="114"/>
      <c r="C12" s="114"/>
      <c r="D12" s="114"/>
      <c r="E12" s="114"/>
      <c r="F12" s="114"/>
      <c r="G12" s="114"/>
      <c r="H12" s="114"/>
      <c r="I12" s="114"/>
      <c r="J12" s="114"/>
      <c r="L12" s="16"/>
      <c r="M12" s="16"/>
      <c r="N12" s="16"/>
      <c r="O12" s="16"/>
      <c r="P12" s="16"/>
      <c r="Q12" s="16"/>
      <c r="R12" s="16"/>
      <c r="S12" s="16"/>
      <c r="T12" s="16"/>
      <c r="U12" s="16"/>
      <c r="V12" s="16"/>
      <c r="W12" s="16"/>
      <c r="X12" s="16"/>
      <c r="Y12" s="16"/>
      <c r="Z12" s="16"/>
    </row>
    <row r="13" spans="1:26" ht="12" customHeight="1" x14ac:dyDescent="0.2">
      <c r="A13" s="16"/>
      <c r="B13" s="306" t="s">
        <v>21</v>
      </c>
      <c r="C13" s="307"/>
      <c r="D13" s="308"/>
      <c r="E13" s="283">
        <f>【入力】財務分析!$D$27</f>
        <v>5130250</v>
      </c>
      <c r="F13" s="284"/>
      <c r="G13" s="284"/>
      <c r="H13" s="284"/>
      <c r="I13" s="284"/>
      <c r="J13" s="285"/>
      <c r="L13" s="90"/>
      <c r="M13" s="16"/>
      <c r="N13" s="16"/>
      <c r="O13" s="16"/>
      <c r="P13" s="16"/>
      <c r="Q13" s="16"/>
      <c r="R13" s="16"/>
      <c r="S13" s="16"/>
      <c r="T13" s="16"/>
      <c r="U13" s="16"/>
      <c r="V13" s="16"/>
      <c r="W13" s="16"/>
      <c r="X13" s="16"/>
      <c r="Y13" s="16"/>
      <c r="Z13" s="16"/>
    </row>
    <row r="14" spans="1:26" ht="12" customHeight="1" x14ac:dyDescent="0.2">
      <c r="A14" s="16"/>
      <c r="B14" s="306" t="s">
        <v>4</v>
      </c>
      <c r="C14" s="307"/>
      <c r="D14" s="308"/>
      <c r="E14" s="283">
        <f>【入力】財務分析!$D$29</f>
        <v>15000</v>
      </c>
      <c r="F14" s="284"/>
      <c r="G14" s="284"/>
      <c r="H14" s="284"/>
      <c r="I14" s="284"/>
      <c r="J14" s="285"/>
      <c r="L14" s="90"/>
      <c r="M14" s="16"/>
      <c r="N14" s="16"/>
      <c r="O14" s="16"/>
      <c r="P14" s="16"/>
      <c r="Q14" s="16"/>
      <c r="R14" s="16"/>
      <c r="S14" s="16"/>
      <c r="T14" s="16"/>
      <c r="U14" s="16"/>
      <c r="V14" s="16"/>
      <c r="W14" s="16"/>
      <c r="X14" s="16"/>
      <c r="Y14" s="16"/>
      <c r="Z14" s="16"/>
    </row>
    <row r="15" spans="1:26" ht="12" customHeight="1" x14ac:dyDescent="0.2">
      <c r="A15" s="16"/>
      <c r="B15" s="306" t="s">
        <v>22</v>
      </c>
      <c r="C15" s="307"/>
      <c r="D15" s="308"/>
      <c r="E15" s="321">
        <f>【入力】財務分析!D12</f>
        <v>30</v>
      </c>
      <c r="F15" s="322"/>
      <c r="G15" s="322"/>
      <c r="H15" s="322"/>
      <c r="I15" s="322"/>
      <c r="J15" s="323"/>
      <c r="L15" s="91"/>
      <c r="M15" s="16"/>
      <c r="N15" s="16"/>
      <c r="O15" s="16"/>
      <c r="P15" s="16"/>
      <c r="Q15" s="16"/>
      <c r="R15" s="16"/>
      <c r="S15" s="16"/>
      <c r="T15" s="16"/>
      <c r="U15" s="16"/>
      <c r="V15" s="16"/>
      <c r="W15" s="16"/>
      <c r="X15" s="16"/>
      <c r="Y15" s="16"/>
      <c r="Z15" s="16"/>
    </row>
    <row r="16" spans="1:26" ht="9" customHeight="1" x14ac:dyDescent="0.2">
      <c r="A16" s="16"/>
      <c r="B16" s="16"/>
      <c r="C16" s="16"/>
      <c r="D16" s="16"/>
      <c r="E16" s="16"/>
      <c r="F16" s="16"/>
      <c r="G16" s="16"/>
      <c r="H16" s="16"/>
      <c r="I16" s="16"/>
      <c r="J16" s="16"/>
      <c r="K16" s="16"/>
      <c r="L16" s="16"/>
      <c r="M16" s="16"/>
      <c r="N16" s="16"/>
      <c r="O16" s="16"/>
      <c r="P16" s="16"/>
      <c r="Q16" s="16"/>
      <c r="R16" s="16"/>
      <c r="S16" s="16"/>
      <c r="T16" s="16"/>
      <c r="U16" s="16"/>
      <c r="V16" s="16"/>
      <c r="W16" s="16"/>
      <c r="X16" s="16"/>
      <c r="Y16" s="16"/>
      <c r="Z16" s="16"/>
    </row>
    <row r="17" spans="1:27" ht="8.25" customHeight="1" x14ac:dyDescent="0.2">
      <c r="A17" s="16"/>
      <c r="B17" s="92"/>
      <c r="C17" s="92"/>
      <c r="D17" s="92"/>
      <c r="E17" s="92"/>
      <c r="F17" s="92"/>
      <c r="G17" s="92"/>
      <c r="H17" s="92"/>
      <c r="I17" s="92"/>
      <c r="J17" s="92"/>
      <c r="K17" s="92"/>
      <c r="L17" s="92"/>
      <c r="M17" s="16"/>
      <c r="N17" s="16"/>
      <c r="O17" s="16"/>
      <c r="P17" s="16"/>
      <c r="Q17" s="16"/>
      <c r="R17" s="16"/>
      <c r="S17" s="16"/>
      <c r="T17" s="16"/>
      <c r="U17" s="16"/>
      <c r="V17" s="16"/>
      <c r="W17" s="16"/>
      <c r="X17" s="16"/>
      <c r="Y17" s="16"/>
      <c r="Z17" s="16"/>
    </row>
    <row r="18" spans="1:27" ht="12" customHeight="1" x14ac:dyDescent="0.2">
      <c r="A18" s="16"/>
      <c r="B18" s="115" t="s">
        <v>55</v>
      </c>
      <c r="C18" s="115"/>
      <c r="D18" s="115"/>
      <c r="E18" s="115"/>
      <c r="F18" s="116"/>
      <c r="G18" s="116"/>
      <c r="H18" s="116"/>
      <c r="I18" s="116"/>
      <c r="J18" s="116"/>
      <c r="K18" s="92"/>
      <c r="L18" s="92"/>
      <c r="M18" s="16"/>
      <c r="N18" s="16"/>
      <c r="O18" s="16"/>
      <c r="P18" s="16"/>
      <c r="Q18" s="16"/>
      <c r="R18" s="16"/>
      <c r="S18" s="16"/>
      <c r="T18" s="16"/>
      <c r="U18" s="16"/>
      <c r="V18" s="16"/>
      <c r="W18" s="16"/>
      <c r="X18" s="16"/>
      <c r="Y18" s="16"/>
      <c r="Z18" s="16"/>
    </row>
    <row r="19" spans="1:27" ht="12" customHeight="1" x14ac:dyDescent="0.2">
      <c r="A19" s="16"/>
      <c r="B19" s="309" t="s">
        <v>8</v>
      </c>
      <c r="C19" s="310"/>
      <c r="D19" s="311"/>
      <c r="E19" s="286">
        <f>【入力】財務分析!D26</f>
        <v>42795</v>
      </c>
      <c r="F19" s="287"/>
      <c r="G19" s="287"/>
      <c r="H19" s="287"/>
      <c r="I19" s="287"/>
      <c r="J19" s="288"/>
      <c r="K19" s="92"/>
      <c r="L19" s="92"/>
      <c r="M19" s="16"/>
      <c r="N19" s="16"/>
      <c r="O19" s="16"/>
      <c r="P19" s="16"/>
      <c r="Q19" s="16"/>
      <c r="R19" s="16"/>
      <c r="S19" s="16"/>
      <c r="U19" s="16"/>
      <c r="V19" s="16"/>
      <c r="W19" s="16"/>
      <c r="X19" s="16"/>
      <c r="Y19" s="16"/>
      <c r="Z19" s="16"/>
    </row>
    <row r="20" spans="1:27" ht="13.35" customHeight="1" x14ac:dyDescent="0.2">
      <c r="A20" s="16"/>
      <c r="B20" s="312"/>
      <c r="C20" s="313"/>
      <c r="D20" s="314"/>
      <c r="E20" s="289" t="s">
        <v>9</v>
      </c>
      <c r="F20" s="290"/>
      <c r="G20" s="276" t="s">
        <v>20</v>
      </c>
      <c r="H20" s="277"/>
      <c r="I20" s="276" t="s">
        <v>134</v>
      </c>
      <c r="J20" s="277"/>
      <c r="K20" s="92"/>
      <c r="L20" s="92"/>
      <c r="M20" s="16"/>
      <c r="N20" s="16"/>
      <c r="O20" s="16"/>
      <c r="P20" s="16"/>
      <c r="Q20" s="16"/>
      <c r="S20" s="16"/>
      <c r="U20" s="16"/>
      <c r="V20" s="16"/>
      <c r="W20" s="16"/>
      <c r="X20" s="16"/>
      <c r="Y20" s="16"/>
      <c r="Z20" s="16"/>
    </row>
    <row r="21" spans="1:27" ht="13.35" customHeight="1" x14ac:dyDescent="0.2">
      <c r="A21" s="16"/>
      <c r="B21" s="259" t="s">
        <v>46</v>
      </c>
      <c r="C21" s="260"/>
      <c r="D21" s="261"/>
      <c r="E21" s="236">
        <f>【入力】財務分析!K6</f>
        <v>7.8495284388290676E-2</v>
      </c>
      <c r="F21" s="237"/>
      <c r="G21" s="240">
        <f>【入力】財務分析!L6</f>
        <v>3</v>
      </c>
      <c r="H21" s="241"/>
      <c r="I21" s="236">
        <f>IFERROR(INDEX(【参照】売上増加率基準値!$E:$E,MATCH($E$10&amp;$E$11,INDEX(【参照】売上増加率基準値!$C:$C&amp;【参照】売上増加率基準値!$D:$D,),0)),"-")</f>
        <v>4.0528448951591599E-2</v>
      </c>
      <c r="J21" s="237"/>
      <c r="K21" s="92"/>
      <c r="L21" s="92"/>
      <c r="M21" s="16"/>
      <c r="N21" s="16"/>
      <c r="O21" s="16"/>
      <c r="P21" s="16"/>
      <c r="Q21" s="16"/>
      <c r="R21" s="16"/>
      <c r="S21" s="16"/>
      <c r="T21" s="16"/>
      <c r="U21" s="16"/>
      <c r="V21" s="16"/>
      <c r="W21" s="16"/>
      <c r="X21" s="16"/>
      <c r="Y21" s="16"/>
      <c r="Z21" s="16"/>
    </row>
    <row r="22" spans="1:27" ht="13.35" customHeight="1" x14ac:dyDescent="0.2">
      <c r="A22" s="16"/>
      <c r="B22" s="259" t="s">
        <v>1</v>
      </c>
      <c r="C22" s="260"/>
      <c r="D22" s="261"/>
      <c r="E22" s="236">
        <f>【入力】財務分析!K7</f>
        <v>2.9238341211441938E-3</v>
      </c>
      <c r="F22" s="237"/>
      <c r="G22" s="240">
        <f>【入力】財務分析!L7</f>
        <v>2</v>
      </c>
      <c r="H22" s="241"/>
      <c r="I22" s="236">
        <f>IFERROR(INDEX(【参照】営業利益率基準値!$E:$E,MATCH($E$10&amp;$E$11,INDEX(【参照】営業利益率基準値!$C:$C&amp;【参照】営業利益率基準値!$D:$D,),0)),"-")</f>
        <v>2.7270750661847299E-2</v>
      </c>
      <c r="J22" s="237"/>
      <c r="K22" s="92"/>
      <c r="L22" s="92"/>
      <c r="M22" s="16"/>
      <c r="N22" s="16"/>
      <c r="O22" s="16"/>
      <c r="P22" s="16"/>
      <c r="Q22" s="16"/>
      <c r="R22" s="16"/>
      <c r="S22" s="16"/>
      <c r="T22" s="16"/>
      <c r="U22" s="16"/>
      <c r="V22" s="16"/>
      <c r="W22" s="16"/>
      <c r="X22" s="16"/>
      <c r="Y22" s="16"/>
      <c r="Z22" s="16"/>
    </row>
    <row r="23" spans="1:27" ht="13.35" customHeight="1" x14ac:dyDescent="0.2">
      <c r="A23" s="16"/>
      <c r="B23" s="259" t="s">
        <v>2</v>
      </c>
      <c r="C23" s="260"/>
      <c r="D23" s="261"/>
      <c r="E23" s="281">
        <f>【入力】財務分析!K8</f>
        <v>500</v>
      </c>
      <c r="F23" s="282"/>
      <c r="G23" s="240">
        <f>【入力】財務分析!L8</f>
        <v>3</v>
      </c>
      <c r="H23" s="241"/>
      <c r="I23" s="281">
        <f>IFERROR(INDEX(【参照】労働生産性基準値!$E:$E,MATCH($E$10&amp;$E$11,INDEX(【参照】労働生産性基準値!$C:$C&amp;【参照】労働生産性基準値!$D:$D,),0)),"-")</f>
        <v>647.62271022883897</v>
      </c>
      <c r="J23" s="282"/>
      <c r="K23" s="92"/>
      <c r="L23" s="92"/>
      <c r="M23" s="16"/>
      <c r="N23" s="16"/>
      <c r="O23" s="16"/>
      <c r="P23" s="16"/>
      <c r="Q23" s="16"/>
      <c r="R23" s="16"/>
      <c r="S23" s="16"/>
      <c r="T23" s="16"/>
      <c r="U23" s="16"/>
      <c r="V23" s="16"/>
      <c r="W23" s="16"/>
      <c r="X23" s="16"/>
      <c r="Y23" s="16"/>
      <c r="Z23" s="16"/>
    </row>
    <row r="24" spans="1:27" ht="13.35" customHeight="1" x14ac:dyDescent="0.2">
      <c r="A24" s="16"/>
      <c r="B24" s="259" t="s">
        <v>3</v>
      </c>
      <c r="C24" s="260"/>
      <c r="D24" s="261"/>
      <c r="E24" s="238">
        <f>【入力】財務分析!K9</f>
        <v>-6.6666666666666666E-2</v>
      </c>
      <c r="F24" s="239"/>
      <c r="G24" s="240">
        <f>【入力】財務分析!L9</f>
        <v>5</v>
      </c>
      <c r="H24" s="241"/>
      <c r="I24" s="238">
        <f>IFERROR(INDEX(【参照】EBITDA基準値!$E:$E,MATCH($E$10&amp;$E$11,INDEX(【参照】EBITDA基準値!$C:$C&amp;【参照】EBITDA基準値!$D:$D,),0)),"-")</f>
        <v>6.3975939571621296</v>
      </c>
      <c r="J24" s="239"/>
      <c r="K24" s="92"/>
      <c r="L24" s="92"/>
      <c r="M24" s="16"/>
      <c r="N24" s="16"/>
      <c r="O24" s="16"/>
      <c r="P24" s="16"/>
      <c r="Q24" s="16"/>
      <c r="S24" s="16"/>
      <c r="T24" s="16"/>
      <c r="U24" s="16"/>
      <c r="V24" s="16"/>
      <c r="W24" s="16"/>
      <c r="X24" s="16"/>
      <c r="Y24" s="16"/>
      <c r="Z24" s="16"/>
    </row>
    <row r="25" spans="1:27" ht="13.35" customHeight="1" x14ac:dyDescent="0.2">
      <c r="A25" s="16"/>
      <c r="B25" s="259" t="s">
        <v>54</v>
      </c>
      <c r="C25" s="260"/>
      <c r="D25" s="261"/>
      <c r="E25" s="234">
        <f>【入力】財務分析!K10</f>
        <v>0.77192729399152094</v>
      </c>
      <c r="F25" s="235"/>
      <c r="G25" s="240">
        <f>【入力】財務分析!L10</f>
        <v>2</v>
      </c>
      <c r="H25" s="241"/>
      <c r="I25" s="234">
        <f>IFERROR(INDEX(【参照】営業運転資本回転期間基準値!$E:$E,MATCH($E$10&amp;$E$11,INDEX(【参照】営業運転資本回転期間基準値!$C:$C&amp;【参照】営業運転資本回転期間基準値!$D:$D,),0)),"-")</f>
        <v>0.36060016942539702</v>
      </c>
      <c r="J25" s="235"/>
      <c r="K25" s="92"/>
      <c r="L25" s="92"/>
      <c r="M25" s="16"/>
      <c r="N25" s="16"/>
      <c r="O25" s="16"/>
      <c r="P25" s="16"/>
      <c r="Q25" s="16"/>
      <c r="R25" s="16"/>
      <c r="S25" s="16"/>
      <c r="T25" s="16"/>
      <c r="U25" s="16"/>
      <c r="V25" s="16"/>
      <c r="W25" s="16"/>
      <c r="X25" s="16"/>
      <c r="Y25" s="16"/>
      <c r="Z25" s="16"/>
    </row>
    <row r="26" spans="1:27" ht="13.35" customHeight="1" x14ac:dyDescent="0.2">
      <c r="A26" s="16"/>
      <c r="B26" s="259" t="s">
        <v>53</v>
      </c>
      <c r="C26" s="260"/>
      <c r="D26" s="261"/>
      <c r="E26" s="236">
        <f>【入力】財務分析!K11</f>
        <v>0.35363399685415198</v>
      </c>
      <c r="F26" s="237"/>
      <c r="G26" s="240">
        <f>【入力】財務分析!L11</f>
        <v>3</v>
      </c>
      <c r="H26" s="241"/>
      <c r="I26" s="236">
        <f>IFERROR(INDEX(【参照】自己資本比率基準値!$E:$E,MATCH($E$10&amp;$E$11,INDEX(【参照】自己資本比率基準値!$C:$C&amp;【参照】自己資本比率基準値!$D:$D,),0)),"-")</f>
        <v>0.21545636727859199</v>
      </c>
      <c r="J26" s="237"/>
      <c r="K26" s="92"/>
      <c r="L26" s="92"/>
      <c r="M26" s="16"/>
      <c r="N26" s="16"/>
      <c r="O26" s="16"/>
      <c r="P26" s="16"/>
      <c r="Q26" s="16"/>
      <c r="R26" s="16"/>
      <c r="S26" s="16"/>
      <c r="T26" s="16"/>
      <c r="U26" s="16"/>
      <c r="V26" s="16"/>
      <c r="W26" s="16"/>
      <c r="X26" s="16"/>
      <c r="Y26" s="16"/>
      <c r="Z26" s="16"/>
    </row>
    <row r="27" spans="1:27" ht="3.75" customHeight="1" thickBot="1" x14ac:dyDescent="0.25">
      <c r="A27" s="16"/>
      <c r="B27" s="92"/>
      <c r="C27" s="92"/>
      <c r="D27" s="92"/>
      <c r="E27" s="92"/>
      <c r="F27" s="92"/>
      <c r="G27" s="92"/>
      <c r="H27" s="92"/>
      <c r="I27" s="92"/>
      <c r="J27" s="92"/>
      <c r="K27" s="92"/>
      <c r="L27" s="92"/>
      <c r="M27" s="16"/>
      <c r="N27" s="16"/>
      <c r="O27" s="16"/>
      <c r="P27" s="16"/>
      <c r="Q27" s="16"/>
      <c r="R27" s="16"/>
      <c r="S27" s="16"/>
      <c r="T27" s="16"/>
      <c r="U27" s="16"/>
      <c r="V27" s="16"/>
      <c r="W27" s="16"/>
      <c r="X27" s="16"/>
      <c r="Y27" s="16"/>
      <c r="Z27" s="16"/>
    </row>
    <row r="28" spans="1:27" ht="24.75" customHeight="1" thickTop="1" thickBot="1" x14ac:dyDescent="0.25">
      <c r="A28" s="16"/>
      <c r="B28" s="92"/>
      <c r="C28" s="92"/>
      <c r="D28" s="92"/>
      <c r="E28" s="278" t="s">
        <v>119</v>
      </c>
      <c r="F28" s="279"/>
      <c r="G28" s="279"/>
      <c r="H28" s="117">
        <f>SUM(G21:H26)</f>
        <v>18</v>
      </c>
      <c r="I28" s="278" t="str">
        <f>IF(H28&gt;=24,"A",IF(H28&gt;=18,"B",IF(H28&gt;=12,"C","D")))</f>
        <v>B</v>
      </c>
      <c r="J28" s="279"/>
      <c r="K28" s="92"/>
      <c r="L28" s="92"/>
      <c r="M28" s="16"/>
      <c r="N28" s="16"/>
      <c r="O28" s="16"/>
      <c r="P28" s="16"/>
      <c r="Q28" s="16"/>
      <c r="S28" s="16"/>
      <c r="T28" s="16"/>
      <c r="U28" s="16"/>
      <c r="V28" s="16"/>
      <c r="W28" s="16"/>
      <c r="X28" s="16"/>
      <c r="Y28" s="16"/>
      <c r="Z28" s="16"/>
      <c r="AA28" s="93"/>
    </row>
    <row r="29" spans="1:27" ht="5.25" customHeight="1" thickTop="1" x14ac:dyDescent="0.2">
      <c r="A29" s="16"/>
      <c r="B29" s="92"/>
      <c r="C29" s="92"/>
      <c r="D29" s="92"/>
      <c r="E29" s="92"/>
      <c r="F29" s="92"/>
      <c r="G29" s="92"/>
      <c r="H29" s="92"/>
      <c r="I29" s="92"/>
      <c r="J29" s="92"/>
      <c r="K29" s="92"/>
      <c r="L29" s="92"/>
      <c r="M29" s="16"/>
      <c r="N29" s="16"/>
      <c r="O29" s="16"/>
      <c r="P29" s="16"/>
      <c r="Q29" s="16"/>
      <c r="R29" s="16"/>
      <c r="S29" s="16"/>
      <c r="T29" s="16"/>
      <c r="U29" s="16"/>
      <c r="V29" s="16"/>
      <c r="W29" s="16"/>
      <c r="X29" s="16"/>
      <c r="Y29" s="16"/>
      <c r="Z29" s="16"/>
    </row>
    <row r="30" spans="1:27" ht="1.5" customHeight="1" x14ac:dyDescent="0.2">
      <c r="A30" s="16"/>
      <c r="B30" s="16"/>
      <c r="C30" s="16"/>
      <c r="D30" s="16"/>
      <c r="E30" s="16"/>
      <c r="F30" s="16"/>
      <c r="G30" s="16"/>
      <c r="H30" s="16"/>
      <c r="I30" s="16"/>
      <c r="J30" s="16"/>
      <c r="K30" s="16"/>
      <c r="L30" s="16"/>
      <c r="M30" s="16"/>
      <c r="N30" s="16"/>
      <c r="O30" s="16"/>
      <c r="P30" s="16"/>
      <c r="Q30" s="16"/>
      <c r="R30" s="16"/>
      <c r="S30" s="16"/>
      <c r="T30" s="16"/>
      <c r="U30" s="16"/>
      <c r="V30" s="16"/>
      <c r="W30" s="16"/>
      <c r="X30" s="16"/>
      <c r="Y30" s="94"/>
      <c r="Z30" s="16"/>
    </row>
    <row r="31" spans="1:27" ht="12" customHeight="1" x14ac:dyDescent="0.2">
      <c r="A31" s="16"/>
      <c r="B31" s="121" t="s">
        <v>56</v>
      </c>
      <c r="C31" s="121"/>
      <c r="D31" s="121"/>
      <c r="E31" s="122"/>
      <c r="F31" s="122"/>
      <c r="G31" s="122"/>
      <c r="H31" s="122"/>
      <c r="I31" s="122"/>
      <c r="J31" s="122"/>
      <c r="K31" s="123"/>
      <c r="L31" s="123"/>
      <c r="M31" s="123"/>
      <c r="N31" s="123"/>
      <c r="O31" s="124"/>
      <c r="P31" s="124"/>
      <c r="Q31" s="124"/>
      <c r="R31" s="16"/>
      <c r="S31" s="16"/>
      <c r="T31" s="16"/>
      <c r="U31" s="16"/>
      <c r="V31" s="16"/>
      <c r="W31" s="16"/>
      <c r="X31" s="16"/>
      <c r="Y31" s="94"/>
      <c r="Z31" s="16"/>
      <c r="AA31" s="95"/>
    </row>
    <row r="32" spans="1:27" ht="12.75" customHeight="1" x14ac:dyDescent="0.2">
      <c r="A32" s="16"/>
      <c r="B32" s="262" t="s">
        <v>8</v>
      </c>
      <c r="C32" s="263"/>
      <c r="D32" s="264"/>
      <c r="E32" s="301">
        <f>【入力】財務分析!E26</f>
        <v>42430</v>
      </c>
      <c r="F32" s="302"/>
      <c r="G32" s="302"/>
      <c r="H32" s="302"/>
      <c r="I32" s="302"/>
      <c r="J32" s="303"/>
      <c r="K32" s="301">
        <f>【入力】財務分析!F26</f>
        <v>42064</v>
      </c>
      <c r="L32" s="302"/>
      <c r="M32" s="302"/>
      <c r="N32" s="302"/>
      <c r="O32" s="302"/>
      <c r="P32" s="302"/>
      <c r="Q32" s="303"/>
      <c r="R32" s="96"/>
      <c r="S32" s="292" t="s">
        <v>224</v>
      </c>
      <c r="T32" s="293"/>
      <c r="U32" s="293"/>
      <c r="V32" s="294"/>
      <c r="W32" s="97"/>
      <c r="X32" s="16"/>
      <c r="Y32" s="94"/>
      <c r="Z32" s="16"/>
      <c r="AA32" s="95"/>
    </row>
    <row r="33" spans="1:27" ht="16.5" customHeight="1" x14ac:dyDescent="0.2">
      <c r="A33" s="16"/>
      <c r="B33" s="265"/>
      <c r="C33" s="266"/>
      <c r="D33" s="267"/>
      <c r="E33" s="304" t="s">
        <v>9</v>
      </c>
      <c r="F33" s="305"/>
      <c r="G33" s="273" t="s">
        <v>20</v>
      </c>
      <c r="H33" s="274"/>
      <c r="I33" s="276" t="s">
        <v>134</v>
      </c>
      <c r="J33" s="277"/>
      <c r="K33" s="273" t="s">
        <v>9</v>
      </c>
      <c r="L33" s="275"/>
      <c r="M33" s="274"/>
      <c r="N33" s="273" t="s">
        <v>20</v>
      </c>
      <c r="O33" s="274"/>
      <c r="P33" s="276" t="s">
        <v>134</v>
      </c>
      <c r="Q33" s="277"/>
      <c r="R33" s="98"/>
      <c r="S33" s="295"/>
      <c r="T33" s="296"/>
      <c r="U33" s="296"/>
      <c r="V33" s="297"/>
      <c r="W33" s="99"/>
      <c r="X33" s="16"/>
      <c r="Y33" s="94"/>
      <c r="Z33" s="16"/>
      <c r="AA33" s="100"/>
    </row>
    <row r="34" spans="1:27" ht="12" customHeight="1" x14ac:dyDescent="0.2">
      <c r="A34" s="16"/>
      <c r="B34" s="252" t="s">
        <v>46</v>
      </c>
      <c r="C34" s="253"/>
      <c r="D34" s="254"/>
      <c r="E34" s="242">
        <f>【入力】財務分析!M6</f>
        <v>-2.3536004713112901E-2</v>
      </c>
      <c r="F34" s="243"/>
      <c r="G34" s="250">
        <f>【入力】財務分析!N6</f>
        <v>2</v>
      </c>
      <c r="H34" s="251"/>
      <c r="I34" s="242">
        <f>IFERROR(INDEX(【参照】売上増加率基準値!$E:$E,MATCH($E$10&amp;$E$11,INDEX(【参照】売上増加率基準値!$C:$C&amp;【参照】売上増加率基準値!$D:$D,),0)),"-")</f>
        <v>4.0528448951591599E-2</v>
      </c>
      <c r="J34" s="243"/>
      <c r="K34" s="242">
        <f>【入力】財務分析!O6</f>
        <v>-1.228421472224217E-2</v>
      </c>
      <c r="L34" s="245"/>
      <c r="M34" s="243"/>
      <c r="N34" s="256">
        <f>【入力】財務分析!P6</f>
        <v>2</v>
      </c>
      <c r="O34" s="257"/>
      <c r="P34" s="242">
        <f>IFERROR(INDEX(【参照】売上増加率基準値!$E:$E,MATCH($E$10&amp;$E$11,INDEX(【参照】売上増加率基準値!$C:$C&amp;【参照】売上増加率基準値!$D:$D,),0)),"-")</f>
        <v>4.0528448951591599E-2</v>
      </c>
      <c r="Q34" s="243"/>
      <c r="R34" s="101"/>
      <c r="S34" s="295"/>
      <c r="T34" s="296"/>
      <c r="U34" s="296"/>
      <c r="V34" s="297"/>
      <c r="W34" s="102"/>
      <c r="X34" s="16"/>
      <c r="Y34" s="94"/>
      <c r="Z34" s="16"/>
      <c r="AA34" s="103"/>
    </row>
    <row r="35" spans="1:27" ht="12" customHeight="1" x14ac:dyDescent="0.2">
      <c r="A35" s="16"/>
      <c r="B35" s="252" t="s">
        <v>1</v>
      </c>
      <c r="C35" s="253"/>
      <c r="D35" s="254"/>
      <c r="E35" s="242">
        <f>【入力】財務分析!M7</f>
        <v>-3.2206125933099974E-3</v>
      </c>
      <c r="F35" s="243"/>
      <c r="G35" s="250">
        <f>【入力】財務分析!N7</f>
        <v>2</v>
      </c>
      <c r="H35" s="251"/>
      <c r="I35" s="242">
        <f>IFERROR(INDEX(【参照】営業利益率基準値!$E:$E,MATCH($E$10&amp;$E$11,INDEX(【参照】営業利益率基準値!$C:$C&amp;【参照】営業利益率基準値!$D:$D,),0)),"-")</f>
        <v>2.7270750661847299E-2</v>
      </c>
      <c r="J35" s="243"/>
      <c r="K35" s="242">
        <f>【入力】財務分析!O7</f>
        <v>0</v>
      </c>
      <c r="L35" s="245"/>
      <c r="M35" s="243"/>
      <c r="N35" s="256">
        <f>【入力】財務分析!P7</f>
        <v>2</v>
      </c>
      <c r="O35" s="257"/>
      <c r="P35" s="242">
        <f>IFERROR(INDEX(【参照】営業利益率基準値!$E:$E,MATCH($E$10&amp;$E$11,INDEX(【参照】営業利益率基準値!$C:$C&amp;【参照】営業利益率基準値!$D:$D,),0)),"-")</f>
        <v>2.7270750661847299E-2</v>
      </c>
      <c r="Q35" s="243"/>
      <c r="R35" s="101"/>
      <c r="S35" s="295"/>
      <c r="T35" s="296"/>
      <c r="U35" s="296"/>
      <c r="V35" s="297"/>
      <c r="W35" s="102"/>
      <c r="X35" s="16"/>
      <c r="Y35" s="94"/>
      <c r="Z35" s="16"/>
      <c r="AA35" s="103"/>
    </row>
    <row r="36" spans="1:27" ht="12" customHeight="1" x14ac:dyDescent="0.2">
      <c r="A36" s="16"/>
      <c r="B36" s="252" t="s">
        <v>2</v>
      </c>
      <c r="C36" s="253"/>
      <c r="D36" s="254"/>
      <c r="E36" s="268">
        <f>【入力】財務分析!M8</f>
        <v>-392.82051282051282</v>
      </c>
      <c r="F36" s="269"/>
      <c r="G36" s="250">
        <f>【入力】財務分析!N8</f>
        <v>2</v>
      </c>
      <c r="H36" s="251"/>
      <c r="I36" s="268">
        <f>IFERROR(INDEX(【参照】労働生産性基準値!$E:$E,MATCH($E$10&amp;$E$11,INDEX(【参照】労働生産性基準値!$C:$C&amp;【参照】労働生産性基準値!$D:$D,),0)),"-")</f>
        <v>647.62271022883897</v>
      </c>
      <c r="J36" s="269"/>
      <c r="K36" s="268">
        <f>【入力】財務分析!O8</f>
        <v>0</v>
      </c>
      <c r="L36" s="270"/>
      <c r="M36" s="269"/>
      <c r="N36" s="256">
        <f>【入力】財務分析!P8</f>
        <v>2</v>
      </c>
      <c r="O36" s="257"/>
      <c r="P36" s="268">
        <f>IFERROR(INDEX(【参照】労働生産性基準値!$E:$E,MATCH($E$10&amp;$E$11,INDEX(【参照】労働生産性基準値!$C:$C&amp;【参照】労働生産性基準値!$D:$D,),0)),"-")</f>
        <v>647.62271022883897</v>
      </c>
      <c r="Q36" s="269"/>
      <c r="R36" s="104"/>
      <c r="S36" s="295"/>
      <c r="T36" s="296"/>
      <c r="U36" s="296"/>
      <c r="V36" s="297"/>
      <c r="W36" s="105"/>
      <c r="X36" s="16"/>
      <c r="Y36" s="94"/>
      <c r="Z36" s="16"/>
      <c r="AA36" s="103"/>
    </row>
    <row r="37" spans="1:27" ht="12" customHeight="1" x14ac:dyDescent="0.2">
      <c r="A37" s="16"/>
      <c r="B37" s="252" t="s">
        <v>3</v>
      </c>
      <c r="C37" s="253"/>
      <c r="D37" s="254"/>
      <c r="E37" s="238">
        <f>【入力】財務分析!M9</f>
        <v>61.198324503311262</v>
      </c>
      <c r="F37" s="239"/>
      <c r="G37" s="250">
        <f>【入力】財務分析!N9</f>
        <v>1</v>
      </c>
      <c r="H37" s="251"/>
      <c r="I37" s="238">
        <f>IFERROR(INDEX(【参照】EBITDA基準値!$E:$E,MATCH($E$10&amp;$E$11,INDEX(【参照】EBITDA基準値!$C:$C&amp;【参照】EBITDA基準値!$D:$D,),0)),"-")</f>
        <v>6.3975939571621296</v>
      </c>
      <c r="J37" s="239"/>
      <c r="K37" s="238" t="str">
        <f>【入力】財務分析!O9</f>
        <v>-</v>
      </c>
      <c r="L37" s="291"/>
      <c r="M37" s="239"/>
      <c r="N37" s="256">
        <f>【入力】財務分析!P9</f>
        <v>1</v>
      </c>
      <c r="O37" s="257"/>
      <c r="P37" s="238">
        <f>IFERROR(INDEX(【参照】EBITDA基準値!$E:$E,MATCH($E$10&amp;$E$11,INDEX(【参照】EBITDA基準値!$C:$C&amp;【参照】EBITDA基準値!$D:$D,),0)),"-")</f>
        <v>6.3975939571621296</v>
      </c>
      <c r="Q37" s="239"/>
      <c r="R37" s="106"/>
      <c r="S37" s="295"/>
      <c r="T37" s="296"/>
      <c r="U37" s="296"/>
      <c r="V37" s="297"/>
      <c r="W37" s="89"/>
      <c r="X37" s="16"/>
      <c r="Y37" s="94"/>
      <c r="Z37" s="16"/>
      <c r="AA37" s="103"/>
    </row>
    <row r="38" spans="1:27" ht="12" customHeight="1" x14ac:dyDescent="0.2">
      <c r="A38" s="16"/>
      <c r="B38" s="252" t="s">
        <v>54</v>
      </c>
      <c r="C38" s="253"/>
      <c r="D38" s="254"/>
      <c r="E38" s="247">
        <f>【入力】財務分析!M10</f>
        <v>2.8323886833727885</v>
      </c>
      <c r="F38" s="249"/>
      <c r="G38" s="250">
        <f>【入力】財務分析!N10</f>
        <v>1</v>
      </c>
      <c r="H38" s="251"/>
      <c r="I38" s="271">
        <f>IFERROR(INDEX(【参照】営業運転資本回転期間基準値!$E:$E,MATCH($E$10&amp;$E$11,INDEX(【参照】営業運転資本回転期間基準値!$C:$C&amp;【参照】営業運転資本回転期間基準値!$D:$D,),0)),"-")</f>
        <v>0.36060016942539702</v>
      </c>
      <c r="J38" s="272"/>
      <c r="K38" s="247">
        <f>【入力】財務分析!O10</f>
        <v>1.1332164158377835</v>
      </c>
      <c r="L38" s="248"/>
      <c r="M38" s="249"/>
      <c r="N38" s="256">
        <f>【入力】財務分析!P10</f>
        <v>2</v>
      </c>
      <c r="O38" s="257"/>
      <c r="P38" s="271">
        <f>IFERROR(INDEX(【参照】営業運転資本回転期間基準値!$E:$E,MATCH($E$10&amp;$E$11,INDEX(【参照】営業運転資本回転期間基準値!$C:$C&amp;【参照】営業運転資本回転期間基準値!$D:$D,),0)),"-")</f>
        <v>0.36060016942539702</v>
      </c>
      <c r="Q38" s="272"/>
      <c r="R38" s="107"/>
      <c r="S38" s="295"/>
      <c r="T38" s="296"/>
      <c r="U38" s="296"/>
      <c r="V38" s="297"/>
      <c r="W38" s="108"/>
      <c r="X38" s="16"/>
      <c r="Y38" s="94"/>
      <c r="Z38" s="16"/>
      <c r="AA38" s="103"/>
    </row>
    <row r="39" spans="1:27" ht="12" customHeight="1" x14ac:dyDescent="0.2">
      <c r="A39" s="16"/>
      <c r="B39" s="252" t="s">
        <v>53</v>
      </c>
      <c r="C39" s="253"/>
      <c r="D39" s="254"/>
      <c r="E39" s="242">
        <f>【入力】財務分析!M11</f>
        <v>2.1480049957016235E-2</v>
      </c>
      <c r="F39" s="243"/>
      <c r="G39" s="250">
        <f>【入力】財務分析!N11</f>
        <v>2</v>
      </c>
      <c r="H39" s="251"/>
      <c r="I39" s="242">
        <f>IFERROR(INDEX(【参照】自己資本比率基準値!$E:$E,MATCH($E$10&amp;$E$11,INDEX(【参照】自己資本比率基準値!$C:$C&amp;【参照】自己資本比率基準値!$D:$D,),0)),"-")</f>
        <v>0.21545636727859199</v>
      </c>
      <c r="J39" s="243"/>
      <c r="K39" s="242">
        <f>【入力】財務分析!O11</f>
        <v>0.24244864676391387</v>
      </c>
      <c r="L39" s="245"/>
      <c r="M39" s="243"/>
      <c r="N39" s="256">
        <f>【入力】財務分析!P11</f>
        <v>3</v>
      </c>
      <c r="O39" s="257"/>
      <c r="P39" s="242">
        <f>IFERROR(INDEX(【参照】自己資本比率基準値!$E:$E,MATCH($E$10&amp;$E$11,INDEX(【参照】自己資本比率基準値!$C:$C&amp;【参照】自己資本比率基準値!$D:$D,),0)),"-")</f>
        <v>0.21545636727859199</v>
      </c>
      <c r="Q39" s="243"/>
      <c r="R39" s="101"/>
      <c r="S39" s="295"/>
      <c r="T39" s="296"/>
      <c r="U39" s="296"/>
      <c r="V39" s="297"/>
      <c r="W39" s="102"/>
      <c r="X39" s="16"/>
      <c r="Y39" s="94"/>
      <c r="Z39" s="16"/>
      <c r="AA39" s="103"/>
    </row>
    <row r="40" spans="1:27" ht="3.75" customHeight="1" x14ac:dyDescent="0.2">
      <c r="A40" s="16"/>
      <c r="B40" s="121"/>
      <c r="C40" s="121"/>
      <c r="D40" s="121"/>
      <c r="E40" s="121"/>
      <c r="F40" s="121"/>
      <c r="G40" s="121"/>
      <c r="H40" s="121"/>
      <c r="I40" s="121"/>
      <c r="J40" s="121"/>
      <c r="K40" s="121"/>
      <c r="L40" s="121"/>
      <c r="M40" s="121"/>
      <c r="N40" s="121"/>
      <c r="O40" s="121"/>
      <c r="P40" s="121"/>
      <c r="Q40" s="121"/>
      <c r="R40" s="16"/>
      <c r="S40" s="295"/>
      <c r="T40" s="296"/>
      <c r="U40" s="296"/>
      <c r="V40" s="297"/>
      <c r="W40" s="16"/>
      <c r="X40" s="16"/>
      <c r="Y40" s="16"/>
      <c r="Z40" s="16"/>
    </row>
    <row r="41" spans="1:27" ht="24.75" customHeight="1" x14ac:dyDescent="0.2">
      <c r="A41" s="16"/>
      <c r="B41" s="121"/>
      <c r="C41" s="121"/>
      <c r="D41" s="121"/>
      <c r="E41" s="255" t="s">
        <v>119</v>
      </c>
      <c r="F41" s="255"/>
      <c r="G41" s="255"/>
      <c r="H41" s="138">
        <f>SUM(G34:H39)</f>
        <v>10</v>
      </c>
      <c r="I41" s="246" t="str">
        <f>IF(H41&gt;=24,"A",IF(H41&gt;=18,"B",IF(H41&gt;=12,"C","D")))</f>
        <v>D</v>
      </c>
      <c r="J41" s="246"/>
      <c r="K41" s="255" t="s">
        <v>119</v>
      </c>
      <c r="L41" s="255"/>
      <c r="M41" s="255"/>
      <c r="N41" s="255"/>
      <c r="O41" s="125">
        <f>SUM(N34:O39)</f>
        <v>12</v>
      </c>
      <c r="P41" s="246" t="str">
        <f>IF(O41&gt;=24,"A",IF(O41&gt;=18,"B",IF(O41&gt;=12,"C","D")))</f>
        <v>C</v>
      </c>
      <c r="Q41" s="246"/>
      <c r="R41" s="108"/>
      <c r="S41" s="298"/>
      <c r="T41" s="299"/>
      <c r="U41" s="299"/>
      <c r="V41" s="300"/>
      <c r="W41" s="108"/>
      <c r="X41" s="16"/>
      <c r="Y41" s="16"/>
      <c r="Z41" s="16"/>
    </row>
    <row r="42" spans="1:27" ht="5.25" customHeight="1" x14ac:dyDescent="0.2">
      <c r="A42" s="16"/>
      <c r="E42" s="88"/>
      <c r="F42" s="109"/>
      <c r="G42" s="109"/>
      <c r="H42" s="110"/>
      <c r="I42" s="110"/>
      <c r="J42" s="110"/>
      <c r="K42" s="110"/>
      <c r="L42" s="110"/>
      <c r="M42" s="109"/>
      <c r="N42" s="109"/>
      <c r="O42" s="16"/>
      <c r="P42" s="16"/>
      <c r="Q42" s="16"/>
      <c r="R42" s="16"/>
      <c r="S42" s="118"/>
      <c r="T42" s="118"/>
      <c r="U42" s="118"/>
      <c r="V42" s="118"/>
      <c r="W42" s="16"/>
      <c r="X42" s="16"/>
      <c r="Y42" s="94"/>
      <c r="Z42" s="16"/>
      <c r="AA42" s="95"/>
    </row>
    <row r="43" spans="1:27" ht="22.5" customHeight="1" x14ac:dyDescent="0.2">
      <c r="A43" s="16"/>
      <c r="C43" s="111"/>
      <c r="D43" s="111"/>
      <c r="E43" s="258" t="s">
        <v>61</v>
      </c>
      <c r="F43" s="258"/>
      <c r="G43" s="258"/>
      <c r="H43" s="258"/>
      <c r="I43" s="258"/>
      <c r="J43" s="258"/>
      <c r="K43" s="258"/>
      <c r="L43" s="258"/>
      <c r="M43" s="258"/>
      <c r="N43" s="258"/>
      <c r="O43" s="258"/>
      <c r="P43" s="258"/>
      <c r="Q43" s="258"/>
      <c r="R43" s="111"/>
      <c r="S43" s="177"/>
      <c r="T43" s="178"/>
      <c r="U43" s="178"/>
      <c r="V43" s="178"/>
      <c r="W43" s="111"/>
      <c r="X43" s="16"/>
      <c r="Y43" s="94"/>
      <c r="Z43" s="16"/>
      <c r="AA43" s="95"/>
    </row>
    <row r="44" spans="1:27" ht="16.5" customHeight="1" x14ac:dyDescent="0.2">
      <c r="A44" s="16"/>
      <c r="B44" s="111"/>
      <c r="C44" s="111"/>
      <c r="D44" s="111"/>
      <c r="E44" s="258"/>
      <c r="F44" s="258"/>
      <c r="G44" s="258"/>
      <c r="H44" s="258"/>
      <c r="I44" s="258"/>
      <c r="J44" s="258"/>
      <c r="K44" s="258"/>
      <c r="L44" s="258"/>
      <c r="M44" s="258"/>
      <c r="N44" s="258"/>
      <c r="O44" s="258"/>
      <c r="P44" s="258"/>
      <c r="Q44" s="258"/>
      <c r="R44" s="111"/>
      <c r="S44" s="178"/>
      <c r="T44" s="178"/>
      <c r="U44" s="178"/>
      <c r="V44" s="178"/>
      <c r="W44" s="111"/>
      <c r="X44" s="16"/>
      <c r="Y44" s="94"/>
      <c r="Z44" s="16"/>
    </row>
    <row r="45" spans="1:27" ht="3" customHeight="1" x14ac:dyDescent="0.2">
      <c r="A45" s="16"/>
      <c r="B45" s="244"/>
      <c r="C45" s="244"/>
      <c r="D45" s="244"/>
      <c r="E45" s="244"/>
      <c r="F45" s="244"/>
      <c r="G45" s="244"/>
      <c r="H45" s="244"/>
      <c r="I45" s="244"/>
      <c r="J45" s="244"/>
      <c r="K45" s="244"/>
      <c r="L45" s="244"/>
      <c r="M45" s="244"/>
      <c r="N45" s="112"/>
      <c r="O45" s="16"/>
      <c r="P45" s="16"/>
      <c r="Q45" s="16"/>
      <c r="R45" s="16"/>
      <c r="S45" s="16"/>
      <c r="T45" s="16"/>
      <c r="U45" s="16"/>
      <c r="V45" s="16"/>
      <c r="W45" s="16"/>
      <c r="X45" s="16"/>
      <c r="Y45" s="94"/>
      <c r="Z45" s="16"/>
    </row>
    <row r="46" spans="1:27" ht="7.5" customHeight="1" x14ac:dyDescent="0.2">
      <c r="A46" s="94"/>
      <c r="B46" s="94"/>
      <c r="C46" s="94"/>
      <c r="D46" s="94"/>
      <c r="E46" s="94"/>
      <c r="F46" s="94"/>
      <c r="G46" s="94"/>
      <c r="H46" s="94"/>
      <c r="I46" s="94"/>
      <c r="J46" s="94"/>
      <c r="K46" s="94"/>
      <c r="L46" s="94"/>
      <c r="M46" s="94"/>
      <c r="N46" s="94"/>
      <c r="O46" s="94"/>
      <c r="P46" s="94"/>
      <c r="Q46" s="94"/>
      <c r="R46" s="94"/>
      <c r="S46" s="94"/>
      <c r="T46" s="94"/>
      <c r="U46" s="94"/>
      <c r="V46" s="94"/>
      <c r="W46" s="94"/>
      <c r="X46" s="16"/>
      <c r="Y46" s="94"/>
      <c r="Z46" s="16"/>
    </row>
    <row r="47" spans="1:27" ht="12" customHeight="1" x14ac:dyDescent="0.2">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row>
  </sheetData>
  <mergeCells count="108">
    <mergeCell ref="B15:D15"/>
    <mergeCell ref="B19:D20"/>
    <mergeCell ref="B21:D21"/>
    <mergeCell ref="B22:D22"/>
    <mergeCell ref="B23:D23"/>
    <mergeCell ref="E5:J5"/>
    <mergeCell ref="E7:J7"/>
    <mergeCell ref="E8:J8"/>
    <mergeCell ref="E9:J9"/>
    <mergeCell ref="E11:J11"/>
    <mergeCell ref="E14:J14"/>
    <mergeCell ref="E15:J15"/>
    <mergeCell ref="B5:D5"/>
    <mergeCell ref="B7:D7"/>
    <mergeCell ref="B8:D8"/>
    <mergeCell ref="B9:D9"/>
    <mergeCell ref="B11:D11"/>
    <mergeCell ref="B13:D13"/>
    <mergeCell ref="B14:D14"/>
    <mergeCell ref="B10:D10"/>
    <mergeCell ref="E10:J10"/>
    <mergeCell ref="P38:Q38"/>
    <mergeCell ref="P39:Q39"/>
    <mergeCell ref="I37:J37"/>
    <mergeCell ref="P37:Q37"/>
    <mergeCell ref="N37:O37"/>
    <mergeCell ref="K37:M37"/>
    <mergeCell ref="P41:Q41"/>
    <mergeCell ref="S32:V41"/>
    <mergeCell ref="I39:J39"/>
    <mergeCell ref="P36:Q36"/>
    <mergeCell ref="P34:Q34"/>
    <mergeCell ref="E32:J32"/>
    <mergeCell ref="E33:F33"/>
    <mergeCell ref="E34:F34"/>
    <mergeCell ref="E35:F35"/>
    <mergeCell ref="P33:Q33"/>
    <mergeCell ref="K32:Q32"/>
    <mergeCell ref="N3:Q3"/>
    <mergeCell ref="G20:H20"/>
    <mergeCell ref="G21:H21"/>
    <mergeCell ref="G22:H22"/>
    <mergeCell ref="I20:J20"/>
    <mergeCell ref="I21:J21"/>
    <mergeCell ref="I22:J22"/>
    <mergeCell ref="E23:F23"/>
    <mergeCell ref="G23:H23"/>
    <mergeCell ref="I23:J23"/>
    <mergeCell ref="E13:J13"/>
    <mergeCell ref="E19:J19"/>
    <mergeCell ref="E20:F20"/>
    <mergeCell ref="B24:D24"/>
    <mergeCell ref="B25:D25"/>
    <mergeCell ref="B26:D26"/>
    <mergeCell ref="B32:D33"/>
    <mergeCell ref="B34:D34"/>
    <mergeCell ref="N38:O38"/>
    <mergeCell ref="E36:F36"/>
    <mergeCell ref="E37:F37"/>
    <mergeCell ref="K36:M36"/>
    <mergeCell ref="N36:O36"/>
    <mergeCell ref="I38:J38"/>
    <mergeCell ref="G36:H36"/>
    <mergeCell ref="I36:J36"/>
    <mergeCell ref="N33:O33"/>
    <mergeCell ref="K33:M33"/>
    <mergeCell ref="N35:O35"/>
    <mergeCell ref="K35:M35"/>
    <mergeCell ref="G33:H33"/>
    <mergeCell ref="G34:H34"/>
    <mergeCell ref="I33:J33"/>
    <mergeCell ref="I34:J34"/>
    <mergeCell ref="I28:J28"/>
    <mergeCell ref="E28:G28"/>
    <mergeCell ref="I24:J24"/>
    <mergeCell ref="B45:M45"/>
    <mergeCell ref="E26:F26"/>
    <mergeCell ref="K39:M39"/>
    <mergeCell ref="G26:H26"/>
    <mergeCell ref="K34:M34"/>
    <mergeCell ref="I41:J41"/>
    <mergeCell ref="K38:M38"/>
    <mergeCell ref="G35:H35"/>
    <mergeCell ref="I35:J35"/>
    <mergeCell ref="B35:D35"/>
    <mergeCell ref="B36:D36"/>
    <mergeCell ref="B37:D37"/>
    <mergeCell ref="B38:D38"/>
    <mergeCell ref="B39:D39"/>
    <mergeCell ref="E41:G41"/>
    <mergeCell ref="K41:N41"/>
    <mergeCell ref="N34:O34"/>
    <mergeCell ref="N39:O39"/>
    <mergeCell ref="E43:Q44"/>
    <mergeCell ref="G37:H37"/>
    <mergeCell ref="G38:H38"/>
    <mergeCell ref="G39:H39"/>
    <mergeCell ref="E38:F38"/>
    <mergeCell ref="E39:F39"/>
    <mergeCell ref="I25:J25"/>
    <mergeCell ref="I26:J26"/>
    <mergeCell ref="E24:F24"/>
    <mergeCell ref="G24:H24"/>
    <mergeCell ref="G25:H25"/>
    <mergeCell ref="E25:F25"/>
    <mergeCell ref="P35:Q35"/>
    <mergeCell ref="E22:F22"/>
    <mergeCell ref="E21:F21"/>
  </mergeCells>
  <phoneticPr fontId="1"/>
  <conditionalFormatting sqref="E21:E24 I21:I23 I34:I36 K34:K35 K38:K39 E13:E15">
    <cfRule type="cellIs" dxfId="73" priority="41" operator="lessThan">
      <formula>0</formula>
    </cfRule>
  </conditionalFormatting>
  <conditionalFormatting sqref="E25">
    <cfRule type="cellIs" dxfId="72" priority="39" operator="lessThan">
      <formula>0</formula>
    </cfRule>
  </conditionalFormatting>
  <conditionalFormatting sqref="E26">
    <cfRule type="cellIs" dxfId="71" priority="38" operator="lessThan">
      <formula>0</formula>
    </cfRule>
  </conditionalFormatting>
  <conditionalFormatting sqref="I25">
    <cfRule type="cellIs" dxfId="70" priority="37" operator="lessThan">
      <formula>0</formula>
    </cfRule>
  </conditionalFormatting>
  <conditionalFormatting sqref="I26">
    <cfRule type="cellIs" dxfId="69" priority="36" operator="lessThan">
      <formula>0</formula>
    </cfRule>
  </conditionalFormatting>
  <conditionalFormatting sqref="R34:R37">
    <cfRule type="cellIs" dxfId="68" priority="35" operator="lessThan">
      <formula>0</formula>
    </cfRule>
  </conditionalFormatting>
  <conditionalFormatting sqref="R38">
    <cfRule type="cellIs" dxfId="67" priority="34" operator="lessThan">
      <formula>0</formula>
    </cfRule>
  </conditionalFormatting>
  <conditionalFormatting sqref="R39">
    <cfRule type="cellIs" dxfId="66" priority="33" operator="lessThan">
      <formula>0</formula>
    </cfRule>
  </conditionalFormatting>
  <conditionalFormatting sqref="P38">
    <cfRule type="cellIs" dxfId="65" priority="29" operator="lessThan">
      <formula>0</formula>
    </cfRule>
  </conditionalFormatting>
  <conditionalFormatting sqref="P39">
    <cfRule type="cellIs" dxfId="64" priority="28" operator="lessThan">
      <formula>0</formula>
    </cfRule>
  </conditionalFormatting>
  <conditionalFormatting sqref="W38">
    <cfRule type="cellIs" dxfId="63" priority="26" operator="lessThan">
      <formula>0</formula>
    </cfRule>
  </conditionalFormatting>
  <conditionalFormatting sqref="W39">
    <cfRule type="cellIs" dxfId="62" priority="25" operator="lessThan">
      <formula>0</formula>
    </cfRule>
  </conditionalFormatting>
  <conditionalFormatting sqref="P34:P36">
    <cfRule type="cellIs" dxfId="61" priority="30" operator="lessThan">
      <formula>0</formula>
    </cfRule>
  </conditionalFormatting>
  <conditionalFormatting sqref="W34:W37">
    <cfRule type="cellIs" dxfId="60" priority="27" operator="lessThan">
      <formula>0</formula>
    </cfRule>
  </conditionalFormatting>
  <conditionalFormatting sqref="I39">
    <cfRule type="cellIs" dxfId="59" priority="12" operator="lessThan">
      <formula>0</formula>
    </cfRule>
  </conditionalFormatting>
  <conditionalFormatting sqref="E34:E35 G34:G35 E38:E39">
    <cfRule type="cellIs" dxfId="58" priority="17" operator="lessThan">
      <formula>0</formula>
    </cfRule>
  </conditionalFormatting>
  <conditionalFormatting sqref="I38">
    <cfRule type="cellIs" dxfId="57" priority="13" operator="lessThan">
      <formula>0</formula>
    </cfRule>
  </conditionalFormatting>
  <conditionalFormatting sqref="R41">
    <cfRule type="cellIs" dxfId="56" priority="10" operator="lessThan">
      <formula>0</formula>
    </cfRule>
  </conditionalFormatting>
  <conditionalFormatting sqref="K36">
    <cfRule type="cellIs" dxfId="55" priority="7" operator="lessThan">
      <formula>0</formula>
    </cfRule>
  </conditionalFormatting>
  <conditionalFormatting sqref="E36">
    <cfRule type="cellIs" dxfId="54" priority="9" operator="lessThan">
      <formula>0</formula>
    </cfRule>
  </conditionalFormatting>
  <conditionalFormatting sqref="I24">
    <cfRule type="cellIs" dxfId="53" priority="6" operator="lessThan">
      <formula>0</formula>
    </cfRule>
  </conditionalFormatting>
  <conditionalFormatting sqref="E37">
    <cfRule type="cellIs" dxfId="52" priority="5" operator="lessThan">
      <formula>0</formula>
    </cfRule>
  </conditionalFormatting>
  <conditionalFormatting sqref="I37">
    <cfRule type="cellIs" dxfId="51" priority="4" operator="lessThan">
      <formula>0</formula>
    </cfRule>
  </conditionalFormatting>
  <conditionalFormatting sqref="K37">
    <cfRule type="cellIs" dxfId="50" priority="3" operator="lessThan">
      <formula>0</formula>
    </cfRule>
  </conditionalFormatting>
  <conditionalFormatting sqref="P37">
    <cfRule type="cellIs" dxfId="49" priority="2" operator="lessThan">
      <formula>0</formula>
    </cfRule>
  </conditionalFormatting>
  <conditionalFormatting sqref="G36:G39">
    <cfRule type="cellIs" dxfId="48" priority="1" operator="lessThan">
      <formula>0</formula>
    </cfRule>
  </conditionalFormatting>
  <printOptions horizontalCentered="1" verticalCentered="1"/>
  <pageMargins left="3.937007874015748E-2" right="3.937007874015748E-2" top="0.15748031496062992" bottom="0.15748031496062992" header="0.31496062992125984" footer="0.31496062992125984"/>
  <pageSetup paperSize="9" scale="102" orientation="landscape" r:id="rId1"/>
  <drawing r:id="rId2"/>
  <legacyDrawing r:id="rId3"/>
  <controls>
    <mc:AlternateContent xmlns:mc="http://schemas.openxmlformats.org/markup-compatibility/2006">
      <mc:Choice Requires="x14">
        <control shapeId="1025" r:id="rId4" name="CommandButton1">
          <controlPr defaultSize="0" autoLine="0" r:id="rId5">
            <anchor moveWithCells="1">
              <from>
                <xdr:col>24</xdr:col>
                <xdr:colOff>60960</xdr:colOff>
                <xdr:row>0</xdr:row>
                <xdr:rowOff>137160</xdr:rowOff>
              </from>
              <to>
                <xdr:col>28</xdr:col>
                <xdr:colOff>190500</xdr:colOff>
                <xdr:row>1</xdr:row>
                <xdr:rowOff>373380</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3"/>
  </sheetPr>
  <dimension ref="A1:U62"/>
  <sheetViews>
    <sheetView showGridLines="0" zoomScale="85" zoomScaleNormal="85" workbookViewId="0">
      <selection activeCell="U12" sqref="U12"/>
    </sheetView>
  </sheetViews>
  <sheetFormatPr defaultColWidth="9" defaultRowHeight="12" x14ac:dyDescent="0.2"/>
  <cols>
    <col min="1" max="1" width="2.109375" style="4" customWidth="1"/>
    <col min="2" max="2" width="13.21875" style="4" customWidth="1"/>
    <col min="3" max="3" width="16.21875" style="4" customWidth="1"/>
    <col min="4" max="6" width="11.6640625" style="4" customWidth="1"/>
    <col min="7" max="7" width="2.21875" style="4" customWidth="1"/>
    <col min="8" max="8" width="8.6640625" style="4" customWidth="1"/>
    <col min="9" max="9" width="12.77734375" style="4" customWidth="1"/>
    <col min="10" max="16" width="12.109375" style="4" customWidth="1"/>
    <col min="17" max="17" width="12" style="4" customWidth="1"/>
    <col min="18" max="18" width="1.33203125" style="4" customWidth="1"/>
    <col min="19" max="19" width="3.109375" style="131" customWidth="1"/>
    <col min="20" max="20" width="9" style="4"/>
    <col min="21" max="21" width="12.21875" style="4" customWidth="1"/>
    <col min="22" max="25" width="13" style="4" customWidth="1"/>
    <col min="26" max="16384" width="9" style="4"/>
  </cols>
  <sheetData>
    <row r="1" spans="1:21" ht="21" customHeight="1" x14ac:dyDescent="0.2">
      <c r="A1" s="12"/>
      <c r="B1" s="11" t="s">
        <v>25</v>
      </c>
      <c r="C1" s="12"/>
      <c r="D1" s="12"/>
      <c r="E1" s="12"/>
      <c r="F1" s="12"/>
      <c r="G1" s="12"/>
      <c r="H1" s="12"/>
      <c r="I1" s="12"/>
      <c r="J1" s="12"/>
      <c r="K1" s="12"/>
      <c r="L1" s="12"/>
      <c r="M1" s="12"/>
      <c r="N1" s="12"/>
      <c r="O1" s="12"/>
      <c r="P1" s="12"/>
      <c r="Q1" s="12"/>
      <c r="R1" s="12"/>
      <c r="S1" s="132"/>
    </row>
    <row r="2" spans="1:21" ht="14.4" x14ac:dyDescent="0.2">
      <c r="A2" s="25"/>
      <c r="B2" s="25"/>
      <c r="C2" s="25"/>
      <c r="D2" s="25"/>
      <c r="E2" s="25"/>
      <c r="F2" s="25"/>
      <c r="G2" s="25"/>
      <c r="H2" s="25"/>
      <c r="I2" s="25"/>
      <c r="J2" s="25"/>
      <c r="K2" s="25"/>
      <c r="L2" s="25"/>
      <c r="M2" s="27"/>
      <c r="N2" s="27"/>
      <c r="O2" s="27"/>
      <c r="P2" s="27"/>
      <c r="Q2" s="27"/>
      <c r="R2" s="27"/>
      <c r="S2" s="120"/>
    </row>
    <row r="3" spans="1:21" ht="14.4" x14ac:dyDescent="0.2">
      <c r="A3" s="25"/>
      <c r="B3" s="26" t="s">
        <v>24</v>
      </c>
      <c r="C3" s="26"/>
      <c r="D3" s="184" t="s">
        <v>226</v>
      </c>
      <c r="E3" s="26"/>
      <c r="F3" s="26"/>
      <c r="G3" s="25"/>
      <c r="H3" s="26" t="s">
        <v>31</v>
      </c>
      <c r="I3" s="26"/>
      <c r="J3" s="26"/>
      <c r="K3" s="26"/>
      <c r="L3" s="26"/>
      <c r="M3" s="26"/>
      <c r="N3" s="26"/>
      <c r="O3" s="26"/>
      <c r="P3" s="26"/>
      <c r="Q3" s="25"/>
      <c r="R3" s="25"/>
      <c r="T3" s="355"/>
      <c r="U3" s="355"/>
    </row>
    <row r="4" spans="1:21" ht="14.4" x14ac:dyDescent="0.2">
      <c r="A4" s="25"/>
      <c r="B4" s="351" t="s">
        <v>0</v>
      </c>
      <c r="C4" s="351"/>
      <c r="D4" s="351" t="s">
        <v>7</v>
      </c>
      <c r="E4" s="351"/>
      <c r="F4" s="351"/>
      <c r="G4" s="25"/>
      <c r="H4" s="26"/>
      <c r="I4" s="26"/>
      <c r="K4" s="356">
        <f>D26</f>
        <v>42795</v>
      </c>
      <c r="L4" s="357"/>
      <c r="M4" s="356">
        <f>E26</f>
        <v>42430</v>
      </c>
      <c r="N4" s="357"/>
      <c r="O4" s="356">
        <f>F26</f>
        <v>42064</v>
      </c>
      <c r="P4" s="357"/>
      <c r="Q4" s="25"/>
      <c r="R4" s="25"/>
      <c r="T4" s="136"/>
      <c r="U4" s="136"/>
    </row>
    <row r="5" spans="1:21" ht="15" customHeight="1" x14ac:dyDescent="0.2">
      <c r="A5" s="25"/>
      <c r="B5" s="337" t="s">
        <v>11</v>
      </c>
      <c r="C5" s="337"/>
      <c r="D5" s="352" t="s">
        <v>47</v>
      </c>
      <c r="E5" s="353"/>
      <c r="F5" s="354"/>
      <c r="G5" s="25"/>
      <c r="H5" s="358" t="s">
        <v>8</v>
      </c>
      <c r="I5" s="358"/>
      <c r="J5" s="358"/>
      <c r="K5" s="29" t="s">
        <v>9</v>
      </c>
      <c r="L5" s="126" t="s">
        <v>14</v>
      </c>
      <c r="M5" s="42" t="s">
        <v>9</v>
      </c>
      <c r="N5" s="232" t="s">
        <v>14</v>
      </c>
      <c r="O5" s="126" t="s">
        <v>9</v>
      </c>
      <c r="P5" s="126" t="s">
        <v>14</v>
      </c>
      <c r="Q5" s="25"/>
      <c r="R5" s="25"/>
      <c r="T5" s="137"/>
      <c r="U5" s="136"/>
    </row>
    <row r="6" spans="1:21" ht="15" customHeight="1" x14ac:dyDescent="0.2">
      <c r="A6" s="25"/>
      <c r="B6" s="337" t="s">
        <v>12</v>
      </c>
      <c r="C6" s="337"/>
      <c r="D6" s="352" t="s">
        <v>48</v>
      </c>
      <c r="E6" s="353"/>
      <c r="F6" s="354"/>
      <c r="G6" s="25"/>
      <c r="H6" s="337" t="s">
        <v>46</v>
      </c>
      <c r="I6" s="337"/>
      <c r="J6" s="337"/>
      <c r="K6" s="140">
        <f>IFERROR(IF(OR(D27="",D28=""),"-",(D27/D28)-1),"-")</f>
        <v>7.8495284388290676E-2</v>
      </c>
      <c r="L6" s="18">
        <f>IFERROR(IF(OR(K6="-",$J$16="-"),".",IF((K6&gt;=$M$16),5,IF(AND(K6&gt;=$L$16,K6&lt;$M$16),4,IF(AND(K6&gt;=$K$16,K6&lt;$L$16),3,IF(AND(K6&gt;=$J$16,K6&lt;$K$16),2,IF((K6&lt;$J$16),1)))))),".")</f>
        <v>3</v>
      </c>
      <c r="M6" s="33">
        <f>IFERROR(IF(OR(E27="",E28=""),"-",(E27/E28)-1),"-")</f>
        <v>-2.3536004713112901E-2</v>
      </c>
      <c r="N6" s="18">
        <f>IFERROR(IF(OR($J$16="-",M6="-"),".",IF((M6&gt;=$M$16),5,IF(AND(M6&gt;=$L$16,M6&lt;$M$16),4,IF(AND(M6&gt;=$K$16,M6&lt;$L$16),3,IF(AND(M6&gt;=$J$16,M6&lt;$K$16),2,IF((M6&lt;$J$16),1)))))),".")</f>
        <v>2</v>
      </c>
      <c r="O6" s="33">
        <f>IFERROR(IF(OR(F27="",F28=""),"-",(F27/F28)-1),"-")</f>
        <v>-1.228421472224217E-2</v>
      </c>
      <c r="P6" s="18">
        <f>IFERROR(IF(OR($J$16="-",O6="-"),".",IF((O6&gt;=$M$16),5,IF(AND(O6&gt;=$L$16,O6&lt;$M$16),4,IF(AND(O6&gt;=$K$16,O6&lt;$L$16),3,IF(AND(O6&gt;=$J$16,O6&lt;$K$16),2,IF((O6&lt;$J$16),1)))))),".")</f>
        <v>2</v>
      </c>
      <c r="Q6" s="25"/>
      <c r="R6" s="25"/>
      <c r="T6" s="127"/>
      <c r="U6" s="127"/>
    </row>
    <row r="7" spans="1:21" ht="15" customHeight="1" x14ac:dyDescent="0.2">
      <c r="A7" s="25"/>
      <c r="B7" s="337" t="s">
        <v>13</v>
      </c>
      <c r="C7" s="337"/>
      <c r="D7" s="332" t="s">
        <v>153</v>
      </c>
      <c r="E7" s="333"/>
      <c r="F7" s="334"/>
      <c r="G7" s="25"/>
      <c r="H7" s="337" t="s">
        <v>1</v>
      </c>
      <c r="I7" s="337"/>
      <c r="J7" s="337"/>
      <c r="K7" s="33">
        <f>IFERROR(IF(OR(D29="",D27=""),"-",D29/D27),"-")</f>
        <v>2.9238341211441938E-3</v>
      </c>
      <c r="L7" s="18">
        <f>IFERROR(IF(OR($J$17="-",K7="-"),".",IF((K7&gt;=$M$17),5,IF(AND(K7&gt;=$L$17,K7&lt;$M$17),4,IF(AND(K7&gt;=$K$17,K7&lt;$L$17),3,IF(AND(K7&gt;=$J$17,K7&lt;$K$17),2,IF((K7&lt;$J$17),1)))))),".")</f>
        <v>2</v>
      </c>
      <c r="M7" s="33">
        <f>IFERROR(IF(OR(E29="",E27=""),"-",E29/E27),"-")</f>
        <v>-3.2206125933099974E-3</v>
      </c>
      <c r="N7" s="18">
        <f>IFERROR(IF(OR($J$17="-",M7="-"),".",IF((M7&gt;=$M$17),5,IF(AND(M7&gt;=$L$17,M7&lt;$M$17),4,IF(AND(M7&gt;=$K$17,M7&lt;$L$17),3,IF(AND(M7&gt;=$J$17,M7&lt;$K$17),2,IF((M7&lt;$J$17),1)))))),".")</f>
        <v>2</v>
      </c>
      <c r="O7" s="33">
        <f>IFERROR(IF(OR(F29="",F27=""),"-",F29/F27),"-")</f>
        <v>0</v>
      </c>
      <c r="P7" s="18">
        <f>IFERROR(IF(OR($J$17="-",O7="-"),".",IF((O7&gt;=$M$17),5,IF(AND(O7&gt;=$L$17,O7&lt;$M$17),4,IF(AND(O7&gt;=$K$17,O7&lt;$L$17),3,IF(AND(O7&gt;=$J$17,O7&lt;$K$17),2,IF((O7&lt;$J$17),1)))))),".")</f>
        <v>2</v>
      </c>
      <c r="Q7" s="25"/>
      <c r="R7" s="25"/>
      <c r="T7" s="127"/>
      <c r="U7" s="127"/>
    </row>
    <row r="8" spans="1:21" ht="15" customHeight="1" thickBot="1" x14ac:dyDescent="0.25">
      <c r="A8" s="25"/>
      <c r="B8" s="335" t="s">
        <v>1890</v>
      </c>
      <c r="C8" s="336"/>
      <c r="D8" s="332"/>
      <c r="E8" s="333"/>
      <c r="F8" s="334"/>
      <c r="G8" s="25"/>
      <c r="H8" s="337" t="s">
        <v>1898</v>
      </c>
      <c r="I8" s="337"/>
      <c r="J8" s="337"/>
      <c r="K8" s="23">
        <f>IFERROR(IF(OR(D29="",D12=""),"-",D29/D12),"-")</f>
        <v>500</v>
      </c>
      <c r="L8" s="18">
        <f>IFERROR(IF(OR($J$18="-",K8="-"),".",IF((K8&gt;=$M$18),5,IF(AND(K8&gt;=$L$18,K8&lt;$M$18),4,IF(AND(K8&gt;=$K$18,K8&lt;$L$18),3,IF(AND(K8&gt;=$J$18,K8&lt;$K$18),2,IF((K8&lt;$J$18),1)))))),".")</f>
        <v>3</v>
      </c>
      <c r="M8" s="23">
        <f>IFERROR(IF(OR(E29="",E12=""),"-",E29/E12),"-")</f>
        <v>-392.82051282051282</v>
      </c>
      <c r="N8" s="18">
        <f>IFERROR(IF(OR($J$18="-",M8="-"),".",IF((M8&gt;=$M$18),5,IF(AND(M8&gt;=$L$18,M8&lt;$M$18),4,IF(AND(M8&gt;=$K$18,M8&lt;$L$18),3,IF(AND(M8&gt;=$J$18,M8&lt;$K$18),2,IF((M8&lt;$J$18),1)))))),".")</f>
        <v>2</v>
      </c>
      <c r="O8" s="23">
        <f>IFERROR(IF(OR(F29="",F12=""),"-",F29/F12),"-")</f>
        <v>0</v>
      </c>
      <c r="P8" s="18">
        <f>IFERROR(IF(OR($J$18="-",O8="-"),".",IF((O8&gt;=$M$18),5,IF(AND(O8&gt;=$L$18,O8&lt;$M$18),4,IF(AND(O8&gt;=$K$18,O8&lt;$L$18),3,IF(AND(O8&gt;=$J$18,O8&lt;$K$18),2,IF((O8&lt;$J$18),1)))))),".")</f>
        <v>2</v>
      </c>
      <c r="Q8" s="25"/>
      <c r="R8" s="25"/>
    </row>
    <row r="9" spans="1:21" ht="15" customHeight="1" thickBot="1" x14ac:dyDescent="0.25">
      <c r="A9" s="25"/>
      <c r="B9" s="337" t="s">
        <v>1885</v>
      </c>
      <c r="C9" s="338"/>
      <c r="D9" s="329" t="s">
        <v>193</v>
      </c>
      <c r="E9" s="330"/>
      <c r="F9" s="331"/>
      <c r="G9" s="25"/>
      <c r="H9" s="337" t="s">
        <v>1899</v>
      </c>
      <c r="I9" s="337"/>
      <c r="J9" s="337"/>
      <c r="K9" s="34">
        <f>IFERROR(IF(OR(D29="",D30="",D31="",D38=""),"-",(D38-D31)/(D29+D30)),"-")</f>
        <v>-6.6666666666666666E-2</v>
      </c>
      <c r="L9" s="18">
        <f>IFERROR(IF($J$19="-",".",IF(AND($D$38&lt;&gt;"",$D$31&lt;&gt;"",OR($D$38&lt;$D$31,$D$38-$D$31=0)),5,IF(AND($D$29&lt;&gt;"",$D$30&lt;&gt;"",(($D$29+$D$30)&lt;=0)),1,IF((K9&lt;$M$19),5,IF(AND(K9&gt;=$M$19,K9&lt;$L$19),4,IF(AND(K9&gt;=$L$19,K9&lt;$K$19),3,IF(AND(K9&gt;=$K$19,K9&lt;$J$19),2,IF(AND(K9&gt;=$J$19,K9&lt;&gt;"-"),1,IF(K9="-","."))))))))),".")</f>
        <v>5</v>
      </c>
      <c r="M9" s="34">
        <f>IFERROR(IF(OR(E29="",E30="",E31="",E38=""),"-",(E38-E31)/(E29+E30)),"-")</f>
        <v>61.198324503311262</v>
      </c>
      <c r="N9" s="18">
        <f>IFERROR(IF($J$19="-",".",IF(AND($E$38&lt;&gt;"",$E$31&lt;&gt;"",OR($E$38&lt;$E$31,$E$38-$E$31=0)),5,IF(AND($E$29&lt;&gt;"",$E$30&lt;&gt;"",(($E$29+$E$30)&lt;=0)),1,IF((M9&lt;$M$19),5,IF(AND(M9&gt;=$M$19,M9&lt;$L$19),4,IF(AND(M9&gt;=$L$19,M9&lt;$K$19),3,IF(AND(M9&gt;=$K$19,M9&lt;$J$19),2,IF(AND(M9&gt;=$J$19,M9&lt;&gt;"-"),1,IF(M9="-","."))))))))),".")</f>
        <v>1</v>
      </c>
      <c r="O9" s="34" t="str">
        <f>IFERROR(IF(OR(F29="",F30="",F31="",F38=""),"-",(F38-F31)/(F29+F30)),"-")</f>
        <v>-</v>
      </c>
      <c r="P9" s="18">
        <f>IFERROR(IF($J$19="-",".",IF(AND($F$38&lt;&gt;"",$F$31&lt;&gt;"",OR($F$38&lt;$F$31,$F$38-$F$31=0)),5,IF(AND($F$29&lt;&gt;"",$F$30&lt;&gt;"",(($F$29+$F$30)&lt;=0)),1,IF((O9&lt;$M$19),5,IF(AND(O9&gt;=$M$19,O9&lt;$L$19),4,IF(AND(O9&gt;=$L$19,O9&lt;$K$19),3,IF(AND(O9&gt;=$K$19,O9&lt;$J$19),2,IF(AND(O9&gt;=$J$19,O9&lt;&gt;"-"),1,IF(O9="-","."))))))))),".")</f>
        <v>1</v>
      </c>
      <c r="Q9" s="25"/>
      <c r="R9" s="25"/>
    </row>
    <row r="10" spans="1:21" ht="15" customHeight="1" thickBot="1" x14ac:dyDescent="0.25">
      <c r="A10" s="25"/>
      <c r="B10" s="337" t="s">
        <v>1892</v>
      </c>
      <c r="C10" s="338"/>
      <c r="D10" s="329" t="s">
        <v>1871</v>
      </c>
      <c r="E10" s="330"/>
      <c r="F10" s="331"/>
      <c r="G10" s="25"/>
      <c r="H10" s="204" t="s">
        <v>51</v>
      </c>
      <c r="I10" s="205"/>
      <c r="J10" s="206"/>
      <c r="K10" s="35">
        <f>IFERROR(IF(OR(D27="",AND(D33="",D32="",D34="",D37="",D36)),"-",(D33+D32+D34-(D37+D36))/(D27/12)),"-")</f>
        <v>0.77192729399152094</v>
      </c>
      <c r="L10" s="18">
        <f>IFERROR(IF(OR($J$20="-",K10="-"),".",IF((K10&lt;$M$20),5,IF(AND(K10&gt;=$M$20,K10&lt;$L$20),4,IF(AND(K10&gt;=$L$20,K10&lt;$K$20),3,IF(AND(K10&gt;=$K$20,K10&lt;$J$20),2,IF((K10&gt;=$J$20),1)))))),".")</f>
        <v>2</v>
      </c>
      <c r="M10" s="35">
        <f>IFERROR(IF(OR(E27="",AND(E33="",E32="",E34="",E37="",E36)),"-",(E33+E32+E34-(E37+E36))/(E27/12)),"-")</f>
        <v>2.8323886833727885</v>
      </c>
      <c r="N10" s="18">
        <f>IFERROR(IF(OR($J$20="-",M10="-"),".",IF((M10&lt;$M$20),5,IF(AND(M10&gt;=$M$20,M10&lt;$L$20),4,IF(AND(M10&gt;=$L$20,M10&lt;$K$20),3,IF(AND(M10&gt;=$K$20,M10&lt;$J$20),2,IF((M10&gt;=$J$20),1)))))),".")</f>
        <v>1</v>
      </c>
      <c r="O10" s="35">
        <f>IFERROR(IF(OR(F27="",AND(F33="",F32="",F34="",F37="",F36)),"-",(F33+F32+F34-(F37+F36))/(F27/12)),"-")</f>
        <v>1.1332164158377835</v>
      </c>
      <c r="P10" s="18">
        <f>IFERROR(IF(OR($J$20="-",O10="-"),".",IF((O10&lt;$M$20),5,IF(AND(O10&gt;=$M$20,O10&lt;$L$20),4,IF(AND(O10&gt;=$L$20,O10&lt;$K$20),3,IF(AND(O10&gt;=$K$20,O10&lt;$J$20),2,IF((O10&gt;=$J$20),1)))))),".")</f>
        <v>2</v>
      </c>
      <c r="Q10" s="25"/>
      <c r="R10" s="25"/>
    </row>
    <row r="11" spans="1:21" ht="15" thickBot="1" x14ac:dyDescent="0.25">
      <c r="A11" s="25"/>
      <c r="B11" s="327"/>
      <c r="C11" s="328"/>
      <c r="D11" s="216" t="s">
        <v>58</v>
      </c>
      <c r="E11" s="216" t="s">
        <v>59</v>
      </c>
      <c r="F11" s="216" t="s">
        <v>60</v>
      </c>
      <c r="G11" s="25"/>
      <c r="H11" s="337" t="s">
        <v>52</v>
      </c>
      <c r="I11" s="337"/>
      <c r="J11" s="337"/>
      <c r="K11" s="33">
        <f>IFERROR(IF(OR(D39="",D35=""),"-",D39/(D39+D35)),"-")</f>
        <v>0.35363399685415198</v>
      </c>
      <c r="L11" s="18">
        <f>IFERROR(IF(OR($J$21="-",K11="-"),".",IF((K11&gt;=$M$21),5,IF(AND(K11&gt;=$L$21,K11&lt;$M$21),4,IF(AND(K11&gt;=$K$21,K11&lt;$L$21),3,IF(AND(K11&gt;=$J$21,K11&lt;$K$21),2,IF((K11&lt;$J$21),1)))))),".")</f>
        <v>3</v>
      </c>
      <c r="M11" s="33">
        <f>IFERROR(IF(OR(E39="",E35=""),"-",E39/(E39+E35)),"-")</f>
        <v>2.1480049957016235E-2</v>
      </c>
      <c r="N11" s="18">
        <f>IFERROR(IF(OR($J$21="-",M11="-"),".",IF((M11&gt;=$M$21),5,IF(AND(M11&gt;=$L$21,M11&lt;$M$21),4,IF(AND(M11&gt;=$K$21,M11&lt;$L$21),3,IF(AND(M11&gt;=$J$21,M11&lt;$K$21),2,IF((M11&lt;$J$21),1)))))),".")</f>
        <v>2</v>
      </c>
      <c r="O11" s="33">
        <f>IFERROR(IF(OR(F39="",F35=""),"-",F39/(F39+F35)),"-")</f>
        <v>0.24244864676391387</v>
      </c>
      <c r="P11" s="18">
        <f>IFERROR(IF(OR($J$21="-",O11="-"),".",IF((O11&gt;=$M$21),5,IF(AND(O11&gt;=$L$21,O11&lt;$M$21),4,IF(AND(O11&gt;=$K$21,O11&lt;$L$21),3,IF(AND(O11&gt;=$J$21,O11&lt;$K$21),2,IF((O11&lt;$J$21),1)))))),".")</f>
        <v>3</v>
      </c>
      <c r="Q11" s="25"/>
      <c r="R11" s="25"/>
    </row>
    <row r="12" spans="1:21" ht="15" thickBot="1" x14ac:dyDescent="0.25">
      <c r="A12" s="25"/>
      <c r="B12" s="337" t="s">
        <v>252</v>
      </c>
      <c r="C12" s="338"/>
      <c r="D12" s="133">
        <v>30</v>
      </c>
      <c r="E12" s="38">
        <v>39</v>
      </c>
      <c r="F12" s="38">
        <v>30</v>
      </c>
      <c r="G12" s="25"/>
      <c r="H12" s="25"/>
      <c r="I12" s="25"/>
      <c r="J12" s="25"/>
      <c r="K12" s="25"/>
      <c r="L12" s="25"/>
      <c r="M12" s="27"/>
      <c r="N12" s="25"/>
      <c r="O12" s="25"/>
      <c r="P12" s="25"/>
      <c r="Q12" s="25"/>
      <c r="R12" s="25"/>
    </row>
    <row r="13" spans="1:21" ht="15" thickBot="1" x14ac:dyDescent="0.25">
      <c r="A13" s="25"/>
      <c r="B13" s="174" t="s">
        <v>253</v>
      </c>
      <c r="C13" s="175"/>
      <c r="D13" s="133">
        <v>10000</v>
      </c>
      <c r="G13" s="25"/>
      <c r="H13" s="25"/>
      <c r="I13" s="25"/>
      <c r="J13" s="25"/>
      <c r="K13" s="25"/>
      <c r="L13" s="25"/>
      <c r="M13" s="27"/>
      <c r="N13" s="25"/>
      <c r="O13" s="25"/>
      <c r="P13" s="25"/>
      <c r="Q13" s="25"/>
      <c r="R13" s="25"/>
    </row>
    <row r="14" spans="1:21" ht="14.25" customHeight="1" x14ac:dyDescent="0.2">
      <c r="A14" s="25"/>
      <c r="G14" s="25"/>
      <c r="H14" s="201" t="str">
        <f>"■"&amp;D20&amp;"_"&amp;D10&amp;"_企業のランク基準"</f>
        <v>■中規模事業者_1301_観光業_企業のランク基準</v>
      </c>
      <c r="I14" s="202"/>
      <c r="J14" s="203"/>
      <c r="K14" s="207"/>
      <c r="L14" s="207"/>
      <c r="M14" s="207"/>
      <c r="N14" s="25"/>
      <c r="O14" s="25"/>
      <c r="P14" s="25"/>
      <c r="Q14" s="25"/>
      <c r="R14" s="25"/>
    </row>
    <row r="15" spans="1:21" ht="14.25" customHeight="1" x14ac:dyDescent="0.2">
      <c r="A15" s="25"/>
      <c r="B15" s="350"/>
      <c r="C15" s="350"/>
      <c r="D15" s="350"/>
      <c r="E15" s="350"/>
      <c r="F15" s="350"/>
      <c r="G15" s="25"/>
      <c r="H15" s="181" t="s">
        <v>8</v>
      </c>
      <c r="I15" s="182"/>
      <c r="J15" s="183" t="s">
        <v>220</v>
      </c>
      <c r="K15" s="183" t="s">
        <v>221</v>
      </c>
      <c r="L15" s="183" t="s">
        <v>222</v>
      </c>
      <c r="M15" s="183" t="s">
        <v>223</v>
      </c>
      <c r="N15" s="25"/>
      <c r="O15" s="25"/>
      <c r="P15" s="25"/>
      <c r="Q15" s="25"/>
      <c r="R15" s="25"/>
    </row>
    <row r="16" spans="1:21" ht="14.25" customHeight="1" x14ac:dyDescent="0.2">
      <c r="A16" s="25"/>
      <c r="B16" s="135"/>
      <c r="C16" s="135"/>
      <c r="D16" s="135"/>
      <c r="E16" s="135"/>
      <c r="F16" s="135"/>
      <c r="G16" s="25"/>
      <c r="H16" s="24" t="s">
        <v>46</v>
      </c>
      <c r="I16" s="22"/>
      <c r="J16" s="140">
        <f>IFERROR(INDEX(【参照】売上増加率基準値!$G:$G,MATCH($D$10&amp;$D$20,INDEX(【参照】売上増加率基準値!$C:$C&amp;【参照】売上増加率基準値!$D:$D,),0)),"-")</f>
        <v>-4.8317528587669502E-2</v>
      </c>
      <c r="K16" s="140">
        <f>IFERROR(INDEX(【参照】売上増加率基準値!$H:$H,MATCH($D$10&amp;$D$20,INDEX(【参照】売上増加率基準値!$C:$C&amp;【参照】売上増加率基準値!$D:$D,),0)),"-")</f>
        <v>9.2593887621139695E-3</v>
      </c>
      <c r="L16" s="140">
        <f>IFERROR(INDEX(【参照】売上増加率基準値!$I:$I,MATCH($D$10&amp;$D$20,INDEX(【参照】売上増加率基準値!$C:$C&amp;【参照】売上増加率基準値!$D:$D,),0)),"-")</f>
        <v>8.0839314230376005E-2</v>
      </c>
      <c r="M16" s="140">
        <f>IFERROR(INDEX(【参照】売上増加率基準値!$J:$J,MATCH($D$10&amp;$D$20,INDEX(【参照】売上増加率基準値!$C:$C&amp;【参照】売上増加率基準値!$D:$D,),0)),"-")</f>
        <v>0.19990863083709601</v>
      </c>
      <c r="N16" s="25"/>
      <c r="O16" s="25"/>
      <c r="P16" s="25"/>
      <c r="Q16" s="25"/>
      <c r="R16" s="25"/>
    </row>
    <row r="17" spans="1:18" ht="14.25" customHeight="1" x14ac:dyDescent="0.2">
      <c r="A17" s="25"/>
      <c r="B17" s="346" t="s">
        <v>1857</v>
      </c>
      <c r="C17" s="346"/>
      <c r="D17" s="346"/>
      <c r="E17" s="346"/>
      <c r="F17" s="346"/>
      <c r="G17" s="25"/>
      <c r="H17" s="24" t="s">
        <v>1</v>
      </c>
      <c r="I17" s="22"/>
      <c r="J17" s="140">
        <f>IFERROR(INDEX(【参照】営業利益率基準値!$G:$G,MATCH($D$10&amp;$D$20,INDEX(【参照】営業利益率基準値!$C:$C&amp;【参照】営業利益率基準値!$D:$D,),0)),"-")</f>
        <v>-2.5473913507086901E-2</v>
      </c>
      <c r="K17" s="140">
        <f>IFERROR(INDEX(【参照】営業利益率基準値!$H:$H,MATCH($D$10&amp;$D$20,INDEX(【参照】営業利益率基準値!$C:$C&amp;【参照】営業利益率基準値!$D:$D,),0)),"-")</f>
        <v>1.10674096943798E-2</v>
      </c>
      <c r="L17" s="140">
        <f>IFERROR(INDEX(【参照】営業利益率基準値!$I:$I,MATCH($D$10&amp;$D$20,INDEX(【参照】営業利益率基準値!$C:$C&amp;【参照】営業利益率基準値!$D:$D,),0)),"-")</f>
        <v>5.3607388306331299E-2</v>
      </c>
      <c r="M17" s="140">
        <f>IFERROR(INDEX(【参照】営業利益率基準値!$J:$J,MATCH($D$10&amp;$D$20,INDEX(【参照】営業利益率基準値!$C:$C&amp;【参照】営業利益率基準値!$D:$D,),0)),"-")</f>
        <v>9.7651607220329506E-2</v>
      </c>
      <c r="N17" s="25"/>
      <c r="O17" s="25"/>
      <c r="P17" s="25"/>
      <c r="Q17" s="25"/>
      <c r="R17" s="25"/>
    </row>
    <row r="18" spans="1:18" ht="14.25" customHeight="1" x14ac:dyDescent="0.2">
      <c r="A18" s="25"/>
      <c r="B18" s="135" t="s">
        <v>1854</v>
      </c>
      <c r="C18" s="135"/>
      <c r="D18" s="135"/>
      <c r="E18" s="135"/>
      <c r="F18" s="135"/>
      <c r="G18" s="25"/>
      <c r="H18" s="24" t="s">
        <v>2</v>
      </c>
      <c r="I18" s="22"/>
      <c r="J18" s="151">
        <f>IFERROR(INDEX(【参照】労働生産性基準値!$G:$G,MATCH($D$10&amp;$D$20,INDEX(【参照】労働生産性基準値!$C:$C&amp;【参照】労働生産性基準値!$D:$D,),0)),"-")</f>
        <v>-732.21911421911398</v>
      </c>
      <c r="K18" s="151">
        <f>IFERROR(INDEX(【参照】労働生産性基準値!$H:$H,MATCH($D$10&amp;$D$20,INDEX(【参照】労働生産性基準値!$C:$C&amp;【参照】労働生産性基準値!$D:$D,),0)),"-")</f>
        <v>239.208308126638</v>
      </c>
      <c r="L18" s="151">
        <f>IFERROR(INDEX(【参照】労働生産性基準値!$I:$I,MATCH($D$10&amp;$D$20,INDEX(【参照】労働生産性基準値!$C:$C&amp;【参照】労働生産性基準値!$D:$D,),0)),"-")</f>
        <v>1455.2697054334601</v>
      </c>
      <c r="M18" s="151">
        <f>IFERROR(INDEX(【参照】労働生産性基準値!$J:$J,MATCH($D$10&amp;$D$20,INDEX(【参照】労働生産性基準値!$C:$C&amp;【参照】労働生産性基準値!$D:$D,),0)),"-")</f>
        <v>3617.2214149801098</v>
      </c>
      <c r="N18" s="25"/>
      <c r="O18" s="25"/>
      <c r="P18" s="25"/>
      <c r="Q18" s="25"/>
      <c r="R18" s="25"/>
    </row>
    <row r="19" spans="1:18" ht="14.25" customHeight="1" thickBot="1" x14ac:dyDescent="0.25">
      <c r="A19" s="25"/>
      <c r="B19" s="25"/>
      <c r="C19" s="25"/>
      <c r="D19" s="25"/>
      <c r="E19" s="25"/>
      <c r="F19" s="25"/>
      <c r="G19" s="25"/>
      <c r="H19" s="24" t="s">
        <v>3</v>
      </c>
      <c r="I19" s="22"/>
      <c r="J19" s="152">
        <f>IFERROR(INDEX(【参照】EBITDA基準値!$G:$G,MATCH($D$10&amp;$D$20,INDEX(【参照】EBITDA基準値!$C:$C&amp;【参照】EBITDA基準値!$D:$D,),0)),"-")</f>
        <v>18.214092606593798</v>
      </c>
      <c r="K19" s="152">
        <f>IFERROR(INDEX(【参照】EBITDA基準値!$H:$H,MATCH($D$10&amp;$D$20,INDEX(【参照】EBITDA基準値!$C:$C&amp;【参照】EBITDA基準値!$D:$D,),0)),"-")</f>
        <v>9.3995024472868103</v>
      </c>
      <c r="L19" s="152">
        <f>IFERROR(INDEX(【参照】EBITDA基準値!$I:$I,MATCH($D$10&amp;$D$20,INDEX(【参照】EBITDA基準値!$C:$C&amp;【参照】EBITDA基準値!$D:$D,),0)),"-")</f>
        <v>3.3955709812502399</v>
      </c>
      <c r="M19" s="152">
        <f>IFERROR(INDEX(【参照】EBITDA基準値!$J:$J,MATCH($D$10&amp;$D$20,INDEX(【参照】EBITDA基準値!$C:$C&amp;【参照】EBITDA基準値!$D:$D,),0)),"-")</f>
        <v>0.84330484330484301</v>
      </c>
      <c r="N19" s="25"/>
      <c r="O19" s="25"/>
      <c r="P19" s="25"/>
      <c r="Q19" s="25"/>
      <c r="R19" s="25"/>
    </row>
    <row r="20" spans="1:18" ht="15" thickBot="1" x14ac:dyDescent="0.25">
      <c r="A20" s="25"/>
      <c r="B20" s="347" t="s">
        <v>1893</v>
      </c>
      <c r="C20" s="348"/>
      <c r="D20" s="348" t="str">
        <f>IF(OR(D9="",D10=""),"業種欄が未入力のため規模判定ができません",IF(LEFT(D9,2)&lt;&gt;LEFT(D10,2),"業種欄に間違いがあるため規模判定ができません",IF(D12="","従業員数欄が未入力のため規模判定ができません",IF(D13="","資本金欄が未入力のため規模判定ができません",【参照】企業規模!C2))))</f>
        <v>中規模事業者</v>
      </c>
      <c r="E20" s="348"/>
      <c r="F20" s="349"/>
      <c r="G20" s="25"/>
      <c r="H20" s="24" t="s">
        <v>51</v>
      </c>
      <c r="I20" s="22"/>
      <c r="J20" s="153">
        <f>IFERROR(INDEX(【参照】営業運転資本回転期間基準値!$G:$G,MATCH($D$10&amp;$D$20,INDEX(【参照】営業運転資本回転期間基準値!$C:$C&amp;【参照】営業運転資本回転期間基準値!$D:$D,),0)),"-")</f>
        <v>1.50701327245476</v>
      </c>
      <c r="K20" s="153">
        <f>IFERROR(INDEX(【参照】営業運転資本回転期間基準値!$H:$H,MATCH($D$10&amp;$D$20,INDEX(【参照】営業運転資本回転期間基準値!$C:$C&amp;【参照】営業運転資本回転期間基準値!$D:$D,),0)),"-")</f>
        <v>0.76105211082683299</v>
      </c>
      <c r="L20" s="153">
        <f>IFERROR(INDEX(【参照】営業運転資本回転期間基準値!$I:$I,MATCH($D$10&amp;$D$20,INDEX(【参照】営業運転資本回転期間基準値!$C:$C&amp;【参照】営業運転資本回転期間基準値!$D:$D,),0)),"-")</f>
        <v>0.154185817132452</v>
      </c>
      <c r="M20" s="153">
        <f>IFERROR(INDEX(【参照】営業運転資本回転期間基準値!$J:$J,MATCH($D$10&amp;$D$20,INDEX(【参照】営業運転資本回転期間基準値!$C:$C&amp;【参照】営業運転資本回転期間基準値!$D:$D,),0)),"-")</f>
        <v>-0.25425679890762798</v>
      </c>
      <c r="N20" s="25"/>
      <c r="O20" s="25"/>
      <c r="P20" s="25"/>
      <c r="Q20" s="25"/>
      <c r="R20" s="25"/>
    </row>
    <row r="21" spans="1:18" ht="14.4" x14ac:dyDescent="0.2">
      <c r="A21" s="25"/>
      <c r="B21" s="134" t="s">
        <v>244</v>
      </c>
      <c r="C21" s="134"/>
      <c r="D21" s="116"/>
      <c r="E21" s="116"/>
      <c r="F21" s="116"/>
      <c r="G21" s="25"/>
      <c r="H21" s="24" t="s">
        <v>52</v>
      </c>
      <c r="I21" s="22"/>
      <c r="J21" s="140">
        <f>IFERROR(INDEX(【参照】自己資本比率基準値!$G:$G,MATCH($D$10&amp;$D$20,INDEX(【参照】自己資本比率基準値!$C:$C&amp;【参照】自己資本比率基準値!$D:$D,),0)),"-")</f>
        <v>-6.3430224082037204E-2</v>
      </c>
      <c r="K21" s="140">
        <f>IFERROR(INDEX(【参照】自己資本比率基準値!$H:$H,MATCH($D$10&amp;$D$20,INDEX(【参照】自己資本比率基準値!$C:$C&amp;【参照】自己資本比率基準値!$D:$D,),0)),"-")</f>
        <v>0.120480112610359</v>
      </c>
      <c r="L21" s="140">
        <f>IFERROR(INDEX(【参照】自己資本比率基準値!$I:$I,MATCH($D$10&amp;$D$20,INDEX(【参照】自己資本比率基準値!$C:$C&amp;【参照】自己資本比率基準値!$D:$D,),0)),"-")</f>
        <v>0.36511425934619501</v>
      </c>
      <c r="M21" s="140">
        <f>IFERROR(INDEX(【参照】自己資本比率基準値!$J:$J,MATCH($D$10&amp;$D$20,INDEX(【参照】自己資本比率基準値!$C:$C&amp;【参照】自己資本比率基準値!$D:$D,),0)),"-")</f>
        <v>0.56181488028201299</v>
      </c>
      <c r="N21" s="25"/>
      <c r="O21" s="25"/>
      <c r="P21" s="25"/>
      <c r="Q21" s="25"/>
      <c r="R21" s="25"/>
    </row>
    <row r="22" spans="1:18" ht="7.5" customHeight="1" x14ac:dyDescent="0.2">
      <c r="A22" s="25"/>
      <c r="B22" s="27"/>
      <c r="C22" s="27"/>
      <c r="D22" s="27"/>
      <c r="E22" s="27"/>
      <c r="F22" s="27"/>
      <c r="G22" s="25"/>
      <c r="H22" s="25"/>
      <c r="I22" s="25"/>
      <c r="J22" s="25"/>
      <c r="K22" s="25"/>
      <c r="L22" s="25"/>
      <c r="M22" s="25"/>
      <c r="N22" s="25"/>
      <c r="O22" s="25"/>
      <c r="P22" s="25"/>
      <c r="Q22" s="25"/>
      <c r="R22" s="25"/>
    </row>
    <row r="23" spans="1:18" ht="14.4" x14ac:dyDescent="0.2">
      <c r="A23" s="25"/>
      <c r="B23" s="26" t="s">
        <v>23</v>
      </c>
      <c r="C23" s="26"/>
      <c r="D23" s="184" t="s">
        <v>1908</v>
      </c>
      <c r="E23" s="184"/>
      <c r="F23" s="184"/>
      <c r="G23" s="25"/>
      <c r="H23" s="26" t="s">
        <v>32</v>
      </c>
      <c r="I23" s="26"/>
      <c r="J23" s="26"/>
      <c r="K23" s="26"/>
      <c r="L23" s="26"/>
      <c r="M23" s="26"/>
      <c r="N23" s="26"/>
      <c r="O23" s="26"/>
      <c r="P23" s="26"/>
      <c r="Q23" s="26"/>
      <c r="R23" s="25"/>
    </row>
    <row r="24" spans="1:18" ht="14.4" x14ac:dyDescent="0.2">
      <c r="A24" s="25"/>
      <c r="B24" s="341" t="s">
        <v>0</v>
      </c>
      <c r="C24" s="342"/>
      <c r="D24" s="327" t="s">
        <v>7</v>
      </c>
      <c r="E24" s="345"/>
      <c r="F24" s="328"/>
      <c r="G24" s="25"/>
      <c r="H24" s="358" t="s">
        <v>8</v>
      </c>
      <c r="I24" s="358"/>
      <c r="J24" s="358"/>
      <c r="K24" s="126" t="s">
        <v>30</v>
      </c>
      <c r="L24" s="126" t="s">
        <v>40</v>
      </c>
      <c r="M24" s="368" t="s">
        <v>33</v>
      </c>
      <c r="N24" s="369"/>
      <c r="O24" s="369"/>
      <c r="P24" s="369"/>
      <c r="Q24" s="370"/>
      <c r="R24" s="25"/>
    </row>
    <row r="25" spans="1:18" ht="14.4" x14ac:dyDescent="0.2">
      <c r="A25" s="25"/>
      <c r="B25" s="343"/>
      <c r="C25" s="344"/>
      <c r="D25" s="28" t="s">
        <v>58</v>
      </c>
      <c r="E25" s="28" t="s">
        <v>59</v>
      </c>
      <c r="F25" s="28" t="s">
        <v>60</v>
      </c>
      <c r="G25" s="25"/>
      <c r="H25" s="337" t="s">
        <v>46</v>
      </c>
      <c r="I25" s="337"/>
      <c r="J25" s="337"/>
      <c r="K25" s="30" t="s">
        <v>49</v>
      </c>
      <c r="L25" s="30" t="s">
        <v>41</v>
      </c>
      <c r="M25" s="24" t="s">
        <v>36</v>
      </c>
      <c r="N25" s="21"/>
      <c r="O25" s="21"/>
      <c r="P25" s="21"/>
      <c r="Q25" s="212"/>
      <c r="R25" s="25"/>
    </row>
    <row r="26" spans="1:18" ht="14.4" x14ac:dyDescent="0.2">
      <c r="A26" s="25"/>
      <c r="B26" s="24" t="s">
        <v>57</v>
      </c>
      <c r="C26" s="22"/>
      <c r="D26" s="41">
        <v>42795</v>
      </c>
      <c r="E26" s="41">
        <v>42430</v>
      </c>
      <c r="F26" s="41">
        <v>42064</v>
      </c>
      <c r="G26" s="25"/>
      <c r="H26" s="337" t="s">
        <v>1</v>
      </c>
      <c r="I26" s="337"/>
      <c r="J26" s="337"/>
      <c r="K26" s="17" t="s">
        <v>26</v>
      </c>
      <c r="L26" s="17" t="s">
        <v>42</v>
      </c>
      <c r="M26" s="21" t="s">
        <v>34</v>
      </c>
      <c r="N26" s="21"/>
      <c r="O26" s="21"/>
      <c r="P26" s="21"/>
      <c r="Q26" s="212"/>
      <c r="R26" s="25"/>
    </row>
    <row r="27" spans="1:18" ht="14.4" x14ac:dyDescent="0.2">
      <c r="A27" s="25"/>
      <c r="B27" s="339" t="s">
        <v>21</v>
      </c>
      <c r="C27" s="340"/>
      <c r="D27" s="38">
        <v>5130250</v>
      </c>
      <c r="E27" s="38">
        <v>4756859</v>
      </c>
      <c r="F27" s="38">
        <v>4871515</v>
      </c>
      <c r="G27" s="25"/>
      <c r="H27" s="337" t="s">
        <v>1900</v>
      </c>
      <c r="I27" s="337"/>
      <c r="J27" s="337"/>
      <c r="K27" s="30" t="s">
        <v>27</v>
      </c>
      <c r="L27" s="30" t="s">
        <v>43</v>
      </c>
      <c r="M27" s="20" t="s">
        <v>35</v>
      </c>
      <c r="N27" s="20"/>
      <c r="O27" s="20"/>
      <c r="P27" s="21"/>
      <c r="Q27" s="212"/>
      <c r="R27" s="25"/>
    </row>
    <row r="28" spans="1:18" ht="14.4" x14ac:dyDescent="0.2">
      <c r="A28" s="25"/>
      <c r="B28" s="174" t="s">
        <v>19</v>
      </c>
      <c r="C28" s="176"/>
      <c r="D28" s="38">
        <f>E27</f>
        <v>4756859</v>
      </c>
      <c r="E28" s="38">
        <f>F27</f>
        <v>4871515</v>
      </c>
      <c r="F28" s="38">
        <v>4932102</v>
      </c>
      <c r="G28" s="25"/>
      <c r="H28" s="337" t="s">
        <v>1901</v>
      </c>
      <c r="I28" s="337"/>
      <c r="J28" s="337"/>
      <c r="K28" s="17" t="s">
        <v>50</v>
      </c>
      <c r="L28" s="17" t="s">
        <v>44</v>
      </c>
      <c r="M28" s="21" t="s">
        <v>249</v>
      </c>
      <c r="N28" s="21"/>
      <c r="O28" s="21"/>
      <c r="P28" s="21"/>
      <c r="Q28" s="212"/>
      <c r="R28" s="25"/>
    </row>
    <row r="29" spans="1:18" ht="14.4" x14ac:dyDescent="0.2">
      <c r="A29" s="25"/>
      <c r="B29" s="174" t="s">
        <v>4</v>
      </c>
      <c r="C29" s="176"/>
      <c r="D29" s="38">
        <v>15000</v>
      </c>
      <c r="E29" s="38">
        <v>-15320</v>
      </c>
      <c r="F29" s="38">
        <v>0</v>
      </c>
      <c r="G29" s="25"/>
      <c r="H29" s="371" t="s">
        <v>51</v>
      </c>
      <c r="I29" s="372"/>
      <c r="J29" s="373"/>
      <c r="K29" s="39" t="s">
        <v>29</v>
      </c>
      <c r="L29" s="39" t="s">
        <v>45</v>
      </c>
      <c r="M29" s="31" t="s">
        <v>38</v>
      </c>
      <c r="N29" s="19"/>
      <c r="O29" s="19"/>
      <c r="P29" s="19"/>
      <c r="Q29" s="213"/>
      <c r="R29" s="25"/>
    </row>
    <row r="30" spans="1:18" ht="14.4" x14ac:dyDescent="0.2">
      <c r="A30" s="25"/>
      <c r="B30" s="174" t="s">
        <v>1894</v>
      </c>
      <c r="C30" s="176"/>
      <c r="D30" s="38">
        <v>0</v>
      </c>
      <c r="E30" s="38">
        <v>18340</v>
      </c>
      <c r="F30" s="38">
        <v>0</v>
      </c>
      <c r="G30" s="25"/>
      <c r="H30" s="374"/>
      <c r="I30" s="375"/>
      <c r="J30" s="376"/>
      <c r="K30" s="40"/>
      <c r="L30" s="40"/>
      <c r="M30" s="32" t="s">
        <v>39</v>
      </c>
      <c r="N30" s="32"/>
      <c r="O30" s="32"/>
      <c r="P30" s="32"/>
      <c r="Q30" s="214"/>
      <c r="R30" s="25"/>
    </row>
    <row r="31" spans="1:18" ht="14.4" x14ac:dyDescent="0.2">
      <c r="A31" s="25"/>
      <c r="B31" s="174" t="s">
        <v>5</v>
      </c>
      <c r="C31" s="176"/>
      <c r="D31" s="38">
        <v>1000</v>
      </c>
      <c r="E31" s="38">
        <v>465301.06</v>
      </c>
      <c r="F31" s="38">
        <v>474607.08120000002</v>
      </c>
      <c r="G31" s="25"/>
      <c r="H31" s="337" t="s">
        <v>52</v>
      </c>
      <c r="I31" s="337"/>
      <c r="J31" s="337"/>
      <c r="K31" s="17" t="s">
        <v>28</v>
      </c>
      <c r="L31" s="17" t="s">
        <v>42</v>
      </c>
      <c r="M31" s="21" t="s">
        <v>37</v>
      </c>
      <c r="N31" s="21"/>
      <c r="O31" s="21"/>
      <c r="P31" s="21"/>
      <c r="Q31" s="212"/>
      <c r="R31" s="25"/>
    </row>
    <row r="32" spans="1:18" ht="14.4" x14ac:dyDescent="0.2">
      <c r="A32" s="25"/>
      <c r="B32" s="174" t="s">
        <v>1895</v>
      </c>
      <c r="C32" s="176"/>
      <c r="D32" s="38">
        <v>270760</v>
      </c>
      <c r="E32" s="38">
        <v>259929.59999999998</v>
      </c>
      <c r="F32" s="38">
        <v>228738.04799999998</v>
      </c>
      <c r="G32" s="25"/>
      <c r="H32" s="25"/>
      <c r="I32" s="25"/>
      <c r="J32" s="25"/>
      <c r="K32" s="25"/>
      <c r="L32" s="25"/>
      <c r="M32" s="25"/>
      <c r="N32" s="25"/>
      <c r="O32" s="25"/>
      <c r="P32" s="25"/>
      <c r="Q32" s="25"/>
      <c r="R32" s="25"/>
    </row>
    <row r="33" spans="1:18" ht="14.4" x14ac:dyDescent="0.2">
      <c r="A33" s="25"/>
      <c r="B33" s="174" t="s">
        <v>120</v>
      </c>
      <c r="C33" s="176"/>
      <c r="D33" s="38">
        <v>456500</v>
      </c>
      <c r="E33" s="38">
        <v>944198.4</v>
      </c>
      <c r="F33" s="38">
        <v>566894.59200000006</v>
      </c>
      <c r="G33" s="25"/>
      <c r="H33" s="25"/>
      <c r="I33" s="25"/>
      <c r="J33" s="25"/>
      <c r="K33" s="25"/>
      <c r="L33" s="25"/>
      <c r="M33" s="25"/>
      <c r="N33" s="25"/>
      <c r="O33" s="25"/>
      <c r="P33" s="25"/>
      <c r="Q33" s="25"/>
      <c r="R33" s="25"/>
    </row>
    <row r="34" spans="1:18" ht="14.4" x14ac:dyDescent="0.2">
      <c r="A34" s="25"/>
      <c r="B34" s="174" t="s">
        <v>6</v>
      </c>
      <c r="C34" s="176"/>
      <c r="D34" s="38">
        <v>439285</v>
      </c>
      <c r="E34" s="38">
        <v>621713.6</v>
      </c>
      <c r="F34" s="38">
        <v>371107.96799999999</v>
      </c>
      <c r="G34" s="25"/>
      <c r="H34" s="25"/>
      <c r="I34" s="25"/>
      <c r="J34" s="25"/>
      <c r="K34" s="25"/>
      <c r="L34" s="25"/>
      <c r="M34" s="25"/>
      <c r="N34" s="25"/>
      <c r="O34" s="25"/>
      <c r="P34" s="25"/>
      <c r="Q34" s="25"/>
      <c r="R34" s="25"/>
    </row>
    <row r="35" spans="1:18" ht="14.4" x14ac:dyDescent="0.2">
      <c r="A35" s="25"/>
      <c r="B35" s="174" t="s">
        <v>17</v>
      </c>
      <c r="C35" s="176"/>
      <c r="D35" s="38">
        <v>1668387</v>
      </c>
      <c r="E35" s="38">
        <v>3201651.52</v>
      </c>
      <c r="F35" s="38">
        <v>2409453.3376000002</v>
      </c>
      <c r="G35" s="25"/>
      <c r="H35" s="25"/>
      <c r="I35" s="25"/>
      <c r="J35" s="25"/>
      <c r="K35" s="25"/>
      <c r="L35" s="25"/>
      <c r="M35" s="25"/>
      <c r="N35" s="25"/>
      <c r="O35" s="25"/>
      <c r="P35" s="25"/>
      <c r="Q35" s="25"/>
      <c r="R35" s="25"/>
    </row>
    <row r="36" spans="1:18" ht="14.4" x14ac:dyDescent="0.2">
      <c r="A36" s="25"/>
      <c r="B36" s="174" t="s">
        <v>1896</v>
      </c>
      <c r="C36" s="176"/>
      <c r="D36" s="38">
        <v>463324</v>
      </c>
      <c r="E36" s="38">
        <v>444791.03999999998</v>
      </c>
      <c r="F36" s="38">
        <v>391416.1152</v>
      </c>
      <c r="G36" s="25"/>
      <c r="H36" s="25"/>
      <c r="I36" s="25"/>
      <c r="J36" s="25"/>
      <c r="K36" s="25"/>
      <c r="L36" s="25"/>
      <c r="M36" s="25"/>
      <c r="N36" s="25"/>
      <c r="O36" s="25"/>
      <c r="P36" s="25"/>
      <c r="Q36" s="25"/>
      <c r="R36" s="25"/>
    </row>
    <row r="37" spans="1:18" ht="14.4" x14ac:dyDescent="0.2">
      <c r="A37" s="25"/>
      <c r="B37" s="174" t="s">
        <v>18</v>
      </c>
      <c r="C37" s="176"/>
      <c r="D37" s="38">
        <v>373206</v>
      </c>
      <c r="E37" s="38">
        <v>258277.76000000001</v>
      </c>
      <c r="F37" s="38">
        <v>315284.42879999999</v>
      </c>
      <c r="G37" s="25"/>
      <c r="H37" s="25"/>
      <c r="I37" s="25"/>
      <c r="J37" s="25"/>
      <c r="K37" s="25"/>
      <c r="L37" s="25"/>
      <c r="M37" s="25"/>
      <c r="N37" s="25"/>
      <c r="O37" s="25"/>
      <c r="P37" s="25"/>
      <c r="Q37" s="25"/>
      <c r="R37" s="25"/>
    </row>
    <row r="38" spans="1:18" ht="14.4" x14ac:dyDescent="0.2">
      <c r="A38" s="25"/>
      <c r="B38" s="174" t="s">
        <v>1897</v>
      </c>
      <c r="C38" s="176"/>
      <c r="D38" s="38">
        <v>0</v>
      </c>
      <c r="E38" s="38">
        <v>650120</v>
      </c>
      <c r="F38" s="38">
        <v>970130</v>
      </c>
      <c r="G38" s="25"/>
      <c r="H38" s="25"/>
      <c r="I38" s="25"/>
      <c r="J38" s="25"/>
      <c r="K38" s="25"/>
      <c r="L38" s="25"/>
      <c r="M38" s="25"/>
      <c r="N38" s="25"/>
      <c r="O38" s="25"/>
      <c r="P38" s="25"/>
      <c r="Q38" s="25"/>
      <c r="R38" s="25"/>
    </row>
    <row r="39" spans="1:18" ht="14.4" x14ac:dyDescent="0.2">
      <c r="A39" s="25"/>
      <c r="B39" s="174" t="s">
        <v>16</v>
      </c>
      <c r="C39" s="176"/>
      <c r="D39" s="38">
        <v>912793</v>
      </c>
      <c r="E39" s="38">
        <v>70281.279999999999</v>
      </c>
      <c r="F39" s="38">
        <v>771127.52639999997</v>
      </c>
      <c r="G39" s="25"/>
      <c r="H39" s="25"/>
      <c r="I39" s="25"/>
      <c r="J39" s="25"/>
      <c r="K39" s="25"/>
      <c r="L39" s="25"/>
      <c r="M39" s="25"/>
      <c r="N39" s="25"/>
      <c r="O39" s="25"/>
      <c r="P39" s="25"/>
      <c r="Q39" s="25"/>
      <c r="R39" s="25"/>
    </row>
    <row r="40" spans="1:18" ht="10.5" customHeight="1" x14ac:dyDescent="0.2">
      <c r="A40" s="25"/>
      <c r="B40" s="119"/>
      <c r="C40" s="27"/>
      <c r="D40" s="27"/>
      <c r="E40" s="27"/>
      <c r="F40" s="27"/>
      <c r="G40" s="25"/>
      <c r="H40" s="25"/>
      <c r="I40" s="25"/>
      <c r="J40" s="25"/>
      <c r="K40" s="25"/>
      <c r="L40" s="25"/>
      <c r="M40" s="25"/>
      <c r="N40" s="25"/>
      <c r="O40" s="25"/>
      <c r="P40" s="25"/>
      <c r="Q40" s="25"/>
      <c r="R40" s="25"/>
    </row>
    <row r="41" spans="1:18" ht="14.25" customHeight="1" x14ac:dyDescent="0.2">
      <c r="A41" s="25"/>
      <c r="B41" s="184" t="s">
        <v>254</v>
      </c>
      <c r="C41" s="184"/>
      <c r="D41" s="184"/>
      <c r="E41" s="184"/>
      <c r="F41" s="184"/>
      <c r="G41" s="184"/>
      <c r="H41" s="26" t="s">
        <v>248</v>
      </c>
      <c r="R41" s="25"/>
    </row>
    <row r="42" spans="1:18" ht="14.25" customHeight="1" x14ac:dyDescent="0.2">
      <c r="A42" s="25"/>
      <c r="B42" s="233" t="s">
        <v>1914</v>
      </c>
      <c r="C42" s="233"/>
      <c r="D42" s="233"/>
      <c r="G42" s="180"/>
      <c r="H42" s="186" t="s">
        <v>240</v>
      </c>
      <c r="I42" s="379" t="s">
        <v>231</v>
      </c>
      <c r="J42" s="379"/>
      <c r="K42" s="365" t="s">
        <v>232</v>
      </c>
      <c r="L42" s="366"/>
      <c r="M42" s="366"/>
      <c r="N42" s="366"/>
      <c r="O42" s="366"/>
      <c r="P42" s="366"/>
      <c r="Q42" s="367"/>
      <c r="R42" s="25"/>
    </row>
    <row r="43" spans="1:18" ht="14.25" customHeight="1" x14ac:dyDescent="0.2">
      <c r="A43" s="25"/>
      <c r="B43" s="233" t="s">
        <v>1916</v>
      </c>
      <c r="C43" s="184"/>
      <c r="D43" s="233"/>
      <c r="G43" s="180"/>
      <c r="H43" s="380" t="s">
        <v>241</v>
      </c>
      <c r="I43" s="377" t="s">
        <v>1909</v>
      </c>
      <c r="J43" s="378"/>
      <c r="K43" s="187" t="s">
        <v>233</v>
      </c>
      <c r="L43" s="188"/>
      <c r="M43" s="189"/>
      <c r="N43" s="195"/>
      <c r="O43" s="196"/>
      <c r="P43" s="196"/>
      <c r="Q43" s="197"/>
      <c r="R43" s="25"/>
    </row>
    <row r="44" spans="1:18" ht="14.25" customHeight="1" x14ac:dyDescent="0.2">
      <c r="A44" s="25"/>
      <c r="B44" s="184" t="s">
        <v>255</v>
      </c>
      <c r="C44" s="233"/>
      <c r="D44" s="233"/>
      <c r="G44" s="180"/>
      <c r="H44" s="381"/>
      <c r="I44" s="361" t="s">
        <v>1910</v>
      </c>
      <c r="J44" s="362"/>
      <c r="K44" s="190"/>
      <c r="L44" s="191" t="s">
        <v>234</v>
      </c>
      <c r="M44" s="192"/>
      <c r="N44" s="198"/>
      <c r="O44" s="199"/>
      <c r="P44" s="199"/>
      <c r="Q44" s="200"/>
      <c r="R44" s="25"/>
    </row>
    <row r="45" spans="1:18" ht="14.25" customHeight="1" x14ac:dyDescent="0.2">
      <c r="A45" s="25"/>
      <c r="B45" s="184" t="s">
        <v>1902</v>
      </c>
      <c r="C45" s="180"/>
      <c r="D45" s="180"/>
      <c r="G45" s="180"/>
      <c r="H45" s="193" t="s">
        <v>235</v>
      </c>
      <c r="I45" s="359" t="s">
        <v>136</v>
      </c>
      <c r="J45" s="360"/>
      <c r="K45" s="187" t="s">
        <v>242</v>
      </c>
      <c r="L45" s="188"/>
      <c r="M45" s="189"/>
      <c r="N45" s="195"/>
      <c r="O45" s="196"/>
      <c r="P45" s="196"/>
      <c r="Q45" s="197"/>
      <c r="R45" s="25"/>
    </row>
    <row r="46" spans="1:18" ht="14.25" customHeight="1" x14ac:dyDescent="0.2">
      <c r="A46" s="25"/>
      <c r="B46" s="180" t="s">
        <v>245</v>
      </c>
      <c r="C46" s="185"/>
      <c r="D46" s="185"/>
      <c r="G46" s="180"/>
      <c r="H46" s="194"/>
      <c r="I46" s="361"/>
      <c r="J46" s="362"/>
      <c r="K46" s="190"/>
      <c r="L46" s="191" t="s">
        <v>236</v>
      </c>
      <c r="M46" s="192"/>
      <c r="N46" s="198"/>
      <c r="O46" s="199"/>
      <c r="P46" s="199"/>
      <c r="Q46" s="200"/>
      <c r="R46" s="25"/>
    </row>
    <row r="47" spans="1:18" ht="14.25" customHeight="1" x14ac:dyDescent="0.2">
      <c r="A47" s="25"/>
      <c r="B47" s="233" t="s">
        <v>1913</v>
      </c>
      <c r="C47" s="185"/>
      <c r="D47" s="185"/>
      <c r="E47" s="180"/>
      <c r="F47" s="180"/>
      <c r="G47" s="137"/>
      <c r="H47" s="193" t="s">
        <v>237</v>
      </c>
      <c r="I47" s="359" t="s">
        <v>137</v>
      </c>
      <c r="J47" s="360"/>
      <c r="K47" s="187" t="s">
        <v>238</v>
      </c>
      <c r="L47" s="188"/>
      <c r="M47" s="189"/>
      <c r="N47" s="195"/>
      <c r="O47" s="196"/>
      <c r="P47" s="196"/>
      <c r="Q47" s="197"/>
      <c r="R47" s="25"/>
    </row>
    <row r="48" spans="1:18" ht="14.25" customHeight="1" x14ac:dyDescent="0.2">
      <c r="A48" s="25"/>
      <c r="B48" s="185" t="s">
        <v>1903</v>
      </c>
      <c r="C48" s="233"/>
      <c r="D48" s="233"/>
      <c r="E48" s="185"/>
      <c r="F48" s="137"/>
      <c r="G48" s="184"/>
      <c r="H48" s="194"/>
      <c r="I48" s="361"/>
      <c r="J48" s="362"/>
      <c r="K48" s="190"/>
      <c r="L48" s="191" t="s">
        <v>236</v>
      </c>
      <c r="M48" s="192"/>
      <c r="N48" s="198"/>
      <c r="O48" s="199"/>
      <c r="P48" s="199"/>
      <c r="Q48" s="200"/>
      <c r="R48" s="25"/>
    </row>
    <row r="49" spans="1:18" ht="14.25" customHeight="1" x14ac:dyDescent="0.2">
      <c r="A49" s="25"/>
      <c r="B49" s="180" t="s">
        <v>251</v>
      </c>
      <c r="C49" s="185"/>
      <c r="D49" s="185"/>
      <c r="E49" s="185"/>
      <c r="G49" s="184"/>
      <c r="H49" s="363" t="s">
        <v>239</v>
      </c>
      <c r="I49" s="210" t="s">
        <v>246</v>
      </c>
      <c r="J49" s="211"/>
      <c r="K49" s="187" t="s">
        <v>243</v>
      </c>
      <c r="L49" s="188"/>
      <c r="M49" s="189"/>
      <c r="N49" s="195"/>
      <c r="O49" s="196"/>
      <c r="P49" s="196"/>
      <c r="Q49" s="197"/>
      <c r="R49" s="25"/>
    </row>
    <row r="50" spans="1:18" ht="14.25" customHeight="1" x14ac:dyDescent="0.2">
      <c r="A50" s="25"/>
      <c r="B50" s="185" t="s">
        <v>1904</v>
      </c>
      <c r="C50" s="233"/>
      <c r="D50" s="233"/>
      <c r="G50" s="185"/>
      <c r="H50" s="364"/>
      <c r="I50" s="208" t="s">
        <v>247</v>
      </c>
      <c r="J50" s="209"/>
      <c r="K50" s="190"/>
      <c r="L50" s="191" t="s">
        <v>236</v>
      </c>
      <c r="M50" s="192"/>
      <c r="N50" s="198"/>
      <c r="O50" s="199"/>
      <c r="P50" s="199"/>
      <c r="Q50" s="200"/>
      <c r="R50" s="25"/>
    </row>
    <row r="51" spans="1:18" ht="14.25" customHeight="1" x14ac:dyDescent="0.2">
      <c r="A51" s="25"/>
      <c r="B51" s="185" t="s">
        <v>1905</v>
      </c>
      <c r="C51" s="185"/>
      <c r="D51" s="185"/>
      <c r="E51" s="185"/>
      <c r="F51" s="185"/>
      <c r="G51" s="185"/>
      <c r="H51" s="185"/>
      <c r="I51" s="185"/>
      <c r="J51" s="185"/>
      <c r="K51" s="185"/>
      <c r="L51" s="185"/>
      <c r="M51" s="185"/>
      <c r="N51" s="185"/>
      <c r="O51" s="185"/>
      <c r="P51" s="185"/>
      <c r="Q51" s="185"/>
      <c r="R51" s="25"/>
    </row>
    <row r="52" spans="1:18" ht="14.25" customHeight="1" x14ac:dyDescent="0.2">
      <c r="A52" s="25"/>
      <c r="B52" s="185" t="s">
        <v>1915</v>
      </c>
      <c r="C52" s="215"/>
      <c r="D52" s="215"/>
      <c r="F52" s="185"/>
      <c r="G52" s="185"/>
      <c r="H52" s="185"/>
      <c r="I52" s="185"/>
      <c r="J52" s="185"/>
      <c r="K52" s="185"/>
      <c r="L52" s="185"/>
      <c r="M52" s="185"/>
      <c r="N52" s="185"/>
      <c r="O52" s="185"/>
      <c r="P52" s="185"/>
      <c r="Q52" s="185"/>
      <c r="R52" s="25"/>
    </row>
    <row r="53" spans="1:18" ht="14.25" customHeight="1" x14ac:dyDescent="0.2">
      <c r="A53" s="25"/>
      <c r="B53" s="185" t="s">
        <v>1906</v>
      </c>
      <c r="C53" s="215"/>
      <c r="D53" s="215"/>
      <c r="E53" s="185"/>
      <c r="F53" s="185"/>
      <c r="G53" s="215"/>
      <c r="H53" s="215"/>
      <c r="I53" s="215"/>
      <c r="J53" s="215"/>
      <c r="K53" s="215"/>
      <c r="L53" s="215"/>
      <c r="M53" s="215"/>
      <c r="N53" s="215"/>
      <c r="O53" s="215"/>
      <c r="P53" s="215"/>
      <c r="Q53" s="179"/>
      <c r="R53" s="25"/>
    </row>
    <row r="54" spans="1:18" ht="14.25" customHeight="1" x14ac:dyDescent="0.2">
      <c r="A54" s="25"/>
      <c r="B54" s="185" t="s">
        <v>1907</v>
      </c>
      <c r="C54" s="185"/>
      <c r="D54" s="185"/>
      <c r="E54" s="215"/>
      <c r="F54" s="215"/>
      <c r="G54" s="215"/>
      <c r="H54" s="215"/>
      <c r="I54" s="215"/>
      <c r="J54" s="215"/>
      <c r="K54" s="215"/>
      <c r="L54" s="215"/>
      <c r="M54" s="215"/>
      <c r="N54" s="215"/>
      <c r="O54" s="215"/>
      <c r="P54" s="215"/>
      <c r="Q54" s="179"/>
      <c r="R54" s="25"/>
    </row>
    <row r="55" spans="1:18" ht="14.25" customHeight="1" x14ac:dyDescent="0.2">
      <c r="A55" s="25"/>
      <c r="B55" s="215" t="s">
        <v>256</v>
      </c>
      <c r="C55" s="185"/>
      <c r="D55" s="185"/>
      <c r="E55" s="215"/>
      <c r="F55" s="215"/>
      <c r="G55" s="185"/>
      <c r="H55" s="185"/>
      <c r="I55" s="185"/>
      <c r="J55" s="185"/>
      <c r="K55" s="185"/>
      <c r="L55" s="185"/>
      <c r="M55" s="185"/>
      <c r="N55" s="185"/>
      <c r="O55" s="185"/>
      <c r="P55" s="185"/>
      <c r="Q55" s="179"/>
      <c r="R55" s="25"/>
    </row>
    <row r="56" spans="1:18" ht="11.25" customHeight="1" x14ac:dyDescent="0.2">
      <c r="A56" s="25"/>
      <c r="B56" s="215" t="s">
        <v>1863</v>
      </c>
      <c r="C56" s="233"/>
      <c r="D56" s="233"/>
      <c r="E56" s="185"/>
      <c r="F56" s="185"/>
      <c r="G56" s="185"/>
      <c r="H56" s="185"/>
      <c r="I56" s="185"/>
      <c r="J56" s="185"/>
      <c r="K56" s="185"/>
      <c r="L56" s="185"/>
      <c r="M56" s="185"/>
      <c r="N56" s="185"/>
      <c r="O56" s="185"/>
      <c r="P56" s="185"/>
      <c r="Q56" s="185"/>
      <c r="R56" s="25"/>
    </row>
    <row r="57" spans="1:18" ht="14.4" x14ac:dyDescent="0.2">
      <c r="A57" s="25"/>
      <c r="B57" s="185" t="s">
        <v>1864</v>
      </c>
      <c r="C57" s="233"/>
      <c r="D57" s="233"/>
      <c r="I57" s="130"/>
      <c r="R57" s="25"/>
    </row>
    <row r="58" spans="1:18" ht="7.5" customHeight="1" x14ac:dyDescent="0.2">
      <c r="A58" s="25"/>
      <c r="B58" s="119"/>
      <c r="C58" s="27"/>
      <c r="D58" s="27"/>
      <c r="E58" s="27"/>
      <c r="F58" s="27"/>
      <c r="G58" s="25"/>
      <c r="H58" s="25"/>
      <c r="I58" s="25"/>
      <c r="J58" s="25"/>
      <c r="K58" s="25"/>
      <c r="L58" s="25"/>
      <c r="M58" s="25"/>
      <c r="N58" s="25"/>
      <c r="O58" s="25"/>
      <c r="P58" s="25"/>
      <c r="Q58" s="25"/>
      <c r="R58" s="25"/>
    </row>
    <row r="59" spans="1:18" ht="14.4" x14ac:dyDescent="0.2">
      <c r="B59" s="184"/>
      <c r="I59" s="129"/>
    </row>
    <row r="60" spans="1:18" ht="14.4" x14ac:dyDescent="0.2">
      <c r="B60" s="180"/>
      <c r="I60" s="128"/>
    </row>
    <row r="61" spans="1:18" x14ac:dyDescent="0.2">
      <c r="I61" s="128"/>
    </row>
    <row r="62" spans="1:18" ht="12" customHeight="1" x14ac:dyDescent="0.2">
      <c r="I62" s="128"/>
    </row>
  </sheetData>
  <sheetProtection selectLockedCells="1"/>
  <mergeCells count="49">
    <mergeCell ref="I47:J48"/>
    <mergeCell ref="H49:H50"/>
    <mergeCell ref="K42:Q42"/>
    <mergeCell ref="M24:Q24"/>
    <mergeCell ref="H27:J27"/>
    <mergeCell ref="H31:J31"/>
    <mergeCell ref="H29:J30"/>
    <mergeCell ref="H24:J24"/>
    <mergeCell ref="H28:J28"/>
    <mergeCell ref="H25:J25"/>
    <mergeCell ref="H26:J26"/>
    <mergeCell ref="I43:J43"/>
    <mergeCell ref="I42:J42"/>
    <mergeCell ref="H43:H44"/>
    <mergeCell ref="I44:J44"/>
    <mergeCell ref="I45:J46"/>
    <mergeCell ref="T3:U3"/>
    <mergeCell ref="K4:L4"/>
    <mergeCell ref="M4:N4"/>
    <mergeCell ref="H11:J11"/>
    <mergeCell ref="H5:J5"/>
    <mergeCell ref="O4:P4"/>
    <mergeCell ref="H6:J6"/>
    <mergeCell ref="H7:J7"/>
    <mergeCell ref="H8:J8"/>
    <mergeCell ref="H9:J9"/>
    <mergeCell ref="D4:F4"/>
    <mergeCell ref="D5:F5"/>
    <mergeCell ref="D6:F6"/>
    <mergeCell ref="D7:F7"/>
    <mergeCell ref="B4:C4"/>
    <mergeCell ref="B5:C5"/>
    <mergeCell ref="B6:C6"/>
    <mergeCell ref="B7:C7"/>
    <mergeCell ref="B27:C27"/>
    <mergeCell ref="B24:C25"/>
    <mergeCell ref="D24:F24"/>
    <mergeCell ref="B17:F17"/>
    <mergeCell ref="B12:C12"/>
    <mergeCell ref="B20:C20"/>
    <mergeCell ref="D20:F20"/>
    <mergeCell ref="B15:F15"/>
    <mergeCell ref="B11:C11"/>
    <mergeCell ref="D10:F10"/>
    <mergeCell ref="D8:F8"/>
    <mergeCell ref="B8:C8"/>
    <mergeCell ref="B10:C10"/>
    <mergeCell ref="D9:F9"/>
    <mergeCell ref="B9:C9"/>
  </mergeCells>
  <phoneticPr fontId="1"/>
  <conditionalFormatting sqref="H42:H43 H45:H46 J16:M21 I57 I59">
    <cfRule type="cellIs" dxfId="47" priority="40" operator="lessThan">
      <formula>0</formula>
    </cfRule>
    <cfRule type="cellIs" dxfId="46" priority="44" operator="lessThan">
      <formula>0</formula>
    </cfRule>
  </conditionalFormatting>
  <conditionalFormatting sqref="K6:K9">
    <cfRule type="cellIs" dxfId="45" priority="41" operator="lessThan">
      <formula>0</formula>
    </cfRule>
  </conditionalFormatting>
  <conditionalFormatting sqref="K10">
    <cfRule type="cellIs" dxfId="44" priority="38" operator="lessThan">
      <formula>0</formula>
    </cfRule>
  </conditionalFormatting>
  <conditionalFormatting sqref="K11">
    <cfRule type="cellIs" dxfId="43" priority="35" operator="lessThan">
      <formula>0</formula>
    </cfRule>
  </conditionalFormatting>
  <conditionalFormatting sqref="M6 M9">
    <cfRule type="cellIs" dxfId="42" priority="21" operator="lessThan">
      <formula>0</formula>
    </cfRule>
  </conditionalFormatting>
  <conditionalFormatting sqref="M10">
    <cfRule type="cellIs" dxfId="41" priority="20" operator="lessThan">
      <formula>0</formula>
    </cfRule>
  </conditionalFormatting>
  <conditionalFormatting sqref="M11">
    <cfRule type="cellIs" dxfId="40" priority="19" operator="lessThan">
      <formula>0</formula>
    </cfRule>
  </conditionalFormatting>
  <conditionalFormatting sqref="O6 O9">
    <cfRule type="cellIs" dxfId="39" priority="18" operator="lessThan">
      <formula>0</formula>
    </cfRule>
  </conditionalFormatting>
  <conditionalFormatting sqref="O10">
    <cfRule type="cellIs" dxfId="38" priority="17" operator="lessThan">
      <formula>0</formula>
    </cfRule>
  </conditionalFormatting>
  <conditionalFormatting sqref="O11">
    <cfRule type="cellIs" dxfId="37" priority="16" operator="lessThan">
      <formula>0</formula>
    </cfRule>
  </conditionalFormatting>
  <conditionalFormatting sqref="M7">
    <cfRule type="cellIs" dxfId="36" priority="8" operator="lessThan">
      <formula>0</formula>
    </cfRule>
  </conditionalFormatting>
  <conditionalFormatting sqref="O7">
    <cfRule type="cellIs" dxfId="35" priority="7" operator="lessThan">
      <formula>0</formula>
    </cfRule>
  </conditionalFormatting>
  <conditionalFormatting sqref="M8">
    <cfRule type="cellIs" dxfId="34" priority="6" operator="lessThan">
      <formula>0</formula>
    </cfRule>
  </conditionalFormatting>
  <conditionalFormatting sqref="O8">
    <cfRule type="cellIs" dxfId="33" priority="5" operator="lessThan">
      <formula>0</formula>
    </cfRule>
  </conditionalFormatting>
  <conditionalFormatting sqref="D20:F20">
    <cfRule type="cellIs" dxfId="32" priority="1" operator="equal">
      <formula>"資本金欄が未入力のため規模判定ができません"</formula>
    </cfRule>
    <cfRule type="cellIs" dxfId="31" priority="2" operator="equal">
      <formula>"従業員数欄が未入力のため規模判定ができません"</formula>
    </cfRule>
    <cfRule type="cellIs" dxfId="30" priority="3" operator="equal">
      <formula>"業種欄に間違いがあるため規模判定ができません"</formula>
    </cfRule>
    <cfRule type="cellIs" dxfId="29" priority="4" operator="equal">
      <formula>"業種欄が未入力のため規模判定ができません"</formula>
    </cfRule>
  </conditionalFormatting>
  <pageMargins left="0" right="0" top="0" bottom="0" header="0.31496062992125984" footer="0.31496062992125984"/>
  <pageSetup paperSize="9" scale="76" fitToHeight="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0000000}">
          <x14:formula1>
            <xm:f>OFFSET(【参照】業種区分!$A$1,MATCH($D$9,【参照】業種区分!$A$2:$A$16,0),1,1,6)</xm:f>
          </x14:formula1>
          <xm:sqref>D10:F10</xm:sqref>
        </x14:dataValidation>
        <x14:dataValidation type="list" allowBlank="1" showInputMessage="1" showErrorMessage="1" xr:uid="{00000000-0002-0000-0100-000001000000}">
          <x14:formula1>
            <xm:f>【参照】業種区分!$A$2:$A$15</xm:f>
          </x14:formula1>
          <xm:sqref>D9:F9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pageSetUpPr fitToPage="1"/>
  </sheetPr>
  <dimension ref="A1:AD35"/>
  <sheetViews>
    <sheetView showGridLines="0" zoomScale="75" zoomScaleNormal="75" workbookViewId="0">
      <selection activeCell="AD10" sqref="AD10"/>
    </sheetView>
  </sheetViews>
  <sheetFormatPr defaultColWidth="9" defaultRowHeight="18" customHeight="1" x14ac:dyDescent="0.2"/>
  <cols>
    <col min="1" max="1" width="2.6640625" style="36" customWidth="1"/>
    <col min="2" max="2" width="6.6640625" style="37" customWidth="1"/>
    <col min="3" max="5" width="5.6640625" style="36" customWidth="1"/>
    <col min="6" max="6" width="2.6640625" style="36" customWidth="1"/>
    <col min="7" max="7" width="6.6640625" style="36" customWidth="1"/>
    <col min="8" max="10" width="5.6640625" style="36" customWidth="1"/>
    <col min="11" max="11" width="2.6640625" style="36" customWidth="1"/>
    <col min="12" max="12" width="6.6640625" style="36" customWidth="1"/>
    <col min="13" max="15" width="5.6640625" style="36" customWidth="1"/>
    <col min="16" max="16" width="2.6640625" style="36" customWidth="1"/>
    <col min="17" max="17" width="6.6640625" style="36" customWidth="1"/>
    <col min="18" max="20" width="5.6640625" style="36" customWidth="1"/>
    <col min="21" max="21" width="2.6640625" style="36" customWidth="1"/>
    <col min="22" max="22" width="6.6640625" style="36" customWidth="1"/>
    <col min="23" max="25" width="5.6640625" style="36" customWidth="1"/>
    <col min="26" max="26" width="2.6640625" style="36" customWidth="1"/>
    <col min="27" max="41" width="5.6640625" style="36" customWidth="1"/>
    <col min="42" max="16384" width="9" style="36"/>
  </cols>
  <sheetData>
    <row r="1" spans="1:30" ht="18" customHeight="1" x14ac:dyDescent="0.2">
      <c r="V1" s="43" t="s">
        <v>62</v>
      </c>
      <c r="W1" s="44"/>
      <c r="X1" s="45"/>
      <c r="Y1" s="408" t="str">
        <f>【入力】財務分析!D5</f>
        <v>株式会社○○</v>
      </c>
      <c r="Z1" s="409"/>
      <c r="AA1" s="409"/>
      <c r="AB1" s="409"/>
      <c r="AC1" s="409"/>
      <c r="AD1" s="410"/>
    </row>
    <row r="2" spans="1:30" ht="18" customHeight="1" x14ac:dyDescent="0.2">
      <c r="V2" s="46" t="s">
        <v>63</v>
      </c>
      <c r="W2" s="47"/>
      <c r="X2" s="48"/>
      <c r="Y2" s="411">
        <f>【入力】財務分析!D27</f>
        <v>5130250</v>
      </c>
      <c r="Z2" s="412"/>
      <c r="AA2" s="412"/>
      <c r="AB2" s="412"/>
      <c r="AC2" s="412"/>
      <c r="AD2" s="413"/>
    </row>
    <row r="3" spans="1:30" ht="18" customHeight="1" x14ac:dyDescent="0.2">
      <c r="V3" s="49" t="s">
        <v>64</v>
      </c>
      <c r="W3" s="50"/>
      <c r="X3" s="51"/>
      <c r="Y3" s="411">
        <f>【入力】財務分析!D29</f>
        <v>15000</v>
      </c>
      <c r="Z3" s="412"/>
      <c r="AA3" s="412"/>
      <c r="AB3" s="412"/>
      <c r="AC3" s="412"/>
      <c r="AD3" s="413"/>
    </row>
    <row r="4" spans="1:30" ht="18" customHeight="1" x14ac:dyDescent="0.2">
      <c r="V4" s="52" t="s">
        <v>65</v>
      </c>
      <c r="W4" s="53"/>
      <c r="X4" s="54"/>
      <c r="Y4" s="414">
        <f>【入力】財務分析!$D$12</f>
        <v>30</v>
      </c>
      <c r="Z4" s="415"/>
      <c r="AA4" s="415"/>
      <c r="AB4" s="415"/>
      <c r="AC4" s="415"/>
      <c r="AD4" s="416"/>
    </row>
    <row r="5" spans="1:30" ht="18" customHeight="1" x14ac:dyDescent="0.2">
      <c r="B5" s="55" t="s">
        <v>66</v>
      </c>
    </row>
    <row r="6" spans="1:30" ht="18" customHeight="1" x14ac:dyDescent="0.2">
      <c r="A6" s="56"/>
      <c r="B6" s="57" t="s">
        <v>67</v>
      </c>
      <c r="C6" s="382"/>
      <c r="D6" s="382"/>
      <c r="E6" s="383"/>
      <c r="G6" s="57" t="s">
        <v>68</v>
      </c>
      <c r="H6" s="382"/>
      <c r="I6" s="382"/>
      <c r="J6" s="383"/>
      <c r="L6" s="57" t="s">
        <v>69</v>
      </c>
      <c r="M6" s="382"/>
      <c r="N6" s="382"/>
      <c r="O6" s="383"/>
      <c r="Q6" s="57" t="s">
        <v>70</v>
      </c>
      <c r="R6" s="382"/>
      <c r="S6" s="382"/>
      <c r="T6" s="383"/>
      <c r="V6" s="57" t="s">
        <v>71</v>
      </c>
      <c r="W6" s="382"/>
      <c r="X6" s="382"/>
      <c r="Y6" s="383"/>
      <c r="AA6" s="396" t="s">
        <v>72</v>
      </c>
      <c r="AB6" s="397"/>
      <c r="AC6" s="397"/>
      <c r="AD6" s="398"/>
    </row>
    <row r="7" spans="1:30" ht="18" customHeight="1" x14ac:dyDescent="0.2">
      <c r="B7" s="58" t="s">
        <v>73</v>
      </c>
      <c r="C7" s="59"/>
      <c r="D7" s="59"/>
      <c r="E7" s="60"/>
      <c r="G7" s="58" t="s">
        <v>73</v>
      </c>
      <c r="H7" s="59"/>
      <c r="I7" s="59"/>
      <c r="J7" s="60"/>
      <c r="L7" s="58" t="s">
        <v>73</v>
      </c>
      <c r="M7" s="59"/>
      <c r="N7" s="59"/>
      <c r="O7" s="60"/>
      <c r="Q7" s="58" t="s">
        <v>73</v>
      </c>
      <c r="R7" s="59"/>
      <c r="S7" s="59"/>
      <c r="T7" s="60"/>
      <c r="V7" s="58" t="s">
        <v>73</v>
      </c>
      <c r="W7" s="59"/>
      <c r="X7" s="59"/>
      <c r="Y7" s="60"/>
      <c r="AA7" s="58" t="s">
        <v>74</v>
      </c>
      <c r="AB7" s="59"/>
      <c r="AC7" s="59"/>
      <c r="AD7" s="60"/>
    </row>
    <row r="8" spans="1:30" ht="18" customHeight="1" x14ac:dyDescent="0.2">
      <c r="B8" s="384"/>
      <c r="C8" s="385"/>
      <c r="D8" s="385"/>
      <c r="E8" s="386"/>
      <c r="G8" s="384"/>
      <c r="H8" s="385"/>
      <c r="I8" s="385"/>
      <c r="J8" s="386"/>
      <c r="L8" s="384"/>
      <c r="M8" s="385"/>
      <c r="N8" s="385"/>
      <c r="O8" s="386"/>
      <c r="Q8" s="384"/>
      <c r="R8" s="385"/>
      <c r="S8" s="385"/>
      <c r="T8" s="386"/>
      <c r="V8" s="384"/>
      <c r="W8" s="385"/>
      <c r="X8" s="385"/>
      <c r="Y8" s="386"/>
      <c r="AA8" s="384"/>
      <c r="AB8" s="385"/>
      <c r="AC8" s="385"/>
      <c r="AD8" s="386"/>
    </row>
    <row r="9" spans="1:30" ht="18" customHeight="1" x14ac:dyDescent="0.2">
      <c r="B9" s="384"/>
      <c r="C9" s="385"/>
      <c r="D9" s="385"/>
      <c r="E9" s="386"/>
      <c r="G9" s="384"/>
      <c r="H9" s="385"/>
      <c r="I9" s="385"/>
      <c r="J9" s="386"/>
      <c r="L9" s="384"/>
      <c r="M9" s="385"/>
      <c r="N9" s="385"/>
      <c r="O9" s="386"/>
      <c r="Q9" s="384"/>
      <c r="R9" s="385"/>
      <c r="S9" s="385"/>
      <c r="T9" s="386"/>
      <c r="V9" s="384"/>
      <c r="W9" s="385"/>
      <c r="X9" s="385"/>
      <c r="Y9" s="386"/>
      <c r="AA9" s="384"/>
      <c r="AB9" s="385"/>
      <c r="AC9" s="385"/>
      <c r="AD9" s="386"/>
    </row>
    <row r="10" spans="1:30" ht="20.25" customHeight="1" x14ac:dyDescent="0.2">
      <c r="B10" s="384"/>
      <c r="C10" s="385"/>
      <c r="D10" s="385"/>
      <c r="E10" s="386"/>
      <c r="F10" s="36" t="s">
        <v>75</v>
      </c>
      <c r="G10" s="384"/>
      <c r="H10" s="385"/>
      <c r="I10" s="385"/>
      <c r="J10" s="386"/>
      <c r="K10" s="36" t="s">
        <v>1912</v>
      </c>
      <c r="L10" s="384"/>
      <c r="M10" s="385"/>
      <c r="N10" s="385"/>
      <c r="O10" s="386"/>
      <c r="P10" s="36" t="s">
        <v>75</v>
      </c>
      <c r="Q10" s="384"/>
      <c r="R10" s="385"/>
      <c r="S10" s="385"/>
      <c r="T10" s="386"/>
      <c r="U10" s="36" t="s">
        <v>75</v>
      </c>
      <c r="V10" s="384"/>
      <c r="W10" s="385"/>
      <c r="X10" s="385"/>
      <c r="Y10" s="386"/>
      <c r="Z10" s="36" t="s">
        <v>75</v>
      </c>
      <c r="AA10" s="384"/>
      <c r="AB10" s="385"/>
      <c r="AC10" s="385"/>
      <c r="AD10" s="386"/>
    </row>
    <row r="11" spans="1:30" ht="20.25" customHeight="1" x14ac:dyDescent="0.2">
      <c r="B11" s="384"/>
      <c r="C11" s="385"/>
      <c r="D11" s="385"/>
      <c r="E11" s="386"/>
      <c r="G11" s="384"/>
      <c r="H11" s="385"/>
      <c r="I11" s="385"/>
      <c r="J11" s="386"/>
      <c r="L11" s="384"/>
      <c r="M11" s="385"/>
      <c r="N11" s="385"/>
      <c r="O11" s="386"/>
      <c r="Q11" s="384"/>
      <c r="R11" s="385"/>
      <c r="S11" s="385"/>
      <c r="T11" s="386"/>
      <c r="V11" s="384"/>
      <c r="W11" s="385"/>
      <c r="X11" s="385"/>
      <c r="Y11" s="386"/>
      <c r="AA11" s="384"/>
      <c r="AB11" s="385"/>
      <c r="AC11" s="385"/>
      <c r="AD11" s="386"/>
    </row>
    <row r="12" spans="1:30" ht="20.25" customHeight="1" x14ac:dyDescent="0.2">
      <c r="B12" s="387"/>
      <c r="C12" s="388"/>
      <c r="D12" s="388"/>
      <c r="E12" s="389"/>
      <c r="G12" s="387"/>
      <c r="H12" s="388"/>
      <c r="I12" s="388"/>
      <c r="J12" s="389"/>
      <c r="L12" s="387"/>
      <c r="M12" s="388"/>
      <c r="N12" s="388"/>
      <c r="O12" s="389"/>
      <c r="Q12" s="387"/>
      <c r="R12" s="388"/>
      <c r="S12" s="388"/>
      <c r="T12" s="389"/>
      <c r="V12" s="387"/>
      <c r="W12" s="388"/>
      <c r="X12" s="388"/>
      <c r="Y12" s="389"/>
      <c r="AA12" s="387"/>
      <c r="AB12" s="388"/>
      <c r="AC12" s="388"/>
      <c r="AD12" s="389"/>
    </row>
    <row r="13" spans="1:30" ht="20.25" customHeight="1" x14ac:dyDescent="0.2">
      <c r="B13" s="58" t="s">
        <v>76</v>
      </c>
      <c r="C13" s="59"/>
      <c r="D13" s="59"/>
      <c r="E13" s="60"/>
      <c r="G13" s="58" t="s">
        <v>76</v>
      </c>
      <c r="H13" s="59"/>
      <c r="I13" s="59"/>
      <c r="J13" s="60"/>
      <c r="L13" s="58" t="s">
        <v>76</v>
      </c>
      <c r="M13" s="59"/>
      <c r="N13" s="59"/>
      <c r="O13" s="60"/>
      <c r="Q13" s="58" t="s">
        <v>76</v>
      </c>
      <c r="R13" s="59"/>
      <c r="S13" s="59"/>
      <c r="T13" s="60"/>
      <c r="V13" s="58" t="s">
        <v>76</v>
      </c>
      <c r="W13" s="59"/>
      <c r="X13" s="59"/>
      <c r="Y13" s="60"/>
      <c r="AA13" s="64" t="s">
        <v>77</v>
      </c>
      <c r="AB13" s="59"/>
      <c r="AC13" s="59"/>
      <c r="AD13" s="60"/>
    </row>
    <row r="14" spans="1:30" ht="20.25" customHeight="1" x14ac:dyDescent="0.2">
      <c r="B14" s="384"/>
      <c r="C14" s="385"/>
      <c r="D14" s="385"/>
      <c r="E14" s="386"/>
      <c r="G14" s="384"/>
      <c r="H14" s="385"/>
      <c r="I14" s="385"/>
      <c r="J14" s="386"/>
      <c r="L14" s="384"/>
      <c r="M14" s="385"/>
      <c r="N14" s="385"/>
      <c r="O14" s="386"/>
      <c r="Q14" s="384"/>
      <c r="R14" s="385"/>
      <c r="S14" s="385"/>
      <c r="T14" s="386"/>
      <c r="V14" s="384"/>
      <c r="W14" s="385"/>
      <c r="X14" s="385"/>
      <c r="Y14" s="386"/>
      <c r="AA14" s="384"/>
      <c r="AB14" s="385"/>
      <c r="AC14" s="385"/>
      <c r="AD14" s="386"/>
    </row>
    <row r="15" spans="1:30" ht="20.25" customHeight="1" x14ac:dyDescent="0.2">
      <c r="B15" s="384"/>
      <c r="C15" s="385"/>
      <c r="D15" s="385"/>
      <c r="E15" s="386"/>
      <c r="G15" s="384"/>
      <c r="H15" s="385"/>
      <c r="I15" s="385"/>
      <c r="J15" s="386"/>
      <c r="L15" s="384"/>
      <c r="M15" s="385"/>
      <c r="N15" s="385"/>
      <c r="O15" s="386"/>
      <c r="Q15" s="384"/>
      <c r="R15" s="385"/>
      <c r="S15" s="385"/>
      <c r="T15" s="386"/>
      <c r="V15" s="384"/>
      <c r="W15" s="385"/>
      <c r="X15" s="385"/>
      <c r="Y15" s="386"/>
      <c r="AA15" s="384"/>
      <c r="AB15" s="385"/>
      <c r="AC15" s="385"/>
      <c r="AD15" s="386"/>
    </row>
    <row r="16" spans="1:30" ht="20.25" customHeight="1" x14ac:dyDescent="0.2">
      <c r="B16" s="384"/>
      <c r="C16" s="385"/>
      <c r="D16" s="385"/>
      <c r="E16" s="386"/>
      <c r="G16" s="384"/>
      <c r="H16" s="385"/>
      <c r="I16" s="385"/>
      <c r="J16" s="386"/>
      <c r="L16" s="384"/>
      <c r="M16" s="385"/>
      <c r="N16" s="385"/>
      <c r="O16" s="386"/>
      <c r="Q16" s="384"/>
      <c r="R16" s="385"/>
      <c r="S16" s="385"/>
      <c r="T16" s="386"/>
      <c r="V16" s="384"/>
      <c r="W16" s="385"/>
      <c r="X16" s="385"/>
      <c r="Y16" s="386"/>
      <c r="AA16" s="384"/>
      <c r="AB16" s="385"/>
      <c r="AC16" s="385"/>
      <c r="AD16" s="386"/>
    </row>
    <row r="17" spans="1:30" ht="20.25" customHeight="1" x14ac:dyDescent="0.2">
      <c r="B17" s="384"/>
      <c r="C17" s="385"/>
      <c r="D17" s="385"/>
      <c r="E17" s="386"/>
      <c r="G17" s="384"/>
      <c r="H17" s="385"/>
      <c r="I17" s="385"/>
      <c r="J17" s="386"/>
      <c r="L17" s="384"/>
      <c r="M17" s="385"/>
      <c r="N17" s="385"/>
      <c r="O17" s="386"/>
      <c r="Q17" s="384"/>
      <c r="R17" s="385"/>
      <c r="S17" s="385"/>
      <c r="T17" s="386"/>
      <c r="V17" s="384"/>
      <c r="W17" s="385"/>
      <c r="X17" s="385"/>
      <c r="Y17" s="386"/>
      <c r="AA17" s="384"/>
      <c r="AB17" s="385"/>
      <c r="AC17" s="385"/>
      <c r="AD17" s="386"/>
    </row>
    <row r="18" spans="1:30" ht="20.25" customHeight="1" x14ac:dyDescent="0.2">
      <c r="B18" s="387"/>
      <c r="C18" s="388"/>
      <c r="D18" s="388"/>
      <c r="E18" s="389"/>
      <c r="G18" s="387"/>
      <c r="H18" s="388"/>
      <c r="I18" s="388"/>
      <c r="J18" s="389"/>
      <c r="L18" s="387"/>
      <c r="M18" s="388"/>
      <c r="N18" s="388"/>
      <c r="O18" s="389"/>
      <c r="Q18" s="387"/>
      <c r="R18" s="388"/>
      <c r="S18" s="388"/>
      <c r="T18" s="389"/>
      <c r="V18" s="387"/>
      <c r="W18" s="388"/>
      <c r="X18" s="388"/>
      <c r="Y18" s="389"/>
      <c r="AA18" s="387"/>
      <c r="AB18" s="388"/>
      <c r="AC18" s="388"/>
      <c r="AD18" s="389"/>
    </row>
    <row r="20" spans="1:30" ht="18" customHeight="1" thickBot="1" x14ac:dyDescent="0.25">
      <c r="B20" s="55" t="s">
        <v>78</v>
      </c>
    </row>
    <row r="21" spans="1:30" ht="18" customHeight="1" x14ac:dyDescent="0.2">
      <c r="B21" s="396" t="s">
        <v>79</v>
      </c>
      <c r="C21" s="397"/>
      <c r="D21" s="397"/>
      <c r="E21" s="398"/>
      <c r="L21" s="399" t="s">
        <v>80</v>
      </c>
      <c r="M21" s="400"/>
      <c r="N21" s="400"/>
      <c r="O21" s="401"/>
      <c r="V21" s="396" t="s">
        <v>81</v>
      </c>
      <c r="W21" s="397"/>
      <c r="X21" s="397"/>
      <c r="Y21" s="398"/>
    </row>
    <row r="22" spans="1:30" ht="18" customHeight="1" x14ac:dyDescent="0.2">
      <c r="B22" s="58" t="s">
        <v>82</v>
      </c>
      <c r="C22" s="59"/>
      <c r="D22" s="59"/>
      <c r="E22" s="60"/>
      <c r="L22" s="402"/>
      <c r="M22" s="403"/>
      <c r="N22" s="403"/>
      <c r="O22" s="404"/>
      <c r="V22" s="58" t="s">
        <v>83</v>
      </c>
      <c r="W22" s="59"/>
      <c r="X22" s="59"/>
      <c r="Y22" s="60"/>
    </row>
    <row r="23" spans="1:30" ht="18" customHeight="1" x14ac:dyDescent="0.2">
      <c r="B23" s="390"/>
      <c r="C23" s="391"/>
      <c r="D23" s="391"/>
      <c r="E23" s="392"/>
      <c r="L23" s="402"/>
      <c r="M23" s="403"/>
      <c r="N23" s="403"/>
      <c r="O23" s="404"/>
      <c r="V23" s="61" t="s">
        <v>84</v>
      </c>
      <c r="W23" s="62"/>
      <c r="X23" s="62"/>
      <c r="Y23" s="63"/>
    </row>
    <row r="24" spans="1:30" ht="18" customHeight="1" thickBot="1" x14ac:dyDescent="0.25">
      <c r="B24" s="390"/>
      <c r="C24" s="391"/>
      <c r="D24" s="391"/>
      <c r="E24" s="392"/>
      <c r="G24" s="396" t="s">
        <v>85</v>
      </c>
      <c r="H24" s="397"/>
      <c r="I24" s="397"/>
      <c r="J24" s="398"/>
      <c r="L24" s="405"/>
      <c r="M24" s="406"/>
      <c r="N24" s="406"/>
      <c r="O24" s="407"/>
      <c r="Q24" s="396" t="s">
        <v>86</v>
      </c>
      <c r="R24" s="397"/>
      <c r="S24" s="397"/>
      <c r="T24" s="398"/>
      <c r="V24" s="390"/>
      <c r="W24" s="391"/>
      <c r="X24" s="391"/>
      <c r="Y24" s="392"/>
    </row>
    <row r="25" spans="1:30" ht="18" customHeight="1" x14ac:dyDescent="0.2">
      <c r="A25" s="56"/>
      <c r="B25" s="390"/>
      <c r="C25" s="391"/>
      <c r="D25" s="391"/>
      <c r="E25" s="392"/>
      <c r="G25" s="58" t="s">
        <v>82</v>
      </c>
      <c r="H25" s="59"/>
      <c r="I25" s="59"/>
      <c r="J25" s="60"/>
      <c r="Q25" s="58" t="s">
        <v>83</v>
      </c>
      <c r="R25" s="59"/>
      <c r="S25" s="59"/>
      <c r="T25" s="60"/>
      <c r="V25" s="390"/>
      <c r="W25" s="391"/>
      <c r="X25" s="391"/>
      <c r="Y25" s="392"/>
    </row>
    <row r="26" spans="1:30" ht="18" customHeight="1" x14ac:dyDescent="0.2">
      <c r="B26" s="393"/>
      <c r="C26" s="394"/>
      <c r="D26" s="394"/>
      <c r="E26" s="395"/>
      <c r="G26" s="390"/>
      <c r="H26" s="391"/>
      <c r="I26" s="391"/>
      <c r="J26" s="392"/>
      <c r="Q26" s="61" t="s">
        <v>84</v>
      </c>
      <c r="R26" s="62"/>
      <c r="S26" s="62"/>
      <c r="T26" s="63"/>
      <c r="V26" s="390"/>
      <c r="W26" s="391"/>
      <c r="X26" s="391"/>
      <c r="Y26" s="392"/>
    </row>
    <row r="27" spans="1:30" ht="18" customHeight="1" x14ac:dyDescent="0.2">
      <c r="B27" s="58" t="s">
        <v>87</v>
      </c>
      <c r="C27" s="59"/>
      <c r="D27" s="59"/>
      <c r="E27" s="60"/>
      <c r="G27" s="390"/>
      <c r="H27" s="391"/>
      <c r="I27" s="391"/>
      <c r="J27" s="392"/>
      <c r="Q27" s="390"/>
      <c r="R27" s="391"/>
      <c r="S27" s="391"/>
      <c r="T27" s="392"/>
      <c r="V27" s="393"/>
      <c r="W27" s="394"/>
      <c r="X27" s="394"/>
      <c r="Y27" s="395"/>
    </row>
    <row r="28" spans="1:30" ht="18" customHeight="1" x14ac:dyDescent="0.2">
      <c r="B28" s="390"/>
      <c r="C28" s="391"/>
      <c r="D28" s="391"/>
      <c r="E28" s="392"/>
      <c r="G28" s="390"/>
      <c r="H28" s="391"/>
      <c r="I28" s="391"/>
      <c r="J28" s="392"/>
      <c r="Q28" s="390"/>
      <c r="R28" s="391"/>
      <c r="S28" s="391"/>
      <c r="T28" s="392"/>
      <c r="V28" s="58" t="s">
        <v>88</v>
      </c>
      <c r="W28" s="59"/>
      <c r="X28" s="59"/>
      <c r="Y28" s="60"/>
    </row>
    <row r="29" spans="1:30" ht="18" customHeight="1" x14ac:dyDescent="0.2">
      <c r="B29" s="390"/>
      <c r="C29" s="391"/>
      <c r="D29" s="391"/>
      <c r="E29" s="392"/>
      <c r="G29" s="393"/>
      <c r="H29" s="394"/>
      <c r="I29" s="394"/>
      <c r="J29" s="395"/>
      <c r="Q29" s="390"/>
      <c r="R29" s="391"/>
      <c r="S29" s="391"/>
      <c r="T29" s="392"/>
      <c r="V29" s="390"/>
      <c r="W29" s="391"/>
      <c r="X29" s="391"/>
      <c r="Y29" s="392"/>
    </row>
    <row r="30" spans="1:30" ht="18" customHeight="1" x14ac:dyDescent="0.2">
      <c r="B30" s="390"/>
      <c r="C30" s="391"/>
      <c r="D30" s="391"/>
      <c r="E30" s="392"/>
      <c r="G30" s="58" t="s">
        <v>87</v>
      </c>
      <c r="H30" s="59"/>
      <c r="I30" s="59"/>
      <c r="J30" s="60"/>
      <c r="Q30" s="393"/>
      <c r="R30" s="394"/>
      <c r="S30" s="394"/>
      <c r="T30" s="395"/>
      <c r="V30" s="390"/>
      <c r="W30" s="391"/>
      <c r="X30" s="391"/>
      <c r="Y30" s="392"/>
    </row>
    <row r="31" spans="1:30" ht="18" customHeight="1" x14ac:dyDescent="0.2">
      <c r="B31" s="393"/>
      <c r="C31" s="394"/>
      <c r="D31" s="394"/>
      <c r="E31" s="395"/>
      <c r="G31" s="390"/>
      <c r="H31" s="391"/>
      <c r="I31" s="391"/>
      <c r="J31" s="392"/>
      <c r="Q31" s="58" t="s">
        <v>88</v>
      </c>
      <c r="R31" s="59"/>
      <c r="S31" s="59"/>
      <c r="T31" s="60"/>
      <c r="V31" s="390"/>
      <c r="W31" s="391"/>
      <c r="X31" s="391"/>
      <c r="Y31" s="392"/>
    </row>
    <row r="32" spans="1:30" ht="18" customHeight="1" x14ac:dyDescent="0.2">
      <c r="G32" s="390"/>
      <c r="H32" s="391"/>
      <c r="I32" s="391"/>
      <c r="J32" s="392"/>
      <c r="Q32" s="390"/>
      <c r="R32" s="391"/>
      <c r="S32" s="391"/>
      <c r="T32" s="392"/>
      <c r="V32" s="393"/>
      <c r="W32" s="394"/>
      <c r="X32" s="394"/>
      <c r="Y32" s="395"/>
    </row>
    <row r="33" spans="7:20" ht="18" customHeight="1" x14ac:dyDescent="0.2">
      <c r="G33" s="390"/>
      <c r="H33" s="391"/>
      <c r="I33" s="391"/>
      <c r="J33" s="392"/>
      <c r="Q33" s="390"/>
      <c r="R33" s="391"/>
      <c r="S33" s="391"/>
      <c r="T33" s="392"/>
    </row>
    <row r="34" spans="7:20" ht="18" customHeight="1" x14ac:dyDescent="0.2">
      <c r="G34" s="393"/>
      <c r="H34" s="394"/>
      <c r="I34" s="394"/>
      <c r="J34" s="395"/>
      <c r="Q34" s="390"/>
      <c r="R34" s="391"/>
      <c r="S34" s="391"/>
      <c r="T34" s="392"/>
    </row>
    <row r="35" spans="7:20" ht="18" customHeight="1" x14ac:dyDescent="0.2">
      <c r="Q35" s="393"/>
      <c r="R35" s="394"/>
      <c r="S35" s="394"/>
      <c r="T35" s="395"/>
    </row>
  </sheetData>
  <sheetProtection formatCells="0" formatColumns="0" formatRows="0"/>
  <protectedRanges>
    <protectedRange sqref="B8 C6 AA8 B14 AA14 G8 L8 Q8 V8 G14 L14 Q14 V14 H6 M6 R6 W6" name="範囲1_1"/>
    <protectedRange sqref="B23 B28 G26 G31 Q27 Q32 V24 V29" name="範囲1_2"/>
  </protectedRanges>
  <mergeCells count="35">
    <mergeCell ref="L8:O12"/>
    <mergeCell ref="G14:J18"/>
    <mergeCell ref="G8:J12"/>
    <mergeCell ref="AA14:AD18"/>
    <mergeCell ref="AA8:AD12"/>
    <mergeCell ref="V14:Y18"/>
    <mergeCell ref="V8:Y12"/>
    <mergeCell ref="Q14:T18"/>
    <mergeCell ref="Q8:T12"/>
    <mergeCell ref="Y1:AD1"/>
    <mergeCell ref="Y2:AD2"/>
    <mergeCell ref="Y3:AD3"/>
    <mergeCell ref="Y4:AD4"/>
    <mergeCell ref="AA6:AD6"/>
    <mergeCell ref="B14:E18"/>
    <mergeCell ref="B8:E12"/>
    <mergeCell ref="V24:Y27"/>
    <mergeCell ref="V29:Y32"/>
    <mergeCell ref="Q32:T35"/>
    <mergeCell ref="Q27:T30"/>
    <mergeCell ref="G31:J34"/>
    <mergeCell ref="G26:J29"/>
    <mergeCell ref="B28:E31"/>
    <mergeCell ref="B23:E26"/>
    <mergeCell ref="B21:E21"/>
    <mergeCell ref="L21:O24"/>
    <mergeCell ref="V21:Y21"/>
    <mergeCell ref="G24:J24"/>
    <mergeCell ref="Q24:T24"/>
    <mergeCell ref="L14:O18"/>
    <mergeCell ref="C6:E6"/>
    <mergeCell ref="H6:J6"/>
    <mergeCell ref="M6:O6"/>
    <mergeCell ref="R6:T6"/>
    <mergeCell ref="W6:Y6"/>
  </mergeCells>
  <phoneticPr fontId="17"/>
  <pageMargins left="0.7" right="0.7" top="0.75" bottom="0.75" header="0.3" footer="0.3"/>
  <pageSetup paperSize="9" scale="82"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pageSetUpPr fitToPage="1"/>
  </sheetPr>
  <dimension ref="A1:AF39"/>
  <sheetViews>
    <sheetView showGridLines="0" topLeftCell="B1" zoomScale="80" zoomScaleNormal="80" workbookViewId="0">
      <selection activeCell="AD10" sqref="AD10"/>
    </sheetView>
  </sheetViews>
  <sheetFormatPr defaultColWidth="5.6640625" defaultRowHeight="18" customHeight="1" x14ac:dyDescent="0.2"/>
  <cols>
    <col min="1" max="1" width="3.6640625" style="36" customWidth="1"/>
    <col min="2" max="2" width="5.6640625" style="37"/>
    <col min="3" max="4" width="5.6640625" style="36"/>
    <col min="5" max="5" width="14.6640625" style="36" customWidth="1"/>
    <col min="6" max="16" width="5.6640625" style="36"/>
    <col min="17" max="17" width="3.6640625" style="36" customWidth="1"/>
    <col min="18" max="20" width="5.6640625" style="36"/>
    <col min="21" max="21" width="11.77734375" style="36" customWidth="1"/>
    <col min="22" max="16384" width="5.6640625" style="36"/>
  </cols>
  <sheetData>
    <row r="1" spans="1:32" ht="18" customHeight="1" x14ac:dyDescent="0.2">
      <c r="W1" s="43" t="s">
        <v>62</v>
      </c>
      <c r="X1" s="65"/>
      <c r="Y1" s="44"/>
      <c r="Z1" s="45"/>
      <c r="AA1" s="408" t="str">
        <f>【入力】財務分析!D5</f>
        <v>株式会社○○</v>
      </c>
      <c r="AB1" s="409"/>
      <c r="AC1" s="409"/>
      <c r="AD1" s="409"/>
      <c r="AE1" s="409"/>
      <c r="AF1" s="410"/>
    </row>
    <row r="2" spans="1:32" ht="18" customHeight="1" x14ac:dyDescent="0.2">
      <c r="W2" s="46" t="s">
        <v>63</v>
      </c>
      <c r="X2" s="66"/>
      <c r="Y2" s="47"/>
      <c r="Z2" s="48"/>
      <c r="AA2" s="411">
        <f>【入力】財務分析!D27</f>
        <v>5130250</v>
      </c>
      <c r="AB2" s="412"/>
      <c r="AC2" s="412"/>
      <c r="AD2" s="412"/>
      <c r="AE2" s="412"/>
      <c r="AF2" s="413"/>
    </row>
    <row r="3" spans="1:32" ht="18" customHeight="1" x14ac:dyDescent="0.2">
      <c r="W3" s="49" t="s">
        <v>64</v>
      </c>
      <c r="X3" s="67"/>
      <c r="Y3" s="50"/>
      <c r="Z3" s="51"/>
      <c r="AA3" s="411">
        <f>【入力】財務分析!D29</f>
        <v>15000</v>
      </c>
      <c r="AB3" s="412"/>
      <c r="AC3" s="412"/>
      <c r="AD3" s="412"/>
      <c r="AE3" s="412"/>
      <c r="AF3" s="413"/>
    </row>
    <row r="4" spans="1:32" ht="18" customHeight="1" x14ac:dyDescent="0.2">
      <c r="W4" s="52" t="s">
        <v>65</v>
      </c>
      <c r="X4" s="68"/>
      <c r="Y4" s="53"/>
      <c r="Z4" s="54"/>
      <c r="AA4" s="414">
        <f>【入力】財務分析!$D$12</f>
        <v>30</v>
      </c>
      <c r="AB4" s="415"/>
      <c r="AC4" s="415"/>
      <c r="AD4" s="415"/>
      <c r="AE4" s="415"/>
      <c r="AF4" s="416"/>
    </row>
    <row r="5" spans="1:32" ht="18" customHeight="1" thickBot="1" x14ac:dyDescent="0.25">
      <c r="B5" s="69"/>
      <c r="C5" s="62"/>
      <c r="D5" s="62"/>
      <c r="E5" s="62"/>
      <c r="F5" s="62"/>
      <c r="G5" s="62"/>
      <c r="H5" s="62"/>
      <c r="I5" s="62"/>
      <c r="J5" s="62"/>
      <c r="K5" s="62"/>
      <c r="L5" s="62"/>
      <c r="M5" s="62"/>
      <c r="N5" s="62"/>
      <c r="O5" s="62"/>
      <c r="P5" s="62"/>
    </row>
    <row r="6" spans="1:32" ht="18" customHeight="1" x14ac:dyDescent="0.2">
      <c r="A6" s="56"/>
      <c r="B6" s="441" t="s">
        <v>89</v>
      </c>
      <c r="C6" s="70" t="s">
        <v>90</v>
      </c>
      <c r="D6" s="71"/>
      <c r="E6" s="72"/>
      <c r="F6" s="427"/>
      <c r="G6" s="418"/>
      <c r="H6" s="418"/>
      <c r="I6" s="418"/>
      <c r="J6" s="418"/>
      <c r="K6" s="418"/>
      <c r="L6" s="418"/>
      <c r="M6" s="418"/>
      <c r="N6" s="418"/>
      <c r="O6" s="418"/>
      <c r="P6" s="419"/>
      <c r="R6" s="444" t="s">
        <v>91</v>
      </c>
      <c r="S6" s="70" t="s">
        <v>130</v>
      </c>
      <c r="T6" s="71"/>
      <c r="U6" s="72"/>
      <c r="V6" s="427"/>
      <c r="W6" s="418"/>
      <c r="X6" s="418"/>
      <c r="Y6" s="418"/>
      <c r="Z6" s="418"/>
      <c r="AA6" s="418"/>
      <c r="AB6" s="418"/>
      <c r="AC6" s="418"/>
      <c r="AD6" s="418"/>
      <c r="AE6" s="418"/>
      <c r="AF6" s="419"/>
    </row>
    <row r="7" spans="1:32" ht="18" customHeight="1" x14ac:dyDescent="0.2">
      <c r="B7" s="442"/>
      <c r="C7" s="73" t="s">
        <v>92</v>
      </c>
      <c r="D7" s="74"/>
      <c r="E7" s="75"/>
      <c r="F7" s="428"/>
      <c r="G7" s="385"/>
      <c r="H7" s="385"/>
      <c r="I7" s="385"/>
      <c r="J7" s="385"/>
      <c r="K7" s="385"/>
      <c r="L7" s="385"/>
      <c r="M7" s="385"/>
      <c r="N7" s="385"/>
      <c r="O7" s="385"/>
      <c r="P7" s="421"/>
      <c r="R7" s="442"/>
      <c r="S7" s="73" t="s">
        <v>93</v>
      </c>
      <c r="T7" s="74"/>
      <c r="U7" s="75"/>
      <c r="V7" s="428"/>
      <c r="W7" s="385"/>
      <c r="X7" s="385"/>
      <c r="Y7" s="385"/>
      <c r="Z7" s="385"/>
      <c r="AA7" s="385"/>
      <c r="AB7" s="385"/>
      <c r="AC7" s="385"/>
      <c r="AD7" s="385"/>
      <c r="AE7" s="385"/>
      <c r="AF7" s="421"/>
    </row>
    <row r="8" spans="1:32" ht="18" customHeight="1" x14ac:dyDescent="0.2">
      <c r="B8" s="443"/>
      <c r="C8" s="73"/>
      <c r="D8" s="74"/>
      <c r="E8" s="75"/>
      <c r="F8" s="428"/>
      <c r="G8" s="385"/>
      <c r="H8" s="385"/>
      <c r="I8" s="385"/>
      <c r="J8" s="385"/>
      <c r="K8" s="385"/>
      <c r="L8" s="385"/>
      <c r="M8" s="385"/>
      <c r="N8" s="385"/>
      <c r="O8" s="385"/>
      <c r="P8" s="421"/>
      <c r="R8" s="445"/>
      <c r="S8" s="73"/>
      <c r="T8" s="74"/>
      <c r="U8" s="75"/>
      <c r="V8" s="429"/>
      <c r="W8" s="388"/>
      <c r="X8" s="388"/>
      <c r="Y8" s="388"/>
      <c r="Z8" s="388"/>
      <c r="AA8" s="388"/>
      <c r="AB8" s="388"/>
      <c r="AC8" s="388"/>
      <c r="AD8" s="388"/>
      <c r="AE8" s="388"/>
      <c r="AF8" s="430"/>
    </row>
    <row r="9" spans="1:32" ht="18" customHeight="1" x14ac:dyDescent="0.2">
      <c r="B9" s="443"/>
      <c r="C9" s="73"/>
      <c r="D9" s="74"/>
      <c r="E9" s="75"/>
      <c r="F9" s="428"/>
      <c r="G9" s="385"/>
      <c r="H9" s="385"/>
      <c r="I9" s="385"/>
      <c r="J9" s="385"/>
      <c r="K9" s="385"/>
      <c r="L9" s="385"/>
      <c r="M9" s="385"/>
      <c r="N9" s="385"/>
      <c r="O9" s="385"/>
      <c r="P9" s="421"/>
      <c r="R9" s="445"/>
      <c r="S9" s="76" t="s">
        <v>94</v>
      </c>
      <c r="T9" s="77"/>
      <c r="U9" s="78"/>
      <c r="V9" s="431"/>
      <c r="W9" s="432"/>
      <c r="X9" s="432"/>
      <c r="Y9" s="432"/>
      <c r="Z9" s="432"/>
      <c r="AA9" s="432"/>
      <c r="AB9" s="432"/>
      <c r="AC9" s="432"/>
      <c r="AD9" s="432"/>
      <c r="AE9" s="432"/>
      <c r="AF9" s="433"/>
    </row>
    <row r="10" spans="1:32" ht="18" customHeight="1" x14ac:dyDescent="0.2">
      <c r="B10" s="443"/>
      <c r="C10" s="73"/>
      <c r="D10" s="74"/>
      <c r="E10" s="75"/>
      <c r="F10" s="428"/>
      <c r="G10" s="385"/>
      <c r="H10" s="385"/>
      <c r="I10" s="385"/>
      <c r="J10" s="385"/>
      <c r="K10" s="385"/>
      <c r="L10" s="385"/>
      <c r="M10" s="385"/>
      <c r="N10" s="385"/>
      <c r="O10" s="385"/>
      <c r="P10" s="421"/>
      <c r="R10" s="445"/>
      <c r="S10" s="73" t="s">
        <v>131</v>
      </c>
      <c r="T10" s="74"/>
      <c r="U10" s="75"/>
      <c r="V10" s="428"/>
      <c r="W10" s="385"/>
      <c r="X10" s="385"/>
      <c r="Y10" s="385"/>
      <c r="Z10" s="385"/>
      <c r="AA10" s="385"/>
      <c r="AB10" s="385"/>
      <c r="AC10" s="385"/>
      <c r="AD10" s="385"/>
      <c r="AE10" s="385"/>
      <c r="AF10" s="421"/>
    </row>
    <row r="11" spans="1:32" ht="18" customHeight="1" x14ac:dyDescent="0.2">
      <c r="B11" s="443"/>
      <c r="C11" s="79"/>
      <c r="D11" s="80"/>
      <c r="E11" s="81"/>
      <c r="F11" s="429"/>
      <c r="G11" s="388"/>
      <c r="H11" s="388"/>
      <c r="I11" s="388"/>
      <c r="J11" s="388"/>
      <c r="K11" s="388"/>
      <c r="L11" s="388"/>
      <c r="M11" s="388"/>
      <c r="N11" s="388"/>
      <c r="O11" s="388"/>
      <c r="P11" s="430"/>
      <c r="R11" s="445"/>
      <c r="S11" s="79" t="s">
        <v>132</v>
      </c>
      <c r="T11" s="80"/>
      <c r="U11" s="81"/>
      <c r="V11" s="429"/>
      <c r="W11" s="388"/>
      <c r="X11" s="388"/>
      <c r="Y11" s="388"/>
      <c r="Z11" s="388"/>
      <c r="AA11" s="388"/>
      <c r="AB11" s="388"/>
      <c r="AC11" s="388"/>
      <c r="AD11" s="388"/>
      <c r="AE11" s="388"/>
      <c r="AF11" s="430"/>
    </row>
    <row r="12" spans="1:32" ht="18" customHeight="1" x14ac:dyDescent="0.2">
      <c r="B12" s="443"/>
      <c r="C12" s="73" t="s">
        <v>95</v>
      </c>
      <c r="D12" s="74"/>
      <c r="E12" s="75"/>
      <c r="F12" s="431"/>
      <c r="G12" s="432"/>
      <c r="H12" s="432"/>
      <c r="I12" s="432"/>
      <c r="J12" s="432"/>
      <c r="K12" s="432"/>
      <c r="L12" s="432"/>
      <c r="M12" s="432"/>
      <c r="N12" s="432"/>
      <c r="O12" s="432"/>
      <c r="P12" s="433"/>
      <c r="R12" s="445"/>
      <c r="S12" s="73" t="s">
        <v>96</v>
      </c>
      <c r="T12" s="74"/>
      <c r="U12" s="75"/>
      <c r="V12" s="431"/>
      <c r="W12" s="432"/>
      <c r="X12" s="432"/>
      <c r="Y12" s="432"/>
      <c r="Z12" s="432"/>
      <c r="AA12" s="432"/>
      <c r="AB12" s="432"/>
      <c r="AC12" s="432"/>
      <c r="AD12" s="432"/>
      <c r="AE12" s="432"/>
      <c r="AF12" s="433"/>
    </row>
    <row r="13" spans="1:32" ht="18" customHeight="1" x14ac:dyDescent="0.2">
      <c r="B13" s="443"/>
      <c r="C13" s="73" t="s">
        <v>97</v>
      </c>
      <c r="D13" s="74"/>
      <c r="E13" s="75"/>
      <c r="F13" s="428"/>
      <c r="G13" s="385"/>
      <c r="H13" s="385"/>
      <c r="I13" s="385"/>
      <c r="J13" s="385"/>
      <c r="K13" s="385"/>
      <c r="L13" s="385"/>
      <c r="M13" s="385"/>
      <c r="N13" s="385"/>
      <c r="O13" s="385"/>
      <c r="P13" s="421"/>
      <c r="R13" s="445"/>
      <c r="S13" s="73" t="s">
        <v>98</v>
      </c>
      <c r="T13" s="74"/>
      <c r="U13" s="75"/>
      <c r="V13" s="428"/>
      <c r="W13" s="385"/>
      <c r="X13" s="385"/>
      <c r="Y13" s="385"/>
      <c r="Z13" s="385"/>
      <c r="AA13" s="385"/>
      <c r="AB13" s="385"/>
      <c r="AC13" s="385"/>
      <c r="AD13" s="385"/>
      <c r="AE13" s="385"/>
      <c r="AF13" s="421"/>
    </row>
    <row r="14" spans="1:32" ht="18" customHeight="1" x14ac:dyDescent="0.2">
      <c r="B14" s="443"/>
      <c r="C14" s="79"/>
      <c r="D14" s="80"/>
      <c r="E14" s="81"/>
      <c r="F14" s="429"/>
      <c r="G14" s="388"/>
      <c r="H14" s="388"/>
      <c r="I14" s="388"/>
      <c r="J14" s="388"/>
      <c r="K14" s="388"/>
      <c r="L14" s="388"/>
      <c r="M14" s="388"/>
      <c r="N14" s="388"/>
      <c r="O14" s="388"/>
      <c r="P14" s="430"/>
      <c r="R14" s="445"/>
      <c r="S14" s="79"/>
      <c r="T14" s="80"/>
      <c r="U14" s="81"/>
      <c r="V14" s="429"/>
      <c r="W14" s="388"/>
      <c r="X14" s="388"/>
      <c r="Y14" s="388"/>
      <c r="Z14" s="388"/>
      <c r="AA14" s="388"/>
      <c r="AB14" s="388"/>
      <c r="AC14" s="388"/>
      <c r="AD14" s="388"/>
      <c r="AE14" s="388"/>
      <c r="AF14" s="430"/>
    </row>
    <row r="15" spans="1:32" ht="18" customHeight="1" x14ac:dyDescent="0.2">
      <c r="B15" s="443"/>
      <c r="C15" s="73" t="s">
        <v>99</v>
      </c>
      <c r="D15" s="74"/>
      <c r="E15" s="75"/>
      <c r="F15" s="431"/>
      <c r="G15" s="432"/>
      <c r="H15" s="432"/>
      <c r="I15" s="432"/>
      <c r="J15" s="432"/>
      <c r="K15" s="432"/>
      <c r="L15" s="432"/>
      <c r="M15" s="432"/>
      <c r="N15" s="432"/>
      <c r="O15" s="432"/>
      <c r="P15" s="433"/>
      <c r="R15" s="445"/>
      <c r="S15" s="73" t="s">
        <v>100</v>
      </c>
      <c r="T15" s="74"/>
      <c r="U15" s="75"/>
      <c r="V15" s="431"/>
      <c r="W15" s="432"/>
      <c r="X15" s="432"/>
      <c r="Y15" s="432"/>
      <c r="Z15" s="432"/>
      <c r="AA15" s="432"/>
      <c r="AB15" s="432"/>
      <c r="AC15" s="432"/>
      <c r="AD15" s="432"/>
      <c r="AE15" s="432"/>
      <c r="AF15" s="433"/>
    </row>
    <row r="16" spans="1:32" ht="18" customHeight="1" x14ac:dyDescent="0.2">
      <c r="B16" s="443"/>
      <c r="C16" s="73" t="s">
        <v>101</v>
      </c>
      <c r="D16" s="74"/>
      <c r="E16" s="75"/>
      <c r="F16" s="428"/>
      <c r="G16" s="385"/>
      <c r="H16" s="385"/>
      <c r="I16" s="385"/>
      <c r="J16" s="385"/>
      <c r="K16" s="385"/>
      <c r="L16" s="385"/>
      <c r="M16" s="385"/>
      <c r="N16" s="385"/>
      <c r="O16" s="385"/>
      <c r="P16" s="421"/>
      <c r="R16" s="445"/>
      <c r="S16" s="73" t="s">
        <v>102</v>
      </c>
      <c r="T16" s="74"/>
      <c r="U16" s="75"/>
      <c r="V16" s="428"/>
      <c r="W16" s="385"/>
      <c r="X16" s="385"/>
      <c r="Y16" s="385"/>
      <c r="Z16" s="385"/>
      <c r="AA16" s="385"/>
      <c r="AB16" s="385"/>
      <c r="AC16" s="385"/>
      <c r="AD16" s="385"/>
      <c r="AE16" s="385"/>
      <c r="AF16" s="421"/>
    </row>
    <row r="17" spans="1:32" ht="18" customHeight="1" thickBot="1" x14ac:dyDescent="0.25">
      <c r="B17" s="443"/>
      <c r="C17" s="82" t="s">
        <v>103</v>
      </c>
      <c r="D17" s="83"/>
      <c r="E17" s="84"/>
      <c r="F17" s="434"/>
      <c r="G17" s="423"/>
      <c r="H17" s="423"/>
      <c r="I17" s="423"/>
      <c r="J17" s="423"/>
      <c r="K17" s="423"/>
      <c r="L17" s="423"/>
      <c r="M17" s="423"/>
      <c r="N17" s="423"/>
      <c r="O17" s="423"/>
      <c r="P17" s="424"/>
      <c r="R17" s="445"/>
      <c r="S17" s="82"/>
      <c r="T17" s="83"/>
      <c r="U17" s="84"/>
      <c r="V17" s="434"/>
      <c r="W17" s="423"/>
      <c r="X17" s="423"/>
      <c r="Y17" s="423"/>
      <c r="Z17" s="423"/>
      <c r="AA17" s="423"/>
      <c r="AB17" s="423"/>
      <c r="AC17" s="423"/>
      <c r="AD17" s="423"/>
      <c r="AE17" s="423"/>
      <c r="AF17" s="424"/>
    </row>
    <row r="18" spans="1:32" ht="18" customHeight="1" x14ac:dyDescent="0.2">
      <c r="B18" s="446" t="s">
        <v>104</v>
      </c>
      <c r="C18" s="70" t="s">
        <v>105</v>
      </c>
      <c r="D18" s="71"/>
      <c r="E18" s="72"/>
      <c r="F18" s="427"/>
      <c r="G18" s="418"/>
      <c r="H18" s="418"/>
      <c r="I18" s="418"/>
      <c r="J18" s="418"/>
      <c r="K18" s="418"/>
      <c r="L18" s="418"/>
      <c r="M18" s="418"/>
      <c r="N18" s="418"/>
      <c r="O18" s="418"/>
      <c r="P18" s="419"/>
      <c r="R18" s="446" t="s">
        <v>106</v>
      </c>
      <c r="S18" s="70" t="s">
        <v>107</v>
      </c>
      <c r="T18" s="71"/>
      <c r="U18" s="72"/>
      <c r="V18" s="427"/>
      <c r="W18" s="418"/>
      <c r="X18" s="418"/>
      <c r="Y18" s="418"/>
      <c r="Z18" s="418"/>
      <c r="AA18" s="418"/>
      <c r="AB18" s="418"/>
      <c r="AC18" s="418"/>
      <c r="AD18" s="418"/>
      <c r="AE18" s="418"/>
      <c r="AF18" s="419"/>
    </row>
    <row r="19" spans="1:32" ht="18" customHeight="1" x14ac:dyDescent="0.2">
      <c r="B19" s="443"/>
      <c r="C19" s="73" t="s">
        <v>108</v>
      </c>
      <c r="D19" s="74"/>
      <c r="E19" s="75"/>
      <c r="F19" s="428"/>
      <c r="G19" s="385"/>
      <c r="H19" s="385"/>
      <c r="I19" s="385"/>
      <c r="J19" s="385"/>
      <c r="K19" s="385"/>
      <c r="L19" s="385"/>
      <c r="M19" s="385"/>
      <c r="N19" s="385"/>
      <c r="O19" s="385"/>
      <c r="P19" s="421"/>
      <c r="R19" s="443"/>
      <c r="S19" s="73" t="s">
        <v>109</v>
      </c>
      <c r="T19" s="74"/>
      <c r="U19" s="75"/>
      <c r="V19" s="428"/>
      <c r="W19" s="385"/>
      <c r="X19" s="385"/>
      <c r="Y19" s="385"/>
      <c r="Z19" s="385"/>
      <c r="AA19" s="385"/>
      <c r="AB19" s="385"/>
      <c r="AC19" s="385"/>
      <c r="AD19" s="385"/>
      <c r="AE19" s="385"/>
      <c r="AF19" s="421"/>
    </row>
    <row r="20" spans="1:32" ht="18" customHeight="1" x14ac:dyDescent="0.2">
      <c r="B20" s="443"/>
      <c r="C20" s="73"/>
      <c r="D20" s="74"/>
      <c r="E20" s="75"/>
      <c r="F20" s="429"/>
      <c r="G20" s="388"/>
      <c r="H20" s="388"/>
      <c r="I20" s="388"/>
      <c r="J20" s="388"/>
      <c r="K20" s="388"/>
      <c r="L20" s="388"/>
      <c r="M20" s="388"/>
      <c r="N20" s="388"/>
      <c r="O20" s="388"/>
      <c r="P20" s="430"/>
      <c r="R20" s="443"/>
      <c r="S20" s="73"/>
      <c r="T20" s="74"/>
      <c r="U20" s="75"/>
      <c r="V20" s="429"/>
      <c r="W20" s="388"/>
      <c r="X20" s="388"/>
      <c r="Y20" s="388"/>
      <c r="Z20" s="388"/>
      <c r="AA20" s="388"/>
      <c r="AB20" s="388"/>
      <c r="AC20" s="388"/>
      <c r="AD20" s="388"/>
      <c r="AE20" s="388"/>
      <c r="AF20" s="430"/>
    </row>
    <row r="21" spans="1:32" ht="18" customHeight="1" x14ac:dyDescent="0.2">
      <c r="B21" s="443"/>
      <c r="C21" s="76" t="s">
        <v>110</v>
      </c>
      <c r="D21" s="77"/>
      <c r="E21" s="78"/>
      <c r="F21" s="431"/>
      <c r="G21" s="432"/>
      <c r="H21" s="432"/>
      <c r="I21" s="432"/>
      <c r="J21" s="432"/>
      <c r="K21" s="432"/>
      <c r="L21" s="432"/>
      <c r="M21" s="432"/>
      <c r="N21" s="432"/>
      <c r="O21" s="432"/>
      <c r="P21" s="433"/>
      <c r="R21" s="443"/>
      <c r="S21" s="76" t="s">
        <v>111</v>
      </c>
      <c r="T21" s="77"/>
      <c r="U21" s="78"/>
      <c r="V21" s="431"/>
      <c r="W21" s="432"/>
      <c r="X21" s="432"/>
      <c r="Y21" s="432"/>
      <c r="Z21" s="432"/>
      <c r="AA21" s="432"/>
      <c r="AB21" s="432"/>
      <c r="AC21" s="432"/>
      <c r="AD21" s="432"/>
      <c r="AE21" s="432"/>
      <c r="AF21" s="433"/>
    </row>
    <row r="22" spans="1:32" ht="18" customHeight="1" x14ac:dyDescent="0.2">
      <c r="B22" s="443"/>
      <c r="C22" s="73" t="s">
        <v>128</v>
      </c>
      <c r="D22" s="74"/>
      <c r="E22" s="75"/>
      <c r="F22" s="428"/>
      <c r="G22" s="385"/>
      <c r="H22" s="385"/>
      <c r="I22" s="385"/>
      <c r="J22" s="385"/>
      <c r="K22" s="385"/>
      <c r="L22" s="385"/>
      <c r="M22" s="385"/>
      <c r="N22" s="385"/>
      <c r="O22" s="385"/>
      <c r="P22" s="421"/>
      <c r="R22" s="443"/>
      <c r="S22" s="73" t="s">
        <v>112</v>
      </c>
      <c r="T22" s="74"/>
      <c r="U22" s="75"/>
      <c r="V22" s="428"/>
      <c r="W22" s="385"/>
      <c r="X22" s="385"/>
      <c r="Y22" s="385"/>
      <c r="Z22" s="385"/>
      <c r="AA22" s="385"/>
      <c r="AB22" s="385"/>
      <c r="AC22" s="385"/>
      <c r="AD22" s="385"/>
      <c r="AE22" s="385"/>
      <c r="AF22" s="421"/>
    </row>
    <row r="23" spans="1:32" ht="18" customHeight="1" x14ac:dyDescent="0.2">
      <c r="B23" s="443"/>
      <c r="C23" s="79"/>
      <c r="D23" s="80"/>
      <c r="E23" s="81"/>
      <c r="F23" s="429"/>
      <c r="G23" s="388"/>
      <c r="H23" s="388"/>
      <c r="I23" s="388"/>
      <c r="J23" s="388"/>
      <c r="K23" s="388"/>
      <c r="L23" s="388"/>
      <c r="M23" s="388"/>
      <c r="N23" s="388"/>
      <c r="O23" s="388"/>
      <c r="P23" s="430"/>
      <c r="R23" s="443"/>
      <c r="S23" s="79" t="s">
        <v>113</v>
      </c>
      <c r="T23" s="80"/>
      <c r="U23" s="81"/>
      <c r="V23" s="429"/>
      <c r="W23" s="388"/>
      <c r="X23" s="388"/>
      <c r="Y23" s="388"/>
      <c r="Z23" s="388"/>
      <c r="AA23" s="388"/>
      <c r="AB23" s="388"/>
      <c r="AC23" s="388"/>
      <c r="AD23" s="388"/>
      <c r="AE23" s="388"/>
      <c r="AF23" s="430"/>
    </row>
    <row r="24" spans="1:32" ht="18" customHeight="1" x14ac:dyDescent="0.2">
      <c r="B24" s="443"/>
      <c r="C24" s="76" t="s">
        <v>114</v>
      </c>
      <c r="D24" s="77"/>
      <c r="E24" s="78"/>
      <c r="F24" s="431"/>
      <c r="G24" s="432"/>
      <c r="H24" s="432"/>
      <c r="I24" s="432"/>
      <c r="J24" s="432"/>
      <c r="K24" s="432"/>
      <c r="L24" s="432"/>
      <c r="M24" s="432"/>
      <c r="N24" s="432"/>
      <c r="O24" s="432"/>
      <c r="P24" s="433"/>
      <c r="R24" s="443"/>
      <c r="S24" s="76" t="s">
        <v>124</v>
      </c>
      <c r="T24" s="77"/>
      <c r="U24" s="78"/>
      <c r="V24" s="431"/>
      <c r="W24" s="432"/>
      <c r="X24" s="432"/>
      <c r="Y24" s="432"/>
      <c r="Z24" s="432"/>
      <c r="AA24" s="432"/>
      <c r="AB24" s="432"/>
      <c r="AC24" s="432"/>
      <c r="AD24" s="432"/>
      <c r="AE24" s="432"/>
      <c r="AF24" s="433"/>
    </row>
    <row r="25" spans="1:32" ht="18" customHeight="1" x14ac:dyDescent="0.2">
      <c r="A25" s="56"/>
      <c r="B25" s="443"/>
      <c r="C25" s="73" t="s">
        <v>128</v>
      </c>
      <c r="D25" s="74"/>
      <c r="E25" s="75"/>
      <c r="F25" s="428"/>
      <c r="G25" s="385"/>
      <c r="H25" s="385"/>
      <c r="I25" s="385"/>
      <c r="J25" s="385"/>
      <c r="K25" s="385"/>
      <c r="L25" s="385"/>
      <c r="M25" s="385"/>
      <c r="N25" s="385"/>
      <c r="O25" s="385"/>
      <c r="P25" s="421"/>
      <c r="R25" s="443"/>
      <c r="S25" s="73" t="s">
        <v>125</v>
      </c>
      <c r="T25" s="74"/>
      <c r="U25" s="75"/>
      <c r="V25" s="428"/>
      <c r="W25" s="385"/>
      <c r="X25" s="385"/>
      <c r="Y25" s="385"/>
      <c r="Z25" s="385"/>
      <c r="AA25" s="385"/>
      <c r="AB25" s="385"/>
      <c r="AC25" s="385"/>
      <c r="AD25" s="385"/>
      <c r="AE25" s="385"/>
      <c r="AF25" s="421"/>
    </row>
    <row r="26" spans="1:32" ht="18" customHeight="1" x14ac:dyDescent="0.2">
      <c r="B26" s="443"/>
      <c r="C26" s="79"/>
      <c r="D26" s="80"/>
      <c r="E26" s="81"/>
      <c r="F26" s="429"/>
      <c r="G26" s="388"/>
      <c r="H26" s="388"/>
      <c r="I26" s="388"/>
      <c r="J26" s="388"/>
      <c r="K26" s="388"/>
      <c r="L26" s="388"/>
      <c r="M26" s="388"/>
      <c r="N26" s="388"/>
      <c r="O26" s="388"/>
      <c r="P26" s="430"/>
      <c r="R26" s="443"/>
      <c r="S26" s="79"/>
      <c r="T26" s="80"/>
      <c r="U26" s="81"/>
      <c r="V26" s="429"/>
      <c r="W26" s="388"/>
      <c r="X26" s="388"/>
      <c r="Y26" s="388"/>
      <c r="Z26" s="388"/>
      <c r="AA26" s="388"/>
      <c r="AB26" s="388"/>
      <c r="AC26" s="388"/>
      <c r="AD26" s="388"/>
      <c r="AE26" s="388"/>
      <c r="AF26" s="430"/>
    </row>
    <row r="27" spans="1:32" ht="18" customHeight="1" x14ac:dyDescent="0.2">
      <c r="B27" s="443"/>
      <c r="C27" s="73" t="s">
        <v>129</v>
      </c>
      <c r="D27" s="74"/>
      <c r="E27" s="75"/>
      <c r="F27" s="431"/>
      <c r="G27" s="432"/>
      <c r="H27" s="432"/>
      <c r="I27" s="432"/>
      <c r="J27" s="432"/>
      <c r="K27" s="432"/>
      <c r="L27" s="432"/>
      <c r="M27" s="432"/>
      <c r="N27" s="432"/>
      <c r="O27" s="432"/>
      <c r="P27" s="433"/>
      <c r="R27" s="443"/>
      <c r="S27" s="73" t="s">
        <v>115</v>
      </c>
      <c r="T27" s="74"/>
      <c r="U27" s="75"/>
      <c r="V27" s="431"/>
      <c r="W27" s="432"/>
      <c r="X27" s="432"/>
      <c r="Y27" s="432"/>
      <c r="Z27" s="432"/>
      <c r="AA27" s="432"/>
      <c r="AB27" s="432"/>
      <c r="AC27" s="432"/>
      <c r="AD27" s="432"/>
      <c r="AE27" s="432"/>
      <c r="AF27" s="433"/>
    </row>
    <row r="28" spans="1:32" ht="18" customHeight="1" x14ac:dyDescent="0.2">
      <c r="B28" s="443"/>
      <c r="C28" s="73" t="s">
        <v>126</v>
      </c>
      <c r="D28" s="74"/>
      <c r="E28" s="75"/>
      <c r="F28" s="428"/>
      <c r="G28" s="385"/>
      <c r="H28" s="385"/>
      <c r="I28" s="385"/>
      <c r="J28" s="385"/>
      <c r="K28" s="385"/>
      <c r="L28" s="385"/>
      <c r="M28" s="385"/>
      <c r="N28" s="385"/>
      <c r="O28" s="385"/>
      <c r="P28" s="421"/>
      <c r="R28" s="443"/>
      <c r="S28" s="73" t="s">
        <v>116</v>
      </c>
      <c r="T28" s="74"/>
      <c r="U28" s="75"/>
      <c r="V28" s="428"/>
      <c r="W28" s="385"/>
      <c r="X28" s="385"/>
      <c r="Y28" s="385"/>
      <c r="Z28" s="385"/>
      <c r="AA28" s="385"/>
      <c r="AB28" s="385"/>
      <c r="AC28" s="385"/>
      <c r="AD28" s="385"/>
      <c r="AE28" s="385"/>
      <c r="AF28" s="421"/>
    </row>
    <row r="29" spans="1:32" ht="18" customHeight="1" thickBot="1" x14ac:dyDescent="0.25">
      <c r="B29" s="447"/>
      <c r="C29" s="82" t="s">
        <v>127</v>
      </c>
      <c r="D29" s="83"/>
      <c r="E29" s="84"/>
      <c r="F29" s="434"/>
      <c r="G29" s="423"/>
      <c r="H29" s="423"/>
      <c r="I29" s="423"/>
      <c r="J29" s="423"/>
      <c r="K29" s="423"/>
      <c r="L29" s="423"/>
      <c r="M29" s="423"/>
      <c r="N29" s="423"/>
      <c r="O29" s="423"/>
      <c r="P29" s="424"/>
      <c r="R29" s="447"/>
      <c r="S29" s="82"/>
      <c r="T29" s="83"/>
      <c r="U29" s="84"/>
      <c r="V29" s="434"/>
      <c r="W29" s="423"/>
      <c r="X29" s="423"/>
      <c r="Y29" s="423"/>
      <c r="Z29" s="423"/>
      <c r="AA29" s="423"/>
      <c r="AB29" s="423"/>
      <c r="AC29" s="423"/>
      <c r="AD29" s="423"/>
      <c r="AE29" s="423"/>
      <c r="AF29" s="424"/>
    </row>
    <row r="30" spans="1:32" ht="33" customHeight="1" thickBot="1" x14ac:dyDescent="0.25"/>
    <row r="31" spans="1:32" ht="18" customHeight="1" x14ac:dyDescent="0.2">
      <c r="B31" s="448" t="s">
        <v>123</v>
      </c>
      <c r="C31" s="425"/>
      <c r="D31" s="418"/>
      <c r="E31" s="418"/>
      <c r="F31" s="418"/>
      <c r="G31" s="418"/>
      <c r="H31" s="418"/>
      <c r="I31" s="418"/>
      <c r="J31" s="418"/>
      <c r="K31" s="418"/>
      <c r="L31" s="418"/>
      <c r="M31" s="418"/>
      <c r="N31" s="418"/>
      <c r="O31" s="418"/>
      <c r="P31" s="419"/>
      <c r="R31" s="448" t="s">
        <v>122</v>
      </c>
      <c r="S31" s="425"/>
      <c r="T31" s="418"/>
      <c r="U31" s="418"/>
      <c r="V31" s="418"/>
      <c r="W31" s="418"/>
      <c r="X31" s="418"/>
      <c r="Y31" s="418"/>
      <c r="Z31" s="418"/>
      <c r="AA31" s="418"/>
      <c r="AB31" s="418"/>
      <c r="AC31" s="418"/>
      <c r="AD31" s="418"/>
      <c r="AE31" s="418"/>
      <c r="AF31" s="419"/>
    </row>
    <row r="32" spans="1:32" ht="18" customHeight="1" x14ac:dyDescent="0.2">
      <c r="B32" s="442"/>
      <c r="C32" s="384"/>
      <c r="D32" s="385"/>
      <c r="E32" s="385"/>
      <c r="F32" s="385"/>
      <c r="G32" s="385"/>
      <c r="H32" s="385"/>
      <c r="I32" s="385"/>
      <c r="J32" s="385"/>
      <c r="K32" s="385"/>
      <c r="L32" s="385"/>
      <c r="M32" s="385"/>
      <c r="N32" s="385"/>
      <c r="O32" s="385"/>
      <c r="P32" s="421"/>
      <c r="R32" s="442"/>
      <c r="S32" s="384"/>
      <c r="T32" s="385"/>
      <c r="U32" s="385"/>
      <c r="V32" s="385"/>
      <c r="W32" s="385"/>
      <c r="X32" s="385"/>
      <c r="Y32" s="385"/>
      <c r="Z32" s="385"/>
      <c r="AA32" s="385"/>
      <c r="AB32" s="385"/>
      <c r="AC32" s="385"/>
      <c r="AD32" s="385"/>
      <c r="AE32" s="385"/>
      <c r="AF32" s="421"/>
    </row>
    <row r="33" spans="2:32" ht="18" customHeight="1" x14ac:dyDescent="0.2">
      <c r="B33" s="442"/>
      <c r="C33" s="384"/>
      <c r="D33" s="385"/>
      <c r="E33" s="385"/>
      <c r="F33" s="385"/>
      <c r="G33" s="385"/>
      <c r="H33" s="385"/>
      <c r="I33" s="385"/>
      <c r="J33" s="385"/>
      <c r="K33" s="385"/>
      <c r="L33" s="385"/>
      <c r="M33" s="385"/>
      <c r="N33" s="385"/>
      <c r="O33" s="385"/>
      <c r="P33" s="421"/>
      <c r="R33" s="442"/>
      <c r="S33" s="384"/>
      <c r="T33" s="385"/>
      <c r="U33" s="385"/>
      <c r="V33" s="385"/>
      <c r="W33" s="385"/>
      <c r="X33" s="385"/>
      <c r="Y33" s="385"/>
      <c r="Z33" s="385"/>
      <c r="AA33" s="385"/>
      <c r="AB33" s="385"/>
      <c r="AC33" s="385"/>
      <c r="AD33" s="385"/>
      <c r="AE33" s="385"/>
      <c r="AF33" s="421"/>
    </row>
    <row r="34" spans="2:32" ht="18" customHeight="1" thickBot="1" x14ac:dyDescent="0.25">
      <c r="B34" s="449"/>
      <c r="C34" s="426"/>
      <c r="D34" s="423"/>
      <c r="E34" s="423"/>
      <c r="F34" s="423"/>
      <c r="G34" s="423"/>
      <c r="H34" s="423"/>
      <c r="I34" s="423"/>
      <c r="J34" s="423"/>
      <c r="K34" s="423"/>
      <c r="L34" s="423"/>
      <c r="M34" s="423"/>
      <c r="N34" s="423"/>
      <c r="O34" s="423"/>
      <c r="P34" s="424"/>
      <c r="R34" s="449"/>
      <c r="S34" s="426"/>
      <c r="T34" s="423"/>
      <c r="U34" s="423"/>
      <c r="V34" s="423"/>
      <c r="W34" s="423"/>
      <c r="X34" s="423"/>
      <c r="Y34" s="423"/>
      <c r="Z34" s="423"/>
      <c r="AA34" s="423"/>
      <c r="AB34" s="423"/>
      <c r="AC34" s="423"/>
      <c r="AD34" s="423"/>
      <c r="AE34" s="423"/>
      <c r="AF34" s="424"/>
    </row>
    <row r="35" spans="2:32" ht="34.5" customHeight="1" thickBot="1" x14ac:dyDescent="0.25">
      <c r="U35" s="85" t="s">
        <v>117</v>
      </c>
    </row>
    <row r="36" spans="2:32" ht="18" customHeight="1" x14ac:dyDescent="0.2">
      <c r="G36" s="435" t="s">
        <v>118</v>
      </c>
      <c r="H36" s="425"/>
      <c r="I36" s="418"/>
      <c r="J36" s="418"/>
      <c r="K36" s="418"/>
      <c r="L36" s="418"/>
      <c r="M36" s="418"/>
      <c r="N36" s="418"/>
      <c r="O36" s="418"/>
      <c r="P36" s="418"/>
      <c r="Q36" s="419"/>
      <c r="R36" s="438" t="s">
        <v>121</v>
      </c>
      <c r="S36" s="417"/>
      <c r="T36" s="418"/>
      <c r="U36" s="418"/>
      <c r="V36" s="418"/>
      <c r="W36" s="418"/>
      <c r="X36" s="418"/>
      <c r="Y36" s="418"/>
      <c r="Z36" s="418"/>
      <c r="AA36" s="418"/>
      <c r="AB36" s="419"/>
    </row>
    <row r="37" spans="2:32" ht="18" customHeight="1" x14ac:dyDescent="0.2">
      <c r="G37" s="436"/>
      <c r="H37" s="384"/>
      <c r="I37" s="385"/>
      <c r="J37" s="385"/>
      <c r="K37" s="385"/>
      <c r="L37" s="385"/>
      <c r="M37" s="385"/>
      <c r="N37" s="385"/>
      <c r="O37" s="385"/>
      <c r="P37" s="385"/>
      <c r="Q37" s="421"/>
      <c r="R37" s="439"/>
      <c r="S37" s="420"/>
      <c r="T37" s="385"/>
      <c r="U37" s="385"/>
      <c r="V37" s="385"/>
      <c r="W37" s="385"/>
      <c r="X37" s="385"/>
      <c r="Y37" s="385"/>
      <c r="Z37" s="385"/>
      <c r="AA37" s="385"/>
      <c r="AB37" s="421"/>
    </row>
    <row r="38" spans="2:32" ht="18" customHeight="1" x14ac:dyDescent="0.2">
      <c r="G38" s="436"/>
      <c r="H38" s="384"/>
      <c r="I38" s="385"/>
      <c r="J38" s="385"/>
      <c r="K38" s="385"/>
      <c r="L38" s="385"/>
      <c r="M38" s="385"/>
      <c r="N38" s="385"/>
      <c r="O38" s="385"/>
      <c r="P38" s="385"/>
      <c r="Q38" s="421"/>
      <c r="R38" s="439"/>
      <c r="S38" s="420"/>
      <c r="T38" s="385"/>
      <c r="U38" s="385"/>
      <c r="V38" s="385"/>
      <c r="W38" s="385"/>
      <c r="X38" s="385"/>
      <c r="Y38" s="385"/>
      <c r="Z38" s="385"/>
      <c r="AA38" s="385"/>
      <c r="AB38" s="421"/>
    </row>
    <row r="39" spans="2:32" ht="18" customHeight="1" thickBot="1" x14ac:dyDescent="0.25">
      <c r="G39" s="437"/>
      <c r="H39" s="426"/>
      <c r="I39" s="423"/>
      <c r="J39" s="423"/>
      <c r="K39" s="423"/>
      <c r="L39" s="423"/>
      <c r="M39" s="423"/>
      <c r="N39" s="423"/>
      <c r="O39" s="423"/>
      <c r="P39" s="423"/>
      <c r="Q39" s="424"/>
      <c r="R39" s="440"/>
      <c r="S39" s="422"/>
      <c r="T39" s="423"/>
      <c r="U39" s="423"/>
      <c r="V39" s="423"/>
      <c r="W39" s="423"/>
      <c r="X39" s="423"/>
      <c r="Y39" s="423"/>
      <c r="Z39" s="423"/>
      <c r="AA39" s="423"/>
      <c r="AB39" s="424"/>
    </row>
  </sheetData>
  <sheetProtection formatCells="0" formatColumns="0" formatRows="0"/>
  <mergeCells count="31">
    <mergeCell ref="B6:B17"/>
    <mergeCell ref="R6:R17"/>
    <mergeCell ref="B18:B29"/>
    <mergeCell ref="R18:R29"/>
    <mergeCell ref="B31:B34"/>
    <mergeCell ref="R31:R34"/>
    <mergeCell ref="F12:P14"/>
    <mergeCell ref="F15:P17"/>
    <mergeCell ref="F27:P29"/>
    <mergeCell ref="F24:P26"/>
    <mergeCell ref="F21:P23"/>
    <mergeCell ref="F18:P20"/>
    <mergeCell ref="AA1:AF1"/>
    <mergeCell ref="AA2:AF2"/>
    <mergeCell ref="AA3:AF3"/>
    <mergeCell ref="AA4:AF4"/>
    <mergeCell ref="F6:P11"/>
    <mergeCell ref="S36:AB39"/>
    <mergeCell ref="H36:Q39"/>
    <mergeCell ref="S31:AF34"/>
    <mergeCell ref="C31:P34"/>
    <mergeCell ref="V6:AF8"/>
    <mergeCell ref="V9:AF11"/>
    <mergeCell ref="V12:AF14"/>
    <mergeCell ref="V15:AF17"/>
    <mergeCell ref="V18:AF20"/>
    <mergeCell ref="V21:AF23"/>
    <mergeCell ref="V24:AF26"/>
    <mergeCell ref="V27:AF29"/>
    <mergeCell ref="G36:G39"/>
    <mergeCell ref="R36:R39"/>
  </mergeCells>
  <phoneticPr fontId="17"/>
  <pageMargins left="0.7" right="0.7" top="0.75" bottom="0.75" header="0.3" footer="0.3"/>
  <pageSetup paperSize="9" scale="70" orientation="landscape"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464"/>
  <sheetViews>
    <sheetView zoomScaleNormal="100" workbookViewId="0">
      <pane ySplit="4" topLeftCell="A5" activePane="bottomLeft" state="frozen"/>
      <selection activeCell="A2" sqref="A2"/>
      <selection pane="bottomLeft" activeCell="A5" sqref="A5"/>
    </sheetView>
  </sheetViews>
  <sheetFormatPr defaultColWidth="9" defaultRowHeight="14.4" x14ac:dyDescent="0.2"/>
  <cols>
    <col min="1" max="1" width="25.21875" style="222" customWidth="1"/>
    <col min="2" max="2" width="33.44140625" style="222" customWidth="1"/>
    <col min="3" max="3" width="36.33203125" style="222" customWidth="1"/>
    <col min="4" max="4" width="29.6640625" style="222" customWidth="1"/>
    <col min="5" max="5" width="30.77734375" style="222" customWidth="1"/>
    <col min="6" max="16384" width="9" style="222"/>
  </cols>
  <sheetData>
    <row r="1" spans="1:5" ht="6" customHeight="1" x14ac:dyDescent="0.2"/>
    <row r="2" spans="1:5" ht="38.25" customHeight="1" thickBot="1" x14ac:dyDescent="0.25">
      <c r="C2" s="223"/>
    </row>
    <row r="3" spans="1:5" ht="13.5" customHeight="1" thickBot="1" x14ac:dyDescent="0.25">
      <c r="A3" s="452" t="s">
        <v>1886</v>
      </c>
      <c r="B3" s="453"/>
      <c r="C3" s="454"/>
      <c r="D3" s="450" t="s">
        <v>1887</v>
      </c>
      <c r="E3" s="455" t="s">
        <v>1888</v>
      </c>
    </row>
    <row r="4" spans="1:5" ht="47.25" customHeight="1" thickBot="1" x14ac:dyDescent="0.25">
      <c r="A4" s="224" t="s">
        <v>1843</v>
      </c>
      <c r="B4" s="224" t="s">
        <v>1844</v>
      </c>
      <c r="C4" s="225" t="s">
        <v>1845</v>
      </c>
      <c r="D4" s="451"/>
      <c r="E4" s="456"/>
    </row>
    <row r="5" spans="1:5" x14ac:dyDescent="0.2">
      <c r="A5" s="226" t="s">
        <v>279</v>
      </c>
      <c r="B5" s="226" t="s">
        <v>162</v>
      </c>
      <c r="C5" s="226" t="s">
        <v>280</v>
      </c>
      <c r="D5" s="226" t="s">
        <v>162</v>
      </c>
      <c r="E5" s="226" t="s">
        <v>281</v>
      </c>
    </row>
    <row r="6" spans="1:5" x14ac:dyDescent="0.2">
      <c r="A6" s="226" t="s">
        <v>279</v>
      </c>
      <c r="B6" s="226" t="s">
        <v>162</v>
      </c>
      <c r="C6" s="226" t="s">
        <v>282</v>
      </c>
      <c r="D6" s="226" t="s">
        <v>162</v>
      </c>
      <c r="E6" s="226" t="s">
        <v>281</v>
      </c>
    </row>
    <row r="7" spans="1:5" x14ac:dyDescent="0.2">
      <c r="A7" s="226" t="s">
        <v>279</v>
      </c>
      <c r="B7" s="227" t="s">
        <v>162</v>
      </c>
      <c r="C7" s="227" t="s">
        <v>283</v>
      </c>
      <c r="D7" s="226" t="s">
        <v>162</v>
      </c>
      <c r="E7" s="226" t="s">
        <v>281</v>
      </c>
    </row>
    <row r="8" spans="1:5" x14ac:dyDescent="0.2">
      <c r="A8" s="226" t="s">
        <v>279</v>
      </c>
      <c r="B8" s="227" t="s">
        <v>162</v>
      </c>
      <c r="C8" s="227" t="s">
        <v>284</v>
      </c>
      <c r="D8" s="226" t="s">
        <v>162</v>
      </c>
      <c r="E8" s="226" t="s">
        <v>281</v>
      </c>
    </row>
    <row r="9" spans="1:5" x14ac:dyDescent="0.2">
      <c r="A9" s="226" t="s">
        <v>279</v>
      </c>
      <c r="B9" s="227" t="s">
        <v>162</v>
      </c>
      <c r="C9" s="227" t="s">
        <v>285</v>
      </c>
      <c r="D9" s="226" t="s">
        <v>162</v>
      </c>
      <c r="E9" s="226" t="s">
        <v>281</v>
      </c>
    </row>
    <row r="10" spans="1:5" x14ac:dyDescent="0.2">
      <c r="A10" s="226" t="s">
        <v>279</v>
      </c>
      <c r="B10" s="227" t="s">
        <v>162</v>
      </c>
      <c r="C10" s="227" t="s">
        <v>286</v>
      </c>
      <c r="D10" s="226" t="s">
        <v>162</v>
      </c>
      <c r="E10" s="226" t="s">
        <v>281</v>
      </c>
    </row>
    <row r="11" spans="1:5" x14ac:dyDescent="0.2">
      <c r="A11" s="226" t="s">
        <v>279</v>
      </c>
      <c r="B11" s="227" t="s">
        <v>162</v>
      </c>
      <c r="C11" s="227" t="s">
        <v>287</v>
      </c>
      <c r="D11" s="226" t="s">
        <v>162</v>
      </c>
      <c r="E11" s="226" t="s">
        <v>281</v>
      </c>
    </row>
    <row r="12" spans="1:5" x14ac:dyDescent="0.2">
      <c r="A12" s="226" t="s">
        <v>279</v>
      </c>
      <c r="B12" s="227" t="s">
        <v>162</v>
      </c>
      <c r="C12" s="227" t="s">
        <v>288</v>
      </c>
      <c r="D12" s="226" t="s">
        <v>162</v>
      </c>
      <c r="E12" s="226" t="s">
        <v>281</v>
      </c>
    </row>
    <row r="13" spans="1:5" x14ac:dyDescent="0.2">
      <c r="A13" s="226" t="s">
        <v>279</v>
      </c>
      <c r="B13" s="227" t="s">
        <v>162</v>
      </c>
      <c r="C13" s="227" t="s">
        <v>289</v>
      </c>
      <c r="D13" s="226" t="s">
        <v>162</v>
      </c>
      <c r="E13" s="226" t="s">
        <v>281</v>
      </c>
    </row>
    <row r="14" spans="1:5" x14ac:dyDescent="0.2">
      <c r="A14" s="226" t="s">
        <v>279</v>
      </c>
      <c r="B14" s="227" t="s">
        <v>162</v>
      </c>
      <c r="C14" s="227" t="s">
        <v>290</v>
      </c>
      <c r="D14" s="226" t="s">
        <v>162</v>
      </c>
      <c r="E14" s="226" t="s">
        <v>281</v>
      </c>
    </row>
    <row r="15" spans="1:5" x14ac:dyDescent="0.2">
      <c r="A15" s="226" t="s">
        <v>279</v>
      </c>
      <c r="B15" s="227" t="s">
        <v>162</v>
      </c>
      <c r="C15" s="227" t="s">
        <v>291</v>
      </c>
      <c r="D15" s="226" t="s">
        <v>162</v>
      </c>
      <c r="E15" s="226" t="s">
        <v>281</v>
      </c>
    </row>
    <row r="16" spans="1:5" x14ac:dyDescent="0.2">
      <c r="A16" s="226" t="s">
        <v>279</v>
      </c>
      <c r="B16" s="227" t="s">
        <v>162</v>
      </c>
      <c r="C16" s="227" t="s">
        <v>292</v>
      </c>
      <c r="D16" s="226" t="s">
        <v>162</v>
      </c>
      <c r="E16" s="226" t="s">
        <v>281</v>
      </c>
    </row>
    <row r="17" spans="1:5" x14ac:dyDescent="0.2">
      <c r="A17" s="226" t="s">
        <v>279</v>
      </c>
      <c r="B17" s="227" t="s">
        <v>162</v>
      </c>
      <c r="C17" s="227" t="s">
        <v>293</v>
      </c>
      <c r="D17" s="226" t="s">
        <v>162</v>
      </c>
      <c r="E17" s="226" t="s">
        <v>281</v>
      </c>
    </row>
    <row r="18" spans="1:5" x14ac:dyDescent="0.2">
      <c r="A18" s="226" t="s">
        <v>279</v>
      </c>
      <c r="B18" s="227" t="s">
        <v>162</v>
      </c>
      <c r="C18" s="227" t="s">
        <v>294</v>
      </c>
      <c r="D18" s="226" t="s">
        <v>162</v>
      </c>
      <c r="E18" s="226" t="s">
        <v>281</v>
      </c>
    </row>
    <row r="19" spans="1:5" x14ac:dyDescent="0.2">
      <c r="A19" s="226" t="s">
        <v>279</v>
      </c>
      <c r="B19" s="227" t="s">
        <v>162</v>
      </c>
      <c r="C19" s="227" t="s">
        <v>295</v>
      </c>
      <c r="D19" s="226" t="s">
        <v>162</v>
      </c>
      <c r="E19" s="226" t="s">
        <v>281</v>
      </c>
    </row>
    <row r="20" spans="1:5" x14ac:dyDescent="0.2">
      <c r="A20" s="226" t="s">
        <v>279</v>
      </c>
      <c r="B20" s="227" t="s">
        <v>162</v>
      </c>
      <c r="C20" s="227" t="s">
        <v>296</v>
      </c>
      <c r="D20" s="226" t="s">
        <v>162</v>
      </c>
      <c r="E20" s="226" t="s">
        <v>281</v>
      </c>
    </row>
    <row r="21" spans="1:5" x14ac:dyDescent="0.2">
      <c r="A21" s="226" t="s">
        <v>279</v>
      </c>
      <c r="B21" s="227" t="s">
        <v>162</v>
      </c>
      <c r="C21" s="227" t="s">
        <v>297</v>
      </c>
      <c r="D21" s="226" t="s">
        <v>162</v>
      </c>
      <c r="E21" s="226" t="s">
        <v>281</v>
      </c>
    </row>
    <row r="22" spans="1:5" x14ac:dyDescent="0.2">
      <c r="A22" s="226" t="s">
        <v>279</v>
      </c>
      <c r="B22" s="227" t="s">
        <v>162</v>
      </c>
      <c r="C22" s="227" t="s">
        <v>298</v>
      </c>
      <c r="D22" s="226" t="s">
        <v>162</v>
      </c>
      <c r="E22" s="226" t="s">
        <v>281</v>
      </c>
    </row>
    <row r="23" spans="1:5" x14ac:dyDescent="0.2">
      <c r="A23" s="226" t="s">
        <v>279</v>
      </c>
      <c r="B23" s="227" t="s">
        <v>162</v>
      </c>
      <c r="C23" s="227" t="s">
        <v>299</v>
      </c>
      <c r="D23" s="226" t="s">
        <v>162</v>
      </c>
      <c r="E23" s="226" t="s">
        <v>281</v>
      </c>
    </row>
    <row r="24" spans="1:5" x14ac:dyDescent="0.2">
      <c r="A24" s="226" t="s">
        <v>279</v>
      </c>
      <c r="B24" s="227" t="s">
        <v>162</v>
      </c>
      <c r="C24" s="227" t="s">
        <v>300</v>
      </c>
      <c r="D24" s="226" t="s">
        <v>162</v>
      </c>
      <c r="E24" s="226" t="s">
        <v>281</v>
      </c>
    </row>
    <row r="25" spans="1:5" x14ac:dyDescent="0.2">
      <c r="A25" s="226" t="s">
        <v>279</v>
      </c>
      <c r="B25" s="227" t="s">
        <v>162</v>
      </c>
      <c r="C25" s="227" t="s">
        <v>301</v>
      </c>
      <c r="D25" s="226" t="s">
        <v>162</v>
      </c>
      <c r="E25" s="226" t="s">
        <v>281</v>
      </c>
    </row>
    <row r="26" spans="1:5" x14ac:dyDescent="0.2">
      <c r="A26" s="226" t="s">
        <v>279</v>
      </c>
      <c r="B26" s="227" t="s">
        <v>162</v>
      </c>
      <c r="C26" s="227" t="s">
        <v>302</v>
      </c>
      <c r="D26" s="226" t="s">
        <v>162</v>
      </c>
      <c r="E26" s="226" t="s">
        <v>281</v>
      </c>
    </row>
    <row r="27" spans="1:5" x14ac:dyDescent="0.2">
      <c r="A27" s="226" t="s">
        <v>279</v>
      </c>
      <c r="B27" s="226" t="s">
        <v>258</v>
      </c>
      <c r="C27" s="226" t="s">
        <v>303</v>
      </c>
      <c r="D27" s="226" t="s">
        <v>257</v>
      </c>
      <c r="E27" s="226" t="s">
        <v>1891</v>
      </c>
    </row>
    <row r="28" spans="1:5" x14ac:dyDescent="0.2">
      <c r="A28" s="226" t="s">
        <v>279</v>
      </c>
      <c r="B28" s="226" t="s">
        <v>258</v>
      </c>
      <c r="C28" s="226" t="s">
        <v>305</v>
      </c>
      <c r="D28" s="226" t="s">
        <v>257</v>
      </c>
      <c r="E28" s="226" t="s">
        <v>304</v>
      </c>
    </row>
    <row r="29" spans="1:5" x14ac:dyDescent="0.2">
      <c r="A29" s="226" t="s">
        <v>279</v>
      </c>
      <c r="B29" s="227" t="s">
        <v>258</v>
      </c>
      <c r="C29" s="227" t="s">
        <v>306</v>
      </c>
      <c r="D29" s="226" t="s">
        <v>257</v>
      </c>
      <c r="E29" s="226" t="s">
        <v>304</v>
      </c>
    </row>
    <row r="30" spans="1:5" x14ac:dyDescent="0.2">
      <c r="A30" s="226" t="s">
        <v>279</v>
      </c>
      <c r="B30" s="227" t="s">
        <v>258</v>
      </c>
      <c r="C30" s="227" t="s">
        <v>307</v>
      </c>
      <c r="D30" s="226" t="s">
        <v>257</v>
      </c>
      <c r="E30" s="226" t="s">
        <v>304</v>
      </c>
    </row>
    <row r="31" spans="1:5" x14ac:dyDescent="0.2">
      <c r="A31" s="226" t="s">
        <v>279</v>
      </c>
      <c r="B31" s="227" t="s">
        <v>258</v>
      </c>
      <c r="C31" s="227" t="s">
        <v>308</v>
      </c>
      <c r="D31" s="226" t="s">
        <v>257</v>
      </c>
      <c r="E31" s="226" t="s">
        <v>304</v>
      </c>
    </row>
    <row r="32" spans="1:5" x14ac:dyDescent="0.2">
      <c r="A32" s="226" t="s">
        <v>279</v>
      </c>
      <c r="B32" s="227" t="s">
        <v>258</v>
      </c>
      <c r="C32" s="227" t="s">
        <v>309</v>
      </c>
      <c r="D32" s="226" t="s">
        <v>257</v>
      </c>
      <c r="E32" s="226" t="s">
        <v>304</v>
      </c>
    </row>
    <row r="33" spans="1:5" x14ac:dyDescent="0.2">
      <c r="A33" s="226" t="s">
        <v>279</v>
      </c>
      <c r="B33" s="227" t="s">
        <v>258</v>
      </c>
      <c r="C33" s="227" t="s">
        <v>310</v>
      </c>
      <c r="D33" s="226" t="s">
        <v>257</v>
      </c>
      <c r="E33" s="226" t="s">
        <v>304</v>
      </c>
    </row>
    <row r="34" spans="1:5" x14ac:dyDescent="0.2">
      <c r="A34" s="226" t="s">
        <v>279</v>
      </c>
      <c r="B34" s="227" t="s">
        <v>258</v>
      </c>
      <c r="C34" s="227" t="s">
        <v>311</v>
      </c>
      <c r="D34" s="226" t="s">
        <v>257</v>
      </c>
      <c r="E34" s="226" t="s">
        <v>304</v>
      </c>
    </row>
    <row r="35" spans="1:5" x14ac:dyDescent="0.2">
      <c r="A35" s="226" t="s">
        <v>279</v>
      </c>
      <c r="B35" s="227" t="s">
        <v>258</v>
      </c>
      <c r="C35" s="227" t="s">
        <v>312</v>
      </c>
      <c r="D35" s="226" t="s">
        <v>257</v>
      </c>
      <c r="E35" s="226" t="s">
        <v>304</v>
      </c>
    </row>
    <row r="36" spans="1:5" x14ac:dyDescent="0.2">
      <c r="A36" s="226" t="s">
        <v>279</v>
      </c>
      <c r="B36" s="227" t="s">
        <v>258</v>
      </c>
      <c r="C36" s="227" t="s">
        <v>313</v>
      </c>
      <c r="D36" s="226" t="s">
        <v>257</v>
      </c>
      <c r="E36" s="226" t="s">
        <v>304</v>
      </c>
    </row>
    <row r="37" spans="1:5" x14ac:dyDescent="0.2">
      <c r="A37" s="226" t="s">
        <v>279</v>
      </c>
      <c r="B37" s="227" t="s">
        <v>258</v>
      </c>
      <c r="C37" s="227" t="s">
        <v>314</v>
      </c>
      <c r="D37" s="226" t="s">
        <v>257</v>
      </c>
      <c r="E37" s="226" t="s">
        <v>304</v>
      </c>
    </row>
    <row r="38" spans="1:5" x14ac:dyDescent="0.2">
      <c r="A38" s="226" t="s">
        <v>315</v>
      </c>
      <c r="B38" s="226" t="s">
        <v>259</v>
      </c>
      <c r="C38" s="226" t="s">
        <v>316</v>
      </c>
      <c r="D38" s="226" t="s">
        <v>257</v>
      </c>
      <c r="E38" s="226" t="s">
        <v>304</v>
      </c>
    </row>
    <row r="39" spans="1:5" x14ac:dyDescent="0.2">
      <c r="A39" s="226" t="s">
        <v>315</v>
      </c>
      <c r="B39" s="226" t="s">
        <v>259</v>
      </c>
      <c r="C39" s="226" t="s">
        <v>317</v>
      </c>
      <c r="D39" s="226" t="s">
        <v>257</v>
      </c>
      <c r="E39" s="226" t="s">
        <v>304</v>
      </c>
    </row>
    <row r="40" spans="1:5" x14ac:dyDescent="0.2">
      <c r="A40" s="226" t="s">
        <v>315</v>
      </c>
      <c r="B40" s="227" t="s">
        <v>259</v>
      </c>
      <c r="C40" s="227" t="s">
        <v>318</v>
      </c>
      <c r="D40" s="226" t="s">
        <v>257</v>
      </c>
      <c r="E40" s="226" t="s">
        <v>304</v>
      </c>
    </row>
    <row r="41" spans="1:5" x14ac:dyDescent="0.2">
      <c r="A41" s="226" t="s">
        <v>315</v>
      </c>
      <c r="B41" s="227" t="s">
        <v>259</v>
      </c>
      <c r="C41" s="227" t="s">
        <v>319</v>
      </c>
      <c r="D41" s="226" t="s">
        <v>257</v>
      </c>
      <c r="E41" s="226" t="s">
        <v>304</v>
      </c>
    </row>
    <row r="42" spans="1:5" x14ac:dyDescent="0.2">
      <c r="A42" s="226" t="s">
        <v>315</v>
      </c>
      <c r="B42" s="227" t="s">
        <v>259</v>
      </c>
      <c r="C42" s="227" t="s">
        <v>320</v>
      </c>
      <c r="D42" s="226" t="s">
        <v>257</v>
      </c>
      <c r="E42" s="226" t="s">
        <v>304</v>
      </c>
    </row>
    <row r="43" spans="1:5" x14ac:dyDescent="0.2">
      <c r="A43" s="226" t="s">
        <v>315</v>
      </c>
      <c r="B43" s="227" t="s">
        <v>259</v>
      </c>
      <c r="C43" s="227" t="s">
        <v>321</v>
      </c>
      <c r="D43" s="226" t="s">
        <v>257</v>
      </c>
      <c r="E43" s="226" t="s">
        <v>304</v>
      </c>
    </row>
    <row r="44" spans="1:5" x14ac:dyDescent="0.2">
      <c r="A44" s="226" t="s">
        <v>315</v>
      </c>
      <c r="B44" s="227" t="s">
        <v>259</v>
      </c>
      <c r="C44" s="227" t="s">
        <v>322</v>
      </c>
      <c r="D44" s="226" t="s">
        <v>257</v>
      </c>
      <c r="E44" s="226" t="s">
        <v>304</v>
      </c>
    </row>
    <row r="45" spans="1:5" x14ac:dyDescent="0.2">
      <c r="A45" s="226" t="s">
        <v>315</v>
      </c>
      <c r="B45" s="227" t="s">
        <v>259</v>
      </c>
      <c r="C45" s="227" t="s">
        <v>323</v>
      </c>
      <c r="D45" s="226" t="s">
        <v>257</v>
      </c>
      <c r="E45" s="226" t="s">
        <v>304</v>
      </c>
    </row>
    <row r="46" spans="1:5" x14ac:dyDescent="0.2">
      <c r="A46" s="226" t="s">
        <v>315</v>
      </c>
      <c r="B46" s="227" t="s">
        <v>259</v>
      </c>
      <c r="C46" s="227" t="s">
        <v>324</v>
      </c>
      <c r="D46" s="226" t="s">
        <v>257</v>
      </c>
      <c r="E46" s="226" t="s">
        <v>304</v>
      </c>
    </row>
    <row r="47" spans="1:5" x14ac:dyDescent="0.2">
      <c r="A47" s="226" t="s">
        <v>315</v>
      </c>
      <c r="B47" s="227" t="s">
        <v>259</v>
      </c>
      <c r="C47" s="227" t="s">
        <v>325</v>
      </c>
      <c r="D47" s="226" t="s">
        <v>257</v>
      </c>
      <c r="E47" s="226" t="s">
        <v>304</v>
      </c>
    </row>
    <row r="48" spans="1:5" x14ac:dyDescent="0.2">
      <c r="A48" s="226" t="s">
        <v>315</v>
      </c>
      <c r="B48" s="227" t="s">
        <v>259</v>
      </c>
      <c r="C48" s="227" t="s">
        <v>326</v>
      </c>
      <c r="D48" s="226" t="s">
        <v>257</v>
      </c>
      <c r="E48" s="226" t="s">
        <v>304</v>
      </c>
    </row>
    <row r="49" spans="1:5" x14ac:dyDescent="0.2">
      <c r="A49" s="226" t="s">
        <v>315</v>
      </c>
      <c r="B49" s="227" t="s">
        <v>259</v>
      </c>
      <c r="C49" s="227" t="s">
        <v>327</v>
      </c>
      <c r="D49" s="226" t="s">
        <v>257</v>
      </c>
      <c r="E49" s="226" t="s">
        <v>304</v>
      </c>
    </row>
    <row r="50" spans="1:5" x14ac:dyDescent="0.2">
      <c r="A50" s="226" t="s">
        <v>315</v>
      </c>
      <c r="B50" s="226" t="s">
        <v>260</v>
      </c>
      <c r="C50" s="226" t="s">
        <v>328</v>
      </c>
      <c r="D50" s="226" t="s">
        <v>257</v>
      </c>
      <c r="E50" s="226" t="s">
        <v>304</v>
      </c>
    </row>
    <row r="51" spans="1:5" x14ac:dyDescent="0.2">
      <c r="A51" s="226" t="s">
        <v>315</v>
      </c>
      <c r="B51" s="226" t="s">
        <v>260</v>
      </c>
      <c r="C51" s="226" t="s">
        <v>329</v>
      </c>
      <c r="D51" s="226" t="s">
        <v>257</v>
      </c>
      <c r="E51" s="226" t="s">
        <v>304</v>
      </c>
    </row>
    <row r="52" spans="1:5" x14ac:dyDescent="0.2">
      <c r="A52" s="226" t="s">
        <v>315</v>
      </c>
      <c r="B52" s="227" t="s">
        <v>260</v>
      </c>
      <c r="C52" s="227" t="s">
        <v>330</v>
      </c>
      <c r="D52" s="226" t="s">
        <v>257</v>
      </c>
      <c r="E52" s="226" t="s">
        <v>304</v>
      </c>
    </row>
    <row r="53" spans="1:5" x14ac:dyDescent="0.2">
      <c r="A53" s="226" t="s">
        <v>315</v>
      </c>
      <c r="B53" s="227" t="s">
        <v>260</v>
      </c>
      <c r="C53" s="227" t="s">
        <v>331</v>
      </c>
      <c r="D53" s="226" t="s">
        <v>257</v>
      </c>
      <c r="E53" s="226" t="s">
        <v>304</v>
      </c>
    </row>
    <row r="54" spans="1:5" x14ac:dyDescent="0.2">
      <c r="A54" s="226" t="s">
        <v>315</v>
      </c>
      <c r="B54" s="227" t="s">
        <v>260</v>
      </c>
      <c r="C54" s="227" t="s">
        <v>332</v>
      </c>
      <c r="D54" s="226" t="s">
        <v>257</v>
      </c>
      <c r="E54" s="226" t="s">
        <v>304</v>
      </c>
    </row>
    <row r="55" spans="1:5" x14ac:dyDescent="0.2">
      <c r="A55" s="226" t="s">
        <v>315</v>
      </c>
      <c r="B55" s="227" t="s">
        <v>260</v>
      </c>
      <c r="C55" s="227" t="s">
        <v>333</v>
      </c>
      <c r="D55" s="226" t="s">
        <v>257</v>
      </c>
      <c r="E55" s="226" t="s">
        <v>304</v>
      </c>
    </row>
    <row r="56" spans="1:5" x14ac:dyDescent="0.2">
      <c r="A56" s="226" t="s">
        <v>315</v>
      </c>
      <c r="B56" s="227" t="s">
        <v>260</v>
      </c>
      <c r="C56" s="227" t="s">
        <v>334</v>
      </c>
      <c r="D56" s="226" t="s">
        <v>257</v>
      </c>
      <c r="E56" s="226" t="s">
        <v>304</v>
      </c>
    </row>
    <row r="57" spans="1:5" x14ac:dyDescent="0.2">
      <c r="A57" s="226" t="s">
        <v>315</v>
      </c>
      <c r="B57" s="227" t="s">
        <v>260</v>
      </c>
      <c r="C57" s="227" t="s">
        <v>335</v>
      </c>
      <c r="D57" s="226" t="s">
        <v>257</v>
      </c>
      <c r="E57" s="226" t="s">
        <v>304</v>
      </c>
    </row>
    <row r="58" spans="1:5" x14ac:dyDescent="0.2">
      <c r="A58" s="226" t="s">
        <v>315</v>
      </c>
      <c r="B58" s="227" t="s">
        <v>260</v>
      </c>
      <c r="C58" s="227" t="s">
        <v>336</v>
      </c>
      <c r="D58" s="226" t="s">
        <v>257</v>
      </c>
      <c r="E58" s="226" t="s">
        <v>304</v>
      </c>
    </row>
    <row r="59" spans="1:5" x14ac:dyDescent="0.2">
      <c r="A59" s="226" t="s">
        <v>337</v>
      </c>
      <c r="B59" s="226" t="s">
        <v>261</v>
      </c>
      <c r="C59" s="226" t="s">
        <v>338</v>
      </c>
      <c r="D59" s="226" t="s">
        <v>257</v>
      </c>
      <c r="E59" s="226" t="s">
        <v>304</v>
      </c>
    </row>
    <row r="60" spans="1:5" x14ac:dyDescent="0.2">
      <c r="A60" s="226" t="s">
        <v>337</v>
      </c>
      <c r="B60" s="226" t="s">
        <v>261</v>
      </c>
      <c r="C60" s="226" t="s">
        <v>339</v>
      </c>
      <c r="D60" s="226" t="s">
        <v>257</v>
      </c>
      <c r="E60" s="226" t="s">
        <v>304</v>
      </c>
    </row>
    <row r="61" spans="1:5" x14ac:dyDescent="0.2">
      <c r="A61" s="226" t="s">
        <v>337</v>
      </c>
      <c r="B61" s="226" t="s">
        <v>261</v>
      </c>
      <c r="C61" s="227" t="s">
        <v>340</v>
      </c>
      <c r="D61" s="226" t="s">
        <v>257</v>
      </c>
      <c r="E61" s="226" t="s">
        <v>304</v>
      </c>
    </row>
    <row r="62" spans="1:5" x14ac:dyDescent="0.2">
      <c r="A62" s="226" t="s">
        <v>337</v>
      </c>
      <c r="B62" s="226" t="s">
        <v>261</v>
      </c>
      <c r="C62" s="227" t="s">
        <v>341</v>
      </c>
      <c r="D62" s="226" t="s">
        <v>257</v>
      </c>
      <c r="E62" s="226" t="s">
        <v>304</v>
      </c>
    </row>
    <row r="63" spans="1:5" x14ac:dyDescent="0.2">
      <c r="A63" s="226" t="s">
        <v>337</v>
      </c>
      <c r="B63" s="226" t="s">
        <v>261</v>
      </c>
      <c r="C63" s="227" t="s">
        <v>342</v>
      </c>
      <c r="D63" s="226" t="s">
        <v>257</v>
      </c>
      <c r="E63" s="226" t="s">
        <v>304</v>
      </c>
    </row>
    <row r="64" spans="1:5" x14ac:dyDescent="0.2">
      <c r="A64" s="226" t="s">
        <v>337</v>
      </c>
      <c r="B64" s="226" t="s">
        <v>261</v>
      </c>
      <c r="C64" s="227" t="s">
        <v>343</v>
      </c>
      <c r="D64" s="226" t="s">
        <v>257</v>
      </c>
      <c r="E64" s="226" t="s">
        <v>304</v>
      </c>
    </row>
    <row r="65" spans="1:5" x14ac:dyDescent="0.2">
      <c r="A65" s="226" t="s">
        <v>337</v>
      </c>
      <c r="B65" s="226" t="s">
        <v>261</v>
      </c>
      <c r="C65" s="227" t="s">
        <v>344</v>
      </c>
      <c r="D65" s="226" t="s">
        <v>257</v>
      </c>
      <c r="E65" s="226" t="s">
        <v>304</v>
      </c>
    </row>
    <row r="66" spans="1:5" x14ac:dyDescent="0.2">
      <c r="A66" s="226" t="s">
        <v>337</v>
      </c>
      <c r="B66" s="226" t="s">
        <v>261</v>
      </c>
      <c r="C66" s="227" t="s">
        <v>345</v>
      </c>
      <c r="D66" s="226" t="s">
        <v>257</v>
      </c>
      <c r="E66" s="226" t="s">
        <v>304</v>
      </c>
    </row>
    <row r="67" spans="1:5" x14ac:dyDescent="0.2">
      <c r="A67" s="226" t="s">
        <v>337</v>
      </c>
      <c r="B67" s="226" t="s">
        <v>261</v>
      </c>
      <c r="C67" s="227" t="s">
        <v>346</v>
      </c>
      <c r="D67" s="226" t="s">
        <v>257</v>
      </c>
      <c r="E67" s="226" t="s">
        <v>304</v>
      </c>
    </row>
    <row r="68" spans="1:5" x14ac:dyDescent="0.2">
      <c r="A68" s="226" t="s">
        <v>337</v>
      </c>
      <c r="B68" s="226" t="s">
        <v>261</v>
      </c>
      <c r="C68" s="227" t="s">
        <v>347</v>
      </c>
      <c r="D68" s="226" t="s">
        <v>257</v>
      </c>
      <c r="E68" s="226" t="s">
        <v>304</v>
      </c>
    </row>
    <row r="69" spans="1:5" x14ac:dyDescent="0.2">
      <c r="A69" s="226" t="s">
        <v>337</v>
      </c>
      <c r="B69" s="226" t="s">
        <v>261</v>
      </c>
      <c r="C69" s="227" t="s">
        <v>348</v>
      </c>
      <c r="D69" s="226" t="s">
        <v>257</v>
      </c>
      <c r="E69" s="226" t="s">
        <v>304</v>
      </c>
    </row>
    <row r="70" spans="1:5" x14ac:dyDescent="0.2">
      <c r="A70" s="226" t="s">
        <v>337</v>
      </c>
      <c r="B70" s="226" t="s">
        <v>261</v>
      </c>
      <c r="C70" s="227" t="s">
        <v>349</v>
      </c>
      <c r="D70" s="226" t="s">
        <v>257</v>
      </c>
      <c r="E70" s="226" t="s">
        <v>304</v>
      </c>
    </row>
    <row r="71" spans="1:5" x14ac:dyDescent="0.2">
      <c r="A71" s="226" t="s">
        <v>337</v>
      </c>
      <c r="B71" s="226" t="s">
        <v>261</v>
      </c>
      <c r="C71" s="227" t="s">
        <v>350</v>
      </c>
      <c r="D71" s="226" t="s">
        <v>257</v>
      </c>
      <c r="E71" s="226" t="s">
        <v>304</v>
      </c>
    </row>
    <row r="72" spans="1:5" x14ac:dyDescent="0.2">
      <c r="A72" s="226" t="s">
        <v>337</v>
      </c>
      <c r="B72" s="226" t="s">
        <v>261</v>
      </c>
      <c r="C72" s="227" t="s">
        <v>351</v>
      </c>
      <c r="D72" s="226" t="s">
        <v>257</v>
      </c>
      <c r="E72" s="226" t="s">
        <v>304</v>
      </c>
    </row>
    <row r="73" spans="1:5" x14ac:dyDescent="0.2">
      <c r="A73" s="226" t="s">
        <v>337</v>
      </c>
      <c r="B73" s="226" t="s">
        <v>261</v>
      </c>
      <c r="C73" s="227" t="s">
        <v>352</v>
      </c>
      <c r="D73" s="226" t="s">
        <v>257</v>
      </c>
      <c r="E73" s="226" t="s">
        <v>304</v>
      </c>
    </row>
    <row r="74" spans="1:5" x14ac:dyDescent="0.2">
      <c r="A74" s="226" t="s">
        <v>337</v>
      </c>
      <c r="B74" s="226" t="s">
        <v>261</v>
      </c>
      <c r="C74" s="227" t="s">
        <v>353</v>
      </c>
      <c r="D74" s="226" t="s">
        <v>257</v>
      </c>
      <c r="E74" s="226" t="s">
        <v>304</v>
      </c>
    </row>
    <row r="75" spans="1:5" x14ac:dyDescent="0.2">
      <c r="A75" s="226" t="s">
        <v>337</v>
      </c>
      <c r="B75" s="226" t="s">
        <v>261</v>
      </c>
      <c r="C75" s="227" t="s">
        <v>354</v>
      </c>
      <c r="D75" s="226" t="s">
        <v>257</v>
      </c>
      <c r="E75" s="226" t="s">
        <v>304</v>
      </c>
    </row>
    <row r="76" spans="1:5" x14ac:dyDescent="0.2">
      <c r="A76" s="226" t="s">
        <v>337</v>
      </c>
      <c r="B76" s="226" t="s">
        <v>261</v>
      </c>
      <c r="C76" s="227" t="s">
        <v>355</v>
      </c>
      <c r="D76" s="226" t="s">
        <v>257</v>
      </c>
      <c r="E76" s="226" t="s">
        <v>304</v>
      </c>
    </row>
    <row r="77" spans="1:5" x14ac:dyDescent="0.2">
      <c r="A77" s="226" t="s">
        <v>337</v>
      </c>
      <c r="B77" s="226" t="s">
        <v>261</v>
      </c>
      <c r="C77" s="227" t="s">
        <v>356</v>
      </c>
      <c r="D77" s="226" t="s">
        <v>257</v>
      </c>
      <c r="E77" s="226" t="s">
        <v>304</v>
      </c>
    </row>
    <row r="78" spans="1:5" x14ac:dyDescent="0.2">
      <c r="A78" s="226" t="s">
        <v>337</v>
      </c>
      <c r="B78" s="226" t="s">
        <v>261</v>
      </c>
      <c r="C78" s="227" t="s">
        <v>357</v>
      </c>
      <c r="D78" s="226" t="s">
        <v>257</v>
      </c>
      <c r="E78" s="226" t="s">
        <v>304</v>
      </c>
    </row>
    <row r="79" spans="1:5" x14ac:dyDescent="0.2">
      <c r="A79" s="226" t="s">
        <v>337</v>
      </c>
      <c r="B79" s="226" t="s">
        <v>261</v>
      </c>
      <c r="C79" s="227" t="s">
        <v>358</v>
      </c>
      <c r="D79" s="226" t="s">
        <v>257</v>
      </c>
      <c r="E79" s="226" t="s">
        <v>304</v>
      </c>
    </row>
    <row r="80" spans="1:5" x14ac:dyDescent="0.2">
      <c r="A80" s="226" t="s">
        <v>337</v>
      </c>
      <c r="B80" s="226" t="s">
        <v>261</v>
      </c>
      <c r="C80" s="227" t="s">
        <v>359</v>
      </c>
      <c r="D80" s="226" t="s">
        <v>257</v>
      </c>
      <c r="E80" s="226" t="s">
        <v>304</v>
      </c>
    </row>
    <row r="81" spans="1:5" x14ac:dyDescent="0.2">
      <c r="A81" s="226" t="s">
        <v>337</v>
      </c>
      <c r="B81" s="226" t="s">
        <v>261</v>
      </c>
      <c r="C81" s="227" t="s">
        <v>360</v>
      </c>
      <c r="D81" s="226" t="s">
        <v>257</v>
      </c>
      <c r="E81" s="226" t="s">
        <v>304</v>
      </c>
    </row>
    <row r="82" spans="1:5" x14ac:dyDescent="0.2">
      <c r="A82" s="226" t="s">
        <v>337</v>
      </c>
      <c r="B82" s="226" t="s">
        <v>261</v>
      </c>
      <c r="C82" s="226" t="s">
        <v>361</v>
      </c>
      <c r="D82" s="226" t="s">
        <v>257</v>
      </c>
      <c r="E82" s="226" t="s">
        <v>304</v>
      </c>
    </row>
    <row r="83" spans="1:5" x14ac:dyDescent="0.2">
      <c r="A83" s="226" t="s">
        <v>337</v>
      </c>
      <c r="B83" s="226" t="s">
        <v>261</v>
      </c>
      <c r="C83" s="226" t="s">
        <v>362</v>
      </c>
      <c r="D83" s="226" t="s">
        <v>257</v>
      </c>
      <c r="E83" s="226" t="s">
        <v>304</v>
      </c>
    </row>
    <row r="84" spans="1:5" x14ac:dyDescent="0.2">
      <c r="A84" s="226" t="s">
        <v>337</v>
      </c>
      <c r="B84" s="226" t="s">
        <v>261</v>
      </c>
      <c r="C84" s="227" t="s">
        <v>363</v>
      </c>
      <c r="D84" s="226" t="s">
        <v>257</v>
      </c>
      <c r="E84" s="226" t="s">
        <v>304</v>
      </c>
    </row>
    <row r="85" spans="1:5" x14ac:dyDescent="0.2">
      <c r="A85" s="226" t="s">
        <v>337</v>
      </c>
      <c r="B85" s="226" t="s">
        <v>261</v>
      </c>
      <c r="C85" s="227" t="s">
        <v>364</v>
      </c>
      <c r="D85" s="226" t="s">
        <v>257</v>
      </c>
      <c r="E85" s="226" t="s">
        <v>304</v>
      </c>
    </row>
    <row r="86" spans="1:5" x14ac:dyDescent="0.2">
      <c r="A86" s="226" t="s">
        <v>337</v>
      </c>
      <c r="B86" s="226" t="s">
        <v>261</v>
      </c>
      <c r="C86" s="226" t="s">
        <v>365</v>
      </c>
      <c r="D86" s="226" t="s">
        <v>257</v>
      </c>
      <c r="E86" s="226" t="s">
        <v>304</v>
      </c>
    </row>
    <row r="87" spans="1:5" x14ac:dyDescent="0.2">
      <c r="A87" s="226" t="s">
        <v>337</v>
      </c>
      <c r="B87" s="226" t="s">
        <v>261</v>
      </c>
      <c r="C87" s="227" t="s">
        <v>366</v>
      </c>
      <c r="D87" s="226" t="s">
        <v>257</v>
      </c>
      <c r="E87" s="226" t="s">
        <v>304</v>
      </c>
    </row>
    <row r="88" spans="1:5" x14ac:dyDescent="0.2">
      <c r="A88" s="226" t="s">
        <v>337</v>
      </c>
      <c r="B88" s="226" t="s">
        <v>261</v>
      </c>
      <c r="C88" s="226" t="s">
        <v>367</v>
      </c>
      <c r="D88" s="226" t="s">
        <v>257</v>
      </c>
      <c r="E88" s="226" t="s">
        <v>304</v>
      </c>
    </row>
    <row r="89" spans="1:5" x14ac:dyDescent="0.2">
      <c r="A89" s="226" t="s">
        <v>337</v>
      </c>
      <c r="B89" s="226" t="s">
        <v>261</v>
      </c>
      <c r="C89" s="227" t="s">
        <v>368</v>
      </c>
      <c r="D89" s="226" t="s">
        <v>257</v>
      </c>
      <c r="E89" s="226" t="s">
        <v>304</v>
      </c>
    </row>
    <row r="90" spans="1:5" x14ac:dyDescent="0.2">
      <c r="A90" s="226" t="s">
        <v>337</v>
      </c>
      <c r="B90" s="226" t="s">
        <v>261</v>
      </c>
      <c r="C90" s="227" t="s">
        <v>369</v>
      </c>
      <c r="D90" s="226" t="s">
        <v>257</v>
      </c>
      <c r="E90" s="226" t="s">
        <v>304</v>
      </c>
    </row>
    <row r="91" spans="1:5" x14ac:dyDescent="0.2">
      <c r="A91" s="226" t="s">
        <v>370</v>
      </c>
      <c r="B91" s="226" t="s">
        <v>371</v>
      </c>
      <c r="C91" s="226" t="s">
        <v>372</v>
      </c>
      <c r="D91" s="226" t="s">
        <v>373</v>
      </c>
      <c r="E91" s="226" t="s">
        <v>374</v>
      </c>
    </row>
    <row r="92" spans="1:5" x14ac:dyDescent="0.2">
      <c r="A92" s="226" t="s">
        <v>370</v>
      </c>
      <c r="B92" s="226" t="s">
        <v>371</v>
      </c>
      <c r="C92" s="226" t="s">
        <v>375</v>
      </c>
      <c r="D92" s="226" t="s">
        <v>373</v>
      </c>
      <c r="E92" s="226" t="s">
        <v>374</v>
      </c>
    </row>
    <row r="93" spans="1:5" x14ac:dyDescent="0.2">
      <c r="A93" s="226" t="s">
        <v>370</v>
      </c>
      <c r="B93" s="227" t="s">
        <v>371</v>
      </c>
      <c r="C93" s="227" t="s">
        <v>376</v>
      </c>
      <c r="D93" s="226" t="s">
        <v>373</v>
      </c>
      <c r="E93" s="226" t="s">
        <v>374</v>
      </c>
    </row>
    <row r="94" spans="1:5" x14ac:dyDescent="0.2">
      <c r="A94" s="226" t="s">
        <v>370</v>
      </c>
      <c r="B94" s="227" t="s">
        <v>371</v>
      </c>
      <c r="C94" s="227" t="s">
        <v>377</v>
      </c>
      <c r="D94" s="226" t="s">
        <v>373</v>
      </c>
      <c r="E94" s="226" t="s">
        <v>374</v>
      </c>
    </row>
    <row r="95" spans="1:5" x14ac:dyDescent="0.2">
      <c r="A95" s="226" t="s">
        <v>370</v>
      </c>
      <c r="B95" s="227" t="s">
        <v>371</v>
      </c>
      <c r="C95" s="227" t="s">
        <v>378</v>
      </c>
      <c r="D95" s="226" t="s">
        <v>373</v>
      </c>
      <c r="E95" s="226" t="s">
        <v>374</v>
      </c>
    </row>
    <row r="96" spans="1:5" x14ac:dyDescent="0.2">
      <c r="A96" s="226" t="s">
        <v>370</v>
      </c>
      <c r="B96" s="227" t="s">
        <v>371</v>
      </c>
      <c r="C96" s="227" t="s">
        <v>379</v>
      </c>
      <c r="D96" s="226" t="s">
        <v>373</v>
      </c>
      <c r="E96" s="226" t="s">
        <v>374</v>
      </c>
    </row>
    <row r="97" spans="1:5" x14ac:dyDescent="0.2">
      <c r="A97" s="226" t="s">
        <v>370</v>
      </c>
      <c r="B97" s="227" t="s">
        <v>371</v>
      </c>
      <c r="C97" s="227" t="s">
        <v>380</v>
      </c>
      <c r="D97" s="226" t="s">
        <v>373</v>
      </c>
      <c r="E97" s="226" t="s">
        <v>374</v>
      </c>
    </row>
    <row r="98" spans="1:5" x14ac:dyDescent="0.2">
      <c r="A98" s="226" t="s">
        <v>370</v>
      </c>
      <c r="B98" s="227" t="s">
        <v>371</v>
      </c>
      <c r="C98" s="227" t="s">
        <v>381</v>
      </c>
      <c r="D98" s="226" t="s">
        <v>373</v>
      </c>
      <c r="E98" s="226" t="s">
        <v>374</v>
      </c>
    </row>
    <row r="99" spans="1:5" x14ac:dyDescent="0.2">
      <c r="A99" s="226" t="s">
        <v>370</v>
      </c>
      <c r="B99" s="227" t="s">
        <v>371</v>
      </c>
      <c r="C99" s="227" t="s">
        <v>382</v>
      </c>
      <c r="D99" s="226" t="s">
        <v>373</v>
      </c>
      <c r="E99" s="226" t="s">
        <v>374</v>
      </c>
    </row>
    <row r="100" spans="1:5" x14ac:dyDescent="0.2">
      <c r="A100" s="226" t="s">
        <v>370</v>
      </c>
      <c r="B100" s="226" t="s">
        <v>371</v>
      </c>
      <c r="C100" s="226" t="s">
        <v>383</v>
      </c>
      <c r="D100" s="226" t="s">
        <v>373</v>
      </c>
      <c r="E100" s="226" t="s">
        <v>374</v>
      </c>
    </row>
    <row r="101" spans="1:5" x14ac:dyDescent="0.2">
      <c r="A101" s="226" t="s">
        <v>370</v>
      </c>
      <c r="B101" s="226" t="s">
        <v>384</v>
      </c>
      <c r="C101" s="226" t="s">
        <v>385</v>
      </c>
      <c r="D101" s="226" t="s">
        <v>373</v>
      </c>
      <c r="E101" s="226" t="s">
        <v>374</v>
      </c>
    </row>
    <row r="102" spans="1:5" x14ac:dyDescent="0.2">
      <c r="A102" s="226" t="s">
        <v>370</v>
      </c>
      <c r="B102" s="226" t="s">
        <v>384</v>
      </c>
      <c r="C102" s="226" t="s">
        <v>386</v>
      </c>
      <c r="D102" s="226" t="s">
        <v>373</v>
      </c>
      <c r="E102" s="226" t="s">
        <v>374</v>
      </c>
    </row>
    <row r="103" spans="1:5" x14ac:dyDescent="0.2">
      <c r="A103" s="226" t="s">
        <v>370</v>
      </c>
      <c r="B103" s="227" t="s">
        <v>384</v>
      </c>
      <c r="C103" s="227" t="s">
        <v>387</v>
      </c>
      <c r="D103" s="226" t="s">
        <v>373</v>
      </c>
      <c r="E103" s="226" t="s">
        <v>374</v>
      </c>
    </row>
    <row r="104" spans="1:5" x14ac:dyDescent="0.2">
      <c r="A104" s="226" t="s">
        <v>370</v>
      </c>
      <c r="B104" s="227" t="s">
        <v>384</v>
      </c>
      <c r="C104" s="227" t="s">
        <v>388</v>
      </c>
      <c r="D104" s="226" t="s">
        <v>373</v>
      </c>
      <c r="E104" s="226" t="s">
        <v>374</v>
      </c>
    </row>
    <row r="105" spans="1:5" x14ac:dyDescent="0.2">
      <c r="A105" s="226" t="s">
        <v>370</v>
      </c>
      <c r="B105" s="227" t="s">
        <v>384</v>
      </c>
      <c r="C105" s="227" t="s">
        <v>389</v>
      </c>
      <c r="D105" s="226" t="s">
        <v>373</v>
      </c>
      <c r="E105" s="226" t="s">
        <v>374</v>
      </c>
    </row>
    <row r="106" spans="1:5" x14ac:dyDescent="0.2">
      <c r="A106" s="226" t="s">
        <v>370</v>
      </c>
      <c r="B106" s="227" t="s">
        <v>384</v>
      </c>
      <c r="C106" s="227" t="s">
        <v>390</v>
      </c>
      <c r="D106" s="226" t="s">
        <v>373</v>
      </c>
      <c r="E106" s="226" t="s">
        <v>374</v>
      </c>
    </row>
    <row r="107" spans="1:5" x14ac:dyDescent="0.2">
      <c r="A107" s="226" t="s">
        <v>370</v>
      </c>
      <c r="B107" s="227" t="s">
        <v>384</v>
      </c>
      <c r="C107" s="227" t="s">
        <v>391</v>
      </c>
      <c r="D107" s="226" t="s">
        <v>373</v>
      </c>
      <c r="E107" s="226" t="s">
        <v>374</v>
      </c>
    </row>
    <row r="108" spans="1:5" x14ac:dyDescent="0.2">
      <c r="A108" s="226" t="s">
        <v>370</v>
      </c>
      <c r="B108" s="227" t="s">
        <v>384</v>
      </c>
      <c r="C108" s="227" t="s">
        <v>392</v>
      </c>
      <c r="D108" s="226" t="s">
        <v>373</v>
      </c>
      <c r="E108" s="226" t="s">
        <v>374</v>
      </c>
    </row>
    <row r="109" spans="1:5" x14ac:dyDescent="0.2">
      <c r="A109" s="226" t="s">
        <v>370</v>
      </c>
      <c r="B109" s="227" t="s">
        <v>384</v>
      </c>
      <c r="C109" s="227" t="s">
        <v>393</v>
      </c>
      <c r="D109" s="226" t="s">
        <v>373</v>
      </c>
      <c r="E109" s="226" t="s">
        <v>374</v>
      </c>
    </row>
    <row r="110" spans="1:5" x14ac:dyDescent="0.2">
      <c r="A110" s="226" t="s">
        <v>370</v>
      </c>
      <c r="B110" s="227" t="s">
        <v>384</v>
      </c>
      <c r="C110" s="227" t="s">
        <v>394</v>
      </c>
      <c r="D110" s="226" t="s">
        <v>373</v>
      </c>
      <c r="E110" s="226" t="s">
        <v>374</v>
      </c>
    </row>
    <row r="111" spans="1:5" x14ac:dyDescent="0.2">
      <c r="A111" s="226" t="s">
        <v>370</v>
      </c>
      <c r="B111" s="227" t="s">
        <v>384</v>
      </c>
      <c r="C111" s="227" t="s">
        <v>395</v>
      </c>
      <c r="D111" s="226" t="s">
        <v>373</v>
      </c>
      <c r="E111" s="226" t="s">
        <v>374</v>
      </c>
    </row>
    <row r="112" spans="1:5" x14ac:dyDescent="0.2">
      <c r="A112" s="226" t="s">
        <v>370</v>
      </c>
      <c r="B112" s="227" t="s">
        <v>384</v>
      </c>
      <c r="C112" s="227" t="s">
        <v>396</v>
      </c>
      <c r="D112" s="226" t="s">
        <v>373</v>
      </c>
      <c r="E112" s="226" t="s">
        <v>374</v>
      </c>
    </row>
    <row r="113" spans="1:5" x14ac:dyDescent="0.2">
      <c r="A113" s="226" t="s">
        <v>370</v>
      </c>
      <c r="B113" s="227" t="s">
        <v>384</v>
      </c>
      <c r="C113" s="227" t="s">
        <v>397</v>
      </c>
      <c r="D113" s="226" t="s">
        <v>373</v>
      </c>
      <c r="E113" s="226" t="s">
        <v>374</v>
      </c>
    </row>
    <row r="114" spans="1:5" x14ac:dyDescent="0.2">
      <c r="A114" s="226" t="s">
        <v>370</v>
      </c>
      <c r="B114" s="227" t="s">
        <v>384</v>
      </c>
      <c r="C114" s="227" t="s">
        <v>398</v>
      </c>
      <c r="D114" s="226" t="s">
        <v>373</v>
      </c>
      <c r="E114" s="226" t="s">
        <v>374</v>
      </c>
    </row>
    <row r="115" spans="1:5" x14ac:dyDescent="0.2">
      <c r="A115" s="226" t="s">
        <v>370</v>
      </c>
      <c r="B115" s="227" t="s">
        <v>384</v>
      </c>
      <c r="C115" s="227" t="s">
        <v>399</v>
      </c>
      <c r="D115" s="226" t="s">
        <v>373</v>
      </c>
      <c r="E115" s="226" t="s">
        <v>374</v>
      </c>
    </row>
    <row r="116" spans="1:5" x14ac:dyDescent="0.2">
      <c r="A116" s="226" t="s">
        <v>370</v>
      </c>
      <c r="B116" s="227" t="s">
        <v>384</v>
      </c>
      <c r="C116" s="227" t="s">
        <v>400</v>
      </c>
      <c r="D116" s="226" t="s">
        <v>373</v>
      </c>
      <c r="E116" s="226" t="s">
        <v>374</v>
      </c>
    </row>
    <row r="117" spans="1:5" x14ac:dyDescent="0.2">
      <c r="A117" s="226" t="s">
        <v>370</v>
      </c>
      <c r="B117" s="227" t="s">
        <v>384</v>
      </c>
      <c r="C117" s="227" t="s">
        <v>401</v>
      </c>
      <c r="D117" s="226" t="s">
        <v>373</v>
      </c>
      <c r="E117" s="226" t="s">
        <v>374</v>
      </c>
    </row>
    <row r="118" spans="1:5" x14ac:dyDescent="0.2">
      <c r="A118" s="226" t="s">
        <v>370</v>
      </c>
      <c r="B118" s="227" t="s">
        <v>384</v>
      </c>
      <c r="C118" s="227" t="s">
        <v>402</v>
      </c>
      <c r="D118" s="226" t="s">
        <v>373</v>
      </c>
      <c r="E118" s="226" t="s">
        <v>374</v>
      </c>
    </row>
    <row r="119" spans="1:5" x14ac:dyDescent="0.2">
      <c r="A119" s="226" t="s">
        <v>370</v>
      </c>
      <c r="B119" s="227" t="s">
        <v>384</v>
      </c>
      <c r="C119" s="227" t="s">
        <v>403</v>
      </c>
      <c r="D119" s="226" t="s">
        <v>373</v>
      </c>
      <c r="E119" s="226" t="s">
        <v>374</v>
      </c>
    </row>
    <row r="120" spans="1:5" x14ac:dyDescent="0.2">
      <c r="A120" s="226" t="s">
        <v>370</v>
      </c>
      <c r="B120" s="227" t="s">
        <v>384</v>
      </c>
      <c r="C120" s="227" t="s">
        <v>404</v>
      </c>
      <c r="D120" s="226" t="s">
        <v>373</v>
      </c>
      <c r="E120" s="226" t="s">
        <v>374</v>
      </c>
    </row>
    <row r="121" spans="1:5" x14ac:dyDescent="0.2">
      <c r="A121" s="226" t="s">
        <v>370</v>
      </c>
      <c r="B121" s="227" t="s">
        <v>384</v>
      </c>
      <c r="C121" s="227" t="s">
        <v>405</v>
      </c>
      <c r="D121" s="226" t="s">
        <v>373</v>
      </c>
      <c r="E121" s="226" t="s">
        <v>374</v>
      </c>
    </row>
    <row r="122" spans="1:5" x14ac:dyDescent="0.2">
      <c r="A122" s="226" t="s">
        <v>370</v>
      </c>
      <c r="B122" s="227" t="s">
        <v>384</v>
      </c>
      <c r="C122" s="227" t="s">
        <v>406</v>
      </c>
      <c r="D122" s="226" t="s">
        <v>373</v>
      </c>
      <c r="E122" s="226" t="s">
        <v>374</v>
      </c>
    </row>
    <row r="123" spans="1:5" x14ac:dyDescent="0.2">
      <c r="A123" s="226" t="s">
        <v>370</v>
      </c>
      <c r="B123" s="227" t="s">
        <v>384</v>
      </c>
      <c r="C123" s="227" t="s">
        <v>407</v>
      </c>
      <c r="D123" s="226" t="s">
        <v>373</v>
      </c>
      <c r="E123" s="226" t="s">
        <v>374</v>
      </c>
    </row>
    <row r="124" spans="1:5" x14ac:dyDescent="0.2">
      <c r="A124" s="226" t="s">
        <v>370</v>
      </c>
      <c r="B124" s="227" t="s">
        <v>384</v>
      </c>
      <c r="C124" s="227" t="s">
        <v>408</v>
      </c>
      <c r="D124" s="226" t="s">
        <v>373</v>
      </c>
      <c r="E124" s="226" t="s">
        <v>374</v>
      </c>
    </row>
    <row r="125" spans="1:5" x14ac:dyDescent="0.2">
      <c r="A125" s="226" t="s">
        <v>370</v>
      </c>
      <c r="B125" s="227" t="s">
        <v>384</v>
      </c>
      <c r="C125" s="227" t="s">
        <v>409</v>
      </c>
      <c r="D125" s="226" t="s">
        <v>373</v>
      </c>
      <c r="E125" s="226" t="s">
        <v>374</v>
      </c>
    </row>
    <row r="126" spans="1:5" x14ac:dyDescent="0.2">
      <c r="A126" s="226" t="s">
        <v>370</v>
      </c>
      <c r="B126" s="227" t="s">
        <v>384</v>
      </c>
      <c r="C126" s="227" t="s">
        <v>410</v>
      </c>
      <c r="D126" s="226" t="s">
        <v>373</v>
      </c>
      <c r="E126" s="226" t="s">
        <v>374</v>
      </c>
    </row>
    <row r="127" spans="1:5" x14ac:dyDescent="0.2">
      <c r="A127" s="226" t="s">
        <v>370</v>
      </c>
      <c r="B127" s="227" t="s">
        <v>384</v>
      </c>
      <c r="C127" s="227" t="s">
        <v>411</v>
      </c>
      <c r="D127" s="226" t="s">
        <v>373</v>
      </c>
      <c r="E127" s="226" t="s">
        <v>374</v>
      </c>
    </row>
    <row r="128" spans="1:5" x14ac:dyDescent="0.2">
      <c r="A128" s="226" t="s">
        <v>370</v>
      </c>
      <c r="B128" s="227" t="s">
        <v>384</v>
      </c>
      <c r="C128" s="227" t="s">
        <v>412</v>
      </c>
      <c r="D128" s="226" t="s">
        <v>373</v>
      </c>
      <c r="E128" s="226" t="s">
        <v>374</v>
      </c>
    </row>
    <row r="129" spans="1:5" x14ac:dyDescent="0.2">
      <c r="A129" s="226" t="s">
        <v>370</v>
      </c>
      <c r="B129" s="226" t="s">
        <v>413</v>
      </c>
      <c r="C129" s="226" t="s">
        <v>414</v>
      </c>
      <c r="D129" s="226" t="s">
        <v>373</v>
      </c>
      <c r="E129" s="226" t="s">
        <v>374</v>
      </c>
    </row>
    <row r="130" spans="1:5" x14ac:dyDescent="0.2">
      <c r="A130" s="226" t="s">
        <v>370</v>
      </c>
      <c r="B130" s="226" t="s">
        <v>413</v>
      </c>
      <c r="C130" s="226" t="s">
        <v>415</v>
      </c>
      <c r="D130" s="226" t="s">
        <v>373</v>
      </c>
      <c r="E130" s="226" t="s">
        <v>374</v>
      </c>
    </row>
    <row r="131" spans="1:5" x14ac:dyDescent="0.2">
      <c r="A131" s="226" t="s">
        <v>370</v>
      </c>
      <c r="B131" s="227" t="s">
        <v>413</v>
      </c>
      <c r="C131" s="227" t="s">
        <v>416</v>
      </c>
      <c r="D131" s="226" t="s">
        <v>373</v>
      </c>
      <c r="E131" s="226" t="s">
        <v>374</v>
      </c>
    </row>
    <row r="132" spans="1:5" x14ac:dyDescent="0.2">
      <c r="A132" s="226" t="s">
        <v>370</v>
      </c>
      <c r="B132" s="227" t="s">
        <v>413</v>
      </c>
      <c r="C132" s="227" t="s">
        <v>417</v>
      </c>
      <c r="D132" s="226" t="s">
        <v>373</v>
      </c>
      <c r="E132" s="226" t="s">
        <v>374</v>
      </c>
    </row>
    <row r="133" spans="1:5" x14ac:dyDescent="0.2">
      <c r="A133" s="226" t="s">
        <v>370</v>
      </c>
      <c r="B133" s="227" t="s">
        <v>413</v>
      </c>
      <c r="C133" s="227" t="s">
        <v>418</v>
      </c>
      <c r="D133" s="226" t="s">
        <v>373</v>
      </c>
      <c r="E133" s="226" t="s">
        <v>374</v>
      </c>
    </row>
    <row r="134" spans="1:5" x14ac:dyDescent="0.2">
      <c r="A134" s="226" t="s">
        <v>370</v>
      </c>
      <c r="B134" s="227" t="s">
        <v>413</v>
      </c>
      <c r="C134" s="227" t="s">
        <v>419</v>
      </c>
      <c r="D134" s="226" t="s">
        <v>373</v>
      </c>
      <c r="E134" s="226" t="s">
        <v>374</v>
      </c>
    </row>
    <row r="135" spans="1:5" x14ac:dyDescent="0.2">
      <c r="A135" s="226" t="s">
        <v>370</v>
      </c>
      <c r="B135" s="227" t="s">
        <v>413</v>
      </c>
      <c r="C135" s="227" t="s">
        <v>420</v>
      </c>
      <c r="D135" s="226" t="s">
        <v>373</v>
      </c>
      <c r="E135" s="226" t="s">
        <v>374</v>
      </c>
    </row>
    <row r="136" spans="1:5" x14ac:dyDescent="0.2">
      <c r="A136" s="226" t="s">
        <v>370</v>
      </c>
      <c r="B136" s="227" t="s">
        <v>413</v>
      </c>
      <c r="C136" s="227" t="s">
        <v>421</v>
      </c>
      <c r="D136" s="226" t="s">
        <v>373</v>
      </c>
      <c r="E136" s="226" t="s">
        <v>374</v>
      </c>
    </row>
    <row r="137" spans="1:5" x14ac:dyDescent="0.2">
      <c r="A137" s="226" t="s">
        <v>370</v>
      </c>
      <c r="B137" s="227" t="s">
        <v>413</v>
      </c>
      <c r="C137" s="227" t="s">
        <v>422</v>
      </c>
      <c r="D137" s="226" t="s">
        <v>373</v>
      </c>
      <c r="E137" s="226" t="s">
        <v>374</v>
      </c>
    </row>
    <row r="138" spans="1:5" x14ac:dyDescent="0.2">
      <c r="A138" s="226" t="s">
        <v>370</v>
      </c>
      <c r="B138" s="227" t="s">
        <v>413</v>
      </c>
      <c r="C138" s="227" t="s">
        <v>423</v>
      </c>
      <c r="D138" s="226" t="s">
        <v>373</v>
      </c>
      <c r="E138" s="226" t="s">
        <v>374</v>
      </c>
    </row>
    <row r="139" spans="1:5" x14ac:dyDescent="0.2">
      <c r="A139" s="226" t="s">
        <v>370</v>
      </c>
      <c r="B139" s="227" t="s">
        <v>413</v>
      </c>
      <c r="C139" s="227" t="s">
        <v>424</v>
      </c>
      <c r="D139" s="226" t="s">
        <v>373</v>
      </c>
      <c r="E139" s="226" t="s">
        <v>374</v>
      </c>
    </row>
    <row r="140" spans="1:5" x14ac:dyDescent="0.2">
      <c r="A140" s="226" t="s">
        <v>370</v>
      </c>
      <c r="B140" s="227" t="s">
        <v>413</v>
      </c>
      <c r="C140" s="227" t="s">
        <v>425</v>
      </c>
      <c r="D140" s="226" t="s">
        <v>373</v>
      </c>
      <c r="E140" s="226" t="s">
        <v>374</v>
      </c>
    </row>
    <row r="141" spans="1:5" x14ac:dyDescent="0.2">
      <c r="A141" s="226" t="s">
        <v>370</v>
      </c>
      <c r="B141" s="227" t="s">
        <v>413</v>
      </c>
      <c r="C141" s="227" t="s">
        <v>426</v>
      </c>
      <c r="D141" s="226" t="s">
        <v>373</v>
      </c>
      <c r="E141" s="226" t="s">
        <v>374</v>
      </c>
    </row>
    <row r="142" spans="1:5" x14ac:dyDescent="0.2">
      <c r="A142" s="226" t="s">
        <v>370</v>
      </c>
      <c r="B142" s="227" t="s">
        <v>413</v>
      </c>
      <c r="C142" s="227" t="s">
        <v>427</v>
      </c>
      <c r="D142" s="226" t="s">
        <v>373</v>
      </c>
      <c r="E142" s="226" t="s">
        <v>374</v>
      </c>
    </row>
    <row r="143" spans="1:5" x14ac:dyDescent="0.2">
      <c r="A143" s="226" t="s">
        <v>370</v>
      </c>
      <c r="B143" s="227" t="s">
        <v>413</v>
      </c>
      <c r="C143" s="227" t="s">
        <v>428</v>
      </c>
      <c r="D143" s="226" t="s">
        <v>373</v>
      </c>
      <c r="E143" s="226" t="s">
        <v>374</v>
      </c>
    </row>
    <row r="144" spans="1:5" x14ac:dyDescent="0.2">
      <c r="A144" s="226" t="s">
        <v>370</v>
      </c>
      <c r="B144" s="227" t="s">
        <v>413</v>
      </c>
      <c r="C144" s="227" t="s">
        <v>429</v>
      </c>
      <c r="D144" s="226" t="s">
        <v>373</v>
      </c>
      <c r="E144" s="226" t="s">
        <v>374</v>
      </c>
    </row>
    <row r="145" spans="1:5" x14ac:dyDescent="0.2">
      <c r="A145" s="226" t="s">
        <v>370</v>
      </c>
      <c r="B145" s="227" t="s">
        <v>413</v>
      </c>
      <c r="C145" s="227" t="s">
        <v>430</v>
      </c>
      <c r="D145" s="226" t="s">
        <v>373</v>
      </c>
      <c r="E145" s="226" t="s">
        <v>374</v>
      </c>
    </row>
    <row r="146" spans="1:5" x14ac:dyDescent="0.2">
      <c r="A146" s="226" t="s">
        <v>431</v>
      </c>
      <c r="B146" s="226" t="s">
        <v>432</v>
      </c>
      <c r="C146" s="226" t="s">
        <v>433</v>
      </c>
      <c r="D146" s="226" t="s">
        <v>434</v>
      </c>
      <c r="E146" s="226" t="s">
        <v>168</v>
      </c>
    </row>
    <row r="147" spans="1:5" x14ac:dyDescent="0.2">
      <c r="A147" s="226" t="s">
        <v>431</v>
      </c>
      <c r="B147" s="226" t="s">
        <v>432</v>
      </c>
      <c r="C147" s="226" t="s">
        <v>435</v>
      </c>
      <c r="D147" s="226" t="s">
        <v>434</v>
      </c>
      <c r="E147" s="226" t="s">
        <v>168</v>
      </c>
    </row>
    <row r="148" spans="1:5" x14ac:dyDescent="0.2">
      <c r="A148" s="226" t="s">
        <v>431</v>
      </c>
      <c r="B148" s="226" t="s">
        <v>432</v>
      </c>
      <c r="C148" s="226" t="s">
        <v>436</v>
      </c>
      <c r="D148" s="226" t="s">
        <v>434</v>
      </c>
      <c r="E148" s="226" t="s">
        <v>168</v>
      </c>
    </row>
    <row r="149" spans="1:5" x14ac:dyDescent="0.2">
      <c r="A149" s="226" t="s">
        <v>431</v>
      </c>
      <c r="B149" s="227" t="s">
        <v>432</v>
      </c>
      <c r="C149" s="227" t="s">
        <v>437</v>
      </c>
      <c r="D149" s="226" t="s">
        <v>434</v>
      </c>
      <c r="E149" s="226" t="s">
        <v>168</v>
      </c>
    </row>
    <row r="150" spans="1:5" x14ac:dyDescent="0.2">
      <c r="A150" s="226" t="s">
        <v>431</v>
      </c>
      <c r="B150" s="226" t="s">
        <v>432</v>
      </c>
      <c r="C150" s="226" t="s">
        <v>438</v>
      </c>
      <c r="D150" s="226" t="s">
        <v>434</v>
      </c>
      <c r="E150" s="226" t="s">
        <v>168</v>
      </c>
    </row>
    <row r="151" spans="1:5" x14ac:dyDescent="0.2">
      <c r="A151" s="226" t="s">
        <v>431</v>
      </c>
      <c r="B151" s="227" t="s">
        <v>432</v>
      </c>
      <c r="C151" s="227" t="s">
        <v>439</v>
      </c>
      <c r="D151" s="226" t="s">
        <v>434</v>
      </c>
      <c r="E151" s="226" t="s">
        <v>168</v>
      </c>
    </row>
    <row r="152" spans="1:5" x14ac:dyDescent="0.2">
      <c r="A152" s="226" t="s">
        <v>431</v>
      </c>
      <c r="B152" s="227" t="s">
        <v>432</v>
      </c>
      <c r="C152" s="227" t="s">
        <v>440</v>
      </c>
      <c r="D152" s="226" t="s">
        <v>434</v>
      </c>
      <c r="E152" s="226" t="s">
        <v>168</v>
      </c>
    </row>
    <row r="153" spans="1:5" x14ac:dyDescent="0.2">
      <c r="A153" s="226" t="s">
        <v>431</v>
      </c>
      <c r="B153" s="227" t="s">
        <v>432</v>
      </c>
      <c r="C153" s="227" t="s">
        <v>441</v>
      </c>
      <c r="D153" s="226" t="s">
        <v>434</v>
      </c>
      <c r="E153" s="226" t="s">
        <v>168</v>
      </c>
    </row>
    <row r="154" spans="1:5" x14ac:dyDescent="0.2">
      <c r="A154" s="226" t="s">
        <v>431</v>
      </c>
      <c r="B154" s="227" t="s">
        <v>432</v>
      </c>
      <c r="C154" s="227" t="s">
        <v>442</v>
      </c>
      <c r="D154" s="226" t="s">
        <v>434</v>
      </c>
      <c r="E154" s="226" t="s">
        <v>168</v>
      </c>
    </row>
    <row r="155" spans="1:5" x14ac:dyDescent="0.2">
      <c r="A155" s="226" t="s">
        <v>431</v>
      </c>
      <c r="B155" s="227" t="s">
        <v>432</v>
      </c>
      <c r="C155" s="227" t="s">
        <v>443</v>
      </c>
      <c r="D155" s="226" t="s">
        <v>434</v>
      </c>
      <c r="E155" s="226" t="s">
        <v>168</v>
      </c>
    </row>
    <row r="156" spans="1:5" x14ac:dyDescent="0.2">
      <c r="A156" s="226" t="s">
        <v>431</v>
      </c>
      <c r="B156" s="226" t="s">
        <v>432</v>
      </c>
      <c r="C156" s="226" t="s">
        <v>444</v>
      </c>
      <c r="D156" s="226" t="s">
        <v>434</v>
      </c>
      <c r="E156" s="226" t="s">
        <v>168</v>
      </c>
    </row>
    <row r="157" spans="1:5" x14ac:dyDescent="0.2">
      <c r="A157" s="226" t="s">
        <v>431</v>
      </c>
      <c r="B157" s="227" t="s">
        <v>432</v>
      </c>
      <c r="C157" s="227" t="s">
        <v>445</v>
      </c>
      <c r="D157" s="226" t="s">
        <v>434</v>
      </c>
      <c r="E157" s="226" t="s">
        <v>168</v>
      </c>
    </row>
    <row r="158" spans="1:5" x14ac:dyDescent="0.2">
      <c r="A158" s="226" t="s">
        <v>431</v>
      </c>
      <c r="B158" s="227" t="s">
        <v>432</v>
      </c>
      <c r="C158" s="227" t="s">
        <v>446</v>
      </c>
      <c r="D158" s="226" t="s">
        <v>434</v>
      </c>
      <c r="E158" s="226" t="s">
        <v>168</v>
      </c>
    </row>
    <row r="159" spans="1:5" x14ac:dyDescent="0.2">
      <c r="A159" s="226" t="s">
        <v>431</v>
      </c>
      <c r="B159" s="227" t="s">
        <v>432</v>
      </c>
      <c r="C159" s="227" t="s">
        <v>447</v>
      </c>
      <c r="D159" s="226" t="s">
        <v>434</v>
      </c>
      <c r="E159" s="226" t="s">
        <v>168</v>
      </c>
    </row>
    <row r="160" spans="1:5" x14ac:dyDescent="0.2">
      <c r="A160" s="226" t="s">
        <v>431</v>
      </c>
      <c r="B160" s="227" t="s">
        <v>432</v>
      </c>
      <c r="C160" s="227" t="s">
        <v>448</v>
      </c>
      <c r="D160" s="226" t="s">
        <v>434</v>
      </c>
      <c r="E160" s="226" t="s">
        <v>168</v>
      </c>
    </row>
    <row r="161" spans="1:5" x14ac:dyDescent="0.2">
      <c r="A161" s="226" t="s">
        <v>431</v>
      </c>
      <c r="B161" s="227" t="s">
        <v>432</v>
      </c>
      <c r="C161" s="227" t="s">
        <v>449</v>
      </c>
      <c r="D161" s="226" t="s">
        <v>434</v>
      </c>
      <c r="E161" s="226" t="s">
        <v>168</v>
      </c>
    </row>
    <row r="162" spans="1:5" x14ac:dyDescent="0.2">
      <c r="A162" s="226" t="s">
        <v>431</v>
      </c>
      <c r="B162" s="227" t="s">
        <v>432</v>
      </c>
      <c r="C162" s="227" t="s">
        <v>450</v>
      </c>
      <c r="D162" s="226" t="s">
        <v>434</v>
      </c>
      <c r="E162" s="226" t="s">
        <v>168</v>
      </c>
    </row>
    <row r="163" spans="1:5" x14ac:dyDescent="0.2">
      <c r="A163" s="226" t="s">
        <v>431</v>
      </c>
      <c r="B163" s="227" t="s">
        <v>432</v>
      </c>
      <c r="C163" s="227" t="s">
        <v>451</v>
      </c>
      <c r="D163" s="226" t="s">
        <v>434</v>
      </c>
      <c r="E163" s="226" t="s">
        <v>168</v>
      </c>
    </row>
    <row r="164" spans="1:5" x14ac:dyDescent="0.2">
      <c r="A164" s="226" t="s">
        <v>431</v>
      </c>
      <c r="B164" s="227" t="s">
        <v>432</v>
      </c>
      <c r="C164" s="227" t="s">
        <v>452</v>
      </c>
      <c r="D164" s="226" t="s">
        <v>434</v>
      </c>
      <c r="E164" s="226" t="s">
        <v>168</v>
      </c>
    </row>
    <row r="165" spans="1:5" x14ac:dyDescent="0.2">
      <c r="A165" s="226" t="s">
        <v>431</v>
      </c>
      <c r="B165" s="227" t="s">
        <v>432</v>
      </c>
      <c r="C165" s="227" t="s">
        <v>453</v>
      </c>
      <c r="D165" s="226" t="s">
        <v>434</v>
      </c>
      <c r="E165" s="226" t="s">
        <v>168</v>
      </c>
    </row>
    <row r="166" spans="1:5" x14ac:dyDescent="0.2">
      <c r="A166" s="226" t="s">
        <v>431</v>
      </c>
      <c r="B166" s="227" t="s">
        <v>432</v>
      </c>
      <c r="C166" s="227" t="s">
        <v>454</v>
      </c>
      <c r="D166" s="226" t="s">
        <v>434</v>
      </c>
      <c r="E166" s="226" t="s">
        <v>168</v>
      </c>
    </row>
    <row r="167" spans="1:5" x14ac:dyDescent="0.2">
      <c r="A167" s="226" t="s">
        <v>431</v>
      </c>
      <c r="B167" s="227" t="s">
        <v>432</v>
      </c>
      <c r="C167" s="227" t="s">
        <v>455</v>
      </c>
      <c r="D167" s="226" t="s">
        <v>434</v>
      </c>
      <c r="E167" s="226" t="s">
        <v>168</v>
      </c>
    </row>
    <row r="168" spans="1:5" x14ac:dyDescent="0.2">
      <c r="A168" s="226" t="s">
        <v>431</v>
      </c>
      <c r="B168" s="227" t="s">
        <v>432</v>
      </c>
      <c r="C168" s="227" t="s">
        <v>456</v>
      </c>
      <c r="D168" s="226" t="s">
        <v>434</v>
      </c>
      <c r="E168" s="226" t="s">
        <v>168</v>
      </c>
    </row>
    <row r="169" spans="1:5" x14ac:dyDescent="0.2">
      <c r="A169" s="226" t="s">
        <v>431</v>
      </c>
      <c r="B169" s="227" t="s">
        <v>432</v>
      </c>
      <c r="C169" s="227" t="s">
        <v>457</v>
      </c>
      <c r="D169" s="226" t="s">
        <v>434</v>
      </c>
      <c r="E169" s="226" t="s">
        <v>168</v>
      </c>
    </row>
    <row r="170" spans="1:5" x14ac:dyDescent="0.2">
      <c r="A170" s="226" t="s">
        <v>431</v>
      </c>
      <c r="B170" s="227" t="s">
        <v>432</v>
      </c>
      <c r="C170" s="227" t="s">
        <v>458</v>
      </c>
      <c r="D170" s="226" t="s">
        <v>434</v>
      </c>
      <c r="E170" s="226" t="s">
        <v>168</v>
      </c>
    </row>
    <row r="171" spans="1:5" x14ac:dyDescent="0.2">
      <c r="A171" s="226" t="s">
        <v>431</v>
      </c>
      <c r="B171" s="227" t="s">
        <v>432</v>
      </c>
      <c r="C171" s="227" t="s">
        <v>459</v>
      </c>
      <c r="D171" s="226" t="s">
        <v>434</v>
      </c>
      <c r="E171" s="226" t="s">
        <v>168</v>
      </c>
    </row>
    <row r="172" spans="1:5" x14ac:dyDescent="0.2">
      <c r="A172" s="226" t="s">
        <v>431</v>
      </c>
      <c r="B172" s="227" t="s">
        <v>432</v>
      </c>
      <c r="C172" s="227" t="s">
        <v>460</v>
      </c>
      <c r="D172" s="226" t="s">
        <v>434</v>
      </c>
      <c r="E172" s="226" t="s">
        <v>168</v>
      </c>
    </row>
    <row r="173" spans="1:5" x14ac:dyDescent="0.2">
      <c r="A173" s="226" t="s">
        <v>431</v>
      </c>
      <c r="B173" s="227" t="s">
        <v>432</v>
      </c>
      <c r="C173" s="227" t="s">
        <v>461</v>
      </c>
      <c r="D173" s="226" t="s">
        <v>434</v>
      </c>
      <c r="E173" s="226" t="s">
        <v>168</v>
      </c>
    </row>
    <row r="174" spans="1:5" x14ac:dyDescent="0.2">
      <c r="A174" s="226" t="s">
        <v>431</v>
      </c>
      <c r="B174" s="227" t="s">
        <v>432</v>
      </c>
      <c r="C174" s="227" t="s">
        <v>462</v>
      </c>
      <c r="D174" s="226" t="s">
        <v>434</v>
      </c>
      <c r="E174" s="226" t="s">
        <v>168</v>
      </c>
    </row>
    <row r="175" spans="1:5" x14ac:dyDescent="0.2">
      <c r="A175" s="226" t="s">
        <v>431</v>
      </c>
      <c r="B175" s="227" t="s">
        <v>432</v>
      </c>
      <c r="C175" s="227" t="s">
        <v>463</v>
      </c>
      <c r="D175" s="226" t="s">
        <v>434</v>
      </c>
      <c r="E175" s="226" t="s">
        <v>168</v>
      </c>
    </row>
    <row r="176" spans="1:5" x14ac:dyDescent="0.2">
      <c r="A176" s="226" t="s">
        <v>431</v>
      </c>
      <c r="B176" s="227" t="s">
        <v>432</v>
      </c>
      <c r="C176" s="227" t="s">
        <v>464</v>
      </c>
      <c r="D176" s="226" t="s">
        <v>434</v>
      </c>
      <c r="E176" s="226" t="s">
        <v>168</v>
      </c>
    </row>
    <row r="177" spans="1:5" x14ac:dyDescent="0.2">
      <c r="A177" s="226" t="s">
        <v>431</v>
      </c>
      <c r="B177" s="227" t="s">
        <v>432</v>
      </c>
      <c r="C177" s="227" t="s">
        <v>465</v>
      </c>
      <c r="D177" s="226" t="s">
        <v>434</v>
      </c>
      <c r="E177" s="226" t="s">
        <v>168</v>
      </c>
    </row>
    <row r="178" spans="1:5" x14ac:dyDescent="0.2">
      <c r="A178" s="226" t="s">
        <v>431</v>
      </c>
      <c r="B178" s="227" t="s">
        <v>432</v>
      </c>
      <c r="C178" s="227" t="s">
        <v>466</v>
      </c>
      <c r="D178" s="226" t="s">
        <v>434</v>
      </c>
      <c r="E178" s="226" t="s">
        <v>168</v>
      </c>
    </row>
    <row r="179" spans="1:5" x14ac:dyDescent="0.2">
      <c r="A179" s="226" t="s">
        <v>431</v>
      </c>
      <c r="B179" s="227" t="s">
        <v>432</v>
      </c>
      <c r="C179" s="227" t="s">
        <v>467</v>
      </c>
      <c r="D179" s="226" t="s">
        <v>434</v>
      </c>
      <c r="E179" s="226" t="s">
        <v>168</v>
      </c>
    </row>
    <row r="180" spans="1:5" x14ac:dyDescent="0.2">
      <c r="A180" s="226" t="s">
        <v>431</v>
      </c>
      <c r="B180" s="227" t="s">
        <v>432</v>
      </c>
      <c r="C180" s="227" t="s">
        <v>468</v>
      </c>
      <c r="D180" s="226" t="s">
        <v>434</v>
      </c>
      <c r="E180" s="226" t="s">
        <v>168</v>
      </c>
    </row>
    <row r="181" spans="1:5" x14ac:dyDescent="0.2">
      <c r="A181" s="226" t="s">
        <v>431</v>
      </c>
      <c r="B181" s="227" t="s">
        <v>432</v>
      </c>
      <c r="C181" s="227" t="s">
        <v>469</v>
      </c>
      <c r="D181" s="226" t="s">
        <v>434</v>
      </c>
      <c r="E181" s="226" t="s">
        <v>168</v>
      </c>
    </row>
    <row r="182" spans="1:5" x14ac:dyDescent="0.2">
      <c r="A182" s="226" t="s">
        <v>431</v>
      </c>
      <c r="B182" s="227" t="s">
        <v>432</v>
      </c>
      <c r="C182" s="227" t="s">
        <v>470</v>
      </c>
      <c r="D182" s="226" t="s">
        <v>434</v>
      </c>
      <c r="E182" s="226" t="s">
        <v>168</v>
      </c>
    </row>
    <row r="183" spans="1:5" x14ac:dyDescent="0.2">
      <c r="A183" s="226" t="s">
        <v>431</v>
      </c>
      <c r="B183" s="227" t="s">
        <v>432</v>
      </c>
      <c r="C183" s="227" t="s">
        <v>471</v>
      </c>
      <c r="D183" s="226" t="s">
        <v>434</v>
      </c>
      <c r="E183" s="226" t="s">
        <v>168</v>
      </c>
    </row>
    <row r="184" spans="1:5" x14ac:dyDescent="0.2">
      <c r="A184" s="226" t="s">
        <v>431</v>
      </c>
      <c r="B184" s="227" t="s">
        <v>432</v>
      </c>
      <c r="C184" s="227" t="s">
        <v>472</v>
      </c>
      <c r="D184" s="226" t="s">
        <v>434</v>
      </c>
      <c r="E184" s="226" t="s">
        <v>168</v>
      </c>
    </row>
    <row r="185" spans="1:5" x14ac:dyDescent="0.2">
      <c r="A185" s="226" t="s">
        <v>431</v>
      </c>
      <c r="B185" s="227" t="s">
        <v>432</v>
      </c>
      <c r="C185" s="227" t="s">
        <v>473</v>
      </c>
      <c r="D185" s="226" t="s">
        <v>434</v>
      </c>
      <c r="E185" s="226" t="s">
        <v>168</v>
      </c>
    </row>
    <row r="186" spans="1:5" x14ac:dyDescent="0.2">
      <c r="A186" s="226" t="s">
        <v>431</v>
      </c>
      <c r="B186" s="226" t="s">
        <v>432</v>
      </c>
      <c r="C186" s="226" t="s">
        <v>474</v>
      </c>
      <c r="D186" s="226" t="s">
        <v>434</v>
      </c>
      <c r="E186" s="226" t="s">
        <v>168</v>
      </c>
    </row>
    <row r="187" spans="1:5" x14ac:dyDescent="0.2">
      <c r="A187" s="226" t="s">
        <v>431</v>
      </c>
      <c r="B187" s="226" t="s">
        <v>432</v>
      </c>
      <c r="C187" s="226" t="s">
        <v>475</v>
      </c>
      <c r="D187" s="226" t="s">
        <v>434</v>
      </c>
      <c r="E187" s="226" t="s">
        <v>168</v>
      </c>
    </row>
    <row r="188" spans="1:5" x14ac:dyDescent="0.2">
      <c r="A188" s="226" t="s">
        <v>431</v>
      </c>
      <c r="B188" s="227" t="s">
        <v>432</v>
      </c>
      <c r="C188" s="227" t="s">
        <v>476</v>
      </c>
      <c r="D188" s="226" t="s">
        <v>434</v>
      </c>
      <c r="E188" s="226" t="s">
        <v>168</v>
      </c>
    </row>
    <row r="189" spans="1:5" x14ac:dyDescent="0.2">
      <c r="A189" s="226" t="s">
        <v>431</v>
      </c>
      <c r="B189" s="226" t="s">
        <v>477</v>
      </c>
      <c r="C189" s="226" t="s">
        <v>478</v>
      </c>
      <c r="D189" s="226" t="s">
        <v>434</v>
      </c>
      <c r="E189" s="226" t="s">
        <v>479</v>
      </c>
    </row>
    <row r="190" spans="1:5" x14ac:dyDescent="0.2">
      <c r="A190" s="226" t="s">
        <v>431</v>
      </c>
      <c r="B190" s="226" t="s">
        <v>477</v>
      </c>
      <c r="C190" s="226" t="s">
        <v>480</v>
      </c>
      <c r="D190" s="226" t="s">
        <v>434</v>
      </c>
      <c r="E190" s="226" t="s">
        <v>479</v>
      </c>
    </row>
    <row r="191" spans="1:5" x14ac:dyDescent="0.2">
      <c r="A191" s="226" t="s">
        <v>431</v>
      </c>
      <c r="B191" s="227" t="s">
        <v>477</v>
      </c>
      <c r="C191" s="227" t="s">
        <v>481</v>
      </c>
      <c r="D191" s="226" t="s">
        <v>434</v>
      </c>
      <c r="E191" s="226" t="s">
        <v>168</v>
      </c>
    </row>
    <row r="192" spans="1:5" x14ac:dyDescent="0.2">
      <c r="A192" s="226" t="s">
        <v>431</v>
      </c>
      <c r="B192" s="227" t="s">
        <v>477</v>
      </c>
      <c r="C192" s="227" t="s">
        <v>482</v>
      </c>
      <c r="D192" s="226" t="s">
        <v>434</v>
      </c>
      <c r="E192" s="226" t="s">
        <v>168</v>
      </c>
    </row>
    <row r="193" spans="1:5" x14ac:dyDescent="0.2">
      <c r="A193" s="226" t="s">
        <v>431</v>
      </c>
      <c r="B193" s="227" t="s">
        <v>477</v>
      </c>
      <c r="C193" s="227" t="s">
        <v>483</v>
      </c>
      <c r="D193" s="226" t="s">
        <v>434</v>
      </c>
      <c r="E193" s="226" t="s">
        <v>168</v>
      </c>
    </row>
    <row r="194" spans="1:5" x14ac:dyDescent="0.2">
      <c r="A194" s="226" t="s">
        <v>431</v>
      </c>
      <c r="B194" s="227" t="s">
        <v>477</v>
      </c>
      <c r="C194" s="227" t="s">
        <v>484</v>
      </c>
      <c r="D194" s="226" t="s">
        <v>434</v>
      </c>
      <c r="E194" s="226" t="s">
        <v>168</v>
      </c>
    </row>
    <row r="195" spans="1:5" x14ac:dyDescent="0.2">
      <c r="A195" s="226" t="s">
        <v>431</v>
      </c>
      <c r="B195" s="227" t="s">
        <v>477</v>
      </c>
      <c r="C195" s="227" t="s">
        <v>485</v>
      </c>
      <c r="D195" s="226" t="s">
        <v>434</v>
      </c>
      <c r="E195" s="226" t="s">
        <v>168</v>
      </c>
    </row>
    <row r="196" spans="1:5" x14ac:dyDescent="0.2">
      <c r="A196" s="226" t="s">
        <v>431</v>
      </c>
      <c r="B196" s="227" t="s">
        <v>477</v>
      </c>
      <c r="C196" s="227" t="s">
        <v>486</v>
      </c>
      <c r="D196" s="226" t="s">
        <v>434</v>
      </c>
      <c r="E196" s="226" t="s">
        <v>168</v>
      </c>
    </row>
    <row r="197" spans="1:5" x14ac:dyDescent="0.2">
      <c r="A197" s="226" t="s">
        <v>431</v>
      </c>
      <c r="B197" s="227" t="s">
        <v>477</v>
      </c>
      <c r="C197" s="227" t="s">
        <v>487</v>
      </c>
      <c r="D197" s="226" t="s">
        <v>434</v>
      </c>
      <c r="E197" s="226" t="s">
        <v>168</v>
      </c>
    </row>
    <row r="198" spans="1:5" x14ac:dyDescent="0.2">
      <c r="A198" s="226" t="s">
        <v>431</v>
      </c>
      <c r="B198" s="227" t="s">
        <v>477</v>
      </c>
      <c r="C198" s="227" t="s">
        <v>488</v>
      </c>
      <c r="D198" s="226" t="s">
        <v>434</v>
      </c>
      <c r="E198" s="226" t="s">
        <v>168</v>
      </c>
    </row>
    <row r="199" spans="1:5" x14ac:dyDescent="0.2">
      <c r="A199" s="226" t="s">
        <v>431</v>
      </c>
      <c r="B199" s="227" t="s">
        <v>477</v>
      </c>
      <c r="C199" s="227" t="s">
        <v>489</v>
      </c>
      <c r="D199" s="226" t="s">
        <v>434</v>
      </c>
      <c r="E199" s="226" t="s">
        <v>479</v>
      </c>
    </row>
    <row r="200" spans="1:5" x14ac:dyDescent="0.2">
      <c r="A200" s="226" t="s">
        <v>431</v>
      </c>
      <c r="B200" s="227" t="s">
        <v>477</v>
      </c>
      <c r="C200" s="227" t="s">
        <v>490</v>
      </c>
      <c r="D200" s="226" t="s">
        <v>434</v>
      </c>
      <c r="E200" s="226" t="s">
        <v>479</v>
      </c>
    </row>
    <row r="201" spans="1:5" x14ac:dyDescent="0.2">
      <c r="A201" s="226" t="s">
        <v>431</v>
      </c>
      <c r="B201" s="227" t="s">
        <v>477</v>
      </c>
      <c r="C201" s="227" t="s">
        <v>491</v>
      </c>
      <c r="D201" s="226" t="s">
        <v>434</v>
      </c>
      <c r="E201" s="226" t="s">
        <v>168</v>
      </c>
    </row>
    <row r="202" spans="1:5" x14ac:dyDescent="0.2">
      <c r="A202" s="226" t="s">
        <v>431</v>
      </c>
      <c r="B202" s="227" t="s">
        <v>477</v>
      </c>
      <c r="C202" s="227" t="s">
        <v>492</v>
      </c>
      <c r="D202" s="226" t="s">
        <v>434</v>
      </c>
      <c r="E202" s="226" t="s">
        <v>168</v>
      </c>
    </row>
    <row r="203" spans="1:5" x14ac:dyDescent="0.2">
      <c r="A203" s="226" t="s">
        <v>431</v>
      </c>
      <c r="B203" s="227" t="s">
        <v>477</v>
      </c>
      <c r="C203" s="227" t="s">
        <v>493</v>
      </c>
      <c r="D203" s="226" t="s">
        <v>434</v>
      </c>
      <c r="E203" s="226" t="s">
        <v>168</v>
      </c>
    </row>
    <row r="204" spans="1:5" x14ac:dyDescent="0.2">
      <c r="A204" s="226" t="s">
        <v>431</v>
      </c>
      <c r="B204" s="226" t="s">
        <v>494</v>
      </c>
      <c r="C204" s="226" t="s">
        <v>495</v>
      </c>
      <c r="D204" s="226" t="s">
        <v>434</v>
      </c>
      <c r="E204" s="226" t="s">
        <v>479</v>
      </c>
    </row>
    <row r="205" spans="1:5" x14ac:dyDescent="0.2">
      <c r="A205" s="226" t="s">
        <v>431</v>
      </c>
      <c r="B205" s="226" t="s">
        <v>494</v>
      </c>
      <c r="C205" s="226" t="s">
        <v>496</v>
      </c>
      <c r="D205" s="226" t="s">
        <v>434</v>
      </c>
      <c r="E205" s="226" t="s">
        <v>479</v>
      </c>
    </row>
    <row r="206" spans="1:5" x14ac:dyDescent="0.2">
      <c r="A206" s="226" t="s">
        <v>431</v>
      </c>
      <c r="B206" s="227" t="s">
        <v>494</v>
      </c>
      <c r="C206" s="227" t="s">
        <v>497</v>
      </c>
      <c r="D206" s="226" t="s">
        <v>434</v>
      </c>
      <c r="E206" s="226" t="s">
        <v>479</v>
      </c>
    </row>
    <row r="207" spans="1:5" x14ac:dyDescent="0.2">
      <c r="A207" s="226" t="s">
        <v>431</v>
      </c>
      <c r="B207" s="227" t="s">
        <v>494</v>
      </c>
      <c r="C207" s="227" t="s">
        <v>498</v>
      </c>
      <c r="D207" s="226" t="s">
        <v>434</v>
      </c>
      <c r="E207" s="226" t="s">
        <v>169</v>
      </c>
    </row>
    <row r="208" spans="1:5" x14ac:dyDescent="0.2">
      <c r="A208" s="226" t="s">
        <v>431</v>
      </c>
      <c r="B208" s="226" t="s">
        <v>494</v>
      </c>
      <c r="C208" s="226" t="s">
        <v>499</v>
      </c>
      <c r="D208" s="226" t="s">
        <v>434</v>
      </c>
      <c r="E208" s="226" t="s">
        <v>479</v>
      </c>
    </row>
    <row r="209" spans="1:5" x14ac:dyDescent="0.2">
      <c r="A209" s="226" t="s">
        <v>431</v>
      </c>
      <c r="B209" s="227" t="s">
        <v>494</v>
      </c>
      <c r="C209" s="227" t="s">
        <v>1846</v>
      </c>
      <c r="D209" s="226" t="s">
        <v>434</v>
      </c>
      <c r="E209" s="226" t="s">
        <v>479</v>
      </c>
    </row>
    <row r="210" spans="1:5" x14ac:dyDescent="0.2">
      <c r="A210" s="226" t="s">
        <v>431</v>
      </c>
      <c r="B210" s="227" t="s">
        <v>494</v>
      </c>
      <c r="C210" s="227" t="s">
        <v>500</v>
      </c>
      <c r="D210" s="226" t="s">
        <v>434</v>
      </c>
      <c r="E210" s="226" t="s">
        <v>479</v>
      </c>
    </row>
    <row r="211" spans="1:5" x14ac:dyDescent="0.2">
      <c r="A211" s="226" t="s">
        <v>431</v>
      </c>
      <c r="B211" s="227" t="s">
        <v>494</v>
      </c>
      <c r="C211" s="227" t="s">
        <v>501</v>
      </c>
      <c r="D211" s="226" t="s">
        <v>434</v>
      </c>
      <c r="E211" s="226" t="s">
        <v>479</v>
      </c>
    </row>
    <row r="212" spans="1:5" x14ac:dyDescent="0.2">
      <c r="A212" s="226" t="s">
        <v>431</v>
      </c>
      <c r="B212" s="227" t="s">
        <v>494</v>
      </c>
      <c r="C212" s="227" t="s">
        <v>502</v>
      </c>
      <c r="D212" s="226" t="s">
        <v>434</v>
      </c>
      <c r="E212" s="226" t="s">
        <v>479</v>
      </c>
    </row>
    <row r="213" spans="1:5" x14ac:dyDescent="0.2">
      <c r="A213" s="226" t="s">
        <v>431</v>
      </c>
      <c r="B213" s="227" t="s">
        <v>494</v>
      </c>
      <c r="C213" s="227" t="s">
        <v>503</v>
      </c>
      <c r="D213" s="226" t="s">
        <v>434</v>
      </c>
      <c r="E213" s="226" t="s">
        <v>479</v>
      </c>
    </row>
    <row r="214" spans="1:5" x14ac:dyDescent="0.2">
      <c r="A214" s="226" t="s">
        <v>431</v>
      </c>
      <c r="B214" s="227" t="s">
        <v>494</v>
      </c>
      <c r="C214" s="227" t="s">
        <v>504</v>
      </c>
      <c r="D214" s="226" t="s">
        <v>434</v>
      </c>
      <c r="E214" s="226" t="s">
        <v>479</v>
      </c>
    </row>
    <row r="215" spans="1:5" x14ac:dyDescent="0.2">
      <c r="A215" s="226" t="s">
        <v>431</v>
      </c>
      <c r="B215" s="227" t="s">
        <v>494</v>
      </c>
      <c r="C215" s="227" t="s">
        <v>505</v>
      </c>
      <c r="D215" s="226" t="s">
        <v>434</v>
      </c>
      <c r="E215" s="226" t="s">
        <v>479</v>
      </c>
    </row>
    <row r="216" spans="1:5" x14ac:dyDescent="0.2">
      <c r="A216" s="226" t="s">
        <v>431</v>
      </c>
      <c r="B216" s="227" t="s">
        <v>494</v>
      </c>
      <c r="C216" s="227" t="s">
        <v>506</v>
      </c>
      <c r="D216" s="226" t="s">
        <v>434</v>
      </c>
      <c r="E216" s="226" t="s">
        <v>479</v>
      </c>
    </row>
    <row r="217" spans="1:5" x14ac:dyDescent="0.2">
      <c r="A217" s="226" t="s">
        <v>431</v>
      </c>
      <c r="B217" s="227" t="s">
        <v>494</v>
      </c>
      <c r="C217" s="227" t="s">
        <v>507</v>
      </c>
      <c r="D217" s="226" t="s">
        <v>434</v>
      </c>
      <c r="E217" s="226" t="s">
        <v>479</v>
      </c>
    </row>
    <row r="218" spans="1:5" x14ac:dyDescent="0.2">
      <c r="A218" s="226" t="s">
        <v>431</v>
      </c>
      <c r="B218" s="227" t="s">
        <v>494</v>
      </c>
      <c r="C218" s="227" t="s">
        <v>508</v>
      </c>
      <c r="D218" s="226" t="s">
        <v>434</v>
      </c>
      <c r="E218" s="226" t="s">
        <v>479</v>
      </c>
    </row>
    <row r="219" spans="1:5" x14ac:dyDescent="0.2">
      <c r="A219" s="226" t="s">
        <v>431</v>
      </c>
      <c r="B219" s="227" t="s">
        <v>494</v>
      </c>
      <c r="C219" s="227" t="s">
        <v>509</v>
      </c>
      <c r="D219" s="226" t="s">
        <v>434</v>
      </c>
      <c r="E219" s="226" t="s">
        <v>479</v>
      </c>
    </row>
    <row r="220" spans="1:5" x14ac:dyDescent="0.2">
      <c r="A220" s="226" t="s">
        <v>431</v>
      </c>
      <c r="B220" s="227" t="s">
        <v>494</v>
      </c>
      <c r="C220" s="227" t="s">
        <v>510</v>
      </c>
      <c r="D220" s="226" t="s">
        <v>434</v>
      </c>
      <c r="E220" s="226" t="s">
        <v>479</v>
      </c>
    </row>
    <row r="221" spans="1:5" x14ac:dyDescent="0.2">
      <c r="A221" s="226" t="s">
        <v>431</v>
      </c>
      <c r="B221" s="227" t="s">
        <v>494</v>
      </c>
      <c r="C221" s="227" t="s">
        <v>511</v>
      </c>
      <c r="D221" s="226" t="s">
        <v>434</v>
      </c>
      <c r="E221" s="226" t="s">
        <v>479</v>
      </c>
    </row>
    <row r="222" spans="1:5" x14ac:dyDescent="0.2">
      <c r="A222" s="226" t="s">
        <v>431</v>
      </c>
      <c r="B222" s="227" t="s">
        <v>494</v>
      </c>
      <c r="C222" s="227" t="s">
        <v>512</v>
      </c>
      <c r="D222" s="226" t="s">
        <v>434</v>
      </c>
      <c r="E222" s="226" t="s">
        <v>479</v>
      </c>
    </row>
    <row r="223" spans="1:5" x14ac:dyDescent="0.2">
      <c r="A223" s="226" t="s">
        <v>431</v>
      </c>
      <c r="B223" s="227" t="s">
        <v>494</v>
      </c>
      <c r="C223" s="227" t="s">
        <v>513</v>
      </c>
      <c r="D223" s="226" t="s">
        <v>434</v>
      </c>
      <c r="E223" s="226" t="s">
        <v>479</v>
      </c>
    </row>
    <row r="224" spans="1:5" x14ac:dyDescent="0.2">
      <c r="A224" s="226" t="s">
        <v>431</v>
      </c>
      <c r="B224" s="227" t="s">
        <v>494</v>
      </c>
      <c r="C224" s="227" t="s">
        <v>514</v>
      </c>
      <c r="D224" s="226" t="s">
        <v>434</v>
      </c>
      <c r="E224" s="226" t="s">
        <v>479</v>
      </c>
    </row>
    <row r="225" spans="1:5" x14ac:dyDescent="0.2">
      <c r="A225" s="226" t="s">
        <v>431</v>
      </c>
      <c r="B225" s="227" t="s">
        <v>494</v>
      </c>
      <c r="C225" s="227" t="s">
        <v>515</v>
      </c>
      <c r="D225" s="226" t="s">
        <v>434</v>
      </c>
      <c r="E225" s="226" t="s">
        <v>479</v>
      </c>
    </row>
    <row r="226" spans="1:5" x14ac:dyDescent="0.2">
      <c r="A226" s="226" t="s">
        <v>431</v>
      </c>
      <c r="B226" s="227" t="s">
        <v>494</v>
      </c>
      <c r="C226" s="227" t="s">
        <v>516</v>
      </c>
      <c r="D226" s="226" t="s">
        <v>434</v>
      </c>
      <c r="E226" s="226" t="s">
        <v>479</v>
      </c>
    </row>
    <row r="227" spans="1:5" x14ac:dyDescent="0.2">
      <c r="A227" s="226" t="s">
        <v>431</v>
      </c>
      <c r="B227" s="227" t="s">
        <v>494</v>
      </c>
      <c r="C227" s="227" t="s">
        <v>517</v>
      </c>
      <c r="D227" s="226" t="s">
        <v>434</v>
      </c>
      <c r="E227" s="226" t="s">
        <v>479</v>
      </c>
    </row>
    <row r="228" spans="1:5" x14ac:dyDescent="0.2">
      <c r="A228" s="226" t="s">
        <v>431</v>
      </c>
      <c r="B228" s="227" t="s">
        <v>494</v>
      </c>
      <c r="C228" s="227" t="s">
        <v>518</v>
      </c>
      <c r="D228" s="226" t="s">
        <v>434</v>
      </c>
      <c r="E228" s="226" t="s">
        <v>479</v>
      </c>
    </row>
    <row r="229" spans="1:5" x14ac:dyDescent="0.2">
      <c r="A229" s="226" t="s">
        <v>431</v>
      </c>
      <c r="B229" s="227" t="s">
        <v>494</v>
      </c>
      <c r="C229" s="227" t="s">
        <v>519</v>
      </c>
      <c r="D229" s="226" t="s">
        <v>434</v>
      </c>
      <c r="E229" s="226" t="s">
        <v>479</v>
      </c>
    </row>
    <row r="230" spans="1:5" x14ac:dyDescent="0.2">
      <c r="A230" s="226" t="s">
        <v>431</v>
      </c>
      <c r="B230" s="227" t="s">
        <v>494</v>
      </c>
      <c r="C230" s="227" t="s">
        <v>520</v>
      </c>
      <c r="D230" s="226" t="s">
        <v>434</v>
      </c>
      <c r="E230" s="226" t="s">
        <v>479</v>
      </c>
    </row>
    <row r="231" spans="1:5" x14ac:dyDescent="0.2">
      <c r="A231" s="226" t="s">
        <v>431</v>
      </c>
      <c r="B231" s="227" t="s">
        <v>494</v>
      </c>
      <c r="C231" s="227" t="s">
        <v>521</v>
      </c>
      <c r="D231" s="226" t="s">
        <v>434</v>
      </c>
      <c r="E231" s="226" t="s">
        <v>479</v>
      </c>
    </row>
    <row r="232" spans="1:5" x14ac:dyDescent="0.2">
      <c r="A232" s="226" t="s">
        <v>431</v>
      </c>
      <c r="B232" s="227" t="s">
        <v>494</v>
      </c>
      <c r="C232" s="227" t="s">
        <v>522</v>
      </c>
      <c r="D232" s="226" t="s">
        <v>434</v>
      </c>
      <c r="E232" s="226" t="s">
        <v>479</v>
      </c>
    </row>
    <row r="233" spans="1:5" x14ac:dyDescent="0.2">
      <c r="A233" s="226" t="s">
        <v>431</v>
      </c>
      <c r="B233" s="227" t="s">
        <v>494</v>
      </c>
      <c r="C233" s="227" t="s">
        <v>523</v>
      </c>
      <c r="D233" s="226" t="s">
        <v>434</v>
      </c>
      <c r="E233" s="226" t="s">
        <v>479</v>
      </c>
    </row>
    <row r="234" spans="1:5" x14ac:dyDescent="0.2">
      <c r="A234" s="226" t="s">
        <v>431</v>
      </c>
      <c r="B234" s="227" t="s">
        <v>494</v>
      </c>
      <c r="C234" s="227" t="s">
        <v>524</v>
      </c>
      <c r="D234" s="226" t="s">
        <v>434</v>
      </c>
      <c r="E234" s="226" t="s">
        <v>479</v>
      </c>
    </row>
    <row r="235" spans="1:5" x14ac:dyDescent="0.2">
      <c r="A235" s="226" t="s">
        <v>431</v>
      </c>
      <c r="B235" s="227" t="s">
        <v>494</v>
      </c>
      <c r="C235" s="227" t="s">
        <v>525</v>
      </c>
      <c r="D235" s="226" t="s">
        <v>434</v>
      </c>
      <c r="E235" s="226" t="s">
        <v>479</v>
      </c>
    </row>
    <row r="236" spans="1:5" x14ac:dyDescent="0.2">
      <c r="A236" s="226" t="s">
        <v>431</v>
      </c>
      <c r="B236" s="227" t="s">
        <v>494</v>
      </c>
      <c r="C236" s="227" t="s">
        <v>526</v>
      </c>
      <c r="D236" s="226" t="s">
        <v>434</v>
      </c>
      <c r="E236" s="226" t="s">
        <v>479</v>
      </c>
    </row>
    <row r="237" spans="1:5" x14ac:dyDescent="0.2">
      <c r="A237" s="226" t="s">
        <v>431</v>
      </c>
      <c r="B237" s="227" t="s">
        <v>494</v>
      </c>
      <c r="C237" s="227" t="s">
        <v>527</v>
      </c>
      <c r="D237" s="226" t="s">
        <v>434</v>
      </c>
      <c r="E237" s="226" t="s">
        <v>479</v>
      </c>
    </row>
    <row r="238" spans="1:5" x14ac:dyDescent="0.2">
      <c r="A238" s="226" t="s">
        <v>431</v>
      </c>
      <c r="B238" s="227" t="s">
        <v>494</v>
      </c>
      <c r="C238" s="227" t="s">
        <v>528</v>
      </c>
      <c r="D238" s="226" t="s">
        <v>434</v>
      </c>
      <c r="E238" s="226" t="s">
        <v>479</v>
      </c>
    </row>
    <row r="239" spans="1:5" x14ac:dyDescent="0.2">
      <c r="A239" s="226" t="s">
        <v>431</v>
      </c>
      <c r="B239" s="227" t="s">
        <v>494</v>
      </c>
      <c r="C239" s="227" t="s">
        <v>529</v>
      </c>
      <c r="D239" s="226" t="s">
        <v>434</v>
      </c>
      <c r="E239" s="226" t="s">
        <v>479</v>
      </c>
    </row>
    <row r="240" spans="1:5" x14ac:dyDescent="0.2">
      <c r="A240" s="226" t="s">
        <v>431</v>
      </c>
      <c r="B240" s="227" t="s">
        <v>494</v>
      </c>
      <c r="C240" s="227" t="s">
        <v>530</v>
      </c>
      <c r="D240" s="226" t="s">
        <v>434</v>
      </c>
      <c r="E240" s="226" t="s">
        <v>479</v>
      </c>
    </row>
    <row r="241" spans="1:5" x14ac:dyDescent="0.2">
      <c r="A241" s="226" t="s">
        <v>431</v>
      </c>
      <c r="B241" s="227" t="s">
        <v>494</v>
      </c>
      <c r="C241" s="227" t="s">
        <v>531</v>
      </c>
      <c r="D241" s="226" t="s">
        <v>434</v>
      </c>
      <c r="E241" s="226" t="s">
        <v>479</v>
      </c>
    </row>
    <row r="242" spans="1:5" x14ac:dyDescent="0.2">
      <c r="A242" s="226" t="s">
        <v>431</v>
      </c>
      <c r="B242" s="227" t="s">
        <v>494</v>
      </c>
      <c r="C242" s="227" t="s">
        <v>532</v>
      </c>
      <c r="D242" s="226" t="s">
        <v>434</v>
      </c>
      <c r="E242" s="226" t="s">
        <v>479</v>
      </c>
    </row>
    <row r="243" spans="1:5" x14ac:dyDescent="0.2">
      <c r="A243" s="226" t="s">
        <v>431</v>
      </c>
      <c r="B243" s="227" t="s">
        <v>494</v>
      </c>
      <c r="C243" s="227" t="s">
        <v>533</v>
      </c>
      <c r="D243" s="226" t="s">
        <v>434</v>
      </c>
      <c r="E243" s="226" t="s">
        <v>479</v>
      </c>
    </row>
    <row r="244" spans="1:5" x14ac:dyDescent="0.2">
      <c r="A244" s="226" t="s">
        <v>431</v>
      </c>
      <c r="B244" s="227" t="s">
        <v>494</v>
      </c>
      <c r="C244" s="227" t="s">
        <v>534</v>
      </c>
      <c r="D244" s="226" t="s">
        <v>434</v>
      </c>
      <c r="E244" s="226" t="s">
        <v>479</v>
      </c>
    </row>
    <row r="245" spans="1:5" x14ac:dyDescent="0.2">
      <c r="A245" s="226" t="s">
        <v>431</v>
      </c>
      <c r="B245" s="227" t="s">
        <v>494</v>
      </c>
      <c r="C245" s="227" t="s">
        <v>535</v>
      </c>
      <c r="D245" s="226" t="s">
        <v>434</v>
      </c>
      <c r="E245" s="226" t="s">
        <v>479</v>
      </c>
    </row>
    <row r="246" spans="1:5" x14ac:dyDescent="0.2">
      <c r="A246" s="226" t="s">
        <v>431</v>
      </c>
      <c r="B246" s="227" t="s">
        <v>494</v>
      </c>
      <c r="C246" s="227" t="s">
        <v>536</v>
      </c>
      <c r="D246" s="226" t="s">
        <v>434</v>
      </c>
      <c r="E246" s="226" t="s">
        <v>479</v>
      </c>
    </row>
    <row r="247" spans="1:5" x14ac:dyDescent="0.2">
      <c r="A247" s="226" t="s">
        <v>431</v>
      </c>
      <c r="B247" s="227" t="s">
        <v>494</v>
      </c>
      <c r="C247" s="227" t="s">
        <v>537</v>
      </c>
      <c r="D247" s="226" t="s">
        <v>434</v>
      </c>
      <c r="E247" s="226" t="s">
        <v>479</v>
      </c>
    </row>
    <row r="248" spans="1:5" x14ac:dyDescent="0.2">
      <c r="A248" s="226" t="s">
        <v>431</v>
      </c>
      <c r="B248" s="227" t="s">
        <v>494</v>
      </c>
      <c r="C248" s="227" t="s">
        <v>538</v>
      </c>
      <c r="D248" s="226" t="s">
        <v>434</v>
      </c>
      <c r="E248" s="226" t="s">
        <v>479</v>
      </c>
    </row>
    <row r="249" spans="1:5" x14ac:dyDescent="0.2">
      <c r="A249" s="226" t="s">
        <v>431</v>
      </c>
      <c r="B249" s="227" t="s">
        <v>494</v>
      </c>
      <c r="C249" s="227" t="s">
        <v>539</v>
      </c>
      <c r="D249" s="226" t="s">
        <v>434</v>
      </c>
      <c r="E249" s="226" t="s">
        <v>479</v>
      </c>
    </row>
    <row r="250" spans="1:5" x14ac:dyDescent="0.2">
      <c r="A250" s="226" t="s">
        <v>431</v>
      </c>
      <c r="B250" s="227" t="s">
        <v>494</v>
      </c>
      <c r="C250" s="227" t="s">
        <v>540</v>
      </c>
      <c r="D250" s="226" t="s">
        <v>434</v>
      </c>
      <c r="E250" s="226" t="s">
        <v>479</v>
      </c>
    </row>
    <row r="251" spans="1:5" x14ac:dyDescent="0.2">
      <c r="A251" s="226" t="s">
        <v>431</v>
      </c>
      <c r="B251" s="227" t="s">
        <v>494</v>
      </c>
      <c r="C251" s="227" t="s">
        <v>541</v>
      </c>
      <c r="D251" s="226" t="s">
        <v>434</v>
      </c>
      <c r="E251" s="226" t="s">
        <v>479</v>
      </c>
    </row>
    <row r="252" spans="1:5" x14ac:dyDescent="0.2">
      <c r="A252" s="226" t="s">
        <v>431</v>
      </c>
      <c r="B252" s="227" t="s">
        <v>494</v>
      </c>
      <c r="C252" s="227" t="s">
        <v>542</v>
      </c>
      <c r="D252" s="226" t="s">
        <v>434</v>
      </c>
      <c r="E252" s="226" t="s">
        <v>479</v>
      </c>
    </row>
    <row r="253" spans="1:5" x14ac:dyDescent="0.2">
      <c r="A253" s="226" t="s">
        <v>431</v>
      </c>
      <c r="B253" s="227" t="s">
        <v>494</v>
      </c>
      <c r="C253" s="227" t="s">
        <v>543</v>
      </c>
      <c r="D253" s="226" t="s">
        <v>434</v>
      </c>
      <c r="E253" s="226" t="s">
        <v>479</v>
      </c>
    </row>
    <row r="254" spans="1:5" x14ac:dyDescent="0.2">
      <c r="A254" s="226" t="s">
        <v>431</v>
      </c>
      <c r="B254" s="227" t="s">
        <v>494</v>
      </c>
      <c r="C254" s="227" t="s">
        <v>544</v>
      </c>
      <c r="D254" s="226" t="s">
        <v>434</v>
      </c>
      <c r="E254" s="226" t="s">
        <v>479</v>
      </c>
    </row>
    <row r="255" spans="1:5" x14ac:dyDescent="0.2">
      <c r="A255" s="226" t="s">
        <v>431</v>
      </c>
      <c r="B255" s="227" t="s">
        <v>494</v>
      </c>
      <c r="C255" s="227" t="s">
        <v>545</v>
      </c>
      <c r="D255" s="226" t="s">
        <v>434</v>
      </c>
      <c r="E255" s="226" t="s">
        <v>479</v>
      </c>
    </row>
    <row r="256" spans="1:5" x14ac:dyDescent="0.2">
      <c r="A256" s="226" t="s">
        <v>431</v>
      </c>
      <c r="B256" s="227" t="s">
        <v>494</v>
      </c>
      <c r="C256" s="227" t="s">
        <v>546</v>
      </c>
      <c r="D256" s="226" t="s">
        <v>434</v>
      </c>
      <c r="E256" s="226" t="s">
        <v>479</v>
      </c>
    </row>
    <row r="257" spans="1:5" x14ac:dyDescent="0.2">
      <c r="A257" s="226" t="s">
        <v>431</v>
      </c>
      <c r="B257" s="227" t="s">
        <v>494</v>
      </c>
      <c r="C257" s="227" t="s">
        <v>547</v>
      </c>
      <c r="D257" s="226" t="s">
        <v>434</v>
      </c>
      <c r="E257" s="226" t="s">
        <v>479</v>
      </c>
    </row>
    <row r="258" spans="1:5" x14ac:dyDescent="0.2">
      <c r="A258" s="226" t="s">
        <v>431</v>
      </c>
      <c r="B258" s="227" t="s">
        <v>494</v>
      </c>
      <c r="C258" s="227" t="s">
        <v>548</v>
      </c>
      <c r="D258" s="226" t="s">
        <v>434</v>
      </c>
      <c r="E258" s="226" t="s">
        <v>479</v>
      </c>
    </row>
    <row r="259" spans="1:5" x14ac:dyDescent="0.2">
      <c r="A259" s="226" t="s">
        <v>431</v>
      </c>
      <c r="B259" s="227" t="s">
        <v>494</v>
      </c>
      <c r="C259" s="227" t="s">
        <v>549</v>
      </c>
      <c r="D259" s="226" t="s">
        <v>434</v>
      </c>
      <c r="E259" s="226" t="s">
        <v>479</v>
      </c>
    </row>
    <row r="260" spans="1:5" x14ac:dyDescent="0.2">
      <c r="A260" s="226" t="s">
        <v>431</v>
      </c>
      <c r="B260" s="227" t="s">
        <v>494</v>
      </c>
      <c r="C260" s="227" t="s">
        <v>550</v>
      </c>
      <c r="D260" s="226" t="s">
        <v>434</v>
      </c>
      <c r="E260" s="226" t="s">
        <v>479</v>
      </c>
    </row>
    <row r="261" spans="1:5" x14ac:dyDescent="0.2">
      <c r="A261" s="226" t="s">
        <v>431</v>
      </c>
      <c r="B261" s="227" t="s">
        <v>494</v>
      </c>
      <c r="C261" s="227" t="s">
        <v>551</v>
      </c>
      <c r="D261" s="226" t="s">
        <v>434</v>
      </c>
      <c r="E261" s="226" t="s">
        <v>479</v>
      </c>
    </row>
    <row r="262" spans="1:5" x14ac:dyDescent="0.2">
      <c r="A262" s="226" t="s">
        <v>431</v>
      </c>
      <c r="B262" s="226" t="s">
        <v>494</v>
      </c>
      <c r="C262" s="226" t="s">
        <v>552</v>
      </c>
      <c r="D262" s="226" t="s">
        <v>434</v>
      </c>
      <c r="E262" s="226" t="s">
        <v>479</v>
      </c>
    </row>
    <row r="263" spans="1:5" x14ac:dyDescent="0.2">
      <c r="A263" s="226" t="s">
        <v>431</v>
      </c>
      <c r="B263" s="227" t="s">
        <v>494</v>
      </c>
      <c r="C263" s="227" t="s">
        <v>553</v>
      </c>
      <c r="D263" s="226" t="s">
        <v>434</v>
      </c>
      <c r="E263" s="226" t="s">
        <v>479</v>
      </c>
    </row>
    <row r="264" spans="1:5" x14ac:dyDescent="0.2">
      <c r="A264" s="226" t="s">
        <v>431</v>
      </c>
      <c r="B264" s="227" t="s">
        <v>494</v>
      </c>
      <c r="C264" s="227" t="s">
        <v>554</v>
      </c>
      <c r="D264" s="226" t="s">
        <v>434</v>
      </c>
      <c r="E264" s="226" t="s">
        <v>479</v>
      </c>
    </row>
    <row r="265" spans="1:5" x14ac:dyDescent="0.2">
      <c r="A265" s="226" t="s">
        <v>431</v>
      </c>
      <c r="B265" s="227" t="s">
        <v>494</v>
      </c>
      <c r="C265" s="227" t="s">
        <v>555</v>
      </c>
      <c r="D265" s="226" t="s">
        <v>434</v>
      </c>
      <c r="E265" s="226" t="s">
        <v>479</v>
      </c>
    </row>
    <row r="266" spans="1:5" x14ac:dyDescent="0.2">
      <c r="A266" s="226" t="s">
        <v>431</v>
      </c>
      <c r="B266" s="227" t="s">
        <v>494</v>
      </c>
      <c r="C266" s="227" t="s">
        <v>556</v>
      </c>
      <c r="D266" s="226" t="s">
        <v>434</v>
      </c>
      <c r="E266" s="226" t="s">
        <v>479</v>
      </c>
    </row>
    <row r="267" spans="1:5" x14ac:dyDescent="0.2">
      <c r="A267" s="226" t="s">
        <v>431</v>
      </c>
      <c r="B267" s="227" t="s">
        <v>494</v>
      </c>
      <c r="C267" s="227" t="s">
        <v>557</v>
      </c>
      <c r="D267" s="226" t="s">
        <v>434</v>
      </c>
      <c r="E267" s="226" t="s">
        <v>479</v>
      </c>
    </row>
    <row r="268" spans="1:5" x14ac:dyDescent="0.2">
      <c r="A268" s="226" t="s">
        <v>431</v>
      </c>
      <c r="B268" s="227" t="s">
        <v>494</v>
      </c>
      <c r="C268" s="227" t="s">
        <v>558</v>
      </c>
      <c r="D268" s="226" t="s">
        <v>434</v>
      </c>
      <c r="E268" s="226" t="s">
        <v>479</v>
      </c>
    </row>
    <row r="269" spans="1:5" x14ac:dyDescent="0.2">
      <c r="A269" s="226" t="s">
        <v>431</v>
      </c>
      <c r="B269" s="227" t="s">
        <v>494</v>
      </c>
      <c r="C269" s="227" t="s">
        <v>1847</v>
      </c>
      <c r="D269" s="226" t="s">
        <v>434</v>
      </c>
      <c r="E269" s="226" t="s">
        <v>479</v>
      </c>
    </row>
    <row r="270" spans="1:5" x14ac:dyDescent="0.2">
      <c r="A270" s="226" t="s">
        <v>431</v>
      </c>
      <c r="B270" s="226" t="s">
        <v>559</v>
      </c>
      <c r="C270" s="226" t="s">
        <v>560</v>
      </c>
      <c r="D270" s="226" t="s">
        <v>434</v>
      </c>
      <c r="E270" s="226" t="s">
        <v>479</v>
      </c>
    </row>
    <row r="271" spans="1:5" x14ac:dyDescent="0.2">
      <c r="A271" s="226" t="s">
        <v>431</v>
      </c>
      <c r="B271" s="226" t="s">
        <v>559</v>
      </c>
      <c r="C271" s="226" t="s">
        <v>561</v>
      </c>
      <c r="D271" s="226" t="s">
        <v>434</v>
      </c>
      <c r="E271" s="226" t="s">
        <v>479</v>
      </c>
    </row>
    <row r="272" spans="1:5" x14ac:dyDescent="0.2">
      <c r="A272" s="226" t="s">
        <v>431</v>
      </c>
      <c r="B272" s="227" t="s">
        <v>559</v>
      </c>
      <c r="C272" s="227" t="s">
        <v>562</v>
      </c>
      <c r="D272" s="226" t="s">
        <v>434</v>
      </c>
      <c r="E272" s="226" t="s">
        <v>479</v>
      </c>
    </row>
    <row r="273" spans="1:5" x14ac:dyDescent="0.2">
      <c r="A273" s="226" t="s">
        <v>431</v>
      </c>
      <c r="B273" s="227" t="s">
        <v>559</v>
      </c>
      <c r="C273" s="227" t="s">
        <v>563</v>
      </c>
      <c r="D273" s="226" t="s">
        <v>434</v>
      </c>
      <c r="E273" s="226" t="s">
        <v>479</v>
      </c>
    </row>
    <row r="274" spans="1:5" x14ac:dyDescent="0.2">
      <c r="A274" s="226" t="s">
        <v>431</v>
      </c>
      <c r="B274" s="226" t="s">
        <v>559</v>
      </c>
      <c r="C274" s="226" t="s">
        <v>1917</v>
      </c>
      <c r="D274" s="226" t="s">
        <v>434</v>
      </c>
      <c r="E274" s="226" t="s">
        <v>479</v>
      </c>
    </row>
    <row r="275" spans="1:5" x14ac:dyDescent="0.2">
      <c r="A275" s="226" t="s">
        <v>431</v>
      </c>
      <c r="B275" s="227" t="s">
        <v>559</v>
      </c>
      <c r="C275" s="227" t="s">
        <v>564</v>
      </c>
      <c r="D275" s="226" t="s">
        <v>434</v>
      </c>
      <c r="E275" s="226" t="s">
        <v>479</v>
      </c>
    </row>
    <row r="276" spans="1:5" x14ac:dyDescent="0.2">
      <c r="A276" s="226" t="s">
        <v>431</v>
      </c>
      <c r="B276" s="227" t="s">
        <v>559</v>
      </c>
      <c r="C276" s="227" t="s">
        <v>565</v>
      </c>
      <c r="D276" s="226" t="s">
        <v>434</v>
      </c>
      <c r="E276" s="226" t="s">
        <v>479</v>
      </c>
    </row>
    <row r="277" spans="1:5" x14ac:dyDescent="0.2">
      <c r="A277" s="226" t="s">
        <v>431</v>
      </c>
      <c r="B277" s="227" t="s">
        <v>559</v>
      </c>
      <c r="C277" s="227" t="s">
        <v>566</v>
      </c>
      <c r="D277" s="226" t="s">
        <v>434</v>
      </c>
      <c r="E277" s="226" t="s">
        <v>479</v>
      </c>
    </row>
    <row r="278" spans="1:5" x14ac:dyDescent="0.2">
      <c r="A278" s="226" t="s">
        <v>431</v>
      </c>
      <c r="B278" s="226" t="s">
        <v>559</v>
      </c>
      <c r="C278" s="226" t="s">
        <v>567</v>
      </c>
      <c r="D278" s="226" t="s">
        <v>434</v>
      </c>
      <c r="E278" s="226" t="s">
        <v>479</v>
      </c>
    </row>
    <row r="279" spans="1:5" x14ac:dyDescent="0.2">
      <c r="A279" s="226" t="s">
        <v>431</v>
      </c>
      <c r="B279" s="227" t="s">
        <v>559</v>
      </c>
      <c r="C279" s="227" t="s">
        <v>568</v>
      </c>
      <c r="D279" s="226" t="s">
        <v>434</v>
      </c>
      <c r="E279" s="226" t="s">
        <v>479</v>
      </c>
    </row>
    <row r="280" spans="1:5" x14ac:dyDescent="0.2">
      <c r="A280" s="226" t="s">
        <v>431</v>
      </c>
      <c r="B280" s="227" t="s">
        <v>559</v>
      </c>
      <c r="C280" s="227" t="s">
        <v>569</v>
      </c>
      <c r="D280" s="226" t="s">
        <v>434</v>
      </c>
      <c r="E280" s="226" t="s">
        <v>479</v>
      </c>
    </row>
    <row r="281" spans="1:5" x14ac:dyDescent="0.2">
      <c r="A281" s="226" t="s">
        <v>431</v>
      </c>
      <c r="B281" s="227" t="s">
        <v>559</v>
      </c>
      <c r="C281" s="227" t="s">
        <v>570</v>
      </c>
      <c r="D281" s="226" t="s">
        <v>434</v>
      </c>
      <c r="E281" s="226" t="s">
        <v>479</v>
      </c>
    </row>
    <row r="282" spans="1:5" x14ac:dyDescent="0.2">
      <c r="A282" s="226" t="s">
        <v>431</v>
      </c>
      <c r="B282" s="227" t="s">
        <v>559</v>
      </c>
      <c r="C282" s="227" t="s">
        <v>571</v>
      </c>
      <c r="D282" s="226" t="s">
        <v>434</v>
      </c>
      <c r="E282" s="226" t="s">
        <v>479</v>
      </c>
    </row>
    <row r="283" spans="1:5" x14ac:dyDescent="0.2">
      <c r="A283" s="226" t="s">
        <v>431</v>
      </c>
      <c r="B283" s="227" t="s">
        <v>559</v>
      </c>
      <c r="C283" s="227" t="s">
        <v>572</v>
      </c>
      <c r="D283" s="226" t="s">
        <v>434</v>
      </c>
      <c r="E283" s="226" t="s">
        <v>479</v>
      </c>
    </row>
    <row r="284" spans="1:5" x14ac:dyDescent="0.2">
      <c r="A284" s="226" t="s">
        <v>431</v>
      </c>
      <c r="B284" s="227" t="s">
        <v>559</v>
      </c>
      <c r="C284" s="227" t="s">
        <v>573</v>
      </c>
      <c r="D284" s="226" t="s">
        <v>434</v>
      </c>
      <c r="E284" s="226" t="s">
        <v>479</v>
      </c>
    </row>
    <row r="285" spans="1:5" x14ac:dyDescent="0.2">
      <c r="A285" s="226" t="s">
        <v>431</v>
      </c>
      <c r="B285" s="227" t="s">
        <v>559</v>
      </c>
      <c r="C285" s="227" t="s">
        <v>574</v>
      </c>
      <c r="D285" s="226" t="s">
        <v>434</v>
      </c>
      <c r="E285" s="226" t="s">
        <v>479</v>
      </c>
    </row>
    <row r="286" spans="1:5" x14ac:dyDescent="0.2">
      <c r="A286" s="226" t="s">
        <v>431</v>
      </c>
      <c r="B286" s="227" t="s">
        <v>559</v>
      </c>
      <c r="C286" s="227" t="s">
        <v>575</v>
      </c>
      <c r="D286" s="226" t="s">
        <v>434</v>
      </c>
      <c r="E286" s="226" t="s">
        <v>479</v>
      </c>
    </row>
    <row r="287" spans="1:5" x14ac:dyDescent="0.2">
      <c r="A287" s="226" t="s">
        <v>431</v>
      </c>
      <c r="B287" s="227" t="s">
        <v>559</v>
      </c>
      <c r="C287" s="227" t="s">
        <v>576</v>
      </c>
      <c r="D287" s="226" t="s">
        <v>434</v>
      </c>
      <c r="E287" s="226" t="s">
        <v>479</v>
      </c>
    </row>
    <row r="288" spans="1:5" x14ac:dyDescent="0.2">
      <c r="A288" s="226" t="s">
        <v>431</v>
      </c>
      <c r="B288" s="227" t="s">
        <v>559</v>
      </c>
      <c r="C288" s="227" t="s">
        <v>577</v>
      </c>
      <c r="D288" s="226" t="s">
        <v>434</v>
      </c>
      <c r="E288" s="226" t="s">
        <v>479</v>
      </c>
    </row>
    <row r="289" spans="1:5" x14ac:dyDescent="0.2">
      <c r="A289" s="226" t="s">
        <v>431</v>
      </c>
      <c r="B289" s="227" t="s">
        <v>559</v>
      </c>
      <c r="C289" s="227" t="s">
        <v>578</v>
      </c>
      <c r="D289" s="226" t="s">
        <v>434</v>
      </c>
      <c r="E289" s="226" t="s">
        <v>479</v>
      </c>
    </row>
    <row r="290" spans="1:5" x14ac:dyDescent="0.2">
      <c r="A290" s="226" t="s">
        <v>431</v>
      </c>
      <c r="B290" s="226" t="s">
        <v>579</v>
      </c>
      <c r="C290" s="226" t="s">
        <v>580</v>
      </c>
      <c r="D290" s="226" t="s">
        <v>434</v>
      </c>
      <c r="E290" s="226" t="s">
        <v>479</v>
      </c>
    </row>
    <row r="291" spans="1:5" x14ac:dyDescent="0.2">
      <c r="A291" s="226" t="s">
        <v>431</v>
      </c>
      <c r="B291" s="226" t="s">
        <v>579</v>
      </c>
      <c r="C291" s="226" t="s">
        <v>581</v>
      </c>
      <c r="D291" s="226" t="s">
        <v>434</v>
      </c>
      <c r="E291" s="226" t="s">
        <v>479</v>
      </c>
    </row>
    <row r="292" spans="1:5" x14ac:dyDescent="0.2">
      <c r="A292" s="226" t="s">
        <v>431</v>
      </c>
      <c r="B292" s="227" t="s">
        <v>579</v>
      </c>
      <c r="C292" s="227" t="s">
        <v>582</v>
      </c>
      <c r="D292" s="226" t="s">
        <v>434</v>
      </c>
      <c r="E292" s="226" t="s">
        <v>479</v>
      </c>
    </row>
    <row r="293" spans="1:5" x14ac:dyDescent="0.2">
      <c r="A293" s="226" t="s">
        <v>431</v>
      </c>
      <c r="B293" s="227" t="s">
        <v>579</v>
      </c>
      <c r="C293" s="227" t="s">
        <v>583</v>
      </c>
      <c r="D293" s="226" t="s">
        <v>434</v>
      </c>
      <c r="E293" s="226" t="s">
        <v>479</v>
      </c>
    </row>
    <row r="294" spans="1:5" x14ac:dyDescent="0.2">
      <c r="A294" s="226" t="s">
        <v>431</v>
      </c>
      <c r="B294" s="227" t="s">
        <v>579</v>
      </c>
      <c r="C294" s="227" t="s">
        <v>584</v>
      </c>
      <c r="D294" s="226" t="s">
        <v>434</v>
      </c>
      <c r="E294" s="226" t="s">
        <v>479</v>
      </c>
    </row>
    <row r="295" spans="1:5" x14ac:dyDescent="0.2">
      <c r="A295" s="226" t="s">
        <v>431</v>
      </c>
      <c r="B295" s="227" t="s">
        <v>579</v>
      </c>
      <c r="C295" s="227" t="s">
        <v>585</v>
      </c>
      <c r="D295" s="226" t="s">
        <v>434</v>
      </c>
      <c r="E295" s="226" t="s">
        <v>479</v>
      </c>
    </row>
    <row r="296" spans="1:5" x14ac:dyDescent="0.2">
      <c r="A296" s="226" t="s">
        <v>431</v>
      </c>
      <c r="B296" s="227" t="s">
        <v>579</v>
      </c>
      <c r="C296" s="227" t="s">
        <v>586</v>
      </c>
      <c r="D296" s="226" t="s">
        <v>434</v>
      </c>
      <c r="E296" s="226" t="s">
        <v>479</v>
      </c>
    </row>
    <row r="297" spans="1:5" x14ac:dyDescent="0.2">
      <c r="A297" s="226" t="s">
        <v>431</v>
      </c>
      <c r="B297" s="227" t="s">
        <v>579</v>
      </c>
      <c r="C297" s="227" t="s">
        <v>587</v>
      </c>
      <c r="D297" s="226" t="s">
        <v>434</v>
      </c>
      <c r="E297" s="226" t="s">
        <v>479</v>
      </c>
    </row>
    <row r="298" spans="1:5" x14ac:dyDescent="0.2">
      <c r="A298" s="226" t="s">
        <v>431</v>
      </c>
      <c r="B298" s="227" t="s">
        <v>579</v>
      </c>
      <c r="C298" s="227" t="s">
        <v>588</v>
      </c>
      <c r="D298" s="226" t="s">
        <v>434</v>
      </c>
      <c r="E298" s="226" t="s">
        <v>479</v>
      </c>
    </row>
    <row r="299" spans="1:5" x14ac:dyDescent="0.2">
      <c r="A299" s="226" t="s">
        <v>431</v>
      </c>
      <c r="B299" s="227" t="s">
        <v>579</v>
      </c>
      <c r="C299" s="227" t="s">
        <v>589</v>
      </c>
      <c r="D299" s="226" t="s">
        <v>434</v>
      </c>
      <c r="E299" s="226" t="s">
        <v>479</v>
      </c>
    </row>
    <row r="300" spans="1:5" x14ac:dyDescent="0.2">
      <c r="A300" s="226" t="s">
        <v>431</v>
      </c>
      <c r="B300" s="227" t="s">
        <v>579</v>
      </c>
      <c r="C300" s="227" t="s">
        <v>590</v>
      </c>
      <c r="D300" s="226" t="s">
        <v>434</v>
      </c>
      <c r="E300" s="226" t="s">
        <v>479</v>
      </c>
    </row>
    <row r="301" spans="1:5" x14ac:dyDescent="0.2">
      <c r="A301" s="226" t="s">
        <v>431</v>
      </c>
      <c r="B301" s="226" t="s">
        <v>591</v>
      </c>
      <c r="C301" s="226" t="s">
        <v>592</v>
      </c>
      <c r="D301" s="226" t="s">
        <v>434</v>
      </c>
      <c r="E301" s="226" t="s">
        <v>479</v>
      </c>
    </row>
    <row r="302" spans="1:5" x14ac:dyDescent="0.2">
      <c r="A302" s="226" t="s">
        <v>431</v>
      </c>
      <c r="B302" s="226" t="s">
        <v>591</v>
      </c>
      <c r="C302" s="226" t="s">
        <v>593</v>
      </c>
      <c r="D302" s="226" t="s">
        <v>434</v>
      </c>
      <c r="E302" s="226" t="s">
        <v>479</v>
      </c>
    </row>
    <row r="303" spans="1:5" x14ac:dyDescent="0.2">
      <c r="A303" s="226" t="s">
        <v>431</v>
      </c>
      <c r="B303" s="227" t="s">
        <v>591</v>
      </c>
      <c r="C303" s="227" t="s">
        <v>594</v>
      </c>
      <c r="D303" s="226" t="s">
        <v>434</v>
      </c>
      <c r="E303" s="226" t="s">
        <v>479</v>
      </c>
    </row>
    <row r="304" spans="1:5" x14ac:dyDescent="0.2">
      <c r="A304" s="226" t="s">
        <v>431</v>
      </c>
      <c r="B304" s="227" t="s">
        <v>591</v>
      </c>
      <c r="C304" s="227" t="s">
        <v>595</v>
      </c>
      <c r="D304" s="226" t="s">
        <v>434</v>
      </c>
      <c r="E304" s="226" t="s">
        <v>479</v>
      </c>
    </row>
    <row r="305" spans="1:5" x14ac:dyDescent="0.2">
      <c r="A305" s="226" t="s">
        <v>431</v>
      </c>
      <c r="B305" s="227" t="s">
        <v>591</v>
      </c>
      <c r="C305" s="227" t="s">
        <v>596</v>
      </c>
      <c r="D305" s="226" t="s">
        <v>434</v>
      </c>
      <c r="E305" s="226" t="s">
        <v>479</v>
      </c>
    </row>
    <row r="306" spans="1:5" x14ac:dyDescent="0.2">
      <c r="A306" s="226" t="s">
        <v>431</v>
      </c>
      <c r="B306" s="227" t="s">
        <v>591</v>
      </c>
      <c r="C306" s="227" t="s">
        <v>597</v>
      </c>
      <c r="D306" s="226" t="s">
        <v>434</v>
      </c>
      <c r="E306" s="226" t="s">
        <v>479</v>
      </c>
    </row>
    <row r="307" spans="1:5" x14ac:dyDescent="0.2">
      <c r="A307" s="226" t="s">
        <v>431</v>
      </c>
      <c r="B307" s="227" t="s">
        <v>591</v>
      </c>
      <c r="C307" s="227" t="s">
        <v>598</v>
      </c>
      <c r="D307" s="226" t="s">
        <v>434</v>
      </c>
      <c r="E307" s="226" t="s">
        <v>479</v>
      </c>
    </row>
    <row r="308" spans="1:5" x14ac:dyDescent="0.2">
      <c r="A308" s="226" t="s">
        <v>431</v>
      </c>
      <c r="B308" s="227" t="s">
        <v>591</v>
      </c>
      <c r="C308" s="227" t="s">
        <v>599</v>
      </c>
      <c r="D308" s="226" t="s">
        <v>434</v>
      </c>
      <c r="E308" s="226" t="s">
        <v>479</v>
      </c>
    </row>
    <row r="309" spans="1:5" x14ac:dyDescent="0.2">
      <c r="A309" s="226" t="s">
        <v>431</v>
      </c>
      <c r="B309" s="227" t="s">
        <v>591</v>
      </c>
      <c r="C309" s="227" t="s">
        <v>600</v>
      </c>
      <c r="D309" s="226" t="s">
        <v>434</v>
      </c>
      <c r="E309" s="226" t="s">
        <v>479</v>
      </c>
    </row>
    <row r="310" spans="1:5" x14ac:dyDescent="0.2">
      <c r="A310" s="226" t="s">
        <v>431</v>
      </c>
      <c r="B310" s="227" t="s">
        <v>591</v>
      </c>
      <c r="C310" s="227" t="s">
        <v>601</v>
      </c>
      <c r="D310" s="226" t="s">
        <v>434</v>
      </c>
      <c r="E310" s="226" t="s">
        <v>479</v>
      </c>
    </row>
    <row r="311" spans="1:5" x14ac:dyDescent="0.2">
      <c r="A311" s="226" t="s">
        <v>431</v>
      </c>
      <c r="B311" s="227" t="s">
        <v>591</v>
      </c>
      <c r="C311" s="227" t="s">
        <v>602</v>
      </c>
      <c r="D311" s="226" t="s">
        <v>434</v>
      </c>
      <c r="E311" s="226" t="s">
        <v>479</v>
      </c>
    </row>
    <row r="312" spans="1:5" x14ac:dyDescent="0.2">
      <c r="A312" s="226" t="s">
        <v>431</v>
      </c>
      <c r="B312" s="227" t="s">
        <v>591</v>
      </c>
      <c r="C312" s="227" t="s">
        <v>603</v>
      </c>
      <c r="D312" s="226" t="s">
        <v>434</v>
      </c>
      <c r="E312" s="226" t="s">
        <v>479</v>
      </c>
    </row>
    <row r="313" spans="1:5" x14ac:dyDescent="0.2">
      <c r="A313" s="226" t="s">
        <v>431</v>
      </c>
      <c r="B313" s="227" t="s">
        <v>591</v>
      </c>
      <c r="C313" s="227" t="s">
        <v>604</v>
      </c>
      <c r="D313" s="226" t="s">
        <v>434</v>
      </c>
      <c r="E313" s="226" t="s">
        <v>479</v>
      </c>
    </row>
    <row r="314" spans="1:5" x14ac:dyDescent="0.2">
      <c r="A314" s="226" t="s">
        <v>431</v>
      </c>
      <c r="B314" s="227" t="s">
        <v>591</v>
      </c>
      <c r="C314" s="227" t="s">
        <v>605</v>
      </c>
      <c r="D314" s="226" t="s">
        <v>434</v>
      </c>
      <c r="E314" s="226" t="s">
        <v>479</v>
      </c>
    </row>
    <row r="315" spans="1:5" x14ac:dyDescent="0.2">
      <c r="A315" s="226" t="s">
        <v>431</v>
      </c>
      <c r="B315" s="227" t="s">
        <v>591</v>
      </c>
      <c r="C315" s="227" t="s">
        <v>606</v>
      </c>
      <c r="D315" s="226" t="s">
        <v>434</v>
      </c>
      <c r="E315" s="226" t="s">
        <v>479</v>
      </c>
    </row>
    <row r="316" spans="1:5" x14ac:dyDescent="0.2">
      <c r="A316" s="226" t="s">
        <v>431</v>
      </c>
      <c r="B316" s="227" t="s">
        <v>591</v>
      </c>
      <c r="C316" s="227" t="s">
        <v>607</v>
      </c>
      <c r="D316" s="226" t="s">
        <v>434</v>
      </c>
      <c r="E316" s="226" t="s">
        <v>479</v>
      </c>
    </row>
    <row r="317" spans="1:5" x14ac:dyDescent="0.2">
      <c r="A317" s="226" t="s">
        <v>431</v>
      </c>
      <c r="B317" s="227" t="s">
        <v>591</v>
      </c>
      <c r="C317" s="227" t="s">
        <v>608</v>
      </c>
      <c r="D317" s="226" t="s">
        <v>434</v>
      </c>
      <c r="E317" s="226" t="s">
        <v>479</v>
      </c>
    </row>
    <row r="318" spans="1:5" x14ac:dyDescent="0.2">
      <c r="A318" s="226" t="s">
        <v>431</v>
      </c>
      <c r="B318" s="227" t="s">
        <v>591</v>
      </c>
      <c r="C318" s="227" t="s">
        <v>609</v>
      </c>
      <c r="D318" s="226" t="s">
        <v>434</v>
      </c>
      <c r="E318" s="226" t="s">
        <v>479</v>
      </c>
    </row>
    <row r="319" spans="1:5" x14ac:dyDescent="0.2">
      <c r="A319" s="226" t="s">
        <v>431</v>
      </c>
      <c r="B319" s="226" t="s">
        <v>610</v>
      </c>
      <c r="C319" s="226" t="s">
        <v>611</v>
      </c>
      <c r="D319" s="226" t="s">
        <v>434</v>
      </c>
      <c r="E319" s="226" t="s">
        <v>479</v>
      </c>
    </row>
    <row r="320" spans="1:5" x14ac:dyDescent="0.2">
      <c r="A320" s="226" t="s">
        <v>431</v>
      </c>
      <c r="B320" s="226" t="s">
        <v>610</v>
      </c>
      <c r="C320" s="226" t="s">
        <v>612</v>
      </c>
      <c r="D320" s="226" t="s">
        <v>434</v>
      </c>
      <c r="E320" s="226" t="s">
        <v>479</v>
      </c>
    </row>
    <row r="321" spans="1:5" x14ac:dyDescent="0.2">
      <c r="A321" s="226" t="s">
        <v>431</v>
      </c>
      <c r="B321" s="227" t="s">
        <v>610</v>
      </c>
      <c r="C321" s="227" t="s">
        <v>613</v>
      </c>
      <c r="D321" s="226" t="s">
        <v>434</v>
      </c>
      <c r="E321" s="226" t="s">
        <v>479</v>
      </c>
    </row>
    <row r="322" spans="1:5" x14ac:dyDescent="0.2">
      <c r="A322" s="226" t="s">
        <v>431</v>
      </c>
      <c r="B322" s="226" t="s">
        <v>610</v>
      </c>
      <c r="C322" s="226" t="s">
        <v>614</v>
      </c>
      <c r="D322" s="226" t="s">
        <v>434</v>
      </c>
      <c r="E322" s="226" t="s">
        <v>479</v>
      </c>
    </row>
    <row r="323" spans="1:5" x14ac:dyDescent="0.2">
      <c r="A323" s="226" t="s">
        <v>431</v>
      </c>
      <c r="B323" s="226" t="s">
        <v>610</v>
      </c>
      <c r="C323" s="226" t="s">
        <v>615</v>
      </c>
      <c r="D323" s="226" t="s">
        <v>434</v>
      </c>
      <c r="E323" s="226" t="s">
        <v>479</v>
      </c>
    </row>
    <row r="324" spans="1:5" x14ac:dyDescent="0.2">
      <c r="A324" s="226" t="s">
        <v>431</v>
      </c>
      <c r="B324" s="227" t="s">
        <v>610</v>
      </c>
      <c r="C324" s="227" t="s">
        <v>616</v>
      </c>
      <c r="D324" s="226" t="s">
        <v>434</v>
      </c>
      <c r="E324" s="226" t="s">
        <v>479</v>
      </c>
    </row>
    <row r="325" spans="1:5" x14ac:dyDescent="0.2">
      <c r="A325" s="226" t="s">
        <v>431</v>
      </c>
      <c r="B325" s="227" t="s">
        <v>610</v>
      </c>
      <c r="C325" s="227" t="s">
        <v>617</v>
      </c>
      <c r="D325" s="226" t="s">
        <v>434</v>
      </c>
      <c r="E325" s="226" t="s">
        <v>479</v>
      </c>
    </row>
    <row r="326" spans="1:5" x14ac:dyDescent="0.2">
      <c r="A326" s="226" t="s">
        <v>431</v>
      </c>
      <c r="B326" s="227" t="s">
        <v>610</v>
      </c>
      <c r="C326" s="227" t="s">
        <v>618</v>
      </c>
      <c r="D326" s="226" t="s">
        <v>434</v>
      </c>
      <c r="E326" s="226" t="s">
        <v>479</v>
      </c>
    </row>
    <row r="327" spans="1:5" x14ac:dyDescent="0.2">
      <c r="A327" s="226" t="s">
        <v>431</v>
      </c>
      <c r="B327" s="227" t="s">
        <v>610</v>
      </c>
      <c r="C327" s="227" t="s">
        <v>619</v>
      </c>
      <c r="D327" s="226" t="s">
        <v>434</v>
      </c>
      <c r="E327" s="226" t="s">
        <v>479</v>
      </c>
    </row>
    <row r="328" spans="1:5" x14ac:dyDescent="0.2">
      <c r="A328" s="226" t="s">
        <v>431</v>
      </c>
      <c r="B328" s="226" t="s">
        <v>620</v>
      </c>
      <c r="C328" s="226" t="s">
        <v>621</v>
      </c>
      <c r="D328" s="226" t="s">
        <v>434</v>
      </c>
      <c r="E328" s="226" t="s">
        <v>169</v>
      </c>
    </row>
    <row r="329" spans="1:5" x14ac:dyDescent="0.2">
      <c r="A329" s="226" t="s">
        <v>431</v>
      </c>
      <c r="B329" s="226" t="s">
        <v>620</v>
      </c>
      <c r="C329" s="226" t="s">
        <v>622</v>
      </c>
      <c r="D329" s="226" t="s">
        <v>434</v>
      </c>
      <c r="E329" s="226" t="s">
        <v>169</v>
      </c>
    </row>
    <row r="330" spans="1:5" x14ac:dyDescent="0.2">
      <c r="A330" s="226" t="s">
        <v>431</v>
      </c>
      <c r="B330" s="227" t="s">
        <v>620</v>
      </c>
      <c r="C330" s="227" t="s">
        <v>623</v>
      </c>
      <c r="D330" s="226" t="s">
        <v>434</v>
      </c>
      <c r="E330" s="226" t="s">
        <v>169</v>
      </c>
    </row>
    <row r="331" spans="1:5" x14ac:dyDescent="0.2">
      <c r="A331" s="226" t="s">
        <v>431</v>
      </c>
      <c r="B331" s="227" t="s">
        <v>620</v>
      </c>
      <c r="C331" s="227" t="s">
        <v>624</v>
      </c>
      <c r="D331" s="226" t="s">
        <v>434</v>
      </c>
      <c r="E331" s="226" t="s">
        <v>169</v>
      </c>
    </row>
    <row r="332" spans="1:5" x14ac:dyDescent="0.2">
      <c r="A332" s="226" t="s">
        <v>431</v>
      </c>
      <c r="B332" s="227" t="s">
        <v>620</v>
      </c>
      <c r="C332" s="227" t="s">
        <v>625</v>
      </c>
      <c r="D332" s="226" t="s">
        <v>434</v>
      </c>
      <c r="E332" s="226" t="s">
        <v>169</v>
      </c>
    </row>
    <row r="333" spans="1:5" x14ac:dyDescent="0.2">
      <c r="A333" s="226" t="s">
        <v>431</v>
      </c>
      <c r="B333" s="227" t="s">
        <v>620</v>
      </c>
      <c r="C333" s="227" t="s">
        <v>626</v>
      </c>
      <c r="D333" s="226" t="s">
        <v>434</v>
      </c>
      <c r="E333" s="226" t="s">
        <v>169</v>
      </c>
    </row>
    <row r="334" spans="1:5" x14ac:dyDescent="0.2">
      <c r="A334" s="226" t="s">
        <v>431</v>
      </c>
      <c r="B334" s="227" t="s">
        <v>620</v>
      </c>
      <c r="C334" s="227" t="s">
        <v>627</v>
      </c>
      <c r="D334" s="226" t="s">
        <v>434</v>
      </c>
      <c r="E334" s="226" t="s">
        <v>169</v>
      </c>
    </row>
    <row r="335" spans="1:5" x14ac:dyDescent="0.2">
      <c r="A335" s="226" t="s">
        <v>431</v>
      </c>
      <c r="B335" s="227" t="s">
        <v>620</v>
      </c>
      <c r="C335" s="227" t="s">
        <v>628</v>
      </c>
      <c r="D335" s="226" t="s">
        <v>434</v>
      </c>
      <c r="E335" s="226" t="s">
        <v>169</v>
      </c>
    </row>
    <row r="336" spans="1:5" x14ac:dyDescent="0.2">
      <c r="A336" s="226" t="s">
        <v>431</v>
      </c>
      <c r="B336" s="227" t="s">
        <v>620</v>
      </c>
      <c r="C336" s="227" t="s">
        <v>629</v>
      </c>
      <c r="D336" s="226" t="s">
        <v>434</v>
      </c>
      <c r="E336" s="226" t="s">
        <v>169</v>
      </c>
    </row>
    <row r="337" spans="1:5" x14ac:dyDescent="0.2">
      <c r="A337" s="226" t="s">
        <v>431</v>
      </c>
      <c r="B337" s="227" t="s">
        <v>620</v>
      </c>
      <c r="C337" s="227" t="s">
        <v>630</v>
      </c>
      <c r="D337" s="226" t="s">
        <v>434</v>
      </c>
      <c r="E337" s="226" t="s">
        <v>169</v>
      </c>
    </row>
    <row r="338" spans="1:5" x14ac:dyDescent="0.2">
      <c r="A338" s="226" t="s">
        <v>431</v>
      </c>
      <c r="B338" s="227" t="s">
        <v>620</v>
      </c>
      <c r="C338" s="227" t="s">
        <v>631</v>
      </c>
      <c r="D338" s="226" t="s">
        <v>434</v>
      </c>
      <c r="E338" s="226" t="s">
        <v>169</v>
      </c>
    </row>
    <row r="339" spans="1:5" x14ac:dyDescent="0.2">
      <c r="A339" s="226" t="s">
        <v>431</v>
      </c>
      <c r="B339" s="227" t="s">
        <v>620</v>
      </c>
      <c r="C339" s="227" t="s">
        <v>632</v>
      </c>
      <c r="D339" s="226" t="s">
        <v>434</v>
      </c>
      <c r="E339" s="226" t="s">
        <v>169</v>
      </c>
    </row>
    <row r="340" spans="1:5" x14ac:dyDescent="0.2">
      <c r="A340" s="226" t="s">
        <v>431</v>
      </c>
      <c r="B340" s="227" t="s">
        <v>620</v>
      </c>
      <c r="C340" s="227" t="s">
        <v>633</v>
      </c>
      <c r="D340" s="226" t="s">
        <v>434</v>
      </c>
      <c r="E340" s="226" t="s">
        <v>169</v>
      </c>
    </row>
    <row r="341" spans="1:5" x14ac:dyDescent="0.2">
      <c r="A341" s="226" t="s">
        <v>431</v>
      </c>
      <c r="B341" s="227" t="s">
        <v>620</v>
      </c>
      <c r="C341" s="227" t="s">
        <v>634</v>
      </c>
      <c r="D341" s="226" t="s">
        <v>434</v>
      </c>
      <c r="E341" s="226" t="s">
        <v>169</v>
      </c>
    </row>
    <row r="342" spans="1:5" x14ac:dyDescent="0.2">
      <c r="A342" s="226" t="s">
        <v>431</v>
      </c>
      <c r="B342" s="227" t="s">
        <v>620</v>
      </c>
      <c r="C342" s="227" t="s">
        <v>635</v>
      </c>
      <c r="D342" s="226" t="s">
        <v>434</v>
      </c>
      <c r="E342" s="226" t="s">
        <v>169</v>
      </c>
    </row>
    <row r="343" spans="1:5" x14ac:dyDescent="0.2">
      <c r="A343" s="226" t="s">
        <v>431</v>
      </c>
      <c r="B343" s="227" t="s">
        <v>620</v>
      </c>
      <c r="C343" s="227" t="s">
        <v>636</v>
      </c>
      <c r="D343" s="226" t="s">
        <v>434</v>
      </c>
      <c r="E343" s="226" t="s">
        <v>169</v>
      </c>
    </row>
    <row r="344" spans="1:5" x14ac:dyDescent="0.2">
      <c r="A344" s="226" t="s">
        <v>431</v>
      </c>
      <c r="B344" s="227" t="s">
        <v>620</v>
      </c>
      <c r="C344" s="227" t="s">
        <v>637</v>
      </c>
      <c r="D344" s="226" t="s">
        <v>434</v>
      </c>
      <c r="E344" s="226" t="s">
        <v>169</v>
      </c>
    </row>
    <row r="345" spans="1:5" x14ac:dyDescent="0.2">
      <c r="A345" s="226" t="s">
        <v>431</v>
      </c>
      <c r="B345" s="227" t="s">
        <v>620</v>
      </c>
      <c r="C345" s="227" t="s">
        <v>638</v>
      </c>
      <c r="D345" s="226" t="s">
        <v>434</v>
      </c>
      <c r="E345" s="226" t="s">
        <v>169</v>
      </c>
    </row>
    <row r="346" spans="1:5" x14ac:dyDescent="0.2">
      <c r="A346" s="226" t="s">
        <v>431</v>
      </c>
      <c r="B346" s="227" t="s">
        <v>620</v>
      </c>
      <c r="C346" s="227" t="s">
        <v>639</v>
      </c>
      <c r="D346" s="226" t="s">
        <v>434</v>
      </c>
      <c r="E346" s="226" t="s">
        <v>169</v>
      </c>
    </row>
    <row r="347" spans="1:5" x14ac:dyDescent="0.2">
      <c r="A347" s="226" t="s">
        <v>431</v>
      </c>
      <c r="B347" s="227" t="s">
        <v>620</v>
      </c>
      <c r="C347" s="227" t="s">
        <v>640</v>
      </c>
      <c r="D347" s="226" t="s">
        <v>434</v>
      </c>
      <c r="E347" s="226" t="s">
        <v>169</v>
      </c>
    </row>
    <row r="348" spans="1:5" x14ac:dyDescent="0.2">
      <c r="A348" s="226" t="s">
        <v>431</v>
      </c>
      <c r="B348" s="227" t="s">
        <v>620</v>
      </c>
      <c r="C348" s="227" t="s">
        <v>641</v>
      </c>
      <c r="D348" s="226" t="s">
        <v>434</v>
      </c>
      <c r="E348" s="226" t="s">
        <v>169</v>
      </c>
    </row>
    <row r="349" spans="1:5" x14ac:dyDescent="0.2">
      <c r="A349" s="226" t="s">
        <v>431</v>
      </c>
      <c r="B349" s="227" t="s">
        <v>620</v>
      </c>
      <c r="C349" s="227" t="s">
        <v>642</v>
      </c>
      <c r="D349" s="226" t="s">
        <v>434</v>
      </c>
      <c r="E349" s="226" t="s">
        <v>169</v>
      </c>
    </row>
    <row r="350" spans="1:5" x14ac:dyDescent="0.2">
      <c r="A350" s="226" t="s">
        <v>431</v>
      </c>
      <c r="B350" s="227" t="s">
        <v>620</v>
      </c>
      <c r="C350" s="227" t="s">
        <v>643</v>
      </c>
      <c r="D350" s="226" t="s">
        <v>434</v>
      </c>
      <c r="E350" s="226" t="s">
        <v>169</v>
      </c>
    </row>
    <row r="351" spans="1:5" x14ac:dyDescent="0.2">
      <c r="A351" s="226" t="s">
        <v>431</v>
      </c>
      <c r="B351" s="227" t="s">
        <v>620</v>
      </c>
      <c r="C351" s="227" t="s">
        <v>644</v>
      </c>
      <c r="D351" s="226" t="s">
        <v>434</v>
      </c>
      <c r="E351" s="226" t="s">
        <v>169</v>
      </c>
    </row>
    <row r="352" spans="1:5" x14ac:dyDescent="0.2">
      <c r="A352" s="226" t="s">
        <v>431</v>
      </c>
      <c r="B352" s="227" t="s">
        <v>620</v>
      </c>
      <c r="C352" s="227" t="s">
        <v>645</v>
      </c>
      <c r="D352" s="226" t="s">
        <v>434</v>
      </c>
      <c r="E352" s="226" t="s">
        <v>169</v>
      </c>
    </row>
    <row r="353" spans="1:5" x14ac:dyDescent="0.2">
      <c r="A353" s="226" t="s">
        <v>431</v>
      </c>
      <c r="B353" s="227" t="s">
        <v>620</v>
      </c>
      <c r="C353" s="227" t="s">
        <v>646</v>
      </c>
      <c r="D353" s="226" t="s">
        <v>434</v>
      </c>
      <c r="E353" s="226" t="s">
        <v>169</v>
      </c>
    </row>
    <row r="354" spans="1:5" x14ac:dyDescent="0.2">
      <c r="A354" s="226" t="s">
        <v>431</v>
      </c>
      <c r="B354" s="227" t="s">
        <v>620</v>
      </c>
      <c r="C354" s="227" t="s">
        <v>647</v>
      </c>
      <c r="D354" s="226" t="s">
        <v>434</v>
      </c>
      <c r="E354" s="226" t="s">
        <v>169</v>
      </c>
    </row>
    <row r="355" spans="1:5" x14ac:dyDescent="0.2">
      <c r="A355" s="226" t="s">
        <v>431</v>
      </c>
      <c r="B355" s="227" t="s">
        <v>620</v>
      </c>
      <c r="C355" s="227" t="s">
        <v>648</v>
      </c>
      <c r="D355" s="226" t="s">
        <v>434</v>
      </c>
      <c r="E355" s="226" t="s">
        <v>169</v>
      </c>
    </row>
    <row r="356" spans="1:5" x14ac:dyDescent="0.2">
      <c r="A356" s="226" t="s">
        <v>431</v>
      </c>
      <c r="B356" s="227" t="s">
        <v>620</v>
      </c>
      <c r="C356" s="227" t="s">
        <v>649</v>
      </c>
      <c r="D356" s="226" t="s">
        <v>434</v>
      </c>
      <c r="E356" s="226" t="s">
        <v>169</v>
      </c>
    </row>
    <row r="357" spans="1:5" x14ac:dyDescent="0.2">
      <c r="A357" s="226" t="s">
        <v>431</v>
      </c>
      <c r="B357" s="227" t="s">
        <v>620</v>
      </c>
      <c r="C357" s="227" t="s">
        <v>650</v>
      </c>
      <c r="D357" s="226" t="s">
        <v>434</v>
      </c>
      <c r="E357" s="226" t="s">
        <v>169</v>
      </c>
    </row>
    <row r="358" spans="1:5" x14ac:dyDescent="0.2">
      <c r="A358" s="226" t="s">
        <v>431</v>
      </c>
      <c r="B358" s="227" t="s">
        <v>620</v>
      </c>
      <c r="C358" s="227" t="s">
        <v>651</v>
      </c>
      <c r="D358" s="226" t="s">
        <v>434</v>
      </c>
      <c r="E358" s="226" t="s">
        <v>169</v>
      </c>
    </row>
    <row r="359" spans="1:5" x14ac:dyDescent="0.2">
      <c r="A359" s="226" t="s">
        <v>431</v>
      </c>
      <c r="B359" s="227" t="s">
        <v>620</v>
      </c>
      <c r="C359" s="227" t="s">
        <v>652</v>
      </c>
      <c r="D359" s="226" t="s">
        <v>434</v>
      </c>
      <c r="E359" s="226" t="s">
        <v>169</v>
      </c>
    </row>
    <row r="360" spans="1:5" x14ac:dyDescent="0.2">
      <c r="A360" s="226" t="s">
        <v>431</v>
      </c>
      <c r="B360" s="227" t="s">
        <v>620</v>
      </c>
      <c r="C360" s="227" t="s">
        <v>653</v>
      </c>
      <c r="D360" s="226" t="s">
        <v>434</v>
      </c>
      <c r="E360" s="226" t="s">
        <v>169</v>
      </c>
    </row>
    <row r="361" spans="1:5" x14ac:dyDescent="0.2">
      <c r="A361" s="226" t="s">
        <v>431</v>
      </c>
      <c r="B361" s="227" t="s">
        <v>620</v>
      </c>
      <c r="C361" s="227" t="s">
        <v>654</v>
      </c>
      <c r="D361" s="226" t="s">
        <v>434</v>
      </c>
      <c r="E361" s="226" t="s">
        <v>169</v>
      </c>
    </row>
    <row r="362" spans="1:5" x14ac:dyDescent="0.2">
      <c r="A362" s="226" t="s">
        <v>431</v>
      </c>
      <c r="B362" s="227" t="s">
        <v>620</v>
      </c>
      <c r="C362" s="227" t="s">
        <v>655</v>
      </c>
      <c r="D362" s="226" t="s">
        <v>434</v>
      </c>
      <c r="E362" s="226" t="s">
        <v>169</v>
      </c>
    </row>
    <row r="363" spans="1:5" x14ac:dyDescent="0.2">
      <c r="A363" s="226" t="s">
        <v>431</v>
      </c>
      <c r="B363" s="227" t="s">
        <v>620</v>
      </c>
      <c r="C363" s="227" t="s">
        <v>656</v>
      </c>
      <c r="D363" s="226" t="s">
        <v>434</v>
      </c>
      <c r="E363" s="226" t="s">
        <v>169</v>
      </c>
    </row>
    <row r="364" spans="1:5" x14ac:dyDescent="0.2">
      <c r="A364" s="226" t="s">
        <v>431</v>
      </c>
      <c r="B364" s="227" t="s">
        <v>620</v>
      </c>
      <c r="C364" s="227" t="s">
        <v>657</v>
      </c>
      <c r="D364" s="226" t="s">
        <v>434</v>
      </c>
      <c r="E364" s="226" t="s">
        <v>169</v>
      </c>
    </row>
    <row r="365" spans="1:5" x14ac:dyDescent="0.2">
      <c r="A365" s="226" t="s">
        <v>431</v>
      </c>
      <c r="B365" s="227" t="s">
        <v>620</v>
      </c>
      <c r="C365" s="227" t="s">
        <v>658</v>
      </c>
      <c r="D365" s="226" t="s">
        <v>434</v>
      </c>
      <c r="E365" s="226" t="s">
        <v>169</v>
      </c>
    </row>
    <row r="366" spans="1:5" x14ac:dyDescent="0.2">
      <c r="A366" s="226" t="s">
        <v>431</v>
      </c>
      <c r="B366" s="227" t="s">
        <v>620</v>
      </c>
      <c r="C366" s="227" t="s">
        <v>659</v>
      </c>
      <c r="D366" s="226" t="s">
        <v>434</v>
      </c>
      <c r="E366" s="226" t="s">
        <v>169</v>
      </c>
    </row>
    <row r="367" spans="1:5" x14ac:dyDescent="0.2">
      <c r="A367" s="226" t="s">
        <v>431</v>
      </c>
      <c r="B367" s="227" t="s">
        <v>620</v>
      </c>
      <c r="C367" s="227" t="s">
        <v>660</v>
      </c>
      <c r="D367" s="226" t="s">
        <v>434</v>
      </c>
      <c r="E367" s="226" t="s">
        <v>169</v>
      </c>
    </row>
    <row r="368" spans="1:5" x14ac:dyDescent="0.2">
      <c r="A368" s="226" t="s">
        <v>431</v>
      </c>
      <c r="B368" s="226" t="s">
        <v>661</v>
      </c>
      <c r="C368" s="226" t="s">
        <v>662</v>
      </c>
      <c r="D368" s="226" t="s">
        <v>434</v>
      </c>
      <c r="E368" s="226" t="s">
        <v>169</v>
      </c>
    </row>
    <row r="369" spans="1:5" x14ac:dyDescent="0.2">
      <c r="A369" s="226" t="s">
        <v>431</v>
      </c>
      <c r="B369" s="226" t="s">
        <v>661</v>
      </c>
      <c r="C369" s="226" t="s">
        <v>663</v>
      </c>
      <c r="D369" s="226" t="s">
        <v>434</v>
      </c>
      <c r="E369" s="226" t="s">
        <v>169</v>
      </c>
    </row>
    <row r="370" spans="1:5" x14ac:dyDescent="0.2">
      <c r="A370" s="226" t="s">
        <v>431</v>
      </c>
      <c r="B370" s="227" t="s">
        <v>661</v>
      </c>
      <c r="C370" s="227" t="s">
        <v>664</v>
      </c>
      <c r="D370" s="226" t="s">
        <v>434</v>
      </c>
      <c r="E370" s="226" t="s">
        <v>169</v>
      </c>
    </row>
    <row r="371" spans="1:5" x14ac:dyDescent="0.2">
      <c r="A371" s="226" t="s">
        <v>431</v>
      </c>
      <c r="B371" s="227" t="s">
        <v>661</v>
      </c>
      <c r="C371" s="227" t="s">
        <v>665</v>
      </c>
      <c r="D371" s="226" t="s">
        <v>434</v>
      </c>
      <c r="E371" s="226" t="s">
        <v>169</v>
      </c>
    </row>
    <row r="372" spans="1:5" x14ac:dyDescent="0.2">
      <c r="A372" s="226" t="s">
        <v>431</v>
      </c>
      <c r="B372" s="227" t="s">
        <v>661</v>
      </c>
      <c r="C372" s="227" t="s">
        <v>666</v>
      </c>
      <c r="D372" s="226" t="s">
        <v>434</v>
      </c>
      <c r="E372" s="226" t="s">
        <v>169</v>
      </c>
    </row>
    <row r="373" spans="1:5" x14ac:dyDescent="0.2">
      <c r="A373" s="226" t="s">
        <v>431</v>
      </c>
      <c r="B373" s="227" t="s">
        <v>661</v>
      </c>
      <c r="C373" s="227" t="s">
        <v>667</v>
      </c>
      <c r="D373" s="226" t="s">
        <v>434</v>
      </c>
      <c r="E373" s="226" t="s">
        <v>169</v>
      </c>
    </row>
    <row r="374" spans="1:5" x14ac:dyDescent="0.2">
      <c r="A374" s="226" t="s">
        <v>431</v>
      </c>
      <c r="B374" s="227" t="s">
        <v>661</v>
      </c>
      <c r="C374" s="227" t="s">
        <v>668</v>
      </c>
      <c r="D374" s="226" t="s">
        <v>434</v>
      </c>
      <c r="E374" s="226" t="s">
        <v>169</v>
      </c>
    </row>
    <row r="375" spans="1:5" x14ac:dyDescent="0.2">
      <c r="A375" s="226" t="s">
        <v>431</v>
      </c>
      <c r="B375" s="226" t="s">
        <v>669</v>
      </c>
      <c r="C375" s="226" t="s">
        <v>670</v>
      </c>
      <c r="D375" s="226" t="s">
        <v>434</v>
      </c>
      <c r="E375" s="226" t="s">
        <v>479</v>
      </c>
    </row>
    <row r="376" spans="1:5" x14ac:dyDescent="0.2">
      <c r="A376" s="226" t="s">
        <v>431</v>
      </c>
      <c r="B376" s="226" t="s">
        <v>669</v>
      </c>
      <c r="C376" s="226" t="s">
        <v>671</v>
      </c>
      <c r="D376" s="226" t="s">
        <v>434</v>
      </c>
      <c r="E376" s="226" t="s">
        <v>479</v>
      </c>
    </row>
    <row r="377" spans="1:5" x14ac:dyDescent="0.2">
      <c r="A377" s="226" t="s">
        <v>431</v>
      </c>
      <c r="B377" s="227" t="s">
        <v>669</v>
      </c>
      <c r="C377" s="227" t="s">
        <v>672</v>
      </c>
      <c r="D377" s="226" t="s">
        <v>434</v>
      </c>
      <c r="E377" s="226" t="s">
        <v>479</v>
      </c>
    </row>
    <row r="378" spans="1:5" x14ac:dyDescent="0.2">
      <c r="A378" s="226" t="s">
        <v>431</v>
      </c>
      <c r="B378" s="227" t="s">
        <v>669</v>
      </c>
      <c r="C378" s="227" t="s">
        <v>673</v>
      </c>
      <c r="D378" s="226" t="s">
        <v>434</v>
      </c>
      <c r="E378" s="226" t="s">
        <v>479</v>
      </c>
    </row>
    <row r="379" spans="1:5" x14ac:dyDescent="0.2">
      <c r="A379" s="226" t="s">
        <v>431</v>
      </c>
      <c r="B379" s="227" t="s">
        <v>669</v>
      </c>
      <c r="C379" s="227" t="s">
        <v>674</v>
      </c>
      <c r="D379" s="226" t="s">
        <v>434</v>
      </c>
      <c r="E379" s="226" t="s">
        <v>479</v>
      </c>
    </row>
    <row r="380" spans="1:5" x14ac:dyDescent="0.2">
      <c r="A380" s="226" t="s">
        <v>431</v>
      </c>
      <c r="B380" s="227" t="s">
        <v>669</v>
      </c>
      <c r="C380" s="227" t="s">
        <v>675</v>
      </c>
      <c r="D380" s="226" t="s">
        <v>434</v>
      </c>
      <c r="E380" s="226" t="s">
        <v>479</v>
      </c>
    </row>
    <row r="381" spans="1:5" x14ac:dyDescent="0.2">
      <c r="A381" s="226" t="s">
        <v>431</v>
      </c>
      <c r="B381" s="227" t="s">
        <v>669</v>
      </c>
      <c r="C381" s="227" t="s">
        <v>676</v>
      </c>
      <c r="D381" s="226" t="s">
        <v>434</v>
      </c>
      <c r="E381" s="226" t="s">
        <v>479</v>
      </c>
    </row>
    <row r="382" spans="1:5" x14ac:dyDescent="0.2">
      <c r="A382" s="226" t="s">
        <v>431</v>
      </c>
      <c r="B382" s="227" t="s">
        <v>669</v>
      </c>
      <c r="C382" s="227" t="s">
        <v>677</v>
      </c>
      <c r="D382" s="226" t="s">
        <v>434</v>
      </c>
      <c r="E382" s="226" t="s">
        <v>479</v>
      </c>
    </row>
    <row r="383" spans="1:5" x14ac:dyDescent="0.2">
      <c r="A383" s="226" t="s">
        <v>431</v>
      </c>
      <c r="B383" s="227" t="s">
        <v>669</v>
      </c>
      <c r="C383" s="227" t="s">
        <v>678</v>
      </c>
      <c r="D383" s="226" t="s">
        <v>434</v>
      </c>
      <c r="E383" s="226" t="s">
        <v>479</v>
      </c>
    </row>
    <row r="384" spans="1:5" x14ac:dyDescent="0.2">
      <c r="A384" s="226" t="s">
        <v>431</v>
      </c>
      <c r="B384" s="227" t="s">
        <v>669</v>
      </c>
      <c r="C384" s="227" t="s">
        <v>679</v>
      </c>
      <c r="D384" s="226" t="s">
        <v>434</v>
      </c>
      <c r="E384" s="226" t="s">
        <v>479</v>
      </c>
    </row>
    <row r="385" spans="1:5" x14ac:dyDescent="0.2">
      <c r="A385" s="226" t="s">
        <v>431</v>
      </c>
      <c r="B385" s="227" t="s">
        <v>669</v>
      </c>
      <c r="C385" s="227" t="s">
        <v>680</v>
      </c>
      <c r="D385" s="226" t="s">
        <v>434</v>
      </c>
      <c r="E385" s="226" t="s">
        <v>479</v>
      </c>
    </row>
    <row r="386" spans="1:5" x14ac:dyDescent="0.2">
      <c r="A386" s="226" t="s">
        <v>431</v>
      </c>
      <c r="B386" s="227" t="s">
        <v>669</v>
      </c>
      <c r="C386" s="227" t="s">
        <v>681</v>
      </c>
      <c r="D386" s="226" t="s">
        <v>434</v>
      </c>
      <c r="E386" s="226" t="s">
        <v>479</v>
      </c>
    </row>
    <row r="387" spans="1:5" x14ac:dyDescent="0.2">
      <c r="A387" s="226" t="s">
        <v>431</v>
      </c>
      <c r="B387" s="226" t="s">
        <v>669</v>
      </c>
      <c r="C387" s="226" t="s">
        <v>682</v>
      </c>
      <c r="D387" s="226" t="s">
        <v>434</v>
      </c>
      <c r="E387" s="226" t="s">
        <v>479</v>
      </c>
    </row>
    <row r="388" spans="1:5" x14ac:dyDescent="0.2">
      <c r="A388" s="226" t="s">
        <v>431</v>
      </c>
      <c r="B388" s="226" t="s">
        <v>669</v>
      </c>
      <c r="C388" s="226" t="s">
        <v>683</v>
      </c>
      <c r="D388" s="226" t="s">
        <v>434</v>
      </c>
      <c r="E388" s="226" t="s">
        <v>479</v>
      </c>
    </row>
    <row r="389" spans="1:5" x14ac:dyDescent="0.2">
      <c r="A389" s="226" t="s">
        <v>431</v>
      </c>
      <c r="B389" s="227" t="s">
        <v>669</v>
      </c>
      <c r="C389" s="227" t="s">
        <v>684</v>
      </c>
      <c r="D389" s="226" t="s">
        <v>434</v>
      </c>
      <c r="E389" s="226" t="s">
        <v>479</v>
      </c>
    </row>
    <row r="390" spans="1:5" x14ac:dyDescent="0.2">
      <c r="A390" s="226" t="s">
        <v>431</v>
      </c>
      <c r="B390" s="227" t="s">
        <v>669</v>
      </c>
      <c r="C390" s="227" t="s">
        <v>685</v>
      </c>
      <c r="D390" s="226" t="s">
        <v>434</v>
      </c>
      <c r="E390" s="226" t="s">
        <v>479</v>
      </c>
    </row>
    <row r="391" spans="1:5" x14ac:dyDescent="0.2">
      <c r="A391" s="226" t="s">
        <v>431</v>
      </c>
      <c r="B391" s="227" t="s">
        <v>669</v>
      </c>
      <c r="C391" s="227" t="s">
        <v>686</v>
      </c>
      <c r="D391" s="226" t="s">
        <v>434</v>
      </c>
      <c r="E391" s="226" t="s">
        <v>479</v>
      </c>
    </row>
    <row r="392" spans="1:5" x14ac:dyDescent="0.2">
      <c r="A392" s="226" t="s">
        <v>431</v>
      </c>
      <c r="B392" s="227" t="s">
        <v>669</v>
      </c>
      <c r="C392" s="227" t="s">
        <v>687</v>
      </c>
      <c r="D392" s="226" t="s">
        <v>434</v>
      </c>
      <c r="E392" s="226" t="s">
        <v>479</v>
      </c>
    </row>
    <row r="393" spans="1:5" x14ac:dyDescent="0.2">
      <c r="A393" s="226" t="s">
        <v>431</v>
      </c>
      <c r="B393" s="227" t="s">
        <v>669</v>
      </c>
      <c r="C393" s="227" t="s">
        <v>688</v>
      </c>
      <c r="D393" s="226" t="s">
        <v>434</v>
      </c>
      <c r="E393" s="226" t="s">
        <v>479</v>
      </c>
    </row>
    <row r="394" spans="1:5" x14ac:dyDescent="0.2">
      <c r="A394" s="226" t="s">
        <v>431</v>
      </c>
      <c r="B394" s="227" t="s">
        <v>669</v>
      </c>
      <c r="C394" s="227" t="s">
        <v>689</v>
      </c>
      <c r="D394" s="226" t="s">
        <v>434</v>
      </c>
      <c r="E394" s="226" t="s">
        <v>479</v>
      </c>
    </row>
    <row r="395" spans="1:5" x14ac:dyDescent="0.2">
      <c r="A395" s="226" t="s">
        <v>431</v>
      </c>
      <c r="B395" s="227" t="s">
        <v>669</v>
      </c>
      <c r="C395" s="227" t="s">
        <v>690</v>
      </c>
      <c r="D395" s="226" t="s">
        <v>434</v>
      </c>
      <c r="E395" s="226" t="s">
        <v>479</v>
      </c>
    </row>
    <row r="396" spans="1:5" x14ac:dyDescent="0.2">
      <c r="A396" s="226" t="s">
        <v>431</v>
      </c>
      <c r="B396" s="227" t="s">
        <v>669</v>
      </c>
      <c r="C396" s="227" t="s">
        <v>691</v>
      </c>
      <c r="D396" s="226" t="s">
        <v>434</v>
      </c>
      <c r="E396" s="226" t="s">
        <v>479</v>
      </c>
    </row>
    <row r="397" spans="1:5" x14ac:dyDescent="0.2">
      <c r="A397" s="226" t="s">
        <v>431</v>
      </c>
      <c r="B397" s="227" t="s">
        <v>669</v>
      </c>
      <c r="C397" s="227" t="s">
        <v>692</v>
      </c>
      <c r="D397" s="226" t="s">
        <v>434</v>
      </c>
      <c r="E397" s="226" t="s">
        <v>479</v>
      </c>
    </row>
    <row r="398" spans="1:5" x14ac:dyDescent="0.2">
      <c r="A398" s="226" t="s">
        <v>431</v>
      </c>
      <c r="B398" s="227" t="s">
        <v>669</v>
      </c>
      <c r="C398" s="227" t="s">
        <v>693</v>
      </c>
      <c r="D398" s="226" t="s">
        <v>434</v>
      </c>
      <c r="E398" s="226" t="s">
        <v>479</v>
      </c>
    </row>
    <row r="399" spans="1:5" x14ac:dyDescent="0.2">
      <c r="A399" s="226" t="s">
        <v>431</v>
      </c>
      <c r="B399" s="227" t="s">
        <v>669</v>
      </c>
      <c r="C399" s="227" t="s">
        <v>694</v>
      </c>
      <c r="D399" s="226" t="s">
        <v>434</v>
      </c>
      <c r="E399" s="226" t="s">
        <v>479</v>
      </c>
    </row>
    <row r="400" spans="1:5" x14ac:dyDescent="0.2">
      <c r="A400" s="226" t="s">
        <v>431</v>
      </c>
      <c r="B400" s="227" t="s">
        <v>669</v>
      </c>
      <c r="C400" s="227" t="s">
        <v>695</v>
      </c>
      <c r="D400" s="226" t="s">
        <v>434</v>
      </c>
      <c r="E400" s="226" t="s">
        <v>479</v>
      </c>
    </row>
    <row r="401" spans="1:5" x14ac:dyDescent="0.2">
      <c r="A401" s="226" t="s">
        <v>431</v>
      </c>
      <c r="B401" s="227" t="s">
        <v>669</v>
      </c>
      <c r="C401" s="227" t="s">
        <v>696</v>
      </c>
      <c r="D401" s="226" t="s">
        <v>434</v>
      </c>
      <c r="E401" s="226" t="s">
        <v>479</v>
      </c>
    </row>
    <row r="402" spans="1:5" x14ac:dyDescent="0.2">
      <c r="A402" s="226" t="s">
        <v>431</v>
      </c>
      <c r="B402" s="226" t="s">
        <v>697</v>
      </c>
      <c r="C402" s="226" t="s">
        <v>698</v>
      </c>
      <c r="D402" s="226" t="s">
        <v>434</v>
      </c>
      <c r="E402" s="226" t="s">
        <v>169</v>
      </c>
    </row>
    <row r="403" spans="1:5" x14ac:dyDescent="0.2">
      <c r="A403" s="226" t="s">
        <v>431</v>
      </c>
      <c r="B403" s="226" t="s">
        <v>697</v>
      </c>
      <c r="C403" s="226" t="s">
        <v>699</v>
      </c>
      <c r="D403" s="226" t="s">
        <v>434</v>
      </c>
      <c r="E403" s="226" t="s">
        <v>169</v>
      </c>
    </row>
    <row r="404" spans="1:5" x14ac:dyDescent="0.2">
      <c r="A404" s="226" t="s">
        <v>431</v>
      </c>
      <c r="B404" s="227" t="s">
        <v>697</v>
      </c>
      <c r="C404" s="227" t="s">
        <v>700</v>
      </c>
      <c r="D404" s="226" t="s">
        <v>434</v>
      </c>
      <c r="E404" s="226" t="s">
        <v>169</v>
      </c>
    </row>
    <row r="405" spans="1:5" x14ac:dyDescent="0.2">
      <c r="A405" s="226" t="s">
        <v>431</v>
      </c>
      <c r="B405" s="227" t="s">
        <v>697</v>
      </c>
      <c r="C405" s="227" t="s">
        <v>701</v>
      </c>
      <c r="D405" s="226" t="s">
        <v>434</v>
      </c>
      <c r="E405" s="226" t="s">
        <v>169</v>
      </c>
    </row>
    <row r="406" spans="1:5" x14ac:dyDescent="0.2">
      <c r="A406" s="226" t="s">
        <v>431</v>
      </c>
      <c r="B406" s="227" t="s">
        <v>697</v>
      </c>
      <c r="C406" s="227" t="s">
        <v>702</v>
      </c>
      <c r="D406" s="226" t="s">
        <v>434</v>
      </c>
      <c r="E406" s="226" t="s">
        <v>169</v>
      </c>
    </row>
    <row r="407" spans="1:5" x14ac:dyDescent="0.2">
      <c r="A407" s="226" t="s">
        <v>431</v>
      </c>
      <c r="B407" s="227" t="s">
        <v>697</v>
      </c>
      <c r="C407" s="227" t="s">
        <v>703</v>
      </c>
      <c r="D407" s="226" t="s">
        <v>434</v>
      </c>
      <c r="E407" s="226" t="s">
        <v>169</v>
      </c>
    </row>
    <row r="408" spans="1:5" x14ac:dyDescent="0.2">
      <c r="A408" s="226" t="s">
        <v>431</v>
      </c>
      <c r="B408" s="227" t="s">
        <v>697</v>
      </c>
      <c r="C408" s="227" t="s">
        <v>704</v>
      </c>
      <c r="D408" s="226" t="s">
        <v>434</v>
      </c>
      <c r="E408" s="226" t="s">
        <v>169</v>
      </c>
    </row>
    <row r="409" spans="1:5" x14ac:dyDescent="0.2">
      <c r="A409" s="226" t="s">
        <v>431</v>
      </c>
      <c r="B409" s="227" t="s">
        <v>697</v>
      </c>
      <c r="C409" s="227" t="s">
        <v>705</v>
      </c>
      <c r="D409" s="226" t="s">
        <v>434</v>
      </c>
      <c r="E409" s="226" t="s">
        <v>169</v>
      </c>
    </row>
    <row r="410" spans="1:5" x14ac:dyDescent="0.2">
      <c r="A410" s="226" t="s">
        <v>431</v>
      </c>
      <c r="B410" s="227" t="s">
        <v>697</v>
      </c>
      <c r="C410" s="227" t="s">
        <v>706</v>
      </c>
      <c r="D410" s="226" t="s">
        <v>434</v>
      </c>
      <c r="E410" s="226" t="s">
        <v>169</v>
      </c>
    </row>
    <row r="411" spans="1:5" x14ac:dyDescent="0.2">
      <c r="A411" s="226" t="s">
        <v>431</v>
      </c>
      <c r="B411" s="227" t="s">
        <v>697</v>
      </c>
      <c r="C411" s="227" t="s">
        <v>707</v>
      </c>
      <c r="D411" s="226" t="s">
        <v>434</v>
      </c>
      <c r="E411" s="226" t="s">
        <v>169</v>
      </c>
    </row>
    <row r="412" spans="1:5" x14ac:dyDescent="0.2">
      <c r="A412" s="226" t="s">
        <v>431</v>
      </c>
      <c r="B412" s="227" t="s">
        <v>697</v>
      </c>
      <c r="C412" s="227" t="s">
        <v>708</v>
      </c>
      <c r="D412" s="226" t="s">
        <v>434</v>
      </c>
      <c r="E412" s="226" t="s">
        <v>169</v>
      </c>
    </row>
    <row r="413" spans="1:5" x14ac:dyDescent="0.2">
      <c r="A413" s="226" t="s">
        <v>431</v>
      </c>
      <c r="B413" s="227" t="s">
        <v>697</v>
      </c>
      <c r="C413" s="227" t="s">
        <v>709</v>
      </c>
      <c r="D413" s="226" t="s">
        <v>434</v>
      </c>
      <c r="E413" s="226" t="s">
        <v>169</v>
      </c>
    </row>
    <row r="414" spans="1:5" x14ac:dyDescent="0.2">
      <c r="A414" s="226" t="s">
        <v>431</v>
      </c>
      <c r="B414" s="227" t="s">
        <v>697</v>
      </c>
      <c r="C414" s="227" t="s">
        <v>710</v>
      </c>
      <c r="D414" s="226" t="s">
        <v>434</v>
      </c>
      <c r="E414" s="226" t="s">
        <v>169</v>
      </c>
    </row>
    <row r="415" spans="1:5" x14ac:dyDescent="0.2">
      <c r="A415" s="226" t="s">
        <v>431</v>
      </c>
      <c r="B415" s="227" t="s">
        <v>697</v>
      </c>
      <c r="C415" s="227" t="s">
        <v>711</v>
      </c>
      <c r="D415" s="226" t="s">
        <v>434</v>
      </c>
      <c r="E415" s="226" t="s">
        <v>169</v>
      </c>
    </row>
    <row r="416" spans="1:5" x14ac:dyDescent="0.2">
      <c r="A416" s="226" t="s">
        <v>431</v>
      </c>
      <c r="B416" s="227" t="s">
        <v>697</v>
      </c>
      <c r="C416" s="227" t="s">
        <v>712</v>
      </c>
      <c r="D416" s="226" t="s">
        <v>434</v>
      </c>
      <c r="E416" s="226" t="s">
        <v>169</v>
      </c>
    </row>
    <row r="417" spans="1:5" x14ac:dyDescent="0.2">
      <c r="A417" s="226" t="s">
        <v>431</v>
      </c>
      <c r="B417" s="226" t="s">
        <v>713</v>
      </c>
      <c r="C417" s="226" t="s">
        <v>714</v>
      </c>
      <c r="D417" s="226" t="s">
        <v>434</v>
      </c>
      <c r="E417" s="226" t="s">
        <v>479</v>
      </c>
    </row>
    <row r="418" spans="1:5" x14ac:dyDescent="0.2">
      <c r="A418" s="226" t="s">
        <v>431</v>
      </c>
      <c r="B418" s="226" t="s">
        <v>713</v>
      </c>
      <c r="C418" s="226" t="s">
        <v>715</v>
      </c>
      <c r="D418" s="226" t="s">
        <v>434</v>
      </c>
      <c r="E418" s="226" t="s">
        <v>479</v>
      </c>
    </row>
    <row r="419" spans="1:5" x14ac:dyDescent="0.2">
      <c r="A419" s="226" t="s">
        <v>431</v>
      </c>
      <c r="B419" s="227" t="s">
        <v>713</v>
      </c>
      <c r="C419" s="227" t="s">
        <v>716</v>
      </c>
      <c r="D419" s="226" t="s">
        <v>434</v>
      </c>
      <c r="E419" s="226" t="s">
        <v>479</v>
      </c>
    </row>
    <row r="420" spans="1:5" x14ac:dyDescent="0.2">
      <c r="A420" s="226" t="s">
        <v>431</v>
      </c>
      <c r="B420" s="227" t="s">
        <v>713</v>
      </c>
      <c r="C420" s="227" t="s">
        <v>717</v>
      </c>
      <c r="D420" s="226" t="s">
        <v>434</v>
      </c>
      <c r="E420" s="226" t="s">
        <v>479</v>
      </c>
    </row>
    <row r="421" spans="1:5" x14ac:dyDescent="0.2">
      <c r="A421" s="226" t="s">
        <v>431</v>
      </c>
      <c r="B421" s="227" t="s">
        <v>713</v>
      </c>
      <c r="C421" s="227" t="s">
        <v>718</v>
      </c>
      <c r="D421" s="226" t="s">
        <v>434</v>
      </c>
      <c r="E421" s="226" t="s">
        <v>479</v>
      </c>
    </row>
    <row r="422" spans="1:5" x14ac:dyDescent="0.2">
      <c r="A422" s="226" t="s">
        <v>431</v>
      </c>
      <c r="B422" s="227" t="s">
        <v>713</v>
      </c>
      <c r="C422" s="227" t="s">
        <v>719</v>
      </c>
      <c r="D422" s="226" t="s">
        <v>434</v>
      </c>
      <c r="E422" s="226" t="s">
        <v>479</v>
      </c>
    </row>
    <row r="423" spans="1:5" x14ac:dyDescent="0.2">
      <c r="A423" s="226" t="s">
        <v>431</v>
      </c>
      <c r="B423" s="227" t="s">
        <v>713</v>
      </c>
      <c r="C423" s="227" t="s">
        <v>720</v>
      </c>
      <c r="D423" s="226" t="s">
        <v>434</v>
      </c>
      <c r="E423" s="226" t="s">
        <v>479</v>
      </c>
    </row>
    <row r="424" spans="1:5" x14ac:dyDescent="0.2">
      <c r="A424" s="226" t="s">
        <v>431</v>
      </c>
      <c r="B424" s="227" t="s">
        <v>713</v>
      </c>
      <c r="C424" s="227" t="s">
        <v>721</v>
      </c>
      <c r="D424" s="226" t="s">
        <v>434</v>
      </c>
      <c r="E424" s="226" t="s">
        <v>479</v>
      </c>
    </row>
    <row r="425" spans="1:5" x14ac:dyDescent="0.2">
      <c r="A425" s="226" t="s">
        <v>431</v>
      </c>
      <c r="B425" s="227" t="s">
        <v>713</v>
      </c>
      <c r="C425" s="227" t="s">
        <v>722</v>
      </c>
      <c r="D425" s="226" t="s">
        <v>434</v>
      </c>
      <c r="E425" s="226" t="s">
        <v>479</v>
      </c>
    </row>
    <row r="426" spans="1:5" x14ac:dyDescent="0.2">
      <c r="A426" s="226" t="s">
        <v>431</v>
      </c>
      <c r="B426" s="227" t="s">
        <v>713</v>
      </c>
      <c r="C426" s="227" t="s">
        <v>723</v>
      </c>
      <c r="D426" s="226" t="s">
        <v>434</v>
      </c>
      <c r="E426" s="226" t="s">
        <v>479</v>
      </c>
    </row>
    <row r="427" spans="1:5" x14ac:dyDescent="0.2">
      <c r="A427" s="226" t="s">
        <v>431</v>
      </c>
      <c r="B427" s="227" t="s">
        <v>713</v>
      </c>
      <c r="C427" s="227" t="s">
        <v>724</v>
      </c>
      <c r="D427" s="226" t="s">
        <v>434</v>
      </c>
      <c r="E427" s="226" t="s">
        <v>479</v>
      </c>
    </row>
    <row r="428" spans="1:5" x14ac:dyDescent="0.2">
      <c r="A428" s="226" t="s">
        <v>431</v>
      </c>
      <c r="B428" s="227" t="s">
        <v>713</v>
      </c>
      <c r="C428" s="227" t="s">
        <v>725</v>
      </c>
      <c r="D428" s="226" t="s">
        <v>434</v>
      </c>
      <c r="E428" s="226" t="s">
        <v>479</v>
      </c>
    </row>
    <row r="429" spans="1:5" x14ac:dyDescent="0.2">
      <c r="A429" s="226" t="s">
        <v>431</v>
      </c>
      <c r="B429" s="226" t="s">
        <v>726</v>
      </c>
      <c r="C429" s="226" t="s">
        <v>727</v>
      </c>
      <c r="D429" s="226" t="s">
        <v>434</v>
      </c>
      <c r="E429" s="226" t="s">
        <v>479</v>
      </c>
    </row>
    <row r="430" spans="1:5" x14ac:dyDescent="0.2">
      <c r="A430" s="226" t="s">
        <v>431</v>
      </c>
      <c r="B430" s="226" t="s">
        <v>726</v>
      </c>
      <c r="C430" s="226" t="s">
        <v>728</v>
      </c>
      <c r="D430" s="226" t="s">
        <v>434</v>
      </c>
      <c r="E430" s="226" t="s">
        <v>479</v>
      </c>
    </row>
    <row r="431" spans="1:5" x14ac:dyDescent="0.2">
      <c r="A431" s="226" t="s">
        <v>431</v>
      </c>
      <c r="B431" s="227" t="s">
        <v>726</v>
      </c>
      <c r="C431" s="227" t="s">
        <v>729</v>
      </c>
      <c r="D431" s="226" t="s">
        <v>434</v>
      </c>
      <c r="E431" s="226" t="s">
        <v>479</v>
      </c>
    </row>
    <row r="432" spans="1:5" x14ac:dyDescent="0.2">
      <c r="A432" s="226" t="s">
        <v>431</v>
      </c>
      <c r="B432" s="227" t="s">
        <v>726</v>
      </c>
      <c r="C432" s="227" t="s">
        <v>730</v>
      </c>
      <c r="D432" s="226" t="s">
        <v>434</v>
      </c>
      <c r="E432" s="226" t="s">
        <v>479</v>
      </c>
    </row>
    <row r="433" spans="1:5" x14ac:dyDescent="0.2">
      <c r="A433" s="226" t="s">
        <v>431</v>
      </c>
      <c r="B433" s="227" t="s">
        <v>726</v>
      </c>
      <c r="C433" s="227" t="s">
        <v>731</v>
      </c>
      <c r="D433" s="226" t="s">
        <v>434</v>
      </c>
      <c r="E433" s="226" t="s">
        <v>479</v>
      </c>
    </row>
    <row r="434" spans="1:5" x14ac:dyDescent="0.2">
      <c r="A434" s="226" t="s">
        <v>431</v>
      </c>
      <c r="B434" s="227" t="s">
        <v>726</v>
      </c>
      <c r="C434" s="227" t="s">
        <v>732</v>
      </c>
      <c r="D434" s="226" t="s">
        <v>434</v>
      </c>
      <c r="E434" s="226" t="s">
        <v>479</v>
      </c>
    </row>
    <row r="435" spans="1:5" x14ac:dyDescent="0.2">
      <c r="A435" s="226" t="s">
        <v>431</v>
      </c>
      <c r="B435" s="227" t="s">
        <v>726</v>
      </c>
      <c r="C435" s="227" t="s">
        <v>733</v>
      </c>
      <c r="D435" s="226" t="s">
        <v>434</v>
      </c>
      <c r="E435" s="226" t="s">
        <v>479</v>
      </c>
    </row>
    <row r="436" spans="1:5" x14ac:dyDescent="0.2">
      <c r="A436" s="226" t="s">
        <v>431</v>
      </c>
      <c r="B436" s="227" t="s">
        <v>726</v>
      </c>
      <c r="C436" s="227" t="s">
        <v>734</v>
      </c>
      <c r="D436" s="226" t="s">
        <v>434</v>
      </c>
      <c r="E436" s="226" t="s">
        <v>479</v>
      </c>
    </row>
    <row r="437" spans="1:5" x14ac:dyDescent="0.2">
      <c r="A437" s="226" t="s">
        <v>431</v>
      </c>
      <c r="B437" s="227" t="s">
        <v>726</v>
      </c>
      <c r="C437" s="227" t="s">
        <v>735</v>
      </c>
      <c r="D437" s="226" t="s">
        <v>434</v>
      </c>
      <c r="E437" s="226" t="s">
        <v>479</v>
      </c>
    </row>
    <row r="438" spans="1:5" x14ac:dyDescent="0.2">
      <c r="A438" s="226" t="s">
        <v>431</v>
      </c>
      <c r="B438" s="227" t="s">
        <v>726</v>
      </c>
      <c r="C438" s="227" t="s">
        <v>736</v>
      </c>
      <c r="D438" s="226" t="s">
        <v>434</v>
      </c>
      <c r="E438" s="226" t="s">
        <v>479</v>
      </c>
    </row>
    <row r="439" spans="1:5" x14ac:dyDescent="0.2">
      <c r="A439" s="226" t="s">
        <v>431</v>
      </c>
      <c r="B439" s="227" t="s">
        <v>726</v>
      </c>
      <c r="C439" s="227" t="s">
        <v>737</v>
      </c>
      <c r="D439" s="226" t="s">
        <v>434</v>
      </c>
      <c r="E439" s="226" t="s">
        <v>479</v>
      </c>
    </row>
    <row r="440" spans="1:5" x14ac:dyDescent="0.2">
      <c r="A440" s="226" t="s">
        <v>431</v>
      </c>
      <c r="B440" s="227" t="s">
        <v>726</v>
      </c>
      <c r="C440" s="227" t="s">
        <v>738</v>
      </c>
      <c r="D440" s="226" t="s">
        <v>434</v>
      </c>
      <c r="E440" s="226" t="s">
        <v>479</v>
      </c>
    </row>
    <row r="441" spans="1:5" x14ac:dyDescent="0.2">
      <c r="A441" s="226" t="s">
        <v>431</v>
      </c>
      <c r="B441" s="227" t="s">
        <v>726</v>
      </c>
      <c r="C441" s="227" t="s">
        <v>739</v>
      </c>
      <c r="D441" s="226" t="s">
        <v>434</v>
      </c>
      <c r="E441" s="226" t="s">
        <v>479</v>
      </c>
    </row>
    <row r="442" spans="1:5" x14ac:dyDescent="0.2">
      <c r="A442" s="226" t="s">
        <v>431</v>
      </c>
      <c r="B442" s="227" t="s">
        <v>726</v>
      </c>
      <c r="C442" s="227" t="s">
        <v>740</v>
      </c>
      <c r="D442" s="226" t="s">
        <v>434</v>
      </c>
      <c r="E442" s="226" t="s">
        <v>479</v>
      </c>
    </row>
    <row r="443" spans="1:5" x14ac:dyDescent="0.2">
      <c r="A443" s="226" t="s">
        <v>431</v>
      </c>
      <c r="B443" s="227" t="s">
        <v>726</v>
      </c>
      <c r="C443" s="227" t="s">
        <v>741</v>
      </c>
      <c r="D443" s="226" t="s">
        <v>434</v>
      </c>
      <c r="E443" s="226" t="s">
        <v>479</v>
      </c>
    </row>
    <row r="444" spans="1:5" x14ac:dyDescent="0.2">
      <c r="A444" s="226" t="s">
        <v>431</v>
      </c>
      <c r="B444" s="227" t="s">
        <v>726</v>
      </c>
      <c r="C444" s="227" t="s">
        <v>742</v>
      </c>
      <c r="D444" s="226" t="s">
        <v>434</v>
      </c>
      <c r="E444" s="226" t="s">
        <v>479</v>
      </c>
    </row>
    <row r="445" spans="1:5" x14ac:dyDescent="0.2">
      <c r="A445" s="226" t="s">
        <v>431</v>
      </c>
      <c r="B445" s="227" t="s">
        <v>726</v>
      </c>
      <c r="C445" s="227" t="s">
        <v>743</v>
      </c>
      <c r="D445" s="226" t="s">
        <v>434</v>
      </c>
      <c r="E445" s="226" t="s">
        <v>479</v>
      </c>
    </row>
    <row r="446" spans="1:5" x14ac:dyDescent="0.2">
      <c r="A446" s="226" t="s">
        <v>431</v>
      </c>
      <c r="B446" s="227" t="s">
        <v>726</v>
      </c>
      <c r="C446" s="227" t="s">
        <v>744</v>
      </c>
      <c r="D446" s="226" t="s">
        <v>434</v>
      </c>
      <c r="E446" s="226" t="s">
        <v>479</v>
      </c>
    </row>
    <row r="447" spans="1:5" x14ac:dyDescent="0.2">
      <c r="A447" s="226" t="s">
        <v>431</v>
      </c>
      <c r="B447" s="227" t="s">
        <v>726</v>
      </c>
      <c r="C447" s="227" t="s">
        <v>745</v>
      </c>
      <c r="D447" s="226" t="s">
        <v>434</v>
      </c>
      <c r="E447" s="226" t="s">
        <v>479</v>
      </c>
    </row>
    <row r="448" spans="1:5" x14ac:dyDescent="0.2">
      <c r="A448" s="226" t="s">
        <v>431</v>
      </c>
      <c r="B448" s="227" t="s">
        <v>726</v>
      </c>
      <c r="C448" s="227" t="s">
        <v>746</v>
      </c>
      <c r="D448" s="226" t="s">
        <v>434</v>
      </c>
      <c r="E448" s="226" t="s">
        <v>479</v>
      </c>
    </row>
    <row r="449" spans="1:5" x14ac:dyDescent="0.2">
      <c r="A449" s="226" t="s">
        <v>431</v>
      </c>
      <c r="B449" s="227" t="s">
        <v>726</v>
      </c>
      <c r="C449" s="227" t="s">
        <v>747</v>
      </c>
      <c r="D449" s="226" t="s">
        <v>434</v>
      </c>
      <c r="E449" s="226" t="s">
        <v>479</v>
      </c>
    </row>
    <row r="450" spans="1:5" x14ac:dyDescent="0.2">
      <c r="A450" s="226" t="s">
        <v>431</v>
      </c>
      <c r="B450" s="227" t="s">
        <v>726</v>
      </c>
      <c r="C450" s="227" t="s">
        <v>748</v>
      </c>
      <c r="D450" s="226" t="s">
        <v>434</v>
      </c>
      <c r="E450" s="226" t="s">
        <v>479</v>
      </c>
    </row>
    <row r="451" spans="1:5" x14ac:dyDescent="0.2">
      <c r="A451" s="226" t="s">
        <v>431</v>
      </c>
      <c r="B451" s="227" t="s">
        <v>726</v>
      </c>
      <c r="C451" s="227" t="s">
        <v>749</v>
      </c>
      <c r="D451" s="226" t="s">
        <v>434</v>
      </c>
      <c r="E451" s="226" t="s">
        <v>479</v>
      </c>
    </row>
    <row r="452" spans="1:5" x14ac:dyDescent="0.2">
      <c r="A452" s="226" t="s">
        <v>431</v>
      </c>
      <c r="B452" s="227" t="s">
        <v>726</v>
      </c>
      <c r="C452" s="227" t="s">
        <v>750</v>
      </c>
      <c r="D452" s="226" t="s">
        <v>434</v>
      </c>
      <c r="E452" s="226" t="s">
        <v>479</v>
      </c>
    </row>
    <row r="453" spans="1:5" x14ac:dyDescent="0.2">
      <c r="A453" s="226" t="s">
        <v>431</v>
      </c>
      <c r="B453" s="227" t="s">
        <v>726</v>
      </c>
      <c r="C453" s="227" t="s">
        <v>751</v>
      </c>
      <c r="D453" s="226" t="s">
        <v>434</v>
      </c>
      <c r="E453" s="226" t="s">
        <v>479</v>
      </c>
    </row>
    <row r="454" spans="1:5" x14ac:dyDescent="0.2">
      <c r="A454" s="226" t="s">
        <v>431</v>
      </c>
      <c r="B454" s="227" t="s">
        <v>726</v>
      </c>
      <c r="C454" s="227" t="s">
        <v>752</v>
      </c>
      <c r="D454" s="226" t="s">
        <v>434</v>
      </c>
      <c r="E454" s="226" t="s">
        <v>479</v>
      </c>
    </row>
    <row r="455" spans="1:5" x14ac:dyDescent="0.2">
      <c r="A455" s="226" t="s">
        <v>431</v>
      </c>
      <c r="B455" s="227" t="s">
        <v>726</v>
      </c>
      <c r="C455" s="227" t="s">
        <v>753</v>
      </c>
      <c r="D455" s="226" t="s">
        <v>434</v>
      </c>
      <c r="E455" s="226" t="s">
        <v>479</v>
      </c>
    </row>
    <row r="456" spans="1:5" x14ac:dyDescent="0.2">
      <c r="A456" s="226" t="s">
        <v>431</v>
      </c>
      <c r="B456" s="226" t="s">
        <v>726</v>
      </c>
      <c r="C456" s="226" t="s">
        <v>754</v>
      </c>
      <c r="D456" s="226" t="s">
        <v>434</v>
      </c>
      <c r="E456" s="226" t="s">
        <v>479</v>
      </c>
    </row>
    <row r="457" spans="1:5" x14ac:dyDescent="0.2">
      <c r="A457" s="226" t="s">
        <v>431</v>
      </c>
      <c r="B457" s="227" t="s">
        <v>726</v>
      </c>
      <c r="C457" s="227" t="s">
        <v>755</v>
      </c>
      <c r="D457" s="226" t="s">
        <v>434</v>
      </c>
      <c r="E457" s="226" t="s">
        <v>479</v>
      </c>
    </row>
    <row r="458" spans="1:5" x14ac:dyDescent="0.2">
      <c r="A458" s="226" t="s">
        <v>431</v>
      </c>
      <c r="B458" s="227" t="s">
        <v>726</v>
      </c>
      <c r="C458" s="227" t="s">
        <v>756</v>
      </c>
      <c r="D458" s="226" t="s">
        <v>434</v>
      </c>
      <c r="E458" s="226" t="s">
        <v>479</v>
      </c>
    </row>
    <row r="459" spans="1:5" x14ac:dyDescent="0.2">
      <c r="A459" s="226" t="s">
        <v>431</v>
      </c>
      <c r="B459" s="227" t="s">
        <v>726</v>
      </c>
      <c r="C459" s="227" t="s">
        <v>757</v>
      </c>
      <c r="D459" s="226" t="s">
        <v>434</v>
      </c>
      <c r="E459" s="226" t="s">
        <v>479</v>
      </c>
    </row>
    <row r="460" spans="1:5" x14ac:dyDescent="0.2">
      <c r="A460" s="226" t="s">
        <v>431</v>
      </c>
      <c r="B460" s="227" t="s">
        <v>726</v>
      </c>
      <c r="C460" s="227" t="s">
        <v>758</v>
      </c>
      <c r="D460" s="226" t="s">
        <v>434</v>
      </c>
      <c r="E460" s="226" t="s">
        <v>479</v>
      </c>
    </row>
    <row r="461" spans="1:5" x14ac:dyDescent="0.2">
      <c r="A461" s="226" t="s">
        <v>431</v>
      </c>
      <c r="B461" s="227" t="s">
        <v>726</v>
      </c>
      <c r="C461" s="227" t="s">
        <v>759</v>
      </c>
      <c r="D461" s="226" t="s">
        <v>434</v>
      </c>
      <c r="E461" s="226" t="s">
        <v>479</v>
      </c>
    </row>
    <row r="462" spans="1:5" x14ac:dyDescent="0.2">
      <c r="A462" s="226" t="s">
        <v>431</v>
      </c>
      <c r="B462" s="227" t="s">
        <v>726</v>
      </c>
      <c r="C462" s="227" t="s">
        <v>760</v>
      </c>
      <c r="D462" s="226" t="s">
        <v>434</v>
      </c>
      <c r="E462" s="226" t="s">
        <v>479</v>
      </c>
    </row>
    <row r="463" spans="1:5" x14ac:dyDescent="0.2">
      <c r="A463" s="226" t="s">
        <v>431</v>
      </c>
      <c r="B463" s="227" t="s">
        <v>726</v>
      </c>
      <c r="C463" s="227" t="s">
        <v>761</v>
      </c>
      <c r="D463" s="226" t="s">
        <v>434</v>
      </c>
      <c r="E463" s="226" t="s">
        <v>479</v>
      </c>
    </row>
    <row r="464" spans="1:5" x14ac:dyDescent="0.2">
      <c r="A464" s="226" t="s">
        <v>431</v>
      </c>
      <c r="B464" s="227" t="s">
        <v>726</v>
      </c>
      <c r="C464" s="227" t="s">
        <v>762</v>
      </c>
      <c r="D464" s="226" t="s">
        <v>434</v>
      </c>
      <c r="E464" s="226" t="s">
        <v>479</v>
      </c>
    </row>
    <row r="465" spans="1:5" x14ac:dyDescent="0.2">
      <c r="A465" s="226" t="s">
        <v>431</v>
      </c>
      <c r="B465" s="226" t="s">
        <v>726</v>
      </c>
      <c r="C465" s="226" t="s">
        <v>763</v>
      </c>
      <c r="D465" s="226" t="s">
        <v>434</v>
      </c>
      <c r="E465" s="226" t="s">
        <v>479</v>
      </c>
    </row>
    <row r="466" spans="1:5" x14ac:dyDescent="0.2">
      <c r="A466" s="226" t="s">
        <v>431</v>
      </c>
      <c r="B466" s="227" t="s">
        <v>726</v>
      </c>
      <c r="C466" s="227" t="s">
        <v>764</v>
      </c>
      <c r="D466" s="226" t="s">
        <v>434</v>
      </c>
      <c r="E466" s="226" t="s">
        <v>479</v>
      </c>
    </row>
    <row r="467" spans="1:5" x14ac:dyDescent="0.2">
      <c r="A467" s="226" t="s">
        <v>431</v>
      </c>
      <c r="B467" s="227" t="s">
        <v>726</v>
      </c>
      <c r="C467" s="227" t="s">
        <v>765</v>
      </c>
      <c r="D467" s="226" t="s">
        <v>434</v>
      </c>
      <c r="E467" s="226" t="s">
        <v>479</v>
      </c>
    </row>
    <row r="468" spans="1:5" x14ac:dyDescent="0.2">
      <c r="A468" s="226" t="s">
        <v>431</v>
      </c>
      <c r="B468" s="227" t="s">
        <v>726</v>
      </c>
      <c r="C468" s="227" t="s">
        <v>766</v>
      </c>
      <c r="D468" s="226" t="s">
        <v>434</v>
      </c>
      <c r="E468" s="226" t="s">
        <v>479</v>
      </c>
    </row>
    <row r="469" spans="1:5" x14ac:dyDescent="0.2">
      <c r="A469" s="226" t="s">
        <v>431</v>
      </c>
      <c r="B469" s="227" t="s">
        <v>726</v>
      </c>
      <c r="C469" s="227" t="s">
        <v>767</v>
      </c>
      <c r="D469" s="226" t="s">
        <v>434</v>
      </c>
      <c r="E469" s="226" t="s">
        <v>479</v>
      </c>
    </row>
    <row r="470" spans="1:5" x14ac:dyDescent="0.2">
      <c r="A470" s="226" t="s">
        <v>431</v>
      </c>
      <c r="B470" s="227" t="s">
        <v>726</v>
      </c>
      <c r="C470" s="227" t="s">
        <v>768</v>
      </c>
      <c r="D470" s="226" t="s">
        <v>434</v>
      </c>
      <c r="E470" s="226" t="s">
        <v>479</v>
      </c>
    </row>
    <row r="471" spans="1:5" x14ac:dyDescent="0.2">
      <c r="A471" s="226" t="s">
        <v>431</v>
      </c>
      <c r="B471" s="227" t="s">
        <v>726</v>
      </c>
      <c r="C471" s="227" t="s">
        <v>769</v>
      </c>
      <c r="D471" s="226" t="s">
        <v>434</v>
      </c>
      <c r="E471" s="226" t="s">
        <v>479</v>
      </c>
    </row>
    <row r="472" spans="1:5" x14ac:dyDescent="0.2">
      <c r="A472" s="226" t="s">
        <v>431</v>
      </c>
      <c r="B472" s="227" t="s">
        <v>726</v>
      </c>
      <c r="C472" s="227" t="s">
        <v>770</v>
      </c>
      <c r="D472" s="226" t="s">
        <v>434</v>
      </c>
      <c r="E472" s="226" t="s">
        <v>479</v>
      </c>
    </row>
    <row r="473" spans="1:5" x14ac:dyDescent="0.2">
      <c r="A473" s="226" t="s">
        <v>431</v>
      </c>
      <c r="B473" s="227" t="s">
        <v>726</v>
      </c>
      <c r="C473" s="227" t="s">
        <v>771</v>
      </c>
      <c r="D473" s="226" t="s">
        <v>434</v>
      </c>
      <c r="E473" s="226" t="s">
        <v>479</v>
      </c>
    </row>
    <row r="474" spans="1:5" x14ac:dyDescent="0.2">
      <c r="A474" s="226" t="s">
        <v>431</v>
      </c>
      <c r="B474" s="227" t="s">
        <v>726</v>
      </c>
      <c r="C474" s="227" t="s">
        <v>772</v>
      </c>
      <c r="D474" s="226" t="s">
        <v>434</v>
      </c>
      <c r="E474" s="226" t="s">
        <v>479</v>
      </c>
    </row>
    <row r="475" spans="1:5" x14ac:dyDescent="0.2">
      <c r="A475" s="226" t="s">
        <v>431</v>
      </c>
      <c r="B475" s="226" t="s">
        <v>773</v>
      </c>
      <c r="C475" s="226" t="s">
        <v>774</v>
      </c>
      <c r="D475" s="226" t="s">
        <v>434</v>
      </c>
      <c r="E475" s="226" t="s">
        <v>170</v>
      </c>
    </row>
    <row r="476" spans="1:5" x14ac:dyDescent="0.2">
      <c r="A476" s="226" t="s">
        <v>431</v>
      </c>
      <c r="B476" s="226" t="s">
        <v>773</v>
      </c>
      <c r="C476" s="226" t="s">
        <v>775</v>
      </c>
      <c r="D476" s="226" t="s">
        <v>434</v>
      </c>
      <c r="E476" s="226" t="s">
        <v>170</v>
      </c>
    </row>
    <row r="477" spans="1:5" x14ac:dyDescent="0.2">
      <c r="A477" s="226" t="s">
        <v>431</v>
      </c>
      <c r="B477" s="227" t="s">
        <v>773</v>
      </c>
      <c r="C477" s="227" t="s">
        <v>776</v>
      </c>
      <c r="D477" s="226" t="s">
        <v>434</v>
      </c>
      <c r="E477" s="226" t="s">
        <v>170</v>
      </c>
    </row>
    <row r="478" spans="1:5" x14ac:dyDescent="0.2">
      <c r="A478" s="226" t="s">
        <v>431</v>
      </c>
      <c r="B478" s="227" t="s">
        <v>773</v>
      </c>
      <c r="C478" s="227" t="s">
        <v>777</v>
      </c>
      <c r="D478" s="226" t="s">
        <v>434</v>
      </c>
      <c r="E478" s="226" t="s">
        <v>170</v>
      </c>
    </row>
    <row r="479" spans="1:5" x14ac:dyDescent="0.2">
      <c r="A479" s="226" t="s">
        <v>431</v>
      </c>
      <c r="B479" s="227" t="s">
        <v>773</v>
      </c>
      <c r="C479" s="227" t="s">
        <v>778</v>
      </c>
      <c r="D479" s="226" t="s">
        <v>434</v>
      </c>
      <c r="E479" s="226" t="s">
        <v>170</v>
      </c>
    </row>
    <row r="480" spans="1:5" x14ac:dyDescent="0.2">
      <c r="A480" s="226" t="s">
        <v>431</v>
      </c>
      <c r="B480" s="227" t="s">
        <v>773</v>
      </c>
      <c r="C480" s="227" t="s">
        <v>779</v>
      </c>
      <c r="D480" s="226" t="s">
        <v>434</v>
      </c>
      <c r="E480" s="226" t="s">
        <v>170</v>
      </c>
    </row>
    <row r="481" spans="1:5" x14ac:dyDescent="0.2">
      <c r="A481" s="226" t="s">
        <v>431</v>
      </c>
      <c r="B481" s="227" t="s">
        <v>773</v>
      </c>
      <c r="C481" s="227" t="s">
        <v>780</v>
      </c>
      <c r="D481" s="226" t="s">
        <v>434</v>
      </c>
      <c r="E481" s="226" t="s">
        <v>170</v>
      </c>
    </row>
    <row r="482" spans="1:5" x14ac:dyDescent="0.2">
      <c r="A482" s="226" t="s">
        <v>431</v>
      </c>
      <c r="B482" s="227" t="s">
        <v>773</v>
      </c>
      <c r="C482" s="227" t="s">
        <v>781</v>
      </c>
      <c r="D482" s="226" t="s">
        <v>434</v>
      </c>
      <c r="E482" s="226" t="s">
        <v>170</v>
      </c>
    </row>
    <row r="483" spans="1:5" x14ac:dyDescent="0.2">
      <c r="A483" s="226" t="s">
        <v>431</v>
      </c>
      <c r="B483" s="227" t="s">
        <v>773</v>
      </c>
      <c r="C483" s="227" t="s">
        <v>782</v>
      </c>
      <c r="D483" s="226" t="s">
        <v>434</v>
      </c>
      <c r="E483" s="226" t="s">
        <v>170</v>
      </c>
    </row>
    <row r="484" spans="1:5" x14ac:dyDescent="0.2">
      <c r="A484" s="226" t="s">
        <v>431</v>
      </c>
      <c r="B484" s="227" t="s">
        <v>773</v>
      </c>
      <c r="C484" s="227" t="s">
        <v>783</v>
      </c>
      <c r="D484" s="226" t="s">
        <v>434</v>
      </c>
      <c r="E484" s="226" t="s">
        <v>170</v>
      </c>
    </row>
    <row r="485" spans="1:5" x14ac:dyDescent="0.2">
      <c r="A485" s="226" t="s">
        <v>431</v>
      </c>
      <c r="B485" s="227" t="s">
        <v>773</v>
      </c>
      <c r="C485" s="227" t="s">
        <v>784</v>
      </c>
      <c r="D485" s="226" t="s">
        <v>434</v>
      </c>
      <c r="E485" s="226" t="s">
        <v>170</v>
      </c>
    </row>
    <row r="486" spans="1:5" x14ac:dyDescent="0.2">
      <c r="A486" s="226" t="s">
        <v>431</v>
      </c>
      <c r="B486" s="227" t="s">
        <v>773</v>
      </c>
      <c r="C486" s="227" t="s">
        <v>785</v>
      </c>
      <c r="D486" s="226" t="s">
        <v>434</v>
      </c>
      <c r="E486" s="226" t="s">
        <v>170</v>
      </c>
    </row>
    <row r="487" spans="1:5" x14ac:dyDescent="0.2">
      <c r="A487" s="226" t="s">
        <v>431</v>
      </c>
      <c r="B487" s="227" t="s">
        <v>773</v>
      </c>
      <c r="C487" s="227" t="s">
        <v>786</v>
      </c>
      <c r="D487" s="226" t="s">
        <v>434</v>
      </c>
      <c r="E487" s="226" t="s">
        <v>170</v>
      </c>
    </row>
    <row r="488" spans="1:5" x14ac:dyDescent="0.2">
      <c r="A488" s="226" t="s">
        <v>431</v>
      </c>
      <c r="B488" s="227" t="s">
        <v>773</v>
      </c>
      <c r="C488" s="227" t="s">
        <v>787</v>
      </c>
      <c r="D488" s="226" t="s">
        <v>434</v>
      </c>
      <c r="E488" s="226" t="s">
        <v>170</v>
      </c>
    </row>
    <row r="489" spans="1:5" x14ac:dyDescent="0.2">
      <c r="A489" s="226" t="s">
        <v>431</v>
      </c>
      <c r="B489" s="227" t="s">
        <v>773</v>
      </c>
      <c r="C489" s="227" t="s">
        <v>788</v>
      </c>
      <c r="D489" s="226" t="s">
        <v>434</v>
      </c>
      <c r="E489" s="226" t="s">
        <v>170</v>
      </c>
    </row>
    <row r="490" spans="1:5" x14ac:dyDescent="0.2">
      <c r="A490" s="226" t="s">
        <v>431</v>
      </c>
      <c r="B490" s="227" t="s">
        <v>773</v>
      </c>
      <c r="C490" s="227" t="s">
        <v>789</v>
      </c>
      <c r="D490" s="226" t="s">
        <v>434</v>
      </c>
      <c r="E490" s="226" t="s">
        <v>170</v>
      </c>
    </row>
    <row r="491" spans="1:5" x14ac:dyDescent="0.2">
      <c r="A491" s="226" t="s">
        <v>431</v>
      </c>
      <c r="B491" s="227" t="s">
        <v>773</v>
      </c>
      <c r="C491" s="227" t="s">
        <v>790</v>
      </c>
      <c r="D491" s="226" t="s">
        <v>434</v>
      </c>
      <c r="E491" s="226" t="s">
        <v>170</v>
      </c>
    </row>
    <row r="492" spans="1:5" x14ac:dyDescent="0.2">
      <c r="A492" s="226" t="s">
        <v>431</v>
      </c>
      <c r="B492" s="227" t="s">
        <v>773</v>
      </c>
      <c r="C492" s="227" t="s">
        <v>791</v>
      </c>
      <c r="D492" s="226" t="s">
        <v>434</v>
      </c>
      <c r="E492" s="226" t="s">
        <v>170</v>
      </c>
    </row>
    <row r="493" spans="1:5" x14ac:dyDescent="0.2">
      <c r="A493" s="226" t="s">
        <v>431</v>
      </c>
      <c r="B493" s="227" t="s">
        <v>773</v>
      </c>
      <c r="C493" s="227" t="s">
        <v>792</v>
      </c>
      <c r="D493" s="226" t="s">
        <v>434</v>
      </c>
      <c r="E493" s="226" t="s">
        <v>170</v>
      </c>
    </row>
    <row r="494" spans="1:5" x14ac:dyDescent="0.2">
      <c r="A494" s="226" t="s">
        <v>431</v>
      </c>
      <c r="B494" s="227" t="s">
        <v>773</v>
      </c>
      <c r="C494" s="227" t="s">
        <v>793</v>
      </c>
      <c r="D494" s="226" t="s">
        <v>434</v>
      </c>
      <c r="E494" s="226" t="s">
        <v>170</v>
      </c>
    </row>
    <row r="495" spans="1:5" x14ac:dyDescent="0.2">
      <c r="A495" s="226" t="s">
        <v>431</v>
      </c>
      <c r="B495" s="227" t="s">
        <v>773</v>
      </c>
      <c r="C495" s="227" t="s">
        <v>794</v>
      </c>
      <c r="D495" s="226" t="s">
        <v>434</v>
      </c>
      <c r="E495" s="226" t="s">
        <v>170</v>
      </c>
    </row>
    <row r="496" spans="1:5" x14ac:dyDescent="0.2">
      <c r="A496" s="226" t="s">
        <v>431</v>
      </c>
      <c r="B496" s="227" t="s">
        <v>773</v>
      </c>
      <c r="C496" s="227" t="s">
        <v>795</v>
      </c>
      <c r="D496" s="226" t="s">
        <v>434</v>
      </c>
      <c r="E496" s="226" t="s">
        <v>170</v>
      </c>
    </row>
    <row r="497" spans="1:5" x14ac:dyDescent="0.2">
      <c r="A497" s="226" t="s">
        <v>431</v>
      </c>
      <c r="B497" s="227" t="s">
        <v>773</v>
      </c>
      <c r="C497" s="227" t="s">
        <v>796</v>
      </c>
      <c r="D497" s="226" t="s">
        <v>434</v>
      </c>
      <c r="E497" s="226" t="s">
        <v>170</v>
      </c>
    </row>
    <row r="498" spans="1:5" x14ac:dyDescent="0.2">
      <c r="A498" s="226" t="s">
        <v>431</v>
      </c>
      <c r="B498" s="227" t="s">
        <v>773</v>
      </c>
      <c r="C498" s="227" t="s">
        <v>797</v>
      </c>
      <c r="D498" s="226" t="s">
        <v>434</v>
      </c>
      <c r="E498" s="226" t="s">
        <v>170</v>
      </c>
    </row>
    <row r="499" spans="1:5" x14ac:dyDescent="0.2">
      <c r="A499" s="226" t="s">
        <v>431</v>
      </c>
      <c r="B499" s="227" t="s">
        <v>773</v>
      </c>
      <c r="C499" s="227" t="s">
        <v>798</v>
      </c>
      <c r="D499" s="226" t="s">
        <v>434</v>
      </c>
      <c r="E499" s="226" t="s">
        <v>170</v>
      </c>
    </row>
    <row r="500" spans="1:5" x14ac:dyDescent="0.2">
      <c r="A500" s="226" t="s">
        <v>431</v>
      </c>
      <c r="B500" s="227" t="s">
        <v>773</v>
      </c>
      <c r="C500" s="227" t="s">
        <v>799</v>
      </c>
      <c r="D500" s="226" t="s">
        <v>434</v>
      </c>
      <c r="E500" s="226" t="s">
        <v>170</v>
      </c>
    </row>
    <row r="501" spans="1:5" x14ac:dyDescent="0.2">
      <c r="A501" s="226" t="s">
        <v>431</v>
      </c>
      <c r="B501" s="226" t="s">
        <v>800</v>
      </c>
      <c r="C501" s="226" t="s">
        <v>801</v>
      </c>
      <c r="D501" s="226" t="s">
        <v>434</v>
      </c>
      <c r="E501" s="226" t="s">
        <v>170</v>
      </c>
    </row>
    <row r="502" spans="1:5" x14ac:dyDescent="0.2">
      <c r="A502" s="226" t="s">
        <v>431</v>
      </c>
      <c r="B502" s="226" t="s">
        <v>800</v>
      </c>
      <c r="C502" s="226" t="s">
        <v>802</v>
      </c>
      <c r="D502" s="226" t="s">
        <v>434</v>
      </c>
      <c r="E502" s="226" t="s">
        <v>170</v>
      </c>
    </row>
    <row r="503" spans="1:5" x14ac:dyDescent="0.2">
      <c r="A503" s="226" t="s">
        <v>431</v>
      </c>
      <c r="B503" s="227" t="s">
        <v>800</v>
      </c>
      <c r="C503" s="227" t="s">
        <v>803</v>
      </c>
      <c r="D503" s="226" t="s">
        <v>434</v>
      </c>
      <c r="E503" s="226" t="s">
        <v>170</v>
      </c>
    </row>
    <row r="504" spans="1:5" x14ac:dyDescent="0.2">
      <c r="A504" s="226" t="s">
        <v>431</v>
      </c>
      <c r="B504" s="227" t="s">
        <v>800</v>
      </c>
      <c r="C504" s="227" t="s">
        <v>804</v>
      </c>
      <c r="D504" s="226" t="s">
        <v>434</v>
      </c>
      <c r="E504" s="226" t="s">
        <v>170</v>
      </c>
    </row>
    <row r="505" spans="1:5" x14ac:dyDescent="0.2">
      <c r="A505" s="226" t="s">
        <v>431</v>
      </c>
      <c r="B505" s="227" t="s">
        <v>800</v>
      </c>
      <c r="C505" s="227" t="s">
        <v>805</v>
      </c>
      <c r="D505" s="226" t="s">
        <v>434</v>
      </c>
      <c r="E505" s="226" t="s">
        <v>170</v>
      </c>
    </row>
    <row r="506" spans="1:5" x14ac:dyDescent="0.2">
      <c r="A506" s="226" t="s">
        <v>431</v>
      </c>
      <c r="B506" s="227" t="s">
        <v>800</v>
      </c>
      <c r="C506" s="227" t="s">
        <v>806</v>
      </c>
      <c r="D506" s="226" t="s">
        <v>434</v>
      </c>
      <c r="E506" s="226" t="s">
        <v>170</v>
      </c>
    </row>
    <row r="507" spans="1:5" x14ac:dyDescent="0.2">
      <c r="A507" s="226" t="s">
        <v>431</v>
      </c>
      <c r="B507" s="227" t="s">
        <v>800</v>
      </c>
      <c r="C507" s="227" t="s">
        <v>807</v>
      </c>
      <c r="D507" s="226" t="s">
        <v>434</v>
      </c>
      <c r="E507" s="226" t="s">
        <v>170</v>
      </c>
    </row>
    <row r="508" spans="1:5" x14ac:dyDescent="0.2">
      <c r="A508" s="226" t="s">
        <v>431</v>
      </c>
      <c r="B508" s="227" t="s">
        <v>800</v>
      </c>
      <c r="C508" s="227" t="s">
        <v>808</v>
      </c>
      <c r="D508" s="226" t="s">
        <v>434</v>
      </c>
      <c r="E508" s="226" t="s">
        <v>170</v>
      </c>
    </row>
    <row r="509" spans="1:5" x14ac:dyDescent="0.2">
      <c r="A509" s="226" t="s">
        <v>431</v>
      </c>
      <c r="B509" s="227" t="s">
        <v>800</v>
      </c>
      <c r="C509" s="227" t="s">
        <v>809</v>
      </c>
      <c r="D509" s="226" t="s">
        <v>434</v>
      </c>
      <c r="E509" s="226" t="s">
        <v>170</v>
      </c>
    </row>
    <row r="510" spans="1:5" x14ac:dyDescent="0.2">
      <c r="A510" s="226" t="s">
        <v>431</v>
      </c>
      <c r="B510" s="227" t="s">
        <v>800</v>
      </c>
      <c r="C510" s="227" t="s">
        <v>810</v>
      </c>
      <c r="D510" s="226" t="s">
        <v>434</v>
      </c>
      <c r="E510" s="226" t="s">
        <v>170</v>
      </c>
    </row>
    <row r="511" spans="1:5" x14ac:dyDescent="0.2">
      <c r="A511" s="226" t="s">
        <v>431</v>
      </c>
      <c r="B511" s="227" t="s">
        <v>800</v>
      </c>
      <c r="C511" s="227" t="s">
        <v>811</v>
      </c>
      <c r="D511" s="226" t="s">
        <v>434</v>
      </c>
      <c r="E511" s="226" t="s">
        <v>170</v>
      </c>
    </row>
    <row r="512" spans="1:5" x14ac:dyDescent="0.2">
      <c r="A512" s="226" t="s">
        <v>431</v>
      </c>
      <c r="B512" s="227" t="s">
        <v>800</v>
      </c>
      <c r="C512" s="227" t="s">
        <v>812</v>
      </c>
      <c r="D512" s="226" t="s">
        <v>434</v>
      </c>
      <c r="E512" s="226" t="s">
        <v>170</v>
      </c>
    </row>
    <row r="513" spans="1:5" x14ac:dyDescent="0.2">
      <c r="A513" s="226" t="s">
        <v>431</v>
      </c>
      <c r="B513" s="227" t="s">
        <v>800</v>
      </c>
      <c r="C513" s="227" t="s">
        <v>813</v>
      </c>
      <c r="D513" s="226" t="s">
        <v>434</v>
      </c>
      <c r="E513" s="226" t="s">
        <v>170</v>
      </c>
    </row>
    <row r="514" spans="1:5" x14ac:dyDescent="0.2">
      <c r="A514" s="226" t="s">
        <v>431</v>
      </c>
      <c r="B514" s="227" t="s">
        <v>800</v>
      </c>
      <c r="C514" s="227" t="s">
        <v>814</v>
      </c>
      <c r="D514" s="226" t="s">
        <v>434</v>
      </c>
      <c r="E514" s="226" t="s">
        <v>170</v>
      </c>
    </row>
    <row r="515" spans="1:5" x14ac:dyDescent="0.2">
      <c r="A515" s="226" t="s">
        <v>431</v>
      </c>
      <c r="B515" s="227" t="s">
        <v>800</v>
      </c>
      <c r="C515" s="227" t="s">
        <v>815</v>
      </c>
      <c r="D515" s="226" t="s">
        <v>434</v>
      </c>
      <c r="E515" s="226" t="s">
        <v>170</v>
      </c>
    </row>
    <row r="516" spans="1:5" x14ac:dyDescent="0.2">
      <c r="A516" s="226" t="s">
        <v>431</v>
      </c>
      <c r="B516" s="227" t="s">
        <v>800</v>
      </c>
      <c r="C516" s="227" t="s">
        <v>816</v>
      </c>
      <c r="D516" s="226" t="s">
        <v>434</v>
      </c>
      <c r="E516" s="226" t="s">
        <v>170</v>
      </c>
    </row>
    <row r="517" spans="1:5" x14ac:dyDescent="0.2">
      <c r="A517" s="226" t="s">
        <v>431</v>
      </c>
      <c r="B517" s="227" t="s">
        <v>800</v>
      </c>
      <c r="C517" s="227" t="s">
        <v>817</v>
      </c>
      <c r="D517" s="226" t="s">
        <v>434</v>
      </c>
      <c r="E517" s="226" t="s">
        <v>170</v>
      </c>
    </row>
    <row r="518" spans="1:5" x14ac:dyDescent="0.2">
      <c r="A518" s="226" t="s">
        <v>431</v>
      </c>
      <c r="B518" s="227" t="s">
        <v>800</v>
      </c>
      <c r="C518" s="227" t="s">
        <v>818</v>
      </c>
      <c r="D518" s="226" t="s">
        <v>434</v>
      </c>
      <c r="E518" s="226" t="s">
        <v>170</v>
      </c>
    </row>
    <row r="519" spans="1:5" x14ac:dyDescent="0.2">
      <c r="A519" s="226" t="s">
        <v>431</v>
      </c>
      <c r="B519" s="227" t="s">
        <v>800</v>
      </c>
      <c r="C519" s="227" t="s">
        <v>819</v>
      </c>
      <c r="D519" s="226" t="s">
        <v>434</v>
      </c>
      <c r="E519" s="226" t="s">
        <v>170</v>
      </c>
    </row>
    <row r="520" spans="1:5" x14ac:dyDescent="0.2">
      <c r="A520" s="226" t="s">
        <v>431</v>
      </c>
      <c r="B520" s="227" t="s">
        <v>800</v>
      </c>
      <c r="C520" s="227" t="s">
        <v>820</v>
      </c>
      <c r="D520" s="226" t="s">
        <v>434</v>
      </c>
      <c r="E520" s="226" t="s">
        <v>170</v>
      </c>
    </row>
    <row r="521" spans="1:5" x14ac:dyDescent="0.2">
      <c r="A521" s="226" t="s">
        <v>431</v>
      </c>
      <c r="B521" s="226" t="s">
        <v>821</v>
      </c>
      <c r="C521" s="226" t="s">
        <v>822</v>
      </c>
      <c r="D521" s="226" t="s">
        <v>434</v>
      </c>
      <c r="E521" s="226" t="s">
        <v>171</v>
      </c>
    </row>
    <row r="522" spans="1:5" x14ac:dyDescent="0.2">
      <c r="A522" s="226" t="s">
        <v>431</v>
      </c>
      <c r="B522" s="226" t="s">
        <v>821</v>
      </c>
      <c r="C522" s="226" t="s">
        <v>823</v>
      </c>
      <c r="D522" s="226" t="s">
        <v>434</v>
      </c>
      <c r="E522" s="226" t="s">
        <v>171</v>
      </c>
    </row>
    <row r="523" spans="1:5" x14ac:dyDescent="0.2">
      <c r="A523" s="226" t="s">
        <v>431</v>
      </c>
      <c r="B523" s="227" t="s">
        <v>821</v>
      </c>
      <c r="C523" s="227" t="s">
        <v>824</v>
      </c>
      <c r="D523" s="226" t="s">
        <v>434</v>
      </c>
      <c r="E523" s="226" t="s">
        <v>171</v>
      </c>
    </row>
    <row r="524" spans="1:5" x14ac:dyDescent="0.2">
      <c r="A524" s="226" t="s">
        <v>431</v>
      </c>
      <c r="B524" s="227" t="s">
        <v>821</v>
      </c>
      <c r="C524" s="227" t="s">
        <v>825</v>
      </c>
      <c r="D524" s="226" t="s">
        <v>434</v>
      </c>
      <c r="E524" s="226" t="s">
        <v>171</v>
      </c>
    </row>
    <row r="525" spans="1:5" x14ac:dyDescent="0.2">
      <c r="A525" s="226" t="s">
        <v>431</v>
      </c>
      <c r="B525" s="227" t="s">
        <v>821</v>
      </c>
      <c r="C525" s="227" t="s">
        <v>826</v>
      </c>
      <c r="D525" s="226" t="s">
        <v>434</v>
      </c>
      <c r="E525" s="226" t="s">
        <v>171</v>
      </c>
    </row>
    <row r="526" spans="1:5" x14ac:dyDescent="0.2">
      <c r="A526" s="226" t="s">
        <v>431</v>
      </c>
      <c r="B526" s="227" t="s">
        <v>821</v>
      </c>
      <c r="C526" s="227" t="s">
        <v>827</v>
      </c>
      <c r="D526" s="226" t="s">
        <v>434</v>
      </c>
      <c r="E526" s="226" t="s">
        <v>171</v>
      </c>
    </row>
    <row r="527" spans="1:5" x14ac:dyDescent="0.2">
      <c r="A527" s="226" t="s">
        <v>431</v>
      </c>
      <c r="B527" s="227" t="s">
        <v>821</v>
      </c>
      <c r="C527" s="227" t="s">
        <v>828</v>
      </c>
      <c r="D527" s="226" t="s">
        <v>434</v>
      </c>
      <c r="E527" s="226" t="s">
        <v>171</v>
      </c>
    </row>
    <row r="528" spans="1:5" x14ac:dyDescent="0.2">
      <c r="A528" s="226" t="s">
        <v>431</v>
      </c>
      <c r="B528" s="227" t="s">
        <v>821</v>
      </c>
      <c r="C528" s="227" t="s">
        <v>829</v>
      </c>
      <c r="D528" s="226" t="s">
        <v>434</v>
      </c>
      <c r="E528" s="226" t="s">
        <v>171</v>
      </c>
    </row>
    <row r="529" spans="1:5" x14ac:dyDescent="0.2">
      <c r="A529" s="226" t="s">
        <v>431</v>
      </c>
      <c r="B529" s="227" t="s">
        <v>821</v>
      </c>
      <c r="C529" s="227" t="s">
        <v>830</v>
      </c>
      <c r="D529" s="226" t="s">
        <v>434</v>
      </c>
      <c r="E529" s="226" t="s">
        <v>171</v>
      </c>
    </row>
    <row r="530" spans="1:5" x14ac:dyDescent="0.2">
      <c r="A530" s="226" t="s">
        <v>431</v>
      </c>
      <c r="B530" s="227" t="s">
        <v>821</v>
      </c>
      <c r="C530" s="227" t="s">
        <v>831</v>
      </c>
      <c r="D530" s="226" t="s">
        <v>434</v>
      </c>
      <c r="E530" s="226" t="s">
        <v>171</v>
      </c>
    </row>
    <row r="531" spans="1:5" x14ac:dyDescent="0.2">
      <c r="A531" s="226" t="s">
        <v>431</v>
      </c>
      <c r="B531" s="227" t="s">
        <v>821</v>
      </c>
      <c r="C531" s="227" t="s">
        <v>832</v>
      </c>
      <c r="D531" s="226" t="s">
        <v>434</v>
      </c>
      <c r="E531" s="226" t="s">
        <v>171</v>
      </c>
    </row>
    <row r="532" spans="1:5" x14ac:dyDescent="0.2">
      <c r="A532" s="226" t="s">
        <v>431</v>
      </c>
      <c r="B532" s="227" t="s">
        <v>821</v>
      </c>
      <c r="C532" s="227" t="s">
        <v>833</v>
      </c>
      <c r="D532" s="226" t="s">
        <v>434</v>
      </c>
      <c r="E532" s="226" t="s">
        <v>171</v>
      </c>
    </row>
    <row r="533" spans="1:5" x14ac:dyDescent="0.2">
      <c r="A533" s="226" t="s">
        <v>431</v>
      </c>
      <c r="B533" s="227" t="s">
        <v>821</v>
      </c>
      <c r="C533" s="227" t="s">
        <v>834</v>
      </c>
      <c r="D533" s="226" t="s">
        <v>434</v>
      </c>
      <c r="E533" s="226" t="s">
        <v>171</v>
      </c>
    </row>
    <row r="534" spans="1:5" x14ac:dyDescent="0.2">
      <c r="A534" s="226" t="s">
        <v>431</v>
      </c>
      <c r="B534" s="227" t="s">
        <v>821</v>
      </c>
      <c r="C534" s="227" t="s">
        <v>835</v>
      </c>
      <c r="D534" s="226" t="s">
        <v>434</v>
      </c>
      <c r="E534" s="226" t="s">
        <v>171</v>
      </c>
    </row>
    <row r="535" spans="1:5" x14ac:dyDescent="0.2">
      <c r="A535" s="226" t="s">
        <v>431</v>
      </c>
      <c r="B535" s="226" t="s">
        <v>821</v>
      </c>
      <c r="C535" s="226" t="s">
        <v>836</v>
      </c>
      <c r="D535" s="226" t="s">
        <v>434</v>
      </c>
      <c r="E535" s="226" t="s">
        <v>171</v>
      </c>
    </row>
    <row r="536" spans="1:5" x14ac:dyDescent="0.2">
      <c r="A536" s="226" t="s">
        <v>431</v>
      </c>
      <c r="B536" s="227" t="s">
        <v>821</v>
      </c>
      <c r="C536" s="227" t="s">
        <v>837</v>
      </c>
      <c r="D536" s="226" t="s">
        <v>434</v>
      </c>
      <c r="E536" s="226" t="s">
        <v>171</v>
      </c>
    </row>
    <row r="537" spans="1:5" x14ac:dyDescent="0.2">
      <c r="A537" s="226" t="s">
        <v>431</v>
      </c>
      <c r="B537" s="226" t="s">
        <v>821</v>
      </c>
      <c r="C537" s="226" t="s">
        <v>838</v>
      </c>
      <c r="D537" s="226" t="s">
        <v>434</v>
      </c>
      <c r="E537" s="226" t="s">
        <v>171</v>
      </c>
    </row>
    <row r="538" spans="1:5" x14ac:dyDescent="0.2">
      <c r="A538" s="226" t="s">
        <v>431</v>
      </c>
      <c r="B538" s="226" t="s">
        <v>821</v>
      </c>
      <c r="C538" s="226" t="s">
        <v>839</v>
      </c>
      <c r="D538" s="226" t="s">
        <v>434</v>
      </c>
      <c r="E538" s="226" t="s">
        <v>479</v>
      </c>
    </row>
    <row r="539" spans="1:5" x14ac:dyDescent="0.2">
      <c r="A539" s="226" t="s">
        <v>431</v>
      </c>
      <c r="B539" s="227" t="s">
        <v>821</v>
      </c>
      <c r="C539" s="227" t="s">
        <v>840</v>
      </c>
      <c r="D539" s="226" t="s">
        <v>434</v>
      </c>
      <c r="E539" s="226" t="s">
        <v>171</v>
      </c>
    </row>
    <row r="540" spans="1:5" x14ac:dyDescent="0.2">
      <c r="A540" s="226" t="s">
        <v>431</v>
      </c>
      <c r="B540" s="227" t="s">
        <v>821</v>
      </c>
      <c r="C540" s="227" t="s">
        <v>841</v>
      </c>
      <c r="D540" s="226" t="s">
        <v>434</v>
      </c>
      <c r="E540" s="226" t="s">
        <v>171</v>
      </c>
    </row>
    <row r="541" spans="1:5" x14ac:dyDescent="0.2">
      <c r="A541" s="226" t="s">
        <v>431</v>
      </c>
      <c r="B541" s="227" t="s">
        <v>821</v>
      </c>
      <c r="C541" s="227" t="s">
        <v>842</v>
      </c>
      <c r="D541" s="226" t="s">
        <v>434</v>
      </c>
      <c r="E541" s="226" t="s">
        <v>171</v>
      </c>
    </row>
    <row r="542" spans="1:5" x14ac:dyDescent="0.2">
      <c r="A542" s="226" t="s">
        <v>431</v>
      </c>
      <c r="B542" s="227" t="s">
        <v>821</v>
      </c>
      <c r="C542" s="227" t="s">
        <v>843</v>
      </c>
      <c r="D542" s="226" t="s">
        <v>434</v>
      </c>
      <c r="E542" s="226" t="s">
        <v>171</v>
      </c>
    </row>
    <row r="543" spans="1:5" x14ac:dyDescent="0.2">
      <c r="A543" s="226" t="s">
        <v>431</v>
      </c>
      <c r="B543" s="227" t="s">
        <v>821</v>
      </c>
      <c r="C543" s="227" t="s">
        <v>844</v>
      </c>
      <c r="D543" s="226" t="s">
        <v>434</v>
      </c>
      <c r="E543" s="226" t="s">
        <v>171</v>
      </c>
    </row>
    <row r="544" spans="1:5" x14ac:dyDescent="0.2">
      <c r="A544" s="226" t="s">
        <v>431</v>
      </c>
      <c r="B544" s="227" t="s">
        <v>821</v>
      </c>
      <c r="C544" s="227" t="s">
        <v>845</v>
      </c>
      <c r="D544" s="226" t="s">
        <v>434</v>
      </c>
      <c r="E544" s="226" t="s">
        <v>171</v>
      </c>
    </row>
    <row r="545" spans="1:5" x14ac:dyDescent="0.2">
      <c r="A545" s="226" t="s">
        <v>431</v>
      </c>
      <c r="B545" s="227" t="s">
        <v>821</v>
      </c>
      <c r="C545" s="227" t="s">
        <v>846</v>
      </c>
      <c r="D545" s="226" t="s">
        <v>434</v>
      </c>
      <c r="E545" s="226" t="s">
        <v>171</v>
      </c>
    </row>
    <row r="546" spans="1:5" x14ac:dyDescent="0.2">
      <c r="A546" s="226" t="s">
        <v>431</v>
      </c>
      <c r="B546" s="227" t="s">
        <v>821</v>
      </c>
      <c r="C546" s="227" t="s">
        <v>847</v>
      </c>
      <c r="D546" s="226" t="s">
        <v>434</v>
      </c>
      <c r="E546" s="226" t="s">
        <v>171</v>
      </c>
    </row>
    <row r="547" spans="1:5" x14ac:dyDescent="0.2">
      <c r="A547" s="226" t="s">
        <v>431</v>
      </c>
      <c r="B547" s="227" t="s">
        <v>821</v>
      </c>
      <c r="C547" s="227" t="s">
        <v>848</v>
      </c>
      <c r="D547" s="226" t="s">
        <v>434</v>
      </c>
      <c r="E547" s="226" t="s">
        <v>171</v>
      </c>
    </row>
    <row r="548" spans="1:5" x14ac:dyDescent="0.2">
      <c r="A548" s="226" t="s">
        <v>431</v>
      </c>
      <c r="B548" s="227" t="s">
        <v>821</v>
      </c>
      <c r="C548" s="227" t="s">
        <v>849</v>
      </c>
      <c r="D548" s="226" t="s">
        <v>434</v>
      </c>
      <c r="E548" s="226" t="s">
        <v>171</v>
      </c>
    </row>
    <row r="549" spans="1:5" x14ac:dyDescent="0.2">
      <c r="A549" s="226" t="s">
        <v>431</v>
      </c>
      <c r="B549" s="227" t="s">
        <v>821</v>
      </c>
      <c r="C549" s="227" t="s">
        <v>850</v>
      </c>
      <c r="D549" s="226" t="s">
        <v>434</v>
      </c>
      <c r="E549" s="226" t="s">
        <v>171</v>
      </c>
    </row>
    <row r="550" spans="1:5" x14ac:dyDescent="0.2">
      <c r="A550" s="226" t="s">
        <v>431</v>
      </c>
      <c r="B550" s="227" t="s">
        <v>821</v>
      </c>
      <c r="C550" s="227" t="s">
        <v>851</v>
      </c>
      <c r="D550" s="226" t="s">
        <v>434</v>
      </c>
      <c r="E550" s="226" t="s">
        <v>171</v>
      </c>
    </row>
    <row r="551" spans="1:5" x14ac:dyDescent="0.2">
      <c r="A551" s="226" t="s">
        <v>431</v>
      </c>
      <c r="B551" s="227" t="s">
        <v>821</v>
      </c>
      <c r="C551" s="227" t="s">
        <v>852</v>
      </c>
      <c r="D551" s="226" t="s">
        <v>434</v>
      </c>
      <c r="E551" s="226" t="s">
        <v>171</v>
      </c>
    </row>
    <row r="552" spans="1:5" x14ac:dyDescent="0.2">
      <c r="A552" s="226" t="s">
        <v>431</v>
      </c>
      <c r="B552" s="227" t="s">
        <v>821</v>
      </c>
      <c r="C552" s="227" t="s">
        <v>853</v>
      </c>
      <c r="D552" s="226" t="s">
        <v>434</v>
      </c>
      <c r="E552" s="226" t="s">
        <v>171</v>
      </c>
    </row>
    <row r="553" spans="1:5" x14ac:dyDescent="0.2">
      <c r="A553" s="226" t="s">
        <v>431</v>
      </c>
      <c r="B553" s="227" t="s">
        <v>821</v>
      </c>
      <c r="C553" s="227" t="s">
        <v>854</v>
      </c>
      <c r="D553" s="226" t="s">
        <v>434</v>
      </c>
      <c r="E553" s="226" t="s">
        <v>171</v>
      </c>
    </row>
    <row r="554" spans="1:5" x14ac:dyDescent="0.2">
      <c r="A554" s="226" t="s">
        <v>431</v>
      </c>
      <c r="B554" s="227" t="s">
        <v>821</v>
      </c>
      <c r="C554" s="227" t="s">
        <v>855</v>
      </c>
      <c r="D554" s="226" t="s">
        <v>434</v>
      </c>
      <c r="E554" s="226" t="s">
        <v>171</v>
      </c>
    </row>
    <row r="555" spans="1:5" x14ac:dyDescent="0.2">
      <c r="A555" s="226" t="s">
        <v>431</v>
      </c>
      <c r="B555" s="227" t="s">
        <v>821</v>
      </c>
      <c r="C555" s="227" t="s">
        <v>856</v>
      </c>
      <c r="D555" s="226" t="s">
        <v>434</v>
      </c>
      <c r="E555" s="226" t="s">
        <v>171</v>
      </c>
    </row>
    <row r="556" spans="1:5" x14ac:dyDescent="0.2">
      <c r="A556" s="226" t="s">
        <v>431</v>
      </c>
      <c r="B556" s="226" t="s">
        <v>857</v>
      </c>
      <c r="C556" s="226" t="s">
        <v>858</v>
      </c>
      <c r="D556" s="226" t="s">
        <v>434</v>
      </c>
      <c r="E556" s="226" t="s">
        <v>172</v>
      </c>
    </row>
    <row r="557" spans="1:5" x14ac:dyDescent="0.2">
      <c r="A557" s="226" t="s">
        <v>431</v>
      </c>
      <c r="B557" s="226" t="s">
        <v>857</v>
      </c>
      <c r="C557" s="226" t="s">
        <v>859</v>
      </c>
      <c r="D557" s="226" t="s">
        <v>434</v>
      </c>
      <c r="E557" s="226" t="s">
        <v>172</v>
      </c>
    </row>
    <row r="558" spans="1:5" x14ac:dyDescent="0.2">
      <c r="A558" s="226" t="s">
        <v>431</v>
      </c>
      <c r="B558" s="227" t="s">
        <v>857</v>
      </c>
      <c r="C558" s="227" t="s">
        <v>860</v>
      </c>
      <c r="D558" s="226" t="s">
        <v>434</v>
      </c>
      <c r="E558" s="226" t="s">
        <v>172</v>
      </c>
    </row>
    <row r="559" spans="1:5" x14ac:dyDescent="0.2">
      <c r="A559" s="226" t="s">
        <v>431</v>
      </c>
      <c r="B559" s="227" t="s">
        <v>857</v>
      </c>
      <c r="C559" s="227" t="s">
        <v>861</v>
      </c>
      <c r="D559" s="226" t="s">
        <v>434</v>
      </c>
      <c r="E559" s="226" t="s">
        <v>172</v>
      </c>
    </row>
    <row r="560" spans="1:5" x14ac:dyDescent="0.2">
      <c r="A560" s="226" t="s">
        <v>431</v>
      </c>
      <c r="B560" s="227" t="s">
        <v>857</v>
      </c>
      <c r="C560" s="227" t="s">
        <v>862</v>
      </c>
      <c r="D560" s="226" t="s">
        <v>434</v>
      </c>
      <c r="E560" s="226" t="s">
        <v>172</v>
      </c>
    </row>
    <row r="561" spans="1:5" x14ac:dyDescent="0.2">
      <c r="A561" s="226" t="s">
        <v>431</v>
      </c>
      <c r="B561" s="227" t="s">
        <v>857</v>
      </c>
      <c r="C561" s="227" t="s">
        <v>863</v>
      </c>
      <c r="D561" s="226" t="s">
        <v>434</v>
      </c>
      <c r="E561" s="226" t="s">
        <v>172</v>
      </c>
    </row>
    <row r="562" spans="1:5" x14ac:dyDescent="0.2">
      <c r="A562" s="226" t="s">
        <v>431</v>
      </c>
      <c r="B562" s="227" t="s">
        <v>857</v>
      </c>
      <c r="C562" s="227" t="s">
        <v>864</v>
      </c>
      <c r="D562" s="226" t="s">
        <v>434</v>
      </c>
      <c r="E562" s="226" t="s">
        <v>172</v>
      </c>
    </row>
    <row r="563" spans="1:5" x14ac:dyDescent="0.2">
      <c r="A563" s="226" t="s">
        <v>431</v>
      </c>
      <c r="B563" s="227" t="s">
        <v>857</v>
      </c>
      <c r="C563" s="227" t="s">
        <v>865</v>
      </c>
      <c r="D563" s="226" t="s">
        <v>434</v>
      </c>
      <c r="E563" s="226" t="s">
        <v>172</v>
      </c>
    </row>
    <row r="564" spans="1:5" x14ac:dyDescent="0.2">
      <c r="A564" s="226" t="s">
        <v>431</v>
      </c>
      <c r="B564" s="227" t="s">
        <v>857</v>
      </c>
      <c r="C564" s="227" t="s">
        <v>866</v>
      </c>
      <c r="D564" s="226" t="s">
        <v>434</v>
      </c>
      <c r="E564" s="226" t="s">
        <v>172</v>
      </c>
    </row>
    <row r="565" spans="1:5" x14ac:dyDescent="0.2">
      <c r="A565" s="226" t="s">
        <v>431</v>
      </c>
      <c r="B565" s="227" t="s">
        <v>857</v>
      </c>
      <c r="C565" s="227" t="s">
        <v>867</v>
      </c>
      <c r="D565" s="226" t="s">
        <v>434</v>
      </c>
      <c r="E565" s="226" t="s">
        <v>172</v>
      </c>
    </row>
    <row r="566" spans="1:5" x14ac:dyDescent="0.2">
      <c r="A566" s="226" t="s">
        <v>431</v>
      </c>
      <c r="B566" s="227" t="s">
        <v>857</v>
      </c>
      <c r="C566" s="227" t="s">
        <v>868</v>
      </c>
      <c r="D566" s="226" t="s">
        <v>434</v>
      </c>
      <c r="E566" s="226" t="s">
        <v>172</v>
      </c>
    </row>
    <row r="567" spans="1:5" x14ac:dyDescent="0.2">
      <c r="A567" s="226" t="s">
        <v>431</v>
      </c>
      <c r="B567" s="227" t="s">
        <v>857</v>
      </c>
      <c r="C567" s="227" t="s">
        <v>869</v>
      </c>
      <c r="D567" s="226" t="s">
        <v>434</v>
      </c>
      <c r="E567" s="226" t="s">
        <v>172</v>
      </c>
    </row>
    <row r="568" spans="1:5" x14ac:dyDescent="0.2">
      <c r="A568" s="226" t="s">
        <v>431</v>
      </c>
      <c r="B568" s="227" t="s">
        <v>857</v>
      </c>
      <c r="C568" s="227" t="s">
        <v>870</v>
      </c>
      <c r="D568" s="226" t="s">
        <v>434</v>
      </c>
      <c r="E568" s="226" t="s">
        <v>172</v>
      </c>
    </row>
    <row r="569" spans="1:5" x14ac:dyDescent="0.2">
      <c r="A569" s="226" t="s">
        <v>431</v>
      </c>
      <c r="B569" s="227" t="s">
        <v>857</v>
      </c>
      <c r="C569" s="227" t="s">
        <v>871</v>
      </c>
      <c r="D569" s="226" t="s">
        <v>434</v>
      </c>
      <c r="E569" s="226" t="s">
        <v>172</v>
      </c>
    </row>
    <row r="570" spans="1:5" x14ac:dyDescent="0.2">
      <c r="A570" s="226" t="s">
        <v>431</v>
      </c>
      <c r="B570" s="227" t="s">
        <v>857</v>
      </c>
      <c r="C570" s="227" t="s">
        <v>872</v>
      </c>
      <c r="D570" s="226" t="s">
        <v>434</v>
      </c>
      <c r="E570" s="226" t="s">
        <v>172</v>
      </c>
    </row>
    <row r="571" spans="1:5" x14ac:dyDescent="0.2">
      <c r="A571" s="226" t="s">
        <v>431</v>
      </c>
      <c r="B571" s="227" t="s">
        <v>857</v>
      </c>
      <c r="C571" s="227" t="s">
        <v>873</v>
      </c>
      <c r="D571" s="226" t="s">
        <v>434</v>
      </c>
      <c r="E571" s="226" t="s">
        <v>172</v>
      </c>
    </row>
    <row r="572" spans="1:5" x14ac:dyDescent="0.2">
      <c r="A572" s="226" t="s">
        <v>431</v>
      </c>
      <c r="B572" s="227" t="s">
        <v>857</v>
      </c>
      <c r="C572" s="227" t="s">
        <v>874</v>
      </c>
      <c r="D572" s="226" t="s">
        <v>434</v>
      </c>
      <c r="E572" s="226" t="s">
        <v>172</v>
      </c>
    </row>
    <row r="573" spans="1:5" x14ac:dyDescent="0.2">
      <c r="A573" s="226" t="s">
        <v>431</v>
      </c>
      <c r="B573" s="227" t="s">
        <v>857</v>
      </c>
      <c r="C573" s="227" t="s">
        <v>875</v>
      </c>
      <c r="D573" s="226" t="s">
        <v>434</v>
      </c>
      <c r="E573" s="226" t="s">
        <v>172</v>
      </c>
    </row>
    <row r="574" spans="1:5" x14ac:dyDescent="0.2">
      <c r="A574" s="226" t="s">
        <v>431</v>
      </c>
      <c r="B574" s="227" t="s">
        <v>857</v>
      </c>
      <c r="C574" s="227" t="s">
        <v>876</v>
      </c>
      <c r="D574" s="226" t="s">
        <v>434</v>
      </c>
      <c r="E574" s="226" t="s">
        <v>172</v>
      </c>
    </row>
    <row r="575" spans="1:5" x14ac:dyDescent="0.2">
      <c r="A575" s="226" t="s">
        <v>431</v>
      </c>
      <c r="B575" s="227" t="s">
        <v>857</v>
      </c>
      <c r="C575" s="227" t="s">
        <v>877</v>
      </c>
      <c r="D575" s="226" t="s">
        <v>434</v>
      </c>
      <c r="E575" s="226" t="s">
        <v>172</v>
      </c>
    </row>
    <row r="576" spans="1:5" x14ac:dyDescent="0.2">
      <c r="A576" s="226" t="s">
        <v>431</v>
      </c>
      <c r="B576" s="227" t="s">
        <v>857</v>
      </c>
      <c r="C576" s="227" t="s">
        <v>878</v>
      </c>
      <c r="D576" s="226" t="s">
        <v>434</v>
      </c>
      <c r="E576" s="226" t="s">
        <v>172</v>
      </c>
    </row>
    <row r="577" spans="1:5" x14ac:dyDescent="0.2">
      <c r="A577" s="226" t="s">
        <v>431</v>
      </c>
      <c r="B577" s="226" t="s">
        <v>879</v>
      </c>
      <c r="C577" s="226" t="s">
        <v>880</v>
      </c>
      <c r="D577" s="226" t="s">
        <v>434</v>
      </c>
      <c r="E577" s="226" t="s">
        <v>172</v>
      </c>
    </row>
    <row r="578" spans="1:5" x14ac:dyDescent="0.2">
      <c r="A578" s="226" t="s">
        <v>431</v>
      </c>
      <c r="B578" s="226" t="s">
        <v>879</v>
      </c>
      <c r="C578" s="226" t="s">
        <v>881</v>
      </c>
      <c r="D578" s="226" t="s">
        <v>434</v>
      </c>
      <c r="E578" s="226" t="s">
        <v>172</v>
      </c>
    </row>
    <row r="579" spans="1:5" x14ac:dyDescent="0.2">
      <c r="A579" s="226" t="s">
        <v>431</v>
      </c>
      <c r="B579" s="227" t="s">
        <v>879</v>
      </c>
      <c r="C579" s="227" t="s">
        <v>882</v>
      </c>
      <c r="D579" s="226" t="s">
        <v>434</v>
      </c>
      <c r="E579" s="226" t="s">
        <v>172</v>
      </c>
    </row>
    <row r="580" spans="1:5" x14ac:dyDescent="0.2">
      <c r="A580" s="226" t="s">
        <v>431</v>
      </c>
      <c r="B580" s="227" t="s">
        <v>879</v>
      </c>
      <c r="C580" s="227" t="s">
        <v>883</v>
      </c>
      <c r="D580" s="226" t="s">
        <v>434</v>
      </c>
      <c r="E580" s="226" t="s">
        <v>172</v>
      </c>
    </row>
    <row r="581" spans="1:5" x14ac:dyDescent="0.2">
      <c r="A581" s="226" t="s">
        <v>431</v>
      </c>
      <c r="B581" s="227" t="s">
        <v>879</v>
      </c>
      <c r="C581" s="227" t="s">
        <v>884</v>
      </c>
      <c r="D581" s="226" t="s">
        <v>434</v>
      </c>
      <c r="E581" s="226" t="s">
        <v>172</v>
      </c>
    </row>
    <row r="582" spans="1:5" x14ac:dyDescent="0.2">
      <c r="A582" s="226" t="s">
        <v>431</v>
      </c>
      <c r="B582" s="227" t="s">
        <v>879</v>
      </c>
      <c r="C582" s="227" t="s">
        <v>885</v>
      </c>
      <c r="D582" s="226" t="s">
        <v>434</v>
      </c>
      <c r="E582" s="226" t="s">
        <v>172</v>
      </c>
    </row>
    <row r="583" spans="1:5" x14ac:dyDescent="0.2">
      <c r="A583" s="226" t="s">
        <v>431</v>
      </c>
      <c r="B583" s="227" t="s">
        <v>879</v>
      </c>
      <c r="C583" s="227" t="s">
        <v>886</v>
      </c>
      <c r="D583" s="226" t="s">
        <v>434</v>
      </c>
      <c r="E583" s="226" t="s">
        <v>172</v>
      </c>
    </row>
    <row r="584" spans="1:5" x14ac:dyDescent="0.2">
      <c r="A584" s="226" t="s">
        <v>431</v>
      </c>
      <c r="B584" s="227" t="s">
        <v>879</v>
      </c>
      <c r="C584" s="227" t="s">
        <v>887</v>
      </c>
      <c r="D584" s="226" t="s">
        <v>434</v>
      </c>
      <c r="E584" s="226" t="s">
        <v>172</v>
      </c>
    </row>
    <row r="585" spans="1:5" x14ac:dyDescent="0.2">
      <c r="A585" s="226" t="s">
        <v>431</v>
      </c>
      <c r="B585" s="227" t="s">
        <v>879</v>
      </c>
      <c r="C585" s="227" t="s">
        <v>888</v>
      </c>
      <c r="D585" s="226" t="s">
        <v>434</v>
      </c>
      <c r="E585" s="226" t="s">
        <v>172</v>
      </c>
    </row>
    <row r="586" spans="1:5" x14ac:dyDescent="0.2">
      <c r="A586" s="226" t="s">
        <v>431</v>
      </c>
      <c r="B586" s="227" t="s">
        <v>879</v>
      </c>
      <c r="C586" s="227" t="s">
        <v>889</v>
      </c>
      <c r="D586" s="226" t="s">
        <v>434</v>
      </c>
      <c r="E586" s="226" t="s">
        <v>172</v>
      </c>
    </row>
    <row r="587" spans="1:5" x14ac:dyDescent="0.2">
      <c r="A587" s="226" t="s">
        <v>431</v>
      </c>
      <c r="B587" s="227" t="s">
        <v>879</v>
      </c>
      <c r="C587" s="227" t="s">
        <v>890</v>
      </c>
      <c r="D587" s="226" t="s">
        <v>434</v>
      </c>
      <c r="E587" s="226" t="s">
        <v>172</v>
      </c>
    </row>
    <row r="588" spans="1:5" x14ac:dyDescent="0.2">
      <c r="A588" s="226" t="s">
        <v>431</v>
      </c>
      <c r="B588" s="227" t="s">
        <v>879</v>
      </c>
      <c r="C588" s="227" t="s">
        <v>891</v>
      </c>
      <c r="D588" s="226" t="s">
        <v>434</v>
      </c>
      <c r="E588" s="226" t="s">
        <v>172</v>
      </c>
    </row>
    <row r="589" spans="1:5" x14ac:dyDescent="0.2">
      <c r="A589" s="226" t="s">
        <v>431</v>
      </c>
      <c r="B589" s="227" t="s">
        <v>879</v>
      </c>
      <c r="C589" s="227" t="s">
        <v>892</v>
      </c>
      <c r="D589" s="226" t="s">
        <v>434</v>
      </c>
      <c r="E589" s="226" t="s">
        <v>172</v>
      </c>
    </row>
    <row r="590" spans="1:5" x14ac:dyDescent="0.2">
      <c r="A590" s="226" t="s">
        <v>431</v>
      </c>
      <c r="B590" s="227" t="s">
        <v>879</v>
      </c>
      <c r="C590" s="227" t="s">
        <v>893</v>
      </c>
      <c r="D590" s="226" t="s">
        <v>434</v>
      </c>
      <c r="E590" s="226" t="s">
        <v>172</v>
      </c>
    </row>
    <row r="591" spans="1:5" x14ac:dyDescent="0.2">
      <c r="A591" s="226" t="s">
        <v>431</v>
      </c>
      <c r="B591" s="227" t="s">
        <v>879</v>
      </c>
      <c r="C591" s="227" t="s">
        <v>894</v>
      </c>
      <c r="D591" s="226" t="s">
        <v>434</v>
      </c>
      <c r="E591" s="226" t="s">
        <v>172</v>
      </c>
    </row>
    <row r="592" spans="1:5" x14ac:dyDescent="0.2">
      <c r="A592" s="226" t="s">
        <v>431</v>
      </c>
      <c r="B592" s="227" t="s">
        <v>879</v>
      </c>
      <c r="C592" s="227" t="s">
        <v>895</v>
      </c>
      <c r="D592" s="226" t="s">
        <v>434</v>
      </c>
      <c r="E592" s="226" t="s">
        <v>172</v>
      </c>
    </row>
    <row r="593" spans="1:5" x14ac:dyDescent="0.2">
      <c r="A593" s="226" t="s">
        <v>431</v>
      </c>
      <c r="B593" s="227" t="s">
        <v>879</v>
      </c>
      <c r="C593" s="227" t="s">
        <v>896</v>
      </c>
      <c r="D593" s="226" t="s">
        <v>434</v>
      </c>
      <c r="E593" s="226" t="s">
        <v>172</v>
      </c>
    </row>
    <row r="594" spans="1:5" x14ac:dyDescent="0.2">
      <c r="A594" s="226" t="s">
        <v>431</v>
      </c>
      <c r="B594" s="227" t="s">
        <v>879</v>
      </c>
      <c r="C594" s="227" t="s">
        <v>897</v>
      </c>
      <c r="D594" s="226" t="s">
        <v>434</v>
      </c>
      <c r="E594" s="226" t="s">
        <v>172</v>
      </c>
    </row>
    <row r="595" spans="1:5" x14ac:dyDescent="0.2">
      <c r="A595" s="226" t="s">
        <v>431</v>
      </c>
      <c r="B595" s="227" t="s">
        <v>879</v>
      </c>
      <c r="C595" s="227" t="s">
        <v>898</v>
      </c>
      <c r="D595" s="226" t="s">
        <v>434</v>
      </c>
      <c r="E595" s="226" t="s">
        <v>172</v>
      </c>
    </row>
    <row r="596" spans="1:5" x14ac:dyDescent="0.2">
      <c r="A596" s="226" t="s">
        <v>431</v>
      </c>
      <c r="B596" s="227" t="s">
        <v>879</v>
      </c>
      <c r="C596" s="227" t="s">
        <v>899</v>
      </c>
      <c r="D596" s="226" t="s">
        <v>434</v>
      </c>
      <c r="E596" s="226" t="s">
        <v>172</v>
      </c>
    </row>
    <row r="597" spans="1:5" x14ac:dyDescent="0.2">
      <c r="A597" s="226" t="s">
        <v>431</v>
      </c>
      <c r="B597" s="227" t="s">
        <v>879</v>
      </c>
      <c r="C597" s="227" t="s">
        <v>900</v>
      </c>
      <c r="D597" s="226" t="s">
        <v>434</v>
      </c>
      <c r="E597" s="226" t="s">
        <v>172</v>
      </c>
    </row>
    <row r="598" spans="1:5" x14ac:dyDescent="0.2">
      <c r="A598" s="226" t="s">
        <v>431</v>
      </c>
      <c r="B598" s="227" t="s">
        <v>879</v>
      </c>
      <c r="C598" s="227" t="s">
        <v>901</v>
      </c>
      <c r="D598" s="226" t="s">
        <v>434</v>
      </c>
      <c r="E598" s="226" t="s">
        <v>172</v>
      </c>
    </row>
    <row r="599" spans="1:5" x14ac:dyDescent="0.2">
      <c r="A599" s="226" t="s">
        <v>431</v>
      </c>
      <c r="B599" s="226" t="s">
        <v>879</v>
      </c>
      <c r="C599" s="226" t="s">
        <v>902</v>
      </c>
      <c r="D599" s="226" t="s">
        <v>434</v>
      </c>
      <c r="E599" s="226" t="s">
        <v>172</v>
      </c>
    </row>
    <row r="600" spans="1:5" x14ac:dyDescent="0.2">
      <c r="A600" s="226" t="s">
        <v>431</v>
      </c>
      <c r="B600" s="227" t="s">
        <v>879</v>
      </c>
      <c r="C600" s="227" t="s">
        <v>903</v>
      </c>
      <c r="D600" s="226" t="s">
        <v>434</v>
      </c>
      <c r="E600" s="226" t="s">
        <v>172</v>
      </c>
    </row>
    <row r="601" spans="1:5" x14ac:dyDescent="0.2">
      <c r="A601" s="226" t="s">
        <v>431</v>
      </c>
      <c r="B601" s="226" t="s">
        <v>879</v>
      </c>
      <c r="C601" s="226" t="s">
        <v>904</v>
      </c>
      <c r="D601" s="226" t="s">
        <v>434</v>
      </c>
      <c r="E601" s="226" t="s">
        <v>172</v>
      </c>
    </row>
    <row r="602" spans="1:5" x14ac:dyDescent="0.2">
      <c r="A602" s="226" t="s">
        <v>431</v>
      </c>
      <c r="B602" s="226" t="s">
        <v>879</v>
      </c>
      <c r="C602" s="226" t="s">
        <v>905</v>
      </c>
      <c r="D602" s="226" t="s">
        <v>434</v>
      </c>
      <c r="E602" s="226" t="s">
        <v>172</v>
      </c>
    </row>
    <row r="603" spans="1:5" x14ac:dyDescent="0.2">
      <c r="A603" s="226" t="s">
        <v>431</v>
      </c>
      <c r="B603" s="227" t="s">
        <v>879</v>
      </c>
      <c r="C603" s="227" t="s">
        <v>906</v>
      </c>
      <c r="D603" s="226" t="s">
        <v>434</v>
      </c>
      <c r="E603" s="226" t="s">
        <v>172</v>
      </c>
    </row>
    <row r="604" spans="1:5" x14ac:dyDescent="0.2">
      <c r="A604" s="226" t="s">
        <v>431</v>
      </c>
      <c r="B604" s="227" t="s">
        <v>879</v>
      </c>
      <c r="C604" s="227" t="s">
        <v>907</v>
      </c>
      <c r="D604" s="226" t="s">
        <v>434</v>
      </c>
      <c r="E604" s="226" t="s">
        <v>172</v>
      </c>
    </row>
    <row r="605" spans="1:5" x14ac:dyDescent="0.2">
      <c r="A605" s="226" t="s">
        <v>431</v>
      </c>
      <c r="B605" s="226" t="s">
        <v>908</v>
      </c>
      <c r="C605" s="226" t="s">
        <v>909</v>
      </c>
      <c r="D605" s="226" t="s">
        <v>434</v>
      </c>
      <c r="E605" s="226" t="s">
        <v>172</v>
      </c>
    </row>
    <row r="606" spans="1:5" x14ac:dyDescent="0.2">
      <c r="A606" s="226" t="s">
        <v>431</v>
      </c>
      <c r="B606" s="226" t="s">
        <v>908</v>
      </c>
      <c r="C606" s="226" t="s">
        <v>910</v>
      </c>
      <c r="D606" s="226" t="s">
        <v>434</v>
      </c>
      <c r="E606" s="226" t="s">
        <v>172</v>
      </c>
    </row>
    <row r="607" spans="1:5" x14ac:dyDescent="0.2">
      <c r="A607" s="226" t="s">
        <v>431</v>
      </c>
      <c r="B607" s="226" t="s">
        <v>908</v>
      </c>
      <c r="C607" s="226" t="s">
        <v>911</v>
      </c>
      <c r="D607" s="226" t="s">
        <v>434</v>
      </c>
      <c r="E607" s="226" t="s">
        <v>172</v>
      </c>
    </row>
    <row r="608" spans="1:5" x14ac:dyDescent="0.2">
      <c r="A608" s="226" t="s">
        <v>431</v>
      </c>
      <c r="B608" s="227" t="s">
        <v>908</v>
      </c>
      <c r="C608" s="227" t="s">
        <v>912</v>
      </c>
      <c r="D608" s="226" t="s">
        <v>434</v>
      </c>
      <c r="E608" s="226" t="s">
        <v>172</v>
      </c>
    </row>
    <row r="609" spans="1:5" x14ac:dyDescent="0.2">
      <c r="A609" s="226" t="s">
        <v>431</v>
      </c>
      <c r="B609" s="226" t="s">
        <v>908</v>
      </c>
      <c r="C609" s="226" t="s">
        <v>913</v>
      </c>
      <c r="D609" s="226" t="s">
        <v>434</v>
      </c>
      <c r="E609" s="226" t="s">
        <v>479</v>
      </c>
    </row>
    <row r="610" spans="1:5" x14ac:dyDescent="0.2">
      <c r="A610" s="226" t="s">
        <v>431</v>
      </c>
      <c r="B610" s="226" t="s">
        <v>908</v>
      </c>
      <c r="C610" s="226" t="s">
        <v>914</v>
      </c>
      <c r="D610" s="226" t="s">
        <v>434</v>
      </c>
      <c r="E610" s="226" t="s">
        <v>479</v>
      </c>
    </row>
    <row r="611" spans="1:5" x14ac:dyDescent="0.2">
      <c r="A611" s="226" t="s">
        <v>431</v>
      </c>
      <c r="B611" s="226" t="s">
        <v>908</v>
      </c>
      <c r="C611" s="226" t="s">
        <v>915</v>
      </c>
      <c r="D611" s="226" t="s">
        <v>434</v>
      </c>
      <c r="E611" s="226" t="s">
        <v>479</v>
      </c>
    </row>
    <row r="612" spans="1:5" x14ac:dyDescent="0.2">
      <c r="A612" s="226" t="s">
        <v>431</v>
      </c>
      <c r="B612" s="227" t="s">
        <v>908</v>
      </c>
      <c r="C612" s="227" t="s">
        <v>916</v>
      </c>
      <c r="D612" s="226" t="s">
        <v>434</v>
      </c>
      <c r="E612" s="226" t="s">
        <v>172</v>
      </c>
    </row>
    <row r="613" spans="1:5" x14ac:dyDescent="0.2">
      <c r="A613" s="226" t="s">
        <v>431</v>
      </c>
      <c r="B613" s="227" t="s">
        <v>908</v>
      </c>
      <c r="C613" s="227" t="s">
        <v>917</v>
      </c>
      <c r="D613" s="226" t="s">
        <v>434</v>
      </c>
      <c r="E613" s="226" t="s">
        <v>479</v>
      </c>
    </row>
    <row r="614" spans="1:5" x14ac:dyDescent="0.2">
      <c r="A614" s="226" t="s">
        <v>431</v>
      </c>
      <c r="B614" s="227" t="s">
        <v>908</v>
      </c>
      <c r="C614" s="227" t="s">
        <v>918</v>
      </c>
      <c r="D614" s="226" t="s">
        <v>434</v>
      </c>
      <c r="E614" s="226" t="s">
        <v>479</v>
      </c>
    </row>
    <row r="615" spans="1:5" x14ac:dyDescent="0.2">
      <c r="A615" s="226" t="s">
        <v>431</v>
      </c>
      <c r="B615" s="227" t="s">
        <v>908</v>
      </c>
      <c r="C615" s="227" t="s">
        <v>919</v>
      </c>
      <c r="D615" s="226" t="s">
        <v>434</v>
      </c>
      <c r="E615" s="226" t="s">
        <v>479</v>
      </c>
    </row>
    <row r="616" spans="1:5" x14ac:dyDescent="0.2">
      <c r="A616" s="226" t="s">
        <v>431</v>
      </c>
      <c r="B616" s="227" t="s">
        <v>908</v>
      </c>
      <c r="C616" s="227" t="s">
        <v>920</v>
      </c>
      <c r="D616" s="226" t="s">
        <v>434</v>
      </c>
      <c r="E616" s="226" t="s">
        <v>479</v>
      </c>
    </row>
    <row r="617" spans="1:5" x14ac:dyDescent="0.2">
      <c r="A617" s="226" t="s">
        <v>431</v>
      </c>
      <c r="B617" s="227" t="s">
        <v>908</v>
      </c>
      <c r="C617" s="227" t="s">
        <v>921</v>
      </c>
      <c r="D617" s="226" t="s">
        <v>434</v>
      </c>
      <c r="E617" s="226" t="s">
        <v>479</v>
      </c>
    </row>
    <row r="618" spans="1:5" x14ac:dyDescent="0.2">
      <c r="A618" s="226" t="s">
        <v>431</v>
      </c>
      <c r="B618" s="227" t="s">
        <v>908</v>
      </c>
      <c r="C618" s="227" t="s">
        <v>922</v>
      </c>
      <c r="D618" s="226" t="s">
        <v>434</v>
      </c>
      <c r="E618" s="226" t="s">
        <v>479</v>
      </c>
    </row>
    <row r="619" spans="1:5" x14ac:dyDescent="0.2">
      <c r="A619" s="226" t="s">
        <v>431</v>
      </c>
      <c r="B619" s="227" t="s">
        <v>908</v>
      </c>
      <c r="C619" s="227" t="s">
        <v>923</v>
      </c>
      <c r="D619" s="226" t="s">
        <v>434</v>
      </c>
      <c r="E619" s="226" t="s">
        <v>479</v>
      </c>
    </row>
    <row r="620" spans="1:5" x14ac:dyDescent="0.2">
      <c r="A620" s="226" t="s">
        <v>431</v>
      </c>
      <c r="B620" s="227" t="s">
        <v>908</v>
      </c>
      <c r="C620" s="227" t="s">
        <v>924</v>
      </c>
      <c r="D620" s="226" t="s">
        <v>434</v>
      </c>
      <c r="E620" s="226" t="s">
        <v>479</v>
      </c>
    </row>
    <row r="621" spans="1:5" x14ac:dyDescent="0.2">
      <c r="A621" s="226" t="s">
        <v>431</v>
      </c>
      <c r="B621" s="227" t="s">
        <v>908</v>
      </c>
      <c r="C621" s="227" t="s">
        <v>925</v>
      </c>
      <c r="D621" s="226" t="s">
        <v>434</v>
      </c>
      <c r="E621" s="226" t="s">
        <v>479</v>
      </c>
    </row>
    <row r="622" spans="1:5" x14ac:dyDescent="0.2">
      <c r="A622" s="226" t="s">
        <v>431</v>
      </c>
      <c r="B622" s="227" t="s">
        <v>908</v>
      </c>
      <c r="C622" s="227" t="s">
        <v>926</v>
      </c>
      <c r="D622" s="226" t="s">
        <v>434</v>
      </c>
      <c r="E622" s="226" t="s">
        <v>479</v>
      </c>
    </row>
    <row r="623" spans="1:5" x14ac:dyDescent="0.2">
      <c r="A623" s="226" t="s">
        <v>431</v>
      </c>
      <c r="B623" s="227" t="s">
        <v>908</v>
      </c>
      <c r="C623" s="227" t="s">
        <v>927</v>
      </c>
      <c r="D623" s="226" t="s">
        <v>434</v>
      </c>
      <c r="E623" s="226" t="s">
        <v>479</v>
      </c>
    </row>
    <row r="624" spans="1:5" x14ac:dyDescent="0.2">
      <c r="A624" s="226" t="s">
        <v>431</v>
      </c>
      <c r="B624" s="227" t="s">
        <v>908</v>
      </c>
      <c r="C624" s="227" t="s">
        <v>928</v>
      </c>
      <c r="D624" s="226" t="s">
        <v>434</v>
      </c>
      <c r="E624" s="226" t="s">
        <v>479</v>
      </c>
    </row>
    <row r="625" spans="1:5" x14ac:dyDescent="0.2">
      <c r="A625" s="226" t="s">
        <v>431</v>
      </c>
      <c r="B625" s="227" t="s">
        <v>908</v>
      </c>
      <c r="C625" s="227" t="s">
        <v>929</v>
      </c>
      <c r="D625" s="226" t="s">
        <v>434</v>
      </c>
      <c r="E625" s="226" t="s">
        <v>479</v>
      </c>
    </row>
    <row r="626" spans="1:5" x14ac:dyDescent="0.2">
      <c r="A626" s="226" t="s">
        <v>431</v>
      </c>
      <c r="B626" s="227" t="s">
        <v>908</v>
      </c>
      <c r="C626" s="227" t="s">
        <v>930</v>
      </c>
      <c r="D626" s="226" t="s">
        <v>434</v>
      </c>
      <c r="E626" s="226" t="s">
        <v>479</v>
      </c>
    </row>
    <row r="627" spans="1:5" x14ac:dyDescent="0.2">
      <c r="A627" s="226" t="s">
        <v>431</v>
      </c>
      <c r="B627" s="227" t="s">
        <v>908</v>
      </c>
      <c r="C627" s="227" t="s">
        <v>931</v>
      </c>
      <c r="D627" s="226" t="s">
        <v>434</v>
      </c>
      <c r="E627" s="226" t="s">
        <v>479</v>
      </c>
    </row>
    <row r="628" spans="1:5" x14ac:dyDescent="0.2">
      <c r="A628" s="226" t="s">
        <v>431</v>
      </c>
      <c r="B628" s="227" t="s">
        <v>908</v>
      </c>
      <c r="C628" s="227" t="s">
        <v>932</v>
      </c>
      <c r="D628" s="226" t="s">
        <v>434</v>
      </c>
      <c r="E628" s="226" t="s">
        <v>479</v>
      </c>
    </row>
    <row r="629" spans="1:5" x14ac:dyDescent="0.2">
      <c r="A629" s="226" t="s">
        <v>431</v>
      </c>
      <c r="B629" s="227" t="s">
        <v>908</v>
      </c>
      <c r="C629" s="227" t="s">
        <v>933</v>
      </c>
      <c r="D629" s="226" t="s">
        <v>434</v>
      </c>
      <c r="E629" s="226" t="s">
        <v>479</v>
      </c>
    </row>
    <row r="630" spans="1:5" x14ac:dyDescent="0.2">
      <c r="A630" s="226" t="s">
        <v>431</v>
      </c>
      <c r="B630" s="226" t="s">
        <v>934</v>
      </c>
      <c r="C630" s="226" t="s">
        <v>935</v>
      </c>
      <c r="D630" s="226" t="s">
        <v>434</v>
      </c>
      <c r="E630" s="226" t="s">
        <v>172</v>
      </c>
    </row>
    <row r="631" spans="1:5" x14ac:dyDescent="0.2">
      <c r="A631" s="226" t="s">
        <v>431</v>
      </c>
      <c r="B631" s="226" t="s">
        <v>934</v>
      </c>
      <c r="C631" s="226" t="s">
        <v>936</v>
      </c>
      <c r="D631" s="226" t="s">
        <v>434</v>
      </c>
      <c r="E631" s="226" t="s">
        <v>172</v>
      </c>
    </row>
    <row r="632" spans="1:5" x14ac:dyDescent="0.2">
      <c r="A632" s="226" t="s">
        <v>431</v>
      </c>
      <c r="B632" s="227" t="s">
        <v>934</v>
      </c>
      <c r="C632" s="227" t="s">
        <v>937</v>
      </c>
      <c r="D632" s="226" t="s">
        <v>434</v>
      </c>
      <c r="E632" s="226" t="s">
        <v>172</v>
      </c>
    </row>
    <row r="633" spans="1:5" x14ac:dyDescent="0.2">
      <c r="A633" s="226" t="s">
        <v>431</v>
      </c>
      <c r="B633" s="226" t="s">
        <v>934</v>
      </c>
      <c r="C633" s="226" t="s">
        <v>938</v>
      </c>
      <c r="D633" s="226" t="s">
        <v>434</v>
      </c>
      <c r="E633" s="226" t="s">
        <v>172</v>
      </c>
    </row>
    <row r="634" spans="1:5" x14ac:dyDescent="0.2">
      <c r="A634" s="226" t="s">
        <v>431</v>
      </c>
      <c r="B634" s="227" t="s">
        <v>934</v>
      </c>
      <c r="C634" s="227" t="s">
        <v>939</v>
      </c>
      <c r="D634" s="226" t="s">
        <v>434</v>
      </c>
      <c r="E634" s="226" t="s">
        <v>172</v>
      </c>
    </row>
    <row r="635" spans="1:5" x14ac:dyDescent="0.2">
      <c r="A635" s="226" t="s">
        <v>431</v>
      </c>
      <c r="B635" s="227" t="s">
        <v>934</v>
      </c>
      <c r="C635" s="227" t="s">
        <v>940</v>
      </c>
      <c r="D635" s="226" t="s">
        <v>434</v>
      </c>
      <c r="E635" s="226" t="s">
        <v>172</v>
      </c>
    </row>
    <row r="636" spans="1:5" x14ac:dyDescent="0.2">
      <c r="A636" s="226" t="s">
        <v>431</v>
      </c>
      <c r="B636" s="226" t="s">
        <v>934</v>
      </c>
      <c r="C636" s="226" t="s">
        <v>941</v>
      </c>
      <c r="D636" s="226" t="s">
        <v>434</v>
      </c>
      <c r="E636" s="226" t="s">
        <v>172</v>
      </c>
    </row>
    <row r="637" spans="1:5" x14ac:dyDescent="0.2">
      <c r="A637" s="226" t="s">
        <v>431</v>
      </c>
      <c r="B637" s="227" t="s">
        <v>934</v>
      </c>
      <c r="C637" s="227" t="s">
        <v>942</v>
      </c>
      <c r="D637" s="226" t="s">
        <v>434</v>
      </c>
      <c r="E637" s="226" t="s">
        <v>172</v>
      </c>
    </row>
    <row r="638" spans="1:5" x14ac:dyDescent="0.2">
      <c r="A638" s="226" t="s">
        <v>431</v>
      </c>
      <c r="B638" s="227" t="s">
        <v>934</v>
      </c>
      <c r="C638" s="227" t="s">
        <v>943</v>
      </c>
      <c r="D638" s="226" t="s">
        <v>434</v>
      </c>
      <c r="E638" s="226" t="s">
        <v>172</v>
      </c>
    </row>
    <row r="639" spans="1:5" x14ac:dyDescent="0.2">
      <c r="A639" s="226" t="s">
        <v>431</v>
      </c>
      <c r="B639" s="227" t="s">
        <v>934</v>
      </c>
      <c r="C639" s="227" t="s">
        <v>944</v>
      </c>
      <c r="D639" s="226" t="s">
        <v>434</v>
      </c>
      <c r="E639" s="226" t="s">
        <v>172</v>
      </c>
    </row>
    <row r="640" spans="1:5" x14ac:dyDescent="0.2">
      <c r="A640" s="226" t="s">
        <v>431</v>
      </c>
      <c r="B640" s="226" t="s">
        <v>934</v>
      </c>
      <c r="C640" s="226" t="s">
        <v>945</v>
      </c>
      <c r="D640" s="226" t="s">
        <v>434</v>
      </c>
      <c r="E640" s="226" t="s">
        <v>172</v>
      </c>
    </row>
    <row r="641" spans="1:5" x14ac:dyDescent="0.2">
      <c r="A641" s="226" t="s">
        <v>431</v>
      </c>
      <c r="B641" s="227" t="s">
        <v>934</v>
      </c>
      <c r="C641" s="227" t="s">
        <v>946</v>
      </c>
      <c r="D641" s="226" t="s">
        <v>434</v>
      </c>
      <c r="E641" s="226" t="s">
        <v>172</v>
      </c>
    </row>
    <row r="642" spans="1:5" x14ac:dyDescent="0.2">
      <c r="A642" s="226" t="s">
        <v>431</v>
      </c>
      <c r="B642" s="227" t="s">
        <v>934</v>
      </c>
      <c r="C642" s="227" t="s">
        <v>947</v>
      </c>
      <c r="D642" s="226" t="s">
        <v>434</v>
      </c>
      <c r="E642" s="226" t="s">
        <v>172</v>
      </c>
    </row>
    <row r="643" spans="1:5" x14ac:dyDescent="0.2">
      <c r="A643" s="226" t="s">
        <v>431</v>
      </c>
      <c r="B643" s="226" t="s">
        <v>934</v>
      </c>
      <c r="C643" s="226" t="s">
        <v>948</v>
      </c>
      <c r="D643" s="226" t="s">
        <v>434</v>
      </c>
      <c r="E643" s="226" t="s">
        <v>172</v>
      </c>
    </row>
    <row r="644" spans="1:5" x14ac:dyDescent="0.2">
      <c r="A644" s="226" t="s">
        <v>431</v>
      </c>
      <c r="B644" s="227" t="s">
        <v>934</v>
      </c>
      <c r="C644" s="227" t="s">
        <v>949</v>
      </c>
      <c r="D644" s="226" t="s">
        <v>434</v>
      </c>
      <c r="E644" s="226" t="s">
        <v>172</v>
      </c>
    </row>
    <row r="645" spans="1:5" x14ac:dyDescent="0.2">
      <c r="A645" s="226" t="s">
        <v>431</v>
      </c>
      <c r="B645" s="226" t="s">
        <v>934</v>
      </c>
      <c r="C645" s="226" t="s">
        <v>950</v>
      </c>
      <c r="D645" s="226" t="s">
        <v>434</v>
      </c>
      <c r="E645" s="226" t="s">
        <v>172</v>
      </c>
    </row>
    <row r="646" spans="1:5" x14ac:dyDescent="0.2">
      <c r="A646" s="226" t="s">
        <v>431</v>
      </c>
      <c r="B646" s="227" t="s">
        <v>934</v>
      </c>
      <c r="C646" s="227" t="s">
        <v>951</v>
      </c>
      <c r="D646" s="226" t="s">
        <v>434</v>
      </c>
      <c r="E646" s="226" t="s">
        <v>172</v>
      </c>
    </row>
    <row r="647" spans="1:5" x14ac:dyDescent="0.2">
      <c r="A647" s="226" t="s">
        <v>431</v>
      </c>
      <c r="B647" s="226" t="s">
        <v>952</v>
      </c>
      <c r="C647" s="226" t="s">
        <v>953</v>
      </c>
      <c r="D647" s="226" t="s">
        <v>434</v>
      </c>
      <c r="E647" s="226" t="s">
        <v>172</v>
      </c>
    </row>
    <row r="648" spans="1:5" x14ac:dyDescent="0.2">
      <c r="A648" s="226" t="s">
        <v>431</v>
      </c>
      <c r="B648" s="226" t="s">
        <v>952</v>
      </c>
      <c r="C648" s="226" t="s">
        <v>954</v>
      </c>
      <c r="D648" s="226" t="s">
        <v>434</v>
      </c>
      <c r="E648" s="226" t="s">
        <v>172</v>
      </c>
    </row>
    <row r="649" spans="1:5" x14ac:dyDescent="0.2">
      <c r="A649" s="226" t="s">
        <v>431</v>
      </c>
      <c r="B649" s="227" t="s">
        <v>952</v>
      </c>
      <c r="C649" s="227" t="s">
        <v>955</v>
      </c>
      <c r="D649" s="226" t="s">
        <v>434</v>
      </c>
      <c r="E649" s="226" t="s">
        <v>172</v>
      </c>
    </row>
    <row r="650" spans="1:5" x14ac:dyDescent="0.2">
      <c r="A650" s="226" t="s">
        <v>431</v>
      </c>
      <c r="B650" s="227" t="s">
        <v>952</v>
      </c>
      <c r="C650" s="227" t="s">
        <v>956</v>
      </c>
      <c r="D650" s="226" t="s">
        <v>434</v>
      </c>
      <c r="E650" s="226" t="s">
        <v>172</v>
      </c>
    </row>
    <row r="651" spans="1:5" x14ac:dyDescent="0.2">
      <c r="A651" s="226" t="s">
        <v>431</v>
      </c>
      <c r="B651" s="227" t="s">
        <v>952</v>
      </c>
      <c r="C651" s="227" t="s">
        <v>957</v>
      </c>
      <c r="D651" s="226" t="s">
        <v>434</v>
      </c>
      <c r="E651" s="226" t="s">
        <v>172</v>
      </c>
    </row>
    <row r="652" spans="1:5" x14ac:dyDescent="0.2">
      <c r="A652" s="226" t="s">
        <v>431</v>
      </c>
      <c r="B652" s="226" t="s">
        <v>952</v>
      </c>
      <c r="C652" s="226" t="s">
        <v>958</v>
      </c>
      <c r="D652" s="226" t="s">
        <v>434</v>
      </c>
      <c r="E652" s="226" t="s">
        <v>172</v>
      </c>
    </row>
    <row r="653" spans="1:5" x14ac:dyDescent="0.2">
      <c r="A653" s="226" t="s">
        <v>431</v>
      </c>
      <c r="B653" s="227" t="s">
        <v>952</v>
      </c>
      <c r="C653" s="227" t="s">
        <v>959</v>
      </c>
      <c r="D653" s="226" t="s">
        <v>434</v>
      </c>
      <c r="E653" s="226" t="s">
        <v>172</v>
      </c>
    </row>
    <row r="654" spans="1:5" x14ac:dyDescent="0.2">
      <c r="A654" s="226" t="s">
        <v>431</v>
      </c>
      <c r="B654" s="227" t="s">
        <v>952</v>
      </c>
      <c r="C654" s="227" t="s">
        <v>960</v>
      </c>
      <c r="D654" s="226" t="s">
        <v>434</v>
      </c>
      <c r="E654" s="226" t="s">
        <v>172</v>
      </c>
    </row>
    <row r="655" spans="1:5" x14ac:dyDescent="0.2">
      <c r="A655" s="226" t="s">
        <v>431</v>
      </c>
      <c r="B655" s="227" t="s">
        <v>952</v>
      </c>
      <c r="C655" s="227" t="s">
        <v>961</v>
      </c>
      <c r="D655" s="226" t="s">
        <v>434</v>
      </c>
      <c r="E655" s="226" t="s">
        <v>172</v>
      </c>
    </row>
    <row r="656" spans="1:5" x14ac:dyDescent="0.2">
      <c r="A656" s="226" t="s">
        <v>431</v>
      </c>
      <c r="B656" s="227" t="s">
        <v>952</v>
      </c>
      <c r="C656" s="227" t="s">
        <v>962</v>
      </c>
      <c r="D656" s="226" t="s">
        <v>434</v>
      </c>
      <c r="E656" s="226" t="s">
        <v>172</v>
      </c>
    </row>
    <row r="657" spans="1:5" x14ac:dyDescent="0.2">
      <c r="A657" s="226" t="s">
        <v>431</v>
      </c>
      <c r="B657" s="226" t="s">
        <v>952</v>
      </c>
      <c r="C657" s="226" t="s">
        <v>963</v>
      </c>
      <c r="D657" s="226" t="s">
        <v>434</v>
      </c>
      <c r="E657" s="226" t="s">
        <v>172</v>
      </c>
    </row>
    <row r="658" spans="1:5" x14ac:dyDescent="0.2">
      <c r="A658" s="226" t="s">
        <v>431</v>
      </c>
      <c r="B658" s="226" t="s">
        <v>952</v>
      </c>
      <c r="C658" s="226" t="s">
        <v>964</v>
      </c>
      <c r="D658" s="226" t="s">
        <v>434</v>
      </c>
      <c r="E658" s="226" t="s">
        <v>172</v>
      </c>
    </row>
    <row r="659" spans="1:5" x14ac:dyDescent="0.2">
      <c r="A659" s="226" t="s">
        <v>431</v>
      </c>
      <c r="B659" s="226" t="s">
        <v>952</v>
      </c>
      <c r="C659" s="226" t="s">
        <v>965</v>
      </c>
      <c r="D659" s="226" t="s">
        <v>434</v>
      </c>
      <c r="E659" s="226" t="s">
        <v>172</v>
      </c>
    </row>
    <row r="660" spans="1:5" x14ac:dyDescent="0.2">
      <c r="A660" s="226" t="s">
        <v>431</v>
      </c>
      <c r="B660" s="227" t="s">
        <v>952</v>
      </c>
      <c r="C660" s="227" t="s">
        <v>966</v>
      </c>
      <c r="D660" s="226" t="s">
        <v>434</v>
      </c>
      <c r="E660" s="226" t="s">
        <v>172</v>
      </c>
    </row>
    <row r="661" spans="1:5" x14ac:dyDescent="0.2">
      <c r="A661" s="226" t="s">
        <v>431</v>
      </c>
      <c r="B661" s="227" t="s">
        <v>952</v>
      </c>
      <c r="C661" s="227" t="s">
        <v>967</v>
      </c>
      <c r="D661" s="226" t="s">
        <v>434</v>
      </c>
      <c r="E661" s="226" t="s">
        <v>172</v>
      </c>
    </row>
    <row r="662" spans="1:5" x14ac:dyDescent="0.2">
      <c r="A662" s="226" t="s">
        <v>431</v>
      </c>
      <c r="B662" s="227" t="s">
        <v>952</v>
      </c>
      <c r="C662" s="227" t="s">
        <v>968</v>
      </c>
      <c r="D662" s="226" t="s">
        <v>434</v>
      </c>
      <c r="E662" s="226" t="s">
        <v>172</v>
      </c>
    </row>
    <row r="663" spans="1:5" x14ac:dyDescent="0.2">
      <c r="A663" s="226" t="s">
        <v>431</v>
      </c>
      <c r="B663" s="227" t="s">
        <v>952</v>
      </c>
      <c r="C663" s="227" t="s">
        <v>969</v>
      </c>
      <c r="D663" s="226" t="s">
        <v>434</v>
      </c>
      <c r="E663" s="226" t="s">
        <v>172</v>
      </c>
    </row>
    <row r="664" spans="1:5" x14ac:dyDescent="0.2">
      <c r="A664" s="226" t="s">
        <v>431</v>
      </c>
      <c r="B664" s="227" t="s">
        <v>952</v>
      </c>
      <c r="C664" s="227" t="s">
        <v>970</v>
      </c>
      <c r="D664" s="226" t="s">
        <v>434</v>
      </c>
      <c r="E664" s="226" t="s">
        <v>172</v>
      </c>
    </row>
    <row r="665" spans="1:5" x14ac:dyDescent="0.2">
      <c r="A665" s="226" t="s">
        <v>431</v>
      </c>
      <c r="B665" s="227" t="s">
        <v>952</v>
      </c>
      <c r="C665" s="227" t="s">
        <v>971</v>
      </c>
      <c r="D665" s="226" t="s">
        <v>434</v>
      </c>
      <c r="E665" s="226" t="s">
        <v>172</v>
      </c>
    </row>
    <row r="666" spans="1:5" x14ac:dyDescent="0.2">
      <c r="A666" s="226" t="s">
        <v>431</v>
      </c>
      <c r="B666" s="227" t="s">
        <v>952</v>
      </c>
      <c r="C666" s="227" t="s">
        <v>972</v>
      </c>
      <c r="D666" s="226" t="s">
        <v>434</v>
      </c>
      <c r="E666" s="226" t="s">
        <v>172</v>
      </c>
    </row>
    <row r="667" spans="1:5" x14ac:dyDescent="0.2">
      <c r="A667" s="226" t="s">
        <v>431</v>
      </c>
      <c r="B667" s="227" t="s">
        <v>952</v>
      </c>
      <c r="C667" s="227" t="s">
        <v>973</v>
      </c>
      <c r="D667" s="226" t="s">
        <v>434</v>
      </c>
      <c r="E667" s="226" t="s">
        <v>172</v>
      </c>
    </row>
    <row r="668" spans="1:5" x14ac:dyDescent="0.2">
      <c r="A668" s="226" t="s">
        <v>431</v>
      </c>
      <c r="B668" s="227" t="s">
        <v>952</v>
      </c>
      <c r="C668" s="227" t="s">
        <v>974</v>
      </c>
      <c r="D668" s="226" t="s">
        <v>434</v>
      </c>
      <c r="E668" s="226" t="s">
        <v>172</v>
      </c>
    </row>
    <row r="669" spans="1:5" x14ac:dyDescent="0.2">
      <c r="A669" s="226" t="s">
        <v>431</v>
      </c>
      <c r="B669" s="227" t="s">
        <v>952</v>
      </c>
      <c r="C669" s="227" t="s">
        <v>975</v>
      </c>
      <c r="D669" s="226" t="s">
        <v>434</v>
      </c>
      <c r="E669" s="226" t="s">
        <v>172</v>
      </c>
    </row>
    <row r="670" spans="1:5" x14ac:dyDescent="0.2">
      <c r="A670" s="226" t="s">
        <v>431</v>
      </c>
      <c r="B670" s="227" t="s">
        <v>952</v>
      </c>
      <c r="C670" s="227" t="s">
        <v>976</v>
      </c>
      <c r="D670" s="226" t="s">
        <v>434</v>
      </c>
      <c r="E670" s="226" t="s">
        <v>172</v>
      </c>
    </row>
    <row r="671" spans="1:5" x14ac:dyDescent="0.2">
      <c r="A671" s="226" t="s">
        <v>431</v>
      </c>
      <c r="B671" s="227" t="s">
        <v>952</v>
      </c>
      <c r="C671" s="227" t="s">
        <v>977</v>
      </c>
      <c r="D671" s="226" t="s">
        <v>434</v>
      </c>
      <c r="E671" s="226" t="s">
        <v>172</v>
      </c>
    </row>
    <row r="672" spans="1:5" x14ac:dyDescent="0.2">
      <c r="A672" s="226" t="s">
        <v>431</v>
      </c>
      <c r="B672" s="226" t="s">
        <v>978</v>
      </c>
      <c r="C672" s="226" t="s">
        <v>979</v>
      </c>
      <c r="D672" s="226" t="s">
        <v>434</v>
      </c>
      <c r="E672" s="226" t="s">
        <v>172</v>
      </c>
    </row>
    <row r="673" spans="1:5" x14ac:dyDescent="0.2">
      <c r="A673" s="226" t="s">
        <v>431</v>
      </c>
      <c r="B673" s="226" t="s">
        <v>978</v>
      </c>
      <c r="C673" s="226" t="s">
        <v>980</v>
      </c>
      <c r="D673" s="226" t="s">
        <v>434</v>
      </c>
      <c r="E673" s="226" t="s">
        <v>172</v>
      </c>
    </row>
    <row r="674" spans="1:5" x14ac:dyDescent="0.2">
      <c r="A674" s="226" t="s">
        <v>431</v>
      </c>
      <c r="B674" s="227" t="s">
        <v>978</v>
      </c>
      <c r="C674" s="227" t="s">
        <v>981</v>
      </c>
      <c r="D674" s="226" t="s">
        <v>434</v>
      </c>
      <c r="E674" s="226" t="s">
        <v>172</v>
      </c>
    </row>
    <row r="675" spans="1:5" x14ac:dyDescent="0.2">
      <c r="A675" s="226" t="s">
        <v>431</v>
      </c>
      <c r="B675" s="226" t="s">
        <v>978</v>
      </c>
      <c r="C675" s="226" t="s">
        <v>982</v>
      </c>
      <c r="D675" s="226" t="s">
        <v>434</v>
      </c>
      <c r="E675" s="226" t="s">
        <v>172</v>
      </c>
    </row>
    <row r="676" spans="1:5" x14ac:dyDescent="0.2">
      <c r="A676" s="226" t="s">
        <v>431</v>
      </c>
      <c r="B676" s="227" t="s">
        <v>978</v>
      </c>
      <c r="C676" s="227" t="s">
        <v>983</v>
      </c>
      <c r="D676" s="226" t="s">
        <v>434</v>
      </c>
      <c r="E676" s="226" t="s">
        <v>172</v>
      </c>
    </row>
    <row r="677" spans="1:5" x14ac:dyDescent="0.2">
      <c r="A677" s="226" t="s">
        <v>431</v>
      </c>
      <c r="B677" s="227" t="s">
        <v>978</v>
      </c>
      <c r="C677" s="227" t="s">
        <v>984</v>
      </c>
      <c r="D677" s="226" t="s">
        <v>434</v>
      </c>
      <c r="E677" s="226" t="s">
        <v>172</v>
      </c>
    </row>
    <row r="678" spans="1:5" x14ac:dyDescent="0.2">
      <c r="A678" s="226" t="s">
        <v>431</v>
      </c>
      <c r="B678" s="227" t="s">
        <v>978</v>
      </c>
      <c r="C678" s="227" t="s">
        <v>985</v>
      </c>
      <c r="D678" s="226" t="s">
        <v>434</v>
      </c>
      <c r="E678" s="226" t="s">
        <v>172</v>
      </c>
    </row>
    <row r="679" spans="1:5" x14ac:dyDescent="0.2">
      <c r="A679" s="226" t="s">
        <v>431</v>
      </c>
      <c r="B679" s="227" t="s">
        <v>978</v>
      </c>
      <c r="C679" s="227" t="s">
        <v>986</v>
      </c>
      <c r="D679" s="226" t="s">
        <v>434</v>
      </c>
      <c r="E679" s="226" t="s">
        <v>172</v>
      </c>
    </row>
    <row r="680" spans="1:5" x14ac:dyDescent="0.2">
      <c r="A680" s="226" t="s">
        <v>431</v>
      </c>
      <c r="B680" s="227" t="s">
        <v>978</v>
      </c>
      <c r="C680" s="227" t="s">
        <v>987</v>
      </c>
      <c r="D680" s="226" t="s">
        <v>434</v>
      </c>
      <c r="E680" s="226" t="s">
        <v>172</v>
      </c>
    </row>
    <row r="681" spans="1:5" x14ac:dyDescent="0.2">
      <c r="A681" s="226" t="s">
        <v>431</v>
      </c>
      <c r="B681" s="226" t="s">
        <v>978</v>
      </c>
      <c r="C681" s="226" t="s">
        <v>988</v>
      </c>
      <c r="D681" s="226" t="s">
        <v>434</v>
      </c>
      <c r="E681" s="226" t="s">
        <v>172</v>
      </c>
    </row>
    <row r="682" spans="1:5" x14ac:dyDescent="0.2">
      <c r="A682" s="226" t="s">
        <v>431</v>
      </c>
      <c r="B682" s="227" t="s">
        <v>978</v>
      </c>
      <c r="C682" s="227" t="s">
        <v>989</v>
      </c>
      <c r="D682" s="226" t="s">
        <v>434</v>
      </c>
      <c r="E682" s="226" t="s">
        <v>172</v>
      </c>
    </row>
    <row r="683" spans="1:5" x14ac:dyDescent="0.2">
      <c r="A683" s="226" t="s">
        <v>431</v>
      </c>
      <c r="B683" s="226" t="s">
        <v>978</v>
      </c>
      <c r="C683" s="226" t="s">
        <v>990</v>
      </c>
      <c r="D683" s="226" t="s">
        <v>434</v>
      </c>
      <c r="E683" s="226" t="s">
        <v>172</v>
      </c>
    </row>
    <row r="684" spans="1:5" x14ac:dyDescent="0.2">
      <c r="A684" s="226" t="s">
        <v>431</v>
      </c>
      <c r="B684" s="226" t="s">
        <v>978</v>
      </c>
      <c r="C684" s="226" t="s">
        <v>991</v>
      </c>
      <c r="D684" s="226" t="s">
        <v>434</v>
      </c>
      <c r="E684" s="226" t="s">
        <v>172</v>
      </c>
    </row>
    <row r="685" spans="1:5" x14ac:dyDescent="0.2">
      <c r="A685" s="226" t="s">
        <v>431</v>
      </c>
      <c r="B685" s="226" t="s">
        <v>978</v>
      </c>
      <c r="C685" s="226" t="s">
        <v>992</v>
      </c>
      <c r="D685" s="226" t="s">
        <v>434</v>
      </c>
      <c r="E685" s="226" t="s">
        <v>172</v>
      </c>
    </row>
    <row r="686" spans="1:5" x14ac:dyDescent="0.2">
      <c r="A686" s="226" t="s">
        <v>431</v>
      </c>
      <c r="B686" s="226" t="s">
        <v>978</v>
      </c>
      <c r="C686" s="226" t="s">
        <v>993</v>
      </c>
      <c r="D686" s="226" t="s">
        <v>434</v>
      </c>
      <c r="E686" s="226" t="s">
        <v>172</v>
      </c>
    </row>
    <row r="687" spans="1:5" x14ac:dyDescent="0.2">
      <c r="A687" s="226" t="s">
        <v>431</v>
      </c>
      <c r="B687" s="226" t="s">
        <v>978</v>
      </c>
      <c r="C687" s="226" t="s">
        <v>994</v>
      </c>
      <c r="D687" s="226" t="s">
        <v>434</v>
      </c>
      <c r="E687" s="226" t="s">
        <v>172</v>
      </c>
    </row>
    <row r="688" spans="1:5" x14ac:dyDescent="0.2">
      <c r="A688" s="226" t="s">
        <v>431</v>
      </c>
      <c r="B688" s="227" t="s">
        <v>978</v>
      </c>
      <c r="C688" s="227" t="s">
        <v>995</v>
      </c>
      <c r="D688" s="226" t="s">
        <v>434</v>
      </c>
      <c r="E688" s="226" t="s">
        <v>172</v>
      </c>
    </row>
    <row r="689" spans="1:5" x14ac:dyDescent="0.2">
      <c r="A689" s="226" t="s">
        <v>431</v>
      </c>
      <c r="B689" s="226" t="s">
        <v>996</v>
      </c>
      <c r="C689" s="226" t="s">
        <v>997</v>
      </c>
      <c r="D689" s="226" t="s">
        <v>434</v>
      </c>
      <c r="E689" s="226" t="s">
        <v>479</v>
      </c>
    </row>
    <row r="690" spans="1:5" x14ac:dyDescent="0.2">
      <c r="A690" s="226" t="s">
        <v>431</v>
      </c>
      <c r="B690" s="226" t="s">
        <v>996</v>
      </c>
      <c r="C690" s="226" t="s">
        <v>998</v>
      </c>
      <c r="D690" s="226" t="s">
        <v>434</v>
      </c>
      <c r="E690" s="226" t="s">
        <v>479</v>
      </c>
    </row>
    <row r="691" spans="1:5" x14ac:dyDescent="0.2">
      <c r="A691" s="226" t="s">
        <v>431</v>
      </c>
      <c r="B691" s="227" t="s">
        <v>996</v>
      </c>
      <c r="C691" s="227" t="s">
        <v>999</v>
      </c>
      <c r="D691" s="226" t="s">
        <v>434</v>
      </c>
      <c r="E691" s="226" t="s">
        <v>479</v>
      </c>
    </row>
    <row r="692" spans="1:5" x14ac:dyDescent="0.2">
      <c r="A692" s="226" t="s">
        <v>431</v>
      </c>
      <c r="B692" s="227" t="s">
        <v>996</v>
      </c>
      <c r="C692" s="227" t="s">
        <v>1000</v>
      </c>
      <c r="D692" s="226" t="s">
        <v>434</v>
      </c>
      <c r="E692" s="226" t="s">
        <v>479</v>
      </c>
    </row>
    <row r="693" spans="1:5" x14ac:dyDescent="0.2">
      <c r="A693" s="226" t="s">
        <v>431</v>
      </c>
      <c r="B693" s="227" t="s">
        <v>996</v>
      </c>
      <c r="C693" s="227" t="s">
        <v>1001</v>
      </c>
      <c r="D693" s="226" t="s">
        <v>434</v>
      </c>
      <c r="E693" s="226" t="s">
        <v>479</v>
      </c>
    </row>
    <row r="694" spans="1:5" x14ac:dyDescent="0.2">
      <c r="A694" s="226" t="s">
        <v>431</v>
      </c>
      <c r="B694" s="227" t="s">
        <v>996</v>
      </c>
      <c r="C694" s="227" t="s">
        <v>1002</v>
      </c>
      <c r="D694" s="226" t="s">
        <v>434</v>
      </c>
      <c r="E694" s="226" t="s">
        <v>479</v>
      </c>
    </row>
    <row r="695" spans="1:5" x14ac:dyDescent="0.2">
      <c r="A695" s="226" t="s">
        <v>431</v>
      </c>
      <c r="B695" s="227" t="s">
        <v>996</v>
      </c>
      <c r="C695" s="227" t="s">
        <v>1003</v>
      </c>
      <c r="D695" s="226" t="s">
        <v>434</v>
      </c>
      <c r="E695" s="226" t="s">
        <v>479</v>
      </c>
    </row>
    <row r="696" spans="1:5" x14ac:dyDescent="0.2">
      <c r="A696" s="226" t="s">
        <v>431</v>
      </c>
      <c r="B696" s="227" t="s">
        <v>996</v>
      </c>
      <c r="C696" s="227" t="s">
        <v>1004</v>
      </c>
      <c r="D696" s="226" t="s">
        <v>434</v>
      </c>
      <c r="E696" s="226" t="s">
        <v>479</v>
      </c>
    </row>
    <row r="697" spans="1:5" x14ac:dyDescent="0.2">
      <c r="A697" s="226" t="s">
        <v>431</v>
      </c>
      <c r="B697" s="227" t="s">
        <v>996</v>
      </c>
      <c r="C697" s="227" t="s">
        <v>1005</v>
      </c>
      <c r="D697" s="226" t="s">
        <v>434</v>
      </c>
      <c r="E697" s="226" t="s">
        <v>479</v>
      </c>
    </row>
    <row r="698" spans="1:5" x14ac:dyDescent="0.2">
      <c r="A698" s="226" t="s">
        <v>431</v>
      </c>
      <c r="B698" s="227" t="s">
        <v>996</v>
      </c>
      <c r="C698" s="227" t="s">
        <v>1006</v>
      </c>
      <c r="D698" s="226" t="s">
        <v>434</v>
      </c>
      <c r="E698" s="226" t="s">
        <v>479</v>
      </c>
    </row>
    <row r="699" spans="1:5" x14ac:dyDescent="0.2">
      <c r="A699" s="226" t="s">
        <v>431</v>
      </c>
      <c r="B699" s="227" t="s">
        <v>996</v>
      </c>
      <c r="C699" s="227" t="s">
        <v>1007</v>
      </c>
      <c r="D699" s="226" t="s">
        <v>434</v>
      </c>
      <c r="E699" s="226" t="s">
        <v>479</v>
      </c>
    </row>
    <row r="700" spans="1:5" x14ac:dyDescent="0.2">
      <c r="A700" s="226" t="s">
        <v>431</v>
      </c>
      <c r="B700" s="227" t="s">
        <v>996</v>
      </c>
      <c r="C700" s="227" t="s">
        <v>1008</v>
      </c>
      <c r="D700" s="226" t="s">
        <v>434</v>
      </c>
      <c r="E700" s="226" t="s">
        <v>479</v>
      </c>
    </row>
    <row r="701" spans="1:5" x14ac:dyDescent="0.2">
      <c r="A701" s="226" t="s">
        <v>431</v>
      </c>
      <c r="B701" s="227" t="s">
        <v>996</v>
      </c>
      <c r="C701" s="227" t="s">
        <v>1009</v>
      </c>
      <c r="D701" s="226" t="s">
        <v>434</v>
      </c>
      <c r="E701" s="226" t="s">
        <v>479</v>
      </c>
    </row>
    <row r="702" spans="1:5" x14ac:dyDescent="0.2">
      <c r="A702" s="226" t="s">
        <v>431</v>
      </c>
      <c r="B702" s="227" t="s">
        <v>996</v>
      </c>
      <c r="C702" s="227" t="s">
        <v>1010</v>
      </c>
      <c r="D702" s="226" t="s">
        <v>434</v>
      </c>
      <c r="E702" s="226" t="s">
        <v>479</v>
      </c>
    </row>
    <row r="703" spans="1:5" x14ac:dyDescent="0.2">
      <c r="A703" s="226" t="s">
        <v>431</v>
      </c>
      <c r="B703" s="226" t="s">
        <v>996</v>
      </c>
      <c r="C703" s="226" t="s">
        <v>1011</v>
      </c>
      <c r="D703" s="226" t="s">
        <v>434</v>
      </c>
      <c r="E703" s="226" t="s">
        <v>479</v>
      </c>
    </row>
    <row r="704" spans="1:5" x14ac:dyDescent="0.2">
      <c r="A704" s="226" t="s">
        <v>431</v>
      </c>
      <c r="B704" s="227" t="s">
        <v>996</v>
      </c>
      <c r="C704" s="227" t="s">
        <v>1012</v>
      </c>
      <c r="D704" s="226" t="s">
        <v>434</v>
      </c>
      <c r="E704" s="226" t="s">
        <v>479</v>
      </c>
    </row>
    <row r="705" spans="1:5" x14ac:dyDescent="0.2">
      <c r="A705" s="226" t="s">
        <v>431</v>
      </c>
      <c r="B705" s="227" t="s">
        <v>996</v>
      </c>
      <c r="C705" s="227" t="s">
        <v>1013</v>
      </c>
      <c r="D705" s="226" t="s">
        <v>434</v>
      </c>
      <c r="E705" s="226" t="s">
        <v>479</v>
      </c>
    </row>
    <row r="706" spans="1:5" x14ac:dyDescent="0.2">
      <c r="A706" s="226" t="s">
        <v>431</v>
      </c>
      <c r="B706" s="227" t="s">
        <v>996</v>
      </c>
      <c r="C706" s="227" t="s">
        <v>1014</v>
      </c>
      <c r="D706" s="226" t="s">
        <v>434</v>
      </c>
      <c r="E706" s="226" t="s">
        <v>479</v>
      </c>
    </row>
    <row r="707" spans="1:5" x14ac:dyDescent="0.2">
      <c r="A707" s="226" t="s">
        <v>431</v>
      </c>
      <c r="B707" s="226" t="s">
        <v>1015</v>
      </c>
      <c r="C707" s="226" t="s">
        <v>1016</v>
      </c>
      <c r="D707" s="226" t="s">
        <v>434</v>
      </c>
      <c r="E707" s="226" t="s">
        <v>479</v>
      </c>
    </row>
    <row r="708" spans="1:5" x14ac:dyDescent="0.2">
      <c r="A708" s="226" t="s">
        <v>431</v>
      </c>
      <c r="B708" s="226" t="s">
        <v>1015</v>
      </c>
      <c r="C708" s="226" t="s">
        <v>1017</v>
      </c>
      <c r="D708" s="226" t="s">
        <v>434</v>
      </c>
      <c r="E708" s="226" t="s">
        <v>479</v>
      </c>
    </row>
    <row r="709" spans="1:5" x14ac:dyDescent="0.2">
      <c r="A709" s="226" t="s">
        <v>431</v>
      </c>
      <c r="B709" s="226" t="s">
        <v>1015</v>
      </c>
      <c r="C709" s="226" t="s">
        <v>1018</v>
      </c>
      <c r="D709" s="226" t="s">
        <v>434</v>
      </c>
      <c r="E709" s="226" t="s">
        <v>479</v>
      </c>
    </row>
    <row r="710" spans="1:5" x14ac:dyDescent="0.2">
      <c r="A710" s="226" t="s">
        <v>431</v>
      </c>
      <c r="B710" s="227" t="s">
        <v>1015</v>
      </c>
      <c r="C710" s="227" t="s">
        <v>1019</v>
      </c>
      <c r="D710" s="226" t="s">
        <v>434</v>
      </c>
      <c r="E710" s="226" t="s">
        <v>479</v>
      </c>
    </row>
    <row r="711" spans="1:5" x14ac:dyDescent="0.2">
      <c r="A711" s="226" t="s">
        <v>431</v>
      </c>
      <c r="B711" s="226" t="s">
        <v>1015</v>
      </c>
      <c r="C711" s="226" t="s">
        <v>1020</v>
      </c>
      <c r="D711" s="226" t="s">
        <v>434</v>
      </c>
      <c r="E711" s="226" t="s">
        <v>479</v>
      </c>
    </row>
    <row r="712" spans="1:5" x14ac:dyDescent="0.2">
      <c r="A712" s="226" t="s">
        <v>431</v>
      </c>
      <c r="B712" s="227" t="s">
        <v>1015</v>
      </c>
      <c r="C712" s="227" t="s">
        <v>1021</v>
      </c>
      <c r="D712" s="226" t="s">
        <v>434</v>
      </c>
      <c r="E712" s="226" t="s">
        <v>479</v>
      </c>
    </row>
    <row r="713" spans="1:5" x14ac:dyDescent="0.2">
      <c r="A713" s="226" t="s">
        <v>431</v>
      </c>
      <c r="B713" s="227" t="s">
        <v>1015</v>
      </c>
      <c r="C713" s="227" t="s">
        <v>1022</v>
      </c>
      <c r="D713" s="226" t="s">
        <v>434</v>
      </c>
      <c r="E713" s="226" t="s">
        <v>479</v>
      </c>
    </row>
    <row r="714" spans="1:5" x14ac:dyDescent="0.2">
      <c r="A714" s="226" t="s">
        <v>431</v>
      </c>
      <c r="B714" s="227" t="s">
        <v>1015</v>
      </c>
      <c r="C714" s="227" t="s">
        <v>1023</v>
      </c>
      <c r="D714" s="226" t="s">
        <v>434</v>
      </c>
      <c r="E714" s="226" t="s">
        <v>479</v>
      </c>
    </row>
    <row r="715" spans="1:5" x14ac:dyDescent="0.2">
      <c r="A715" s="226" t="s">
        <v>431</v>
      </c>
      <c r="B715" s="227" t="s">
        <v>1015</v>
      </c>
      <c r="C715" s="227" t="s">
        <v>1024</v>
      </c>
      <c r="D715" s="226" t="s">
        <v>434</v>
      </c>
      <c r="E715" s="226" t="s">
        <v>479</v>
      </c>
    </row>
    <row r="716" spans="1:5" x14ac:dyDescent="0.2">
      <c r="A716" s="226" t="s">
        <v>431</v>
      </c>
      <c r="B716" s="227" t="s">
        <v>1015</v>
      </c>
      <c r="C716" s="227" t="s">
        <v>1025</v>
      </c>
      <c r="D716" s="226" t="s">
        <v>434</v>
      </c>
      <c r="E716" s="226" t="s">
        <v>479</v>
      </c>
    </row>
    <row r="717" spans="1:5" x14ac:dyDescent="0.2">
      <c r="A717" s="226" t="s">
        <v>431</v>
      </c>
      <c r="B717" s="227" t="s">
        <v>1015</v>
      </c>
      <c r="C717" s="227" t="s">
        <v>1026</v>
      </c>
      <c r="D717" s="226" t="s">
        <v>434</v>
      </c>
      <c r="E717" s="226" t="s">
        <v>479</v>
      </c>
    </row>
    <row r="718" spans="1:5" x14ac:dyDescent="0.2">
      <c r="A718" s="226" t="s">
        <v>431</v>
      </c>
      <c r="B718" s="227" t="s">
        <v>1015</v>
      </c>
      <c r="C718" s="227" t="s">
        <v>1027</v>
      </c>
      <c r="D718" s="226" t="s">
        <v>434</v>
      </c>
      <c r="E718" s="226" t="s">
        <v>479</v>
      </c>
    </row>
    <row r="719" spans="1:5" x14ac:dyDescent="0.2">
      <c r="A719" s="226" t="s">
        <v>431</v>
      </c>
      <c r="B719" s="227" t="s">
        <v>1015</v>
      </c>
      <c r="C719" s="227" t="s">
        <v>1028</v>
      </c>
      <c r="D719" s="226" t="s">
        <v>434</v>
      </c>
      <c r="E719" s="226" t="s">
        <v>479</v>
      </c>
    </row>
    <row r="720" spans="1:5" x14ac:dyDescent="0.2">
      <c r="A720" s="226" t="s">
        <v>431</v>
      </c>
      <c r="B720" s="227" t="s">
        <v>1015</v>
      </c>
      <c r="C720" s="227" t="s">
        <v>1029</v>
      </c>
      <c r="D720" s="226" t="s">
        <v>434</v>
      </c>
      <c r="E720" s="226" t="s">
        <v>479</v>
      </c>
    </row>
    <row r="721" spans="1:5" x14ac:dyDescent="0.2">
      <c r="A721" s="226" t="s">
        <v>431</v>
      </c>
      <c r="B721" s="227" t="s">
        <v>1015</v>
      </c>
      <c r="C721" s="227" t="s">
        <v>1030</v>
      </c>
      <c r="D721" s="226" t="s">
        <v>434</v>
      </c>
      <c r="E721" s="226" t="s">
        <v>479</v>
      </c>
    </row>
    <row r="722" spans="1:5" x14ac:dyDescent="0.2">
      <c r="A722" s="226" t="s">
        <v>431</v>
      </c>
      <c r="B722" s="227" t="s">
        <v>1015</v>
      </c>
      <c r="C722" s="227" t="s">
        <v>1031</v>
      </c>
      <c r="D722" s="226" t="s">
        <v>434</v>
      </c>
      <c r="E722" s="226" t="s">
        <v>479</v>
      </c>
    </row>
    <row r="723" spans="1:5" x14ac:dyDescent="0.2">
      <c r="A723" s="226" t="s">
        <v>431</v>
      </c>
      <c r="B723" s="227" t="s">
        <v>1015</v>
      </c>
      <c r="C723" s="227" t="s">
        <v>1032</v>
      </c>
      <c r="D723" s="226" t="s">
        <v>434</v>
      </c>
      <c r="E723" s="226" t="s">
        <v>479</v>
      </c>
    </row>
    <row r="724" spans="1:5" x14ac:dyDescent="0.2">
      <c r="A724" s="226" t="s">
        <v>431</v>
      </c>
      <c r="B724" s="227" t="s">
        <v>1015</v>
      </c>
      <c r="C724" s="227" t="s">
        <v>1033</v>
      </c>
      <c r="D724" s="226" t="s">
        <v>434</v>
      </c>
      <c r="E724" s="226" t="s">
        <v>479</v>
      </c>
    </row>
    <row r="725" spans="1:5" x14ac:dyDescent="0.2">
      <c r="A725" s="226" t="s">
        <v>431</v>
      </c>
      <c r="B725" s="227" t="s">
        <v>1015</v>
      </c>
      <c r="C725" s="227" t="s">
        <v>1034</v>
      </c>
      <c r="D725" s="226" t="s">
        <v>434</v>
      </c>
      <c r="E725" s="226" t="s">
        <v>479</v>
      </c>
    </row>
    <row r="726" spans="1:5" x14ac:dyDescent="0.2">
      <c r="A726" s="226" t="s">
        <v>431</v>
      </c>
      <c r="B726" s="227" t="s">
        <v>1015</v>
      </c>
      <c r="C726" s="227" t="s">
        <v>1035</v>
      </c>
      <c r="D726" s="226" t="s">
        <v>434</v>
      </c>
      <c r="E726" s="226" t="s">
        <v>479</v>
      </c>
    </row>
    <row r="727" spans="1:5" x14ac:dyDescent="0.2">
      <c r="A727" s="226" t="s">
        <v>431</v>
      </c>
      <c r="B727" s="226" t="s">
        <v>1015</v>
      </c>
      <c r="C727" s="226" t="s">
        <v>1036</v>
      </c>
      <c r="D727" s="226" t="s">
        <v>434</v>
      </c>
      <c r="E727" s="226" t="s">
        <v>479</v>
      </c>
    </row>
    <row r="728" spans="1:5" x14ac:dyDescent="0.2">
      <c r="A728" s="226" t="s">
        <v>431</v>
      </c>
      <c r="B728" s="227" t="s">
        <v>1015</v>
      </c>
      <c r="C728" s="227" t="s">
        <v>1037</v>
      </c>
      <c r="D728" s="226" t="s">
        <v>434</v>
      </c>
      <c r="E728" s="226" t="s">
        <v>479</v>
      </c>
    </row>
    <row r="729" spans="1:5" x14ac:dyDescent="0.2">
      <c r="A729" s="226" t="s">
        <v>431</v>
      </c>
      <c r="B729" s="226" t="s">
        <v>1015</v>
      </c>
      <c r="C729" s="226" t="s">
        <v>1038</v>
      </c>
      <c r="D729" s="226" t="s">
        <v>434</v>
      </c>
      <c r="E729" s="226" t="s">
        <v>479</v>
      </c>
    </row>
    <row r="730" spans="1:5" x14ac:dyDescent="0.2">
      <c r="A730" s="226" t="s">
        <v>431</v>
      </c>
      <c r="B730" s="226" t="s">
        <v>1015</v>
      </c>
      <c r="C730" s="226" t="s">
        <v>1039</v>
      </c>
      <c r="D730" s="226" t="s">
        <v>434</v>
      </c>
      <c r="E730" s="226" t="s">
        <v>479</v>
      </c>
    </row>
    <row r="731" spans="1:5" x14ac:dyDescent="0.2">
      <c r="A731" s="226" t="s">
        <v>431</v>
      </c>
      <c r="B731" s="226" t="s">
        <v>1015</v>
      </c>
      <c r="C731" s="226" t="s">
        <v>1040</v>
      </c>
      <c r="D731" s="226" t="s">
        <v>434</v>
      </c>
      <c r="E731" s="226" t="s">
        <v>479</v>
      </c>
    </row>
    <row r="732" spans="1:5" x14ac:dyDescent="0.2">
      <c r="A732" s="226" t="s">
        <v>431</v>
      </c>
      <c r="B732" s="227" t="s">
        <v>1015</v>
      </c>
      <c r="C732" s="227" t="s">
        <v>1041</v>
      </c>
      <c r="D732" s="226" t="s">
        <v>434</v>
      </c>
      <c r="E732" s="226" t="s">
        <v>479</v>
      </c>
    </row>
    <row r="733" spans="1:5" x14ac:dyDescent="0.2">
      <c r="A733" s="226" t="s">
        <v>431</v>
      </c>
      <c r="B733" s="227" t="s">
        <v>1015</v>
      </c>
      <c r="C733" s="227" t="s">
        <v>1042</v>
      </c>
      <c r="D733" s="226" t="s">
        <v>434</v>
      </c>
      <c r="E733" s="226" t="s">
        <v>479</v>
      </c>
    </row>
    <row r="734" spans="1:5" x14ac:dyDescent="0.2">
      <c r="A734" s="226" t="s">
        <v>431</v>
      </c>
      <c r="B734" s="227" t="s">
        <v>1015</v>
      </c>
      <c r="C734" s="227" t="s">
        <v>1043</v>
      </c>
      <c r="D734" s="226" t="s">
        <v>434</v>
      </c>
      <c r="E734" s="226" t="s">
        <v>479</v>
      </c>
    </row>
    <row r="735" spans="1:5" x14ac:dyDescent="0.2">
      <c r="A735" s="226" t="s">
        <v>431</v>
      </c>
      <c r="B735" s="227" t="s">
        <v>1015</v>
      </c>
      <c r="C735" s="227" t="s">
        <v>1848</v>
      </c>
      <c r="D735" s="226" t="s">
        <v>434</v>
      </c>
      <c r="E735" s="226" t="s">
        <v>171</v>
      </c>
    </row>
    <row r="736" spans="1:5" x14ac:dyDescent="0.2">
      <c r="A736" s="226" t="s">
        <v>431</v>
      </c>
      <c r="B736" s="227" t="s">
        <v>1015</v>
      </c>
      <c r="C736" s="227" t="s">
        <v>1044</v>
      </c>
      <c r="D736" s="226" t="s">
        <v>434</v>
      </c>
      <c r="E736" s="226" t="s">
        <v>479</v>
      </c>
    </row>
    <row r="737" spans="1:5" x14ac:dyDescent="0.2">
      <c r="A737" s="226" t="s">
        <v>431</v>
      </c>
      <c r="B737" s="227" t="s">
        <v>1015</v>
      </c>
      <c r="C737" s="227" t="s">
        <v>1045</v>
      </c>
      <c r="D737" s="226" t="s">
        <v>434</v>
      </c>
      <c r="E737" s="226" t="s">
        <v>479</v>
      </c>
    </row>
    <row r="738" spans="1:5" x14ac:dyDescent="0.2">
      <c r="A738" s="226" t="s">
        <v>431</v>
      </c>
      <c r="B738" s="227" t="s">
        <v>1015</v>
      </c>
      <c r="C738" s="227" t="s">
        <v>1046</v>
      </c>
      <c r="D738" s="226" t="s">
        <v>434</v>
      </c>
      <c r="E738" s="226" t="s">
        <v>479</v>
      </c>
    </row>
    <row r="739" spans="1:5" x14ac:dyDescent="0.2">
      <c r="A739" s="226" t="s">
        <v>431</v>
      </c>
      <c r="B739" s="227" t="s">
        <v>1015</v>
      </c>
      <c r="C739" s="227" t="s">
        <v>1849</v>
      </c>
      <c r="D739" s="226" t="s">
        <v>434</v>
      </c>
      <c r="E739" s="226" t="s">
        <v>479</v>
      </c>
    </row>
    <row r="740" spans="1:5" x14ac:dyDescent="0.2">
      <c r="A740" s="226" t="s">
        <v>431</v>
      </c>
      <c r="B740" s="227" t="s">
        <v>1015</v>
      </c>
      <c r="C740" s="227" t="s">
        <v>1850</v>
      </c>
      <c r="D740" s="226" t="s">
        <v>434</v>
      </c>
      <c r="E740" s="226" t="s">
        <v>479</v>
      </c>
    </row>
    <row r="741" spans="1:5" x14ac:dyDescent="0.2">
      <c r="A741" s="226" t="s">
        <v>1047</v>
      </c>
      <c r="B741" s="227" t="s">
        <v>1048</v>
      </c>
      <c r="C741" s="227" t="s">
        <v>1049</v>
      </c>
      <c r="D741" s="226" t="s">
        <v>183</v>
      </c>
      <c r="E741" s="226" t="s">
        <v>1050</v>
      </c>
    </row>
    <row r="742" spans="1:5" x14ac:dyDescent="0.2">
      <c r="A742" s="226" t="s">
        <v>1047</v>
      </c>
      <c r="B742" s="226" t="s">
        <v>1048</v>
      </c>
      <c r="C742" s="226" t="s">
        <v>1051</v>
      </c>
      <c r="D742" s="226" t="s">
        <v>183</v>
      </c>
      <c r="E742" s="226" t="s">
        <v>1050</v>
      </c>
    </row>
    <row r="743" spans="1:5" x14ac:dyDescent="0.2">
      <c r="A743" s="226" t="s">
        <v>1047</v>
      </c>
      <c r="B743" s="227" t="s">
        <v>1048</v>
      </c>
      <c r="C743" s="227" t="s">
        <v>1052</v>
      </c>
      <c r="D743" s="226" t="s">
        <v>183</v>
      </c>
      <c r="E743" s="226" t="s">
        <v>1050</v>
      </c>
    </row>
    <row r="744" spans="1:5" x14ac:dyDescent="0.2">
      <c r="A744" s="226" t="s">
        <v>1047</v>
      </c>
      <c r="B744" s="227" t="s">
        <v>1048</v>
      </c>
      <c r="C744" s="227" t="s">
        <v>1053</v>
      </c>
      <c r="D744" s="226" t="s">
        <v>183</v>
      </c>
      <c r="E744" s="226" t="s">
        <v>1050</v>
      </c>
    </row>
    <row r="745" spans="1:5" x14ac:dyDescent="0.2">
      <c r="A745" s="226" t="s">
        <v>1047</v>
      </c>
      <c r="B745" s="226" t="s">
        <v>1054</v>
      </c>
      <c r="C745" s="226" t="s">
        <v>1055</v>
      </c>
      <c r="D745" s="226" t="s">
        <v>183</v>
      </c>
      <c r="E745" s="226" t="s">
        <v>1050</v>
      </c>
    </row>
    <row r="746" spans="1:5" x14ac:dyDescent="0.2">
      <c r="A746" s="226" t="s">
        <v>1047</v>
      </c>
      <c r="B746" s="227" t="s">
        <v>1054</v>
      </c>
      <c r="C746" s="227" t="s">
        <v>1056</v>
      </c>
      <c r="D746" s="226" t="s">
        <v>183</v>
      </c>
      <c r="E746" s="226" t="s">
        <v>1050</v>
      </c>
    </row>
    <row r="747" spans="1:5" x14ac:dyDescent="0.2">
      <c r="A747" s="226" t="s">
        <v>1047</v>
      </c>
      <c r="B747" s="227" t="s">
        <v>1054</v>
      </c>
      <c r="C747" s="227" t="s">
        <v>1057</v>
      </c>
      <c r="D747" s="226" t="s">
        <v>183</v>
      </c>
      <c r="E747" s="226" t="s">
        <v>1050</v>
      </c>
    </row>
    <row r="748" spans="1:5" x14ac:dyDescent="0.2">
      <c r="A748" s="226" t="s">
        <v>1047</v>
      </c>
      <c r="B748" s="227" t="s">
        <v>1054</v>
      </c>
      <c r="C748" s="227" t="s">
        <v>1058</v>
      </c>
      <c r="D748" s="226" t="s">
        <v>183</v>
      </c>
      <c r="E748" s="226" t="s">
        <v>1050</v>
      </c>
    </row>
    <row r="749" spans="1:5" x14ac:dyDescent="0.2">
      <c r="A749" s="226" t="s">
        <v>1047</v>
      </c>
      <c r="B749" s="226" t="s">
        <v>1059</v>
      </c>
      <c r="C749" s="226" t="s">
        <v>1060</v>
      </c>
      <c r="D749" s="226" t="s">
        <v>183</v>
      </c>
      <c r="E749" s="226" t="s">
        <v>1050</v>
      </c>
    </row>
    <row r="750" spans="1:5" x14ac:dyDescent="0.2">
      <c r="A750" s="226" t="s">
        <v>1047</v>
      </c>
      <c r="B750" s="226" t="s">
        <v>1059</v>
      </c>
      <c r="C750" s="226" t="s">
        <v>1061</v>
      </c>
      <c r="D750" s="226" t="s">
        <v>183</v>
      </c>
      <c r="E750" s="226" t="s">
        <v>1050</v>
      </c>
    </row>
    <row r="751" spans="1:5" x14ac:dyDescent="0.2">
      <c r="A751" s="226" t="s">
        <v>1047</v>
      </c>
      <c r="B751" s="227" t="s">
        <v>1059</v>
      </c>
      <c r="C751" s="227" t="s">
        <v>1062</v>
      </c>
      <c r="D751" s="226" t="s">
        <v>183</v>
      </c>
      <c r="E751" s="226" t="s">
        <v>1050</v>
      </c>
    </row>
    <row r="752" spans="1:5" x14ac:dyDescent="0.2">
      <c r="A752" s="226" t="s">
        <v>1047</v>
      </c>
      <c r="B752" s="226" t="s">
        <v>262</v>
      </c>
      <c r="C752" s="226" t="s">
        <v>1063</v>
      </c>
      <c r="D752" s="226" t="s">
        <v>257</v>
      </c>
      <c r="E752" s="226" t="s">
        <v>304</v>
      </c>
    </row>
    <row r="753" spans="1:5" x14ac:dyDescent="0.2">
      <c r="A753" s="226" t="s">
        <v>1047</v>
      </c>
      <c r="B753" s="226" t="s">
        <v>262</v>
      </c>
      <c r="C753" s="226" t="s">
        <v>1064</v>
      </c>
      <c r="D753" s="226" t="s">
        <v>257</v>
      </c>
      <c r="E753" s="226" t="s">
        <v>304</v>
      </c>
    </row>
    <row r="754" spans="1:5" x14ac:dyDescent="0.2">
      <c r="A754" s="226" t="s">
        <v>1047</v>
      </c>
      <c r="B754" s="227" t="s">
        <v>262</v>
      </c>
      <c r="C754" s="227" t="s">
        <v>1065</v>
      </c>
      <c r="D754" s="226" t="s">
        <v>257</v>
      </c>
      <c r="E754" s="226" t="s">
        <v>304</v>
      </c>
    </row>
    <row r="755" spans="1:5" x14ac:dyDescent="0.2">
      <c r="A755" s="226" t="s">
        <v>1047</v>
      </c>
      <c r="B755" s="227" t="s">
        <v>262</v>
      </c>
      <c r="C755" s="227" t="s">
        <v>1066</v>
      </c>
      <c r="D755" s="226" t="s">
        <v>257</v>
      </c>
      <c r="E755" s="226" t="s">
        <v>304</v>
      </c>
    </row>
    <row r="756" spans="1:5" x14ac:dyDescent="0.2">
      <c r="A756" s="226" t="s">
        <v>1047</v>
      </c>
      <c r="B756" s="227" t="s">
        <v>262</v>
      </c>
      <c r="C756" s="227" t="s">
        <v>1067</v>
      </c>
      <c r="D756" s="226" t="s">
        <v>257</v>
      </c>
      <c r="E756" s="226" t="s">
        <v>304</v>
      </c>
    </row>
    <row r="757" spans="1:5" x14ac:dyDescent="0.2">
      <c r="A757" s="226" t="s">
        <v>1047</v>
      </c>
      <c r="B757" s="227" t="s">
        <v>262</v>
      </c>
      <c r="C757" s="227" t="s">
        <v>1068</v>
      </c>
      <c r="D757" s="226" t="s">
        <v>257</v>
      </c>
      <c r="E757" s="226" t="s">
        <v>304</v>
      </c>
    </row>
    <row r="758" spans="1:5" x14ac:dyDescent="0.2">
      <c r="A758" s="226" t="s">
        <v>1069</v>
      </c>
      <c r="B758" s="226" t="s">
        <v>263</v>
      </c>
      <c r="C758" s="226" t="s">
        <v>1070</v>
      </c>
      <c r="D758" s="226" t="s">
        <v>257</v>
      </c>
      <c r="E758" s="226" t="s">
        <v>304</v>
      </c>
    </row>
    <row r="759" spans="1:5" x14ac:dyDescent="0.2">
      <c r="A759" s="226" t="s">
        <v>1069</v>
      </c>
      <c r="B759" s="226" t="s">
        <v>263</v>
      </c>
      <c r="C759" s="226" t="s">
        <v>1071</v>
      </c>
      <c r="D759" s="226" t="s">
        <v>257</v>
      </c>
      <c r="E759" s="226" t="s">
        <v>304</v>
      </c>
    </row>
    <row r="760" spans="1:5" x14ac:dyDescent="0.2">
      <c r="A760" s="226" t="s">
        <v>1069</v>
      </c>
      <c r="B760" s="227" t="s">
        <v>263</v>
      </c>
      <c r="C760" s="227" t="s">
        <v>1072</v>
      </c>
      <c r="D760" s="226" t="s">
        <v>257</v>
      </c>
      <c r="E760" s="226" t="s">
        <v>304</v>
      </c>
    </row>
    <row r="761" spans="1:5" x14ac:dyDescent="0.2">
      <c r="A761" s="226" t="s">
        <v>1069</v>
      </c>
      <c r="B761" s="227" t="s">
        <v>263</v>
      </c>
      <c r="C761" s="227" t="s">
        <v>1073</v>
      </c>
      <c r="D761" s="226" t="s">
        <v>257</v>
      </c>
      <c r="E761" s="226" t="s">
        <v>304</v>
      </c>
    </row>
    <row r="762" spans="1:5" x14ac:dyDescent="0.2">
      <c r="A762" s="226" t="s">
        <v>1069</v>
      </c>
      <c r="B762" s="227" t="s">
        <v>263</v>
      </c>
      <c r="C762" s="227" t="s">
        <v>1074</v>
      </c>
      <c r="D762" s="226" t="s">
        <v>257</v>
      </c>
      <c r="E762" s="226" t="s">
        <v>304</v>
      </c>
    </row>
    <row r="763" spans="1:5" x14ac:dyDescent="0.2">
      <c r="A763" s="226" t="s">
        <v>1069</v>
      </c>
      <c r="B763" s="227" t="s">
        <v>263</v>
      </c>
      <c r="C763" s="227" t="s">
        <v>1075</v>
      </c>
      <c r="D763" s="226" t="s">
        <v>257</v>
      </c>
      <c r="E763" s="226" t="s">
        <v>304</v>
      </c>
    </row>
    <row r="764" spans="1:5" x14ac:dyDescent="0.2">
      <c r="A764" s="226" t="s">
        <v>1069</v>
      </c>
      <c r="B764" s="227" t="s">
        <v>263</v>
      </c>
      <c r="C764" s="227" t="s">
        <v>1076</v>
      </c>
      <c r="D764" s="226" t="s">
        <v>257</v>
      </c>
      <c r="E764" s="226" t="s">
        <v>304</v>
      </c>
    </row>
    <row r="765" spans="1:5" x14ac:dyDescent="0.2">
      <c r="A765" s="226" t="s">
        <v>1069</v>
      </c>
      <c r="B765" s="227" t="s">
        <v>263</v>
      </c>
      <c r="C765" s="227" t="s">
        <v>1077</v>
      </c>
      <c r="D765" s="226" t="s">
        <v>257</v>
      </c>
      <c r="E765" s="226" t="s">
        <v>304</v>
      </c>
    </row>
    <row r="766" spans="1:5" x14ac:dyDescent="0.2">
      <c r="A766" s="226" t="s">
        <v>1069</v>
      </c>
      <c r="B766" s="226" t="s">
        <v>1078</v>
      </c>
      <c r="C766" s="226" t="s">
        <v>1079</v>
      </c>
      <c r="D766" s="226" t="s">
        <v>1080</v>
      </c>
      <c r="E766" s="226" t="s">
        <v>1081</v>
      </c>
    </row>
    <row r="767" spans="1:5" x14ac:dyDescent="0.2">
      <c r="A767" s="226" t="s">
        <v>1069</v>
      </c>
      <c r="B767" s="226" t="s">
        <v>1078</v>
      </c>
      <c r="C767" s="226" t="s">
        <v>1082</v>
      </c>
      <c r="D767" s="226" t="s">
        <v>1080</v>
      </c>
      <c r="E767" s="226" t="s">
        <v>1081</v>
      </c>
    </row>
    <row r="768" spans="1:5" x14ac:dyDescent="0.2">
      <c r="A768" s="226" t="s">
        <v>1069</v>
      </c>
      <c r="B768" s="227" t="s">
        <v>1078</v>
      </c>
      <c r="C768" s="227" t="s">
        <v>1083</v>
      </c>
      <c r="D768" s="226" t="s">
        <v>1080</v>
      </c>
      <c r="E768" s="226" t="s">
        <v>1081</v>
      </c>
    </row>
    <row r="769" spans="1:5" x14ac:dyDescent="0.2">
      <c r="A769" s="226" t="s">
        <v>1069</v>
      </c>
      <c r="B769" s="227" t="s">
        <v>1078</v>
      </c>
      <c r="C769" s="227" t="s">
        <v>1084</v>
      </c>
      <c r="D769" s="226" t="s">
        <v>1080</v>
      </c>
      <c r="E769" s="226" t="s">
        <v>1081</v>
      </c>
    </row>
    <row r="770" spans="1:5" x14ac:dyDescent="0.2">
      <c r="A770" s="226" t="s">
        <v>1069</v>
      </c>
      <c r="B770" s="227" t="s">
        <v>1078</v>
      </c>
      <c r="C770" s="227" t="s">
        <v>1085</v>
      </c>
      <c r="D770" s="226" t="s">
        <v>1080</v>
      </c>
      <c r="E770" s="226" t="s">
        <v>1081</v>
      </c>
    </row>
    <row r="771" spans="1:5" x14ac:dyDescent="0.2">
      <c r="A771" s="226" t="s">
        <v>1069</v>
      </c>
      <c r="B771" s="226" t="s">
        <v>1078</v>
      </c>
      <c r="C771" s="226" t="s">
        <v>1086</v>
      </c>
      <c r="D771" s="226" t="s">
        <v>1080</v>
      </c>
      <c r="E771" s="226" t="s">
        <v>1081</v>
      </c>
    </row>
    <row r="772" spans="1:5" x14ac:dyDescent="0.2">
      <c r="A772" s="226" t="s">
        <v>1069</v>
      </c>
      <c r="B772" s="227" t="s">
        <v>1078</v>
      </c>
      <c r="C772" s="227" t="s">
        <v>1087</v>
      </c>
      <c r="D772" s="226" t="s">
        <v>1080</v>
      </c>
      <c r="E772" s="226" t="s">
        <v>1081</v>
      </c>
    </row>
    <row r="773" spans="1:5" x14ac:dyDescent="0.2">
      <c r="A773" s="226" t="s">
        <v>1069</v>
      </c>
      <c r="B773" s="227" t="s">
        <v>1078</v>
      </c>
      <c r="C773" s="227" t="s">
        <v>1088</v>
      </c>
      <c r="D773" s="226" t="s">
        <v>1080</v>
      </c>
      <c r="E773" s="226" t="s">
        <v>1081</v>
      </c>
    </row>
    <row r="774" spans="1:5" x14ac:dyDescent="0.2">
      <c r="A774" s="226" t="s">
        <v>1069</v>
      </c>
      <c r="B774" s="227" t="s">
        <v>1078</v>
      </c>
      <c r="C774" s="227" t="s">
        <v>1089</v>
      </c>
      <c r="D774" s="226" t="s">
        <v>1080</v>
      </c>
      <c r="E774" s="226" t="s">
        <v>1081</v>
      </c>
    </row>
    <row r="775" spans="1:5" x14ac:dyDescent="0.2">
      <c r="A775" s="226" t="s">
        <v>1069</v>
      </c>
      <c r="B775" s="226" t="s">
        <v>1090</v>
      </c>
      <c r="C775" s="226" t="s">
        <v>1091</v>
      </c>
      <c r="D775" s="226" t="s">
        <v>1080</v>
      </c>
      <c r="E775" s="226" t="s">
        <v>188</v>
      </c>
    </row>
    <row r="776" spans="1:5" x14ac:dyDescent="0.2">
      <c r="A776" s="226" t="s">
        <v>1069</v>
      </c>
      <c r="B776" s="226" t="s">
        <v>1090</v>
      </c>
      <c r="C776" s="226" t="s">
        <v>1092</v>
      </c>
      <c r="D776" s="226" t="s">
        <v>1080</v>
      </c>
      <c r="E776" s="226" t="s">
        <v>188</v>
      </c>
    </row>
    <row r="777" spans="1:5" x14ac:dyDescent="0.2">
      <c r="A777" s="226" t="s">
        <v>1069</v>
      </c>
      <c r="B777" s="227" t="s">
        <v>1090</v>
      </c>
      <c r="C777" s="227" t="s">
        <v>1093</v>
      </c>
      <c r="D777" s="226" t="s">
        <v>1080</v>
      </c>
      <c r="E777" s="226" t="s">
        <v>188</v>
      </c>
    </row>
    <row r="778" spans="1:5" x14ac:dyDescent="0.2">
      <c r="A778" s="226" t="s">
        <v>1069</v>
      </c>
      <c r="B778" s="226" t="s">
        <v>1090</v>
      </c>
      <c r="C778" s="226" t="s">
        <v>1094</v>
      </c>
      <c r="D778" s="226" t="s">
        <v>1080</v>
      </c>
      <c r="E778" s="226" t="s">
        <v>188</v>
      </c>
    </row>
    <row r="779" spans="1:5" x14ac:dyDescent="0.2">
      <c r="A779" s="226" t="s">
        <v>1069</v>
      </c>
      <c r="B779" s="227" t="s">
        <v>1090</v>
      </c>
      <c r="C779" s="227" t="s">
        <v>1095</v>
      </c>
      <c r="D779" s="226" t="s">
        <v>1080</v>
      </c>
      <c r="E779" s="226" t="s">
        <v>188</v>
      </c>
    </row>
    <row r="780" spans="1:5" x14ac:dyDescent="0.2">
      <c r="A780" s="226" t="s">
        <v>1069</v>
      </c>
      <c r="B780" s="226" t="s">
        <v>1090</v>
      </c>
      <c r="C780" s="226" t="s">
        <v>1096</v>
      </c>
      <c r="D780" s="226" t="s">
        <v>1080</v>
      </c>
      <c r="E780" s="226" t="s">
        <v>188</v>
      </c>
    </row>
    <row r="781" spans="1:5" x14ac:dyDescent="0.2">
      <c r="A781" s="226" t="s">
        <v>1069</v>
      </c>
      <c r="B781" s="227" t="s">
        <v>1090</v>
      </c>
      <c r="C781" s="227" t="s">
        <v>1097</v>
      </c>
      <c r="D781" s="226" t="s">
        <v>1080</v>
      </c>
      <c r="E781" s="226" t="s">
        <v>188</v>
      </c>
    </row>
    <row r="782" spans="1:5" x14ac:dyDescent="0.2">
      <c r="A782" s="226" t="s">
        <v>1069</v>
      </c>
      <c r="B782" s="227" t="s">
        <v>1090</v>
      </c>
      <c r="C782" s="227" t="s">
        <v>1098</v>
      </c>
      <c r="D782" s="226" t="s">
        <v>1080</v>
      </c>
      <c r="E782" s="226" t="s">
        <v>188</v>
      </c>
    </row>
    <row r="783" spans="1:5" x14ac:dyDescent="0.2">
      <c r="A783" s="226" t="s">
        <v>1069</v>
      </c>
      <c r="B783" s="226" t="s">
        <v>1090</v>
      </c>
      <c r="C783" s="226" t="s">
        <v>1099</v>
      </c>
      <c r="D783" s="226" t="s">
        <v>1080</v>
      </c>
      <c r="E783" s="226" t="s">
        <v>188</v>
      </c>
    </row>
    <row r="784" spans="1:5" x14ac:dyDescent="0.2">
      <c r="A784" s="226" t="s">
        <v>1069</v>
      </c>
      <c r="B784" s="227" t="s">
        <v>1090</v>
      </c>
      <c r="C784" s="227" t="s">
        <v>1100</v>
      </c>
      <c r="D784" s="226" t="s">
        <v>1080</v>
      </c>
      <c r="E784" s="226" t="s">
        <v>188</v>
      </c>
    </row>
    <row r="785" spans="1:5" x14ac:dyDescent="0.2">
      <c r="A785" s="226" t="s">
        <v>1069</v>
      </c>
      <c r="B785" s="226" t="s">
        <v>1101</v>
      </c>
      <c r="C785" s="226" t="s">
        <v>1102</v>
      </c>
      <c r="D785" s="226" t="s">
        <v>1080</v>
      </c>
      <c r="E785" s="226" t="s">
        <v>188</v>
      </c>
    </row>
    <row r="786" spans="1:5" x14ac:dyDescent="0.2">
      <c r="A786" s="226" t="s">
        <v>1069</v>
      </c>
      <c r="B786" s="226" t="s">
        <v>1101</v>
      </c>
      <c r="C786" s="226" t="s">
        <v>1103</v>
      </c>
      <c r="D786" s="226" t="s">
        <v>1080</v>
      </c>
      <c r="E786" s="226" t="s">
        <v>188</v>
      </c>
    </row>
    <row r="787" spans="1:5" x14ac:dyDescent="0.2">
      <c r="A787" s="226" t="s">
        <v>1069</v>
      </c>
      <c r="B787" s="226" t="s">
        <v>1101</v>
      </c>
      <c r="C787" s="226" t="s">
        <v>1104</v>
      </c>
      <c r="D787" s="226" t="s">
        <v>1080</v>
      </c>
      <c r="E787" s="226" t="s">
        <v>188</v>
      </c>
    </row>
    <row r="788" spans="1:5" x14ac:dyDescent="0.2">
      <c r="A788" s="226" t="s">
        <v>1069</v>
      </c>
      <c r="B788" s="226" t="s">
        <v>1101</v>
      </c>
      <c r="C788" s="226" t="s">
        <v>1105</v>
      </c>
      <c r="D788" s="226" t="s">
        <v>1080</v>
      </c>
      <c r="E788" s="226" t="s">
        <v>188</v>
      </c>
    </row>
    <row r="789" spans="1:5" x14ac:dyDescent="0.2">
      <c r="A789" s="226" t="s">
        <v>1069</v>
      </c>
      <c r="B789" s="226" t="s">
        <v>1101</v>
      </c>
      <c r="C789" s="226" t="s">
        <v>1106</v>
      </c>
      <c r="D789" s="226" t="s">
        <v>1080</v>
      </c>
      <c r="E789" s="226" t="s">
        <v>188</v>
      </c>
    </row>
    <row r="790" spans="1:5" x14ac:dyDescent="0.2">
      <c r="A790" s="226" t="s">
        <v>1069</v>
      </c>
      <c r="B790" s="226" t="s">
        <v>1107</v>
      </c>
      <c r="C790" s="226" t="s">
        <v>1108</v>
      </c>
      <c r="D790" s="226" t="s">
        <v>1080</v>
      </c>
      <c r="E790" s="226" t="s">
        <v>187</v>
      </c>
    </row>
    <row r="791" spans="1:5" x14ac:dyDescent="0.2">
      <c r="A791" s="226" t="s">
        <v>1069</v>
      </c>
      <c r="B791" s="226" t="s">
        <v>1107</v>
      </c>
      <c r="C791" s="226" t="s">
        <v>1109</v>
      </c>
      <c r="D791" s="226" t="s">
        <v>1080</v>
      </c>
      <c r="E791" s="226" t="s">
        <v>187</v>
      </c>
    </row>
    <row r="792" spans="1:5" x14ac:dyDescent="0.2">
      <c r="A792" s="226" t="s">
        <v>1069</v>
      </c>
      <c r="B792" s="227" t="s">
        <v>1107</v>
      </c>
      <c r="C792" s="227" t="s">
        <v>1110</v>
      </c>
      <c r="D792" s="226" t="s">
        <v>1080</v>
      </c>
      <c r="E792" s="226" t="s">
        <v>187</v>
      </c>
    </row>
    <row r="793" spans="1:5" x14ac:dyDescent="0.2">
      <c r="A793" s="226" t="s">
        <v>1069</v>
      </c>
      <c r="B793" s="226" t="s">
        <v>1107</v>
      </c>
      <c r="C793" s="226" t="s">
        <v>1111</v>
      </c>
      <c r="D793" s="226" t="s">
        <v>1080</v>
      </c>
      <c r="E793" s="226" t="s">
        <v>187</v>
      </c>
    </row>
    <row r="794" spans="1:5" x14ac:dyDescent="0.2">
      <c r="A794" s="226" t="s">
        <v>1069</v>
      </c>
      <c r="B794" s="226" t="s">
        <v>1107</v>
      </c>
      <c r="C794" s="226" t="s">
        <v>1112</v>
      </c>
      <c r="D794" s="226" t="s">
        <v>1080</v>
      </c>
      <c r="E794" s="226" t="s">
        <v>187</v>
      </c>
    </row>
    <row r="795" spans="1:5" x14ac:dyDescent="0.2">
      <c r="A795" s="226" t="s">
        <v>1069</v>
      </c>
      <c r="B795" s="227" t="s">
        <v>1107</v>
      </c>
      <c r="C795" s="227" t="s">
        <v>1113</v>
      </c>
      <c r="D795" s="226" t="s">
        <v>1080</v>
      </c>
      <c r="E795" s="226" t="s">
        <v>187</v>
      </c>
    </row>
    <row r="796" spans="1:5" x14ac:dyDescent="0.2">
      <c r="A796" s="226" t="s">
        <v>1069</v>
      </c>
      <c r="B796" s="226" t="s">
        <v>1107</v>
      </c>
      <c r="C796" s="226" t="s">
        <v>1114</v>
      </c>
      <c r="D796" s="226" t="s">
        <v>1080</v>
      </c>
      <c r="E796" s="226" t="s">
        <v>187</v>
      </c>
    </row>
    <row r="797" spans="1:5" x14ac:dyDescent="0.2">
      <c r="A797" s="226" t="s">
        <v>1069</v>
      </c>
      <c r="B797" s="226" t="s">
        <v>1107</v>
      </c>
      <c r="C797" s="226" t="s">
        <v>1115</v>
      </c>
      <c r="D797" s="226" t="s">
        <v>1080</v>
      </c>
      <c r="E797" s="226" t="s">
        <v>187</v>
      </c>
    </row>
    <row r="798" spans="1:5" x14ac:dyDescent="0.2">
      <c r="A798" s="226" t="s">
        <v>1069</v>
      </c>
      <c r="B798" s="227" t="s">
        <v>1107</v>
      </c>
      <c r="C798" s="227" t="s">
        <v>1116</v>
      </c>
      <c r="D798" s="226" t="s">
        <v>434</v>
      </c>
      <c r="E798" s="226" t="s">
        <v>479</v>
      </c>
    </row>
    <row r="799" spans="1:5" x14ac:dyDescent="0.2">
      <c r="A799" s="226" t="s">
        <v>1069</v>
      </c>
      <c r="B799" s="227" t="s">
        <v>1107</v>
      </c>
      <c r="C799" s="227" t="s">
        <v>1117</v>
      </c>
      <c r="D799" s="226" t="s">
        <v>434</v>
      </c>
      <c r="E799" s="226" t="s">
        <v>479</v>
      </c>
    </row>
    <row r="800" spans="1:5" x14ac:dyDescent="0.2">
      <c r="A800" s="226" t="s">
        <v>1069</v>
      </c>
      <c r="B800" s="227" t="s">
        <v>1107</v>
      </c>
      <c r="C800" s="227" t="s">
        <v>1118</v>
      </c>
      <c r="D800" s="226" t="s">
        <v>1080</v>
      </c>
      <c r="E800" s="226" t="s">
        <v>189</v>
      </c>
    </row>
    <row r="801" spans="1:5" x14ac:dyDescent="0.2">
      <c r="A801" s="226" t="s">
        <v>1069</v>
      </c>
      <c r="B801" s="227" t="s">
        <v>1107</v>
      </c>
      <c r="C801" s="227" t="s">
        <v>1119</v>
      </c>
      <c r="D801" s="226" t="s">
        <v>1080</v>
      </c>
      <c r="E801" s="226" t="s">
        <v>188</v>
      </c>
    </row>
    <row r="802" spans="1:5" x14ac:dyDescent="0.2">
      <c r="A802" s="226" t="s">
        <v>1069</v>
      </c>
      <c r="B802" s="227" t="s">
        <v>1107</v>
      </c>
      <c r="C802" s="227" t="s">
        <v>1120</v>
      </c>
      <c r="D802" s="226" t="s">
        <v>1080</v>
      </c>
      <c r="E802" s="226" t="s">
        <v>187</v>
      </c>
    </row>
    <row r="803" spans="1:5" x14ac:dyDescent="0.2">
      <c r="A803" s="226" t="s">
        <v>1121</v>
      </c>
      <c r="B803" s="226" t="s">
        <v>1122</v>
      </c>
      <c r="C803" s="226" t="s">
        <v>1123</v>
      </c>
      <c r="D803" s="226" t="s">
        <v>182</v>
      </c>
      <c r="E803" s="226" t="s">
        <v>1124</v>
      </c>
    </row>
    <row r="804" spans="1:5" x14ac:dyDescent="0.2">
      <c r="A804" s="226" t="s">
        <v>1121</v>
      </c>
      <c r="B804" s="226" t="s">
        <v>1122</v>
      </c>
      <c r="C804" s="226" t="s">
        <v>1125</v>
      </c>
      <c r="D804" s="226" t="s">
        <v>182</v>
      </c>
      <c r="E804" s="226" t="s">
        <v>1124</v>
      </c>
    </row>
    <row r="805" spans="1:5" x14ac:dyDescent="0.2">
      <c r="A805" s="226" t="s">
        <v>1121</v>
      </c>
      <c r="B805" s="227" t="s">
        <v>1122</v>
      </c>
      <c r="C805" s="227" t="s">
        <v>1126</v>
      </c>
      <c r="D805" s="226" t="s">
        <v>182</v>
      </c>
      <c r="E805" s="226" t="s">
        <v>1124</v>
      </c>
    </row>
    <row r="806" spans="1:5" x14ac:dyDescent="0.2">
      <c r="A806" s="226" t="s">
        <v>1121</v>
      </c>
      <c r="B806" s="227" t="s">
        <v>1122</v>
      </c>
      <c r="C806" s="227" t="s">
        <v>1127</v>
      </c>
      <c r="D806" s="226" t="s">
        <v>182</v>
      </c>
      <c r="E806" s="226" t="s">
        <v>1124</v>
      </c>
    </row>
    <row r="807" spans="1:5" x14ac:dyDescent="0.2">
      <c r="A807" s="226" t="s">
        <v>1121</v>
      </c>
      <c r="B807" s="227" t="s">
        <v>1122</v>
      </c>
      <c r="C807" s="227" t="s">
        <v>1128</v>
      </c>
      <c r="D807" s="226" t="s">
        <v>182</v>
      </c>
      <c r="E807" s="226" t="s">
        <v>1124</v>
      </c>
    </row>
    <row r="808" spans="1:5" x14ac:dyDescent="0.2">
      <c r="A808" s="226" t="s">
        <v>1121</v>
      </c>
      <c r="B808" s="227" t="s">
        <v>1122</v>
      </c>
      <c r="C808" s="227" t="s">
        <v>1129</v>
      </c>
      <c r="D808" s="226" t="s">
        <v>182</v>
      </c>
      <c r="E808" s="226" t="s">
        <v>1124</v>
      </c>
    </row>
    <row r="809" spans="1:5" x14ac:dyDescent="0.2">
      <c r="A809" s="226" t="s">
        <v>1121</v>
      </c>
      <c r="B809" s="227" t="s">
        <v>1122</v>
      </c>
      <c r="C809" s="227" t="s">
        <v>1130</v>
      </c>
      <c r="D809" s="226" t="s">
        <v>182</v>
      </c>
      <c r="E809" s="226" t="s">
        <v>1124</v>
      </c>
    </row>
    <row r="810" spans="1:5" x14ac:dyDescent="0.2">
      <c r="A810" s="226" t="s">
        <v>1121</v>
      </c>
      <c r="B810" s="227" t="s">
        <v>1122</v>
      </c>
      <c r="C810" s="227" t="s">
        <v>1131</v>
      </c>
      <c r="D810" s="226" t="s">
        <v>182</v>
      </c>
      <c r="E810" s="226" t="s">
        <v>1124</v>
      </c>
    </row>
    <row r="811" spans="1:5" x14ac:dyDescent="0.2">
      <c r="A811" s="226" t="s">
        <v>1121</v>
      </c>
      <c r="B811" s="227" t="s">
        <v>1122</v>
      </c>
      <c r="C811" s="227" t="s">
        <v>1132</v>
      </c>
      <c r="D811" s="226" t="s">
        <v>182</v>
      </c>
      <c r="E811" s="226" t="s">
        <v>1124</v>
      </c>
    </row>
    <row r="812" spans="1:5" x14ac:dyDescent="0.2">
      <c r="A812" s="226" t="s">
        <v>1121</v>
      </c>
      <c r="B812" s="227" t="s">
        <v>1122</v>
      </c>
      <c r="C812" s="227" t="s">
        <v>1133</v>
      </c>
      <c r="D812" s="226" t="s">
        <v>182</v>
      </c>
      <c r="E812" s="226" t="s">
        <v>1124</v>
      </c>
    </row>
    <row r="813" spans="1:5" x14ac:dyDescent="0.2">
      <c r="A813" s="226" t="s">
        <v>1121</v>
      </c>
      <c r="B813" s="226" t="s">
        <v>1134</v>
      </c>
      <c r="C813" s="226" t="s">
        <v>1135</v>
      </c>
      <c r="D813" s="226" t="s">
        <v>182</v>
      </c>
      <c r="E813" s="226" t="s">
        <v>1124</v>
      </c>
    </row>
    <row r="814" spans="1:5" x14ac:dyDescent="0.2">
      <c r="A814" s="226" t="s">
        <v>1121</v>
      </c>
      <c r="B814" s="226" t="s">
        <v>1134</v>
      </c>
      <c r="C814" s="226" t="s">
        <v>1136</v>
      </c>
      <c r="D814" s="226" t="s">
        <v>182</v>
      </c>
      <c r="E814" s="226" t="s">
        <v>1124</v>
      </c>
    </row>
    <row r="815" spans="1:5" x14ac:dyDescent="0.2">
      <c r="A815" s="226" t="s">
        <v>1121</v>
      </c>
      <c r="B815" s="227" t="s">
        <v>1134</v>
      </c>
      <c r="C815" s="227" t="s">
        <v>1137</v>
      </c>
      <c r="D815" s="226" t="s">
        <v>182</v>
      </c>
      <c r="E815" s="226" t="s">
        <v>1124</v>
      </c>
    </row>
    <row r="816" spans="1:5" x14ac:dyDescent="0.2">
      <c r="A816" s="226" t="s">
        <v>1121</v>
      </c>
      <c r="B816" s="227" t="s">
        <v>1134</v>
      </c>
      <c r="C816" s="227" t="s">
        <v>1138</v>
      </c>
      <c r="D816" s="226" t="s">
        <v>182</v>
      </c>
      <c r="E816" s="226" t="s">
        <v>1124</v>
      </c>
    </row>
    <row r="817" spans="1:5" x14ac:dyDescent="0.2">
      <c r="A817" s="226" t="s">
        <v>1121</v>
      </c>
      <c r="B817" s="227" t="s">
        <v>1134</v>
      </c>
      <c r="C817" s="227" t="s">
        <v>1139</v>
      </c>
      <c r="D817" s="226" t="s">
        <v>1870</v>
      </c>
      <c r="E817" s="226" t="s">
        <v>1871</v>
      </c>
    </row>
    <row r="818" spans="1:5" x14ac:dyDescent="0.2">
      <c r="A818" s="226" t="s">
        <v>1121</v>
      </c>
      <c r="B818" s="227" t="s">
        <v>1134</v>
      </c>
      <c r="C818" s="227" t="s">
        <v>1140</v>
      </c>
      <c r="D818" s="226" t="s">
        <v>182</v>
      </c>
      <c r="E818" s="226" t="s">
        <v>1124</v>
      </c>
    </row>
    <row r="819" spans="1:5" x14ac:dyDescent="0.2">
      <c r="A819" s="226" t="s">
        <v>1121</v>
      </c>
      <c r="B819" s="227" t="s">
        <v>1134</v>
      </c>
      <c r="C819" s="227" t="s">
        <v>1141</v>
      </c>
      <c r="D819" s="226" t="s">
        <v>182</v>
      </c>
      <c r="E819" s="226" t="s">
        <v>1124</v>
      </c>
    </row>
    <row r="820" spans="1:5" x14ac:dyDescent="0.2">
      <c r="A820" s="226" t="s">
        <v>1121</v>
      </c>
      <c r="B820" s="226" t="s">
        <v>1142</v>
      </c>
      <c r="C820" s="226" t="s">
        <v>1143</v>
      </c>
      <c r="D820" s="226" t="s">
        <v>182</v>
      </c>
      <c r="E820" s="226" t="s">
        <v>1124</v>
      </c>
    </row>
    <row r="821" spans="1:5" x14ac:dyDescent="0.2">
      <c r="A821" s="226" t="s">
        <v>1121</v>
      </c>
      <c r="B821" s="226" t="s">
        <v>1142</v>
      </c>
      <c r="C821" s="226" t="s">
        <v>1144</v>
      </c>
      <c r="D821" s="226" t="s">
        <v>182</v>
      </c>
      <c r="E821" s="226" t="s">
        <v>1124</v>
      </c>
    </row>
    <row r="822" spans="1:5" x14ac:dyDescent="0.2">
      <c r="A822" s="226" t="s">
        <v>1121</v>
      </c>
      <c r="B822" s="227" t="s">
        <v>1142</v>
      </c>
      <c r="C822" s="227" t="s">
        <v>1145</v>
      </c>
      <c r="D822" s="226" t="s">
        <v>182</v>
      </c>
      <c r="E822" s="226" t="s">
        <v>1124</v>
      </c>
    </row>
    <row r="823" spans="1:5" x14ac:dyDescent="0.2">
      <c r="A823" s="226" t="s">
        <v>1121</v>
      </c>
      <c r="B823" s="227" t="s">
        <v>1142</v>
      </c>
      <c r="C823" s="227" t="s">
        <v>1146</v>
      </c>
      <c r="D823" s="226" t="s">
        <v>182</v>
      </c>
      <c r="E823" s="226" t="s">
        <v>1124</v>
      </c>
    </row>
    <row r="824" spans="1:5" x14ac:dyDescent="0.2">
      <c r="A824" s="226" t="s">
        <v>1121</v>
      </c>
      <c r="B824" s="227" t="s">
        <v>1142</v>
      </c>
      <c r="C824" s="227" t="s">
        <v>1147</v>
      </c>
      <c r="D824" s="226" t="s">
        <v>182</v>
      </c>
      <c r="E824" s="226" t="s">
        <v>1124</v>
      </c>
    </row>
    <row r="825" spans="1:5" x14ac:dyDescent="0.2">
      <c r="A825" s="226" t="s">
        <v>1121</v>
      </c>
      <c r="B825" s="227" t="s">
        <v>1142</v>
      </c>
      <c r="C825" s="227" t="s">
        <v>1148</v>
      </c>
      <c r="D825" s="226" t="s">
        <v>182</v>
      </c>
      <c r="E825" s="226" t="s">
        <v>1124</v>
      </c>
    </row>
    <row r="826" spans="1:5" x14ac:dyDescent="0.2">
      <c r="A826" s="226" t="s">
        <v>1121</v>
      </c>
      <c r="B826" s="227" t="s">
        <v>1142</v>
      </c>
      <c r="C826" s="227" t="s">
        <v>1149</v>
      </c>
      <c r="D826" s="226" t="s">
        <v>182</v>
      </c>
      <c r="E826" s="226" t="s">
        <v>1124</v>
      </c>
    </row>
    <row r="827" spans="1:5" x14ac:dyDescent="0.2">
      <c r="A827" s="226" t="s">
        <v>1121</v>
      </c>
      <c r="B827" s="227" t="s">
        <v>1142</v>
      </c>
      <c r="C827" s="227" t="s">
        <v>1150</v>
      </c>
      <c r="D827" s="226" t="s">
        <v>182</v>
      </c>
      <c r="E827" s="226" t="s">
        <v>1124</v>
      </c>
    </row>
    <row r="828" spans="1:5" x14ac:dyDescent="0.2">
      <c r="A828" s="226" t="s">
        <v>1121</v>
      </c>
      <c r="B828" s="226" t="s">
        <v>1151</v>
      </c>
      <c r="C828" s="226" t="s">
        <v>1152</v>
      </c>
      <c r="D828" s="226" t="s">
        <v>182</v>
      </c>
      <c r="E828" s="226" t="s">
        <v>1124</v>
      </c>
    </row>
    <row r="829" spans="1:5" x14ac:dyDescent="0.2">
      <c r="A829" s="226" t="s">
        <v>1121</v>
      </c>
      <c r="B829" s="226" t="s">
        <v>1151</v>
      </c>
      <c r="C829" s="226" t="s">
        <v>1153</v>
      </c>
      <c r="D829" s="226" t="s">
        <v>182</v>
      </c>
      <c r="E829" s="226" t="s">
        <v>1124</v>
      </c>
    </row>
    <row r="830" spans="1:5" x14ac:dyDescent="0.2">
      <c r="A830" s="226" t="s">
        <v>1121</v>
      </c>
      <c r="B830" s="227" t="s">
        <v>1151</v>
      </c>
      <c r="C830" s="227" t="s">
        <v>1154</v>
      </c>
      <c r="D830" s="226" t="s">
        <v>182</v>
      </c>
      <c r="E830" s="226" t="s">
        <v>1124</v>
      </c>
    </row>
    <row r="831" spans="1:5" x14ac:dyDescent="0.2">
      <c r="A831" s="226" t="s">
        <v>1121</v>
      </c>
      <c r="B831" s="227" t="s">
        <v>1151</v>
      </c>
      <c r="C831" s="227" t="s">
        <v>1155</v>
      </c>
      <c r="D831" s="226" t="s">
        <v>182</v>
      </c>
      <c r="E831" s="226" t="s">
        <v>1124</v>
      </c>
    </row>
    <row r="832" spans="1:5" x14ac:dyDescent="0.2">
      <c r="A832" s="226" t="s">
        <v>1121</v>
      </c>
      <c r="B832" s="227" t="s">
        <v>1151</v>
      </c>
      <c r="C832" s="227" t="s">
        <v>1156</v>
      </c>
      <c r="D832" s="226" t="s">
        <v>182</v>
      </c>
      <c r="E832" s="226" t="s">
        <v>1124</v>
      </c>
    </row>
    <row r="833" spans="1:5" x14ac:dyDescent="0.2">
      <c r="A833" s="226" t="s">
        <v>1121</v>
      </c>
      <c r="B833" s="227" t="s">
        <v>1151</v>
      </c>
      <c r="C833" s="227" t="s">
        <v>1157</v>
      </c>
      <c r="D833" s="226" t="s">
        <v>182</v>
      </c>
      <c r="E833" s="226" t="s">
        <v>1124</v>
      </c>
    </row>
    <row r="834" spans="1:5" x14ac:dyDescent="0.2">
      <c r="A834" s="226" t="s">
        <v>1121</v>
      </c>
      <c r="B834" s="227" t="s">
        <v>1151</v>
      </c>
      <c r="C834" s="227" t="s">
        <v>1158</v>
      </c>
      <c r="D834" s="226" t="s">
        <v>182</v>
      </c>
      <c r="E834" s="226" t="s">
        <v>1124</v>
      </c>
    </row>
    <row r="835" spans="1:5" x14ac:dyDescent="0.2">
      <c r="A835" s="226" t="s">
        <v>1121</v>
      </c>
      <c r="B835" s="227" t="s">
        <v>1151</v>
      </c>
      <c r="C835" s="227" t="s">
        <v>1159</v>
      </c>
      <c r="D835" s="226" t="s">
        <v>182</v>
      </c>
      <c r="E835" s="226" t="s">
        <v>1124</v>
      </c>
    </row>
    <row r="836" spans="1:5" x14ac:dyDescent="0.2">
      <c r="A836" s="226" t="s">
        <v>1121</v>
      </c>
      <c r="B836" s="227" t="s">
        <v>1151</v>
      </c>
      <c r="C836" s="227" t="s">
        <v>1160</v>
      </c>
      <c r="D836" s="226" t="s">
        <v>182</v>
      </c>
      <c r="E836" s="226" t="s">
        <v>1124</v>
      </c>
    </row>
    <row r="837" spans="1:5" x14ac:dyDescent="0.2">
      <c r="A837" s="226" t="s">
        <v>1121</v>
      </c>
      <c r="B837" s="227" t="s">
        <v>1151</v>
      </c>
      <c r="C837" s="227" t="s">
        <v>1161</v>
      </c>
      <c r="D837" s="226" t="s">
        <v>182</v>
      </c>
      <c r="E837" s="226" t="s">
        <v>1124</v>
      </c>
    </row>
    <row r="838" spans="1:5" x14ac:dyDescent="0.2">
      <c r="A838" s="226" t="s">
        <v>1121</v>
      </c>
      <c r="B838" s="227" t="s">
        <v>1151</v>
      </c>
      <c r="C838" s="227" t="s">
        <v>1162</v>
      </c>
      <c r="D838" s="226" t="s">
        <v>182</v>
      </c>
      <c r="E838" s="226" t="s">
        <v>1124</v>
      </c>
    </row>
    <row r="839" spans="1:5" x14ac:dyDescent="0.2">
      <c r="A839" s="226" t="s">
        <v>1121</v>
      </c>
      <c r="B839" s="226" t="s">
        <v>1163</v>
      </c>
      <c r="C839" s="226" t="s">
        <v>1164</v>
      </c>
      <c r="D839" s="226" t="s">
        <v>182</v>
      </c>
      <c r="E839" s="226" t="s">
        <v>1124</v>
      </c>
    </row>
    <row r="840" spans="1:5" x14ac:dyDescent="0.2">
      <c r="A840" s="226" t="s">
        <v>1121</v>
      </c>
      <c r="B840" s="226" t="s">
        <v>1163</v>
      </c>
      <c r="C840" s="226" t="s">
        <v>1165</v>
      </c>
      <c r="D840" s="226" t="s">
        <v>182</v>
      </c>
      <c r="E840" s="226" t="s">
        <v>1124</v>
      </c>
    </row>
    <row r="841" spans="1:5" x14ac:dyDescent="0.2">
      <c r="A841" s="226" t="s">
        <v>1121</v>
      </c>
      <c r="B841" s="227" t="s">
        <v>1163</v>
      </c>
      <c r="C841" s="227" t="s">
        <v>1166</v>
      </c>
      <c r="D841" s="226" t="s">
        <v>1870</v>
      </c>
      <c r="E841" s="226" t="s">
        <v>1871</v>
      </c>
    </row>
    <row r="842" spans="1:5" x14ac:dyDescent="0.2">
      <c r="A842" s="226" t="s">
        <v>1121</v>
      </c>
      <c r="B842" s="227" t="s">
        <v>1163</v>
      </c>
      <c r="C842" s="227" t="s">
        <v>1167</v>
      </c>
      <c r="D842" s="226" t="s">
        <v>182</v>
      </c>
      <c r="E842" s="226" t="s">
        <v>1124</v>
      </c>
    </row>
    <row r="843" spans="1:5" x14ac:dyDescent="0.2">
      <c r="A843" s="226" t="s">
        <v>1121</v>
      </c>
      <c r="B843" s="226" t="s">
        <v>264</v>
      </c>
      <c r="C843" s="226" t="s">
        <v>1168</v>
      </c>
      <c r="D843" s="226" t="s">
        <v>257</v>
      </c>
      <c r="E843" s="226" t="s">
        <v>304</v>
      </c>
    </row>
    <row r="844" spans="1:5" x14ac:dyDescent="0.2">
      <c r="A844" s="226" t="s">
        <v>1121</v>
      </c>
      <c r="B844" s="226" t="s">
        <v>264</v>
      </c>
      <c r="C844" s="226" t="s">
        <v>1169</v>
      </c>
      <c r="D844" s="226" t="s">
        <v>257</v>
      </c>
      <c r="E844" s="226" t="s">
        <v>304</v>
      </c>
    </row>
    <row r="845" spans="1:5" x14ac:dyDescent="0.2">
      <c r="A845" s="226" t="s">
        <v>1121</v>
      </c>
      <c r="B845" s="227" t="s">
        <v>264</v>
      </c>
      <c r="C845" s="227" t="s">
        <v>1170</v>
      </c>
      <c r="D845" s="226" t="s">
        <v>257</v>
      </c>
      <c r="E845" s="226" t="s">
        <v>304</v>
      </c>
    </row>
    <row r="846" spans="1:5" x14ac:dyDescent="0.2">
      <c r="A846" s="226" t="s">
        <v>1121</v>
      </c>
      <c r="B846" s="227" t="s">
        <v>264</v>
      </c>
      <c r="C846" s="227" t="s">
        <v>1171</v>
      </c>
      <c r="D846" s="226" t="s">
        <v>257</v>
      </c>
      <c r="E846" s="226" t="s">
        <v>304</v>
      </c>
    </row>
    <row r="847" spans="1:5" x14ac:dyDescent="0.2">
      <c r="A847" s="226" t="s">
        <v>1121</v>
      </c>
      <c r="B847" s="226" t="s">
        <v>265</v>
      </c>
      <c r="C847" s="226" t="s">
        <v>1172</v>
      </c>
      <c r="D847" s="226" t="s">
        <v>257</v>
      </c>
      <c r="E847" s="226" t="s">
        <v>304</v>
      </c>
    </row>
    <row r="848" spans="1:5" x14ac:dyDescent="0.2">
      <c r="A848" s="226" t="s">
        <v>1121</v>
      </c>
      <c r="B848" s="226" t="s">
        <v>265</v>
      </c>
      <c r="C848" s="226" t="s">
        <v>1173</v>
      </c>
      <c r="D848" s="226" t="s">
        <v>257</v>
      </c>
      <c r="E848" s="226" t="s">
        <v>304</v>
      </c>
    </row>
    <row r="849" spans="1:5" x14ac:dyDescent="0.2">
      <c r="A849" s="226" t="s">
        <v>1121</v>
      </c>
      <c r="B849" s="227" t="s">
        <v>265</v>
      </c>
      <c r="C849" s="227" t="s">
        <v>1174</v>
      </c>
      <c r="D849" s="226" t="s">
        <v>257</v>
      </c>
      <c r="E849" s="226" t="s">
        <v>304</v>
      </c>
    </row>
    <row r="850" spans="1:5" x14ac:dyDescent="0.2">
      <c r="A850" s="226" t="s">
        <v>1121</v>
      </c>
      <c r="B850" s="227" t="s">
        <v>265</v>
      </c>
      <c r="C850" s="227" t="s">
        <v>1175</v>
      </c>
      <c r="D850" s="226" t="s">
        <v>257</v>
      </c>
      <c r="E850" s="226" t="s">
        <v>304</v>
      </c>
    </row>
    <row r="851" spans="1:5" x14ac:dyDescent="0.2">
      <c r="A851" s="226" t="s">
        <v>1121</v>
      </c>
      <c r="B851" s="227" t="s">
        <v>265</v>
      </c>
      <c r="C851" s="227" t="s">
        <v>1176</v>
      </c>
      <c r="D851" s="226" t="s">
        <v>257</v>
      </c>
      <c r="E851" s="226" t="s">
        <v>304</v>
      </c>
    </row>
    <row r="852" spans="1:5" x14ac:dyDescent="0.2">
      <c r="A852" s="226" t="s">
        <v>1121</v>
      </c>
      <c r="B852" s="227" t="s">
        <v>265</v>
      </c>
      <c r="C852" s="227" t="s">
        <v>1177</v>
      </c>
      <c r="D852" s="226" t="s">
        <v>257</v>
      </c>
      <c r="E852" s="226" t="s">
        <v>304</v>
      </c>
    </row>
    <row r="853" spans="1:5" x14ac:dyDescent="0.2">
      <c r="A853" s="226" t="s">
        <v>1121</v>
      </c>
      <c r="B853" s="227" t="s">
        <v>265</v>
      </c>
      <c r="C853" s="227" t="s">
        <v>1178</v>
      </c>
      <c r="D853" s="226" t="s">
        <v>257</v>
      </c>
      <c r="E853" s="226" t="s">
        <v>304</v>
      </c>
    </row>
    <row r="854" spans="1:5" x14ac:dyDescent="0.2">
      <c r="A854" s="226" t="s">
        <v>1121</v>
      </c>
      <c r="B854" s="227" t="s">
        <v>265</v>
      </c>
      <c r="C854" s="227" t="s">
        <v>1179</v>
      </c>
      <c r="D854" s="226" t="s">
        <v>257</v>
      </c>
      <c r="E854" s="226" t="s">
        <v>304</v>
      </c>
    </row>
    <row r="855" spans="1:5" x14ac:dyDescent="0.2">
      <c r="A855" s="226" t="s">
        <v>1121</v>
      </c>
      <c r="B855" s="227" t="s">
        <v>265</v>
      </c>
      <c r="C855" s="227" t="s">
        <v>1180</v>
      </c>
      <c r="D855" s="226" t="s">
        <v>257</v>
      </c>
      <c r="E855" s="226" t="s">
        <v>304</v>
      </c>
    </row>
    <row r="856" spans="1:5" x14ac:dyDescent="0.2">
      <c r="A856" s="226" t="s">
        <v>1121</v>
      </c>
      <c r="B856" s="227" t="s">
        <v>265</v>
      </c>
      <c r="C856" s="227" t="s">
        <v>1181</v>
      </c>
      <c r="D856" s="226" t="s">
        <v>257</v>
      </c>
      <c r="E856" s="226" t="s">
        <v>304</v>
      </c>
    </row>
    <row r="857" spans="1:5" x14ac:dyDescent="0.2">
      <c r="A857" s="226" t="s">
        <v>1121</v>
      </c>
      <c r="B857" s="227" t="s">
        <v>265</v>
      </c>
      <c r="C857" s="227" t="s">
        <v>1182</v>
      </c>
      <c r="D857" s="226" t="s">
        <v>257</v>
      </c>
      <c r="E857" s="226" t="s">
        <v>304</v>
      </c>
    </row>
    <row r="858" spans="1:5" x14ac:dyDescent="0.2">
      <c r="A858" s="226" t="s">
        <v>1121</v>
      </c>
      <c r="B858" s="227" t="s">
        <v>265</v>
      </c>
      <c r="C858" s="227" t="s">
        <v>1183</v>
      </c>
      <c r="D858" s="226" t="s">
        <v>257</v>
      </c>
      <c r="E858" s="226" t="s">
        <v>304</v>
      </c>
    </row>
    <row r="859" spans="1:5" x14ac:dyDescent="0.2">
      <c r="A859" s="226" t="s">
        <v>1121</v>
      </c>
      <c r="B859" s="227" t="s">
        <v>265</v>
      </c>
      <c r="C859" s="227" t="s">
        <v>1184</v>
      </c>
      <c r="D859" s="226" t="s">
        <v>257</v>
      </c>
      <c r="E859" s="226" t="s">
        <v>304</v>
      </c>
    </row>
    <row r="860" spans="1:5" x14ac:dyDescent="0.2">
      <c r="A860" s="226" t="s">
        <v>1121</v>
      </c>
      <c r="B860" s="227" t="s">
        <v>265</v>
      </c>
      <c r="C860" s="227" t="s">
        <v>1185</v>
      </c>
      <c r="D860" s="226" t="s">
        <v>257</v>
      </c>
      <c r="E860" s="226" t="s">
        <v>304</v>
      </c>
    </row>
    <row r="861" spans="1:5" x14ac:dyDescent="0.2">
      <c r="A861" s="226" t="s">
        <v>1121</v>
      </c>
      <c r="B861" s="227" t="s">
        <v>265</v>
      </c>
      <c r="C861" s="227" t="s">
        <v>1186</v>
      </c>
      <c r="D861" s="226" t="s">
        <v>257</v>
      </c>
      <c r="E861" s="226" t="s">
        <v>304</v>
      </c>
    </row>
    <row r="862" spans="1:5" x14ac:dyDescent="0.2">
      <c r="A862" s="226" t="s">
        <v>1121</v>
      </c>
      <c r="B862" s="227" t="s">
        <v>265</v>
      </c>
      <c r="C862" s="227" t="s">
        <v>1851</v>
      </c>
      <c r="D862" s="226" t="s">
        <v>1870</v>
      </c>
      <c r="E862" s="226" t="s">
        <v>1871</v>
      </c>
    </row>
    <row r="863" spans="1:5" x14ac:dyDescent="0.2">
      <c r="A863" s="226" t="s">
        <v>1121</v>
      </c>
      <c r="B863" s="226" t="s">
        <v>266</v>
      </c>
      <c r="C863" s="226" t="s">
        <v>1187</v>
      </c>
      <c r="D863" s="226" t="s">
        <v>257</v>
      </c>
      <c r="E863" s="226" t="s">
        <v>304</v>
      </c>
    </row>
    <row r="864" spans="1:5" x14ac:dyDescent="0.2">
      <c r="A864" s="226" t="s">
        <v>1121</v>
      </c>
      <c r="B864" s="227" t="s">
        <v>266</v>
      </c>
      <c r="C864" s="227" t="s">
        <v>1188</v>
      </c>
      <c r="D864" s="226" t="s">
        <v>257</v>
      </c>
      <c r="E864" s="226" t="s">
        <v>304</v>
      </c>
    </row>
    <row r="865" spans="1:5" x14ac:dyDescent="0.2">
      <c r="A865" s="226" t="s">
        <v>1189</v>
      </c>
      <c r="B865" s="226" t="s">
        <v>1190</v>
      </c>
      <c r="C865" s="226" t="s">
        <v>1191</v>
      </c>
      <c r="D865" s="226" t="s">
        <v>174</v>
      </c>
      <c r="E865" s="226" t="s">
        <v>1192</v>
      </c>
    </row>
    <row r="866" spans="1:5" x14ac:dyDescent="0.2">
      <c r="A866" s="226" t="s">
        <v>1189</v>
      </c>
      <c r="B866" s="226" t="s">
        <v>1190</v>
      </c>
      <c r="C866" s="226" t="s">
        <v>1193</v>
      </c>
      <c r="D866" s="226" t="s">
        <v>174</v>
      </c>
      <c r="E866" s="226" t="s">
        <v>1192</v>
      </c>
    </row>
    <row r="867" spans="1:5" x14ac:dyDescent="0.2">
      <c r="A867" s="226" t="s">
        <v>1189</v>
      </c>
      <c r="B867" s="226" t="s">
        <v>1190</v>
      </c>
      <c r="C867" s="226" t="s">
        <v>1194</v>
      </c>
      <c r="D867" s="226" t="s">
        <v>174</v>
      </c>
      <c r="E867" s="226" t="s">
        <v>1192</v>
      </c>
    </row>
    <row r="868" spans="1:5" x14ac:dyDescent="0.2">
      <c r="A868" s="226" t="s">
        <v>1189</v>
      </c>
      <c r="B868" s="227" t="s">
        <v>1190</v>
      </c>
      <c r="C868" s="227" t="s">
        <v>1195</v>
      </c>
      <c r="D868" s="226" t="s">
        <v>174</v>
      </c>
      <c r="E868" s="226" t="s">
        <v>1192</v>
      </c>
    </row>
    <row r="869" spans="1:5" x14ac:dyDescent="0.2">
      <c r="A869" s="226" t="s">
        <v>1189</v>
      </c>
      <c r="B869" s="227" t="s">
        <v>1190</v>
      </c>
      <c r="C869" s="227" t="s">
        <v>1196</v>
      </c>
      <c r="D869" s="226" t="s">
        <v>174</v>
      </c>
      <c r="E869" s="226" t="s">
        <v>1192</v>
      </c>
    </row>
    <row r="870" spans="1:5" x14ac:dyDescent="0.2">
      <c r="A870" s="226" t="s">
        <v>1189</v>
      </c>
      <c r="B870" s="226" t="s">
        <v>1197</v>
      </c>
      <c r="C870" s="226" t="s">
        <v>1198</v>
      </c>
      <c r="D870" s="226" t="s">
        <v>174</v>
      </c>
      <c r="E870" s="226" t="s">
        <v>177</v>
      </c>
    </row>
    <row r="871" spans="1:5" x14ac:dyDescent="0.2">
      <c r="A871" s="226" t="s">
        <v>1189</v>
      </c>
      <c r="B871" s="226" t="s">
        <v>1197</v>
      </c>
      <c r="C871" s="226" t="s">
        <v>1199</v>
      </c>
      <c r="D871" s="226" t="s">
        <v>174</v>
      </c>
      <c r="E871" s="226" t="s">
        <v>177</v>
      </c>
    </row>
    <row r="872" spans="1:5" x14ac:dyDescent="0.2">
      <c r="A872" s="226" t="s">
        <v>1189</v>
      </c>
      <c r="B872" s="226" t="s">
        <v>1197</v>
      </c>
      <c r="C872" s="226" t="s">
        <v>1200</v>
      </c>
      <c r="D872" s="226" t="s">
        <v>174</v>
      </c>
      <c r="E872" s="226" t="s">
        <v>177</v>
      </c>
    </row>
    <row r="873" spans="1:5" x14ac:dyDescent="0.2">
      <c r="A873" s="226" t="s">
        <v>1189</v>
      </c>
      <c r="B873" s="227" t="s">
        <v>1197</v>
      </c>
      <c r="C873" s="227" t="s">
        <v>1201</v>
      </c>
      <c r="D873" s="226" t="s">
        <v>174</v>
      </c>
      <c r="E873" s="226" t="s">
        <v>177</v>
      </c>
    </row>
    <row r="874" spans="1:5" x14ac:dyDescent="0.2">
      <c r="A874" s="226" t="s">
        <v>1189</v>
      </c>
      <c r="B874" s="227" t="s">
        <v>1197</v>
      </c>
      <c r="C874" s="227" t="s">
        <v>1202</v>
      </c>
      <c r="D874" s="226" t="s">
        <v>174</v>
      </c>
      <c r="E874" s="226" t="s">
        <v>177</v>
      </c>
    </row>
    <row r="875" spans="1:5" x14ac:dyDescent="0.2">
      <c r="A875" s="226" t="s">
        <v>1189</v>
      </c>
      <c r="B875" s="227" t="s">
        <v>1197</v>
      </c>
      <c r="C875" s="227" t="s">
        <v>1203</v>
      </c>
      <c r="D875" s="226" t="s">
        <v>174</v>
      </c>
      <c r="E875" s="226" t="s">
        <v>177</v>
      </c>
    </row>
    <row r="876" spans="1:5" x14ac:dyDescent="0.2">
      <c r="A876" s="226" t="s">
        <v>1189</v>
      </c>
      <c r="B876" s="227" t="s">
        <v>1197</v>
      </c>
      <c r="C876" s="227" t="s">
        <v>1204</v>
      </c>
      <c r="D876" s="226" t="s">
        <v>174</v>
      </c>
      <c r="E876" s="226" t="s">
        <v>177</v>
      </c>
    </row>
    <row r="877" spans="1:5" x14ac:dyDescent="0.2">
      <c r="A877" s="226" t="s">
        <v>1189</v>
      </c>
      <c r="B877" s="227" t="s">
        <v>1197</v>
      </c>
      <c r="C877" s="227" t="s">
        <v>1205</v>
      </c>
      <c r="D877" s="226" t="s">
        <v>174</v>
      </c>
      <c r="E877" s="226" t="s">
        <v>177</v>
      </c>
    </row>
    <row r="878" spans="1:5" x14ac:dyDescent="0.2">
      <c r="A878" s="226" t="s">
        <v>1189</v>
      </c>
      <c r="B878" s="227" t="s">
        <v>1197</v>
      </c>
      <c r="C878" s="227" t="s">
        <v>1206</v>
      </c>
      <c r="D878" s="226" t="s">
        <v>174</v>
      </c>
      <c r="E878" s="226" t="s">
        <v>177</v>
      </c>
    </row>
    <row r="879" spans="1:5" x14ac:dyDescent="0.2">
      <c r="A879" s="226" t="s">
        <v>1189</v>
      </c>
      <c r="B879" s="226" t="s">
        <v>1197</v>
      </c>
      <c r="C879" s="226" t="s">
        <v>1207</v>
      </c>
      <c r="D879" s="226" t="s">
        <v>174</v>
      </c>
      <c r="E879" s="226" t="s">
        <v>177</v>
      </c>
    </row>
    <row r="880" spans="1:5" x14ac:dyDescent="0.2">
      <c r="A880" s="226" t="s">
        <v>1189</v>
      </c>
      <c r="B880" s="227" t="s">
        <v>1197</v>
      </c>
      <c r="C880" s="227" t="s">
        <v>1208</v>
      </c>
      <c r="D880" s="226" t="s">
        <v>174</v>
      </c>
      <c r="E880" s="226" t="s">
        <v>177</v>
      </c>
    </row>
    <row r="881" spans="1:5" x14ac:dyDescent="0.2">
      <c r="A881" s="226" t="s">
        <v>1189</v>
      </c>
      <c r="B881" s="227" t="s">
        <v>1197</v>
      </c>
      <c r="C881" s="227" t="s">
        <v>1209</v>
      </c>
      <c r="D881" s="226" t="s">
        <v>174</v>
      </c>
      <c r="E881" s="226" t="s">
        <v>177</v>
      </c>
    </row>
    <row r="882" spans="1:5" x14ac:dyDescent="0.2">
      <c r="A882" s="226" t="s">
        <v>1189</v>
      </c>
      <c r="B882" s="227" t="s">
        <v>1197</v>
      </c>
      <c r="C882" s="227" t="s">
        <v>1210</v>
      </c>
      <c r="D882" s="226" t="s">
        <v>174</v>
      </c>
      <c r="E882" s="226" t="s">
        <v>177</v>
      </c>
    </row>
    <row r="883" spans="1:5" x14ac:dyDescent="0.2">
      <c r="A883" s="226" t="s">
        <v>1189</v>
      </c>
      <c r="B883" s="227" t="s">
        <v>1197</v>
      </c>
      <c r="C883" s="227" t="s">
        <v>1211</v>
      </c>
      <c r="D883" s="226" t="s">
        <v>174</v>
      </c>
      <c r="E883" s="226" t="s">
        <v>177</v>
      </c>
    </row>
    <row r="884" spans="1:5" x14ac:dyDescent="0.2">
      <c r="A884" s="226" t="s">
        <v>1189</v>
      </c>
      <c r="B884" s="226" t="s">
        <v>1212</v>
      </c>
      <c r="C884" s="226" t="s">
        <v>1213</v>
      </c>
      <c r="D884" s="226" t="s">
        <v>174</v>
      </c>
      <c r="E884" s="226" t="s">
        <v>178</v>
      </c>
    </row>
    <row r="885" spans="1:5" x14ac:dyDescent="0.2">
      <c r="A885" s="226" t="s">
        <v>1189</v>
      </c>
      <c r="B885" s="226" t="s">
        <v>1212</v>
      </c>
      <c r="C885" s="226" t="s">
        <v>1214</v>
      </c>
      <c r="D885" s="226" t="s">
        <v>174</v>
      </c>
      <c r="E885" s="226" t="s">
        <v>178</v>
      </c>
    </row>
    <row r="886" spans="1:5" x14ac:dyDescent="0.2">
      <c r="A886" s="226" t="s">
        <v>1189</v>
      </c>
      <c r="B886" s="226" t="s">
        <v>1212</v>
      </c>
      <c r="C886" s="226" t="s">
        <v>1215</v>
      </c>
      <c r="D886" s="226" t="s">
        <v>174</v>
      </c>
      <c r="E886" s="226" t="s">
        <v>178</v>
      </c>
    </row>
    <row r="887" spans="1:5" x14ac:dyDescent="0.2">
      <c r="A887" s="226" t="s">
        <v>1189</v>
      </c>
      <c r="B887" s="227" t="s">
        <v>1212</v>
      </c>
      <c r="C887" s="227" t="s">
        <v>1216</v>
      </c>
      <c r="D887" s="226" t="s">
        <v>174</v>
      </c>
      <c r="E887" s="226" t="s">
        <v>178</v>
      </c>
    </row>
    <row r="888" spans="1:5" x14ac:dyDescent="0.2">
      <c r="A888" s="226" t="s">
        <v>1189</v>
      </c>
      <c r="B888" s="227" t="s">
        <v>1212</v>
      </c>
      <c r="C888" s="227" t="s">
        <v>1217</v>
      </c>
      <c r="D888" s="226" t="s">
        <v>174</v>
      </c>
      <c r="E888" s="226" t="s">
        <v>178</v>
      </c>
    </row>
    <row r="889" spans="1:5" x14ac:dyDescent="0.2">
      <c r="A889" s="226" t="s">
        <v>1189</v>
      </c>
      <c r="B889" s="227" t="s">
        <v>1212</v>
      </c>
      <c r="C889" s="227" t="s">
        <v>1218</v>
      </c>
      <c r="D889" s="226" t="s">
        <v>174</v>
      </c>
      <c r="E889" s="226" t="s">
        <v>178</v>
      </c>
    </row>
    <row r="890" spans="1:5" x14ac:dyDescent="0.2">
      <c r="A890" s="226" t="s">
        <v>1189</v>
      </c>
      <c r="B890" s="227" t="s">
        <v>1212</v>
      </c>
      <c r="C890" s="227" t="s">
        <v>1219</v>
      </c>
      <c r="D890" s="226" t="s">
        <v>174</v>
      </c>
      <c r="E890" s="226" t="s">
        <v>178</v>
      </c>
    </row>
    <row r="891" spans="1:5" x14ac:dyDescent="0.2">
      <c r="A891" s="226" t="s">
        <v>1189</v>
      </c>
      <c r="B891" s="227" t="s">
        <v>1212</v>
      </c>
      <c r="C891" s="227" t="s">
        <v>1220</v>
      </c>
      <c r="D891" s="226" t="s">
        <v>174</v>
      </c>
      <c r="E891" s="226" t="s">
        <v>178</v>
      </c>
    </row>
    <row r="892" spans="1:5" x14ac:dyDescent="0.2">
      <c r="A892" s="226" t="s">
        <v>1189</v>
      </c>
      <c r="B892" s="227" t="s">
        <v>1212</v>
      </c>
      <c r="C892" s="227" t="s">
        <v>1221</v>
      </c>
      <c r="D892" s="226" t="s">
        <v>174</v>
      </c>
      <c r="E892" s="226" t="s">
        <v>178</v>
      </c>
    </row>
    <row r="893" spans="1:5" x14ac:dyDescent="0.2">
      <c r="A893" s="226" t="s">
        <v>1189</v>
      </c>
      <c r="B893" s="227" t="s">
        <v>1212</v>
      </c>
      <c r="C893" s="227" t="s">
        <v>1222</v>
      </c>
      <c r="D893" s="226" t="s">
        <v>174</v>
      </c>
      <c r="E893" s="226" t="s">
        <v>178</v>
      </c>
    </row>
    <row r="894" spans="1:5" x14ac:dyDescent="0.2">
      <c r="A894" s="226" t="s">
        <v>1189</v>
      </c>
      <c r="B894" s="227" t="s">
        <v>1212</v>
      </c>
      <c r="C894" s="227" t="s">
        <v>1223</v>
      </c>
      <c r="D894" s="226" t="s">
        <v>174</v>
      </c>
      <c r="E894" s="226" t="s">
        <v>178</v>
      </c>
    </row>
    <row r="895" spans="1:5" x14ac:dyDescent="0.2">
      <c r="A895" s="226" t="s">
        <v>1189</v>
      </c>
      <c r="B895" s="227" t="s">
        <v>1212</v>
      </c>
      <c r="C895" s="227" t="s">
        <v>1224</v>
      </c>
      <c r="D895" s="226" t="s">
        <v>174</v>
      </c>
      <c r="E895" s="226" t="s">
        <v>178</v>
      </c>
    </row>
    <row r="896" spans="1:5" x14ac:dyDescent="0.2">
      <c r="A896" s="226" t="s">
        <v>1189</v>
      </c>
      <c r="B896" s="227" t="s">
        <v>1212</v>
      </c>
      <c r="C896" s="227" t="s">
        <v>1225</v>
      </c>
      <c r="D896" s="226" t="s">
        <v>174</v>
      </c>
      <c r="E896" s="226" t="s">
        <v>178</v>
      </c>
    </row>
    <row r="897" spans="1:5" x14ac:dyDescent="0.2">
      <c r="A897" s="226" t="s">
        <v>1189</v>
      </c>
      <c r="B897" s="227" t="s">
        <v>1212</v>
      </c>
      <c r="C897" s="227" t="s">
        <v>1226</v>
      </c>
      <c r="D897" s="226" t="s">
        <v>174</v>
      </c>
      <c r="E897" s="226" t="s">
        <v>178</v>
      </c>
    </row>
    <row r="898" spans="1:5" x14ac:dyDescent="0.2">
      <c r="A898" s="226" t="s">
        <v>1189</v>
      </c>
      <c r="B898" s="227" t="s">
        <v>1212</v>
      </c>
      <c r="C898" s="227" t="s">
        <v>1227</v>
      </c>
      <c r="D898" s="226" t="s">
        <v>174</v>
      </c>
      <c r="E898" s="226" t="s">
        <v>178</v>
      </c>
    </row>
    <row r="899" spans="1:5" x14ac:dyDescent="0.2">
      <c r="A899" s="226" t="s">
        <v>1189</v>
      </c>
      <c r="B899" s="227" t="s">
        <v>1212</v>
      </c>
      <c r="C899" s="227" t="s">
        <v>1228</v>
      </c>
      <c r="D899" s="226" t="s">
        <v>174</v>
      </c>
      <c r="E899" s="226" t="s">
        <v>178</v>
      </c>
    </row>
    <row r="900" spans="1:5" x14ac:dyDescent="0.2">
      <c r="A900" s="226" t="s">
        <v>1189</v>
      </c>
      <c r="B900" s="226" t="s">
        <v>1212</v>
      </c>
      <c r="C900" s="226" t="s">
        <v>1229</v>
      </c>
      <c r="D900" s="226" t="s">
        <v>174</v>
      </c>
      <c r="E900" s="226" t="s">
        <v>178</v>
      </c>
    </row>
    <row r="901" spans="1:5" x14ac:dyDescent="0.2">
      <c r="A901" s="226" t="s">
        <v>1189</v>
      </c>
      <c r="B901" s="227" t="s">
        <v>1212</v>
      </c>
      <c r="C901" s="227" t="s">
        <v>1230</v>
      </c>
      <c r="D901" s="226" t="s">
        <v>174</v>
      </c>
      <c r="E901" s="226" t="s">
        <v>178</v>
      </c>
    </row>
    <row r="902" spans="1:5" x14ac:dyDescent="0.2">
      <c r="A902" s="226" t="s">
        <v>1189</v>
      </c>
      <c r="B902" s="226" t="s">
        <v>1231</v>
      </c>
      <c r="C902" s="226" t="s">
        <v>1232</v>
      </c>
      <c r="D902" s="226" t="s">
        <v>174</v>
      </c>
      <c r="E902" s="226" t="s">
        <v>1192</v>
      </c>
    </row>
    <row r="903" spans="1:5" x14ac:dyDescent="0.2">
      <c r="A903" s="226" t="s">
        <v>1189</v>
      </c>
      <c r="B903" s="226" t="s">
        <v>1231</v>
      </c>
      <c r="C903" s="226" t="s">
        <v>1233</v>
      </c>
      <c r="D903" s="226" t="s">
        <v>174</v>
      </c>
      <c r="E903" s="226" t="s">
        <v>1192</v>
      </c>
    </row>
    <row r="904" spans="1:5" x14ac:dyDescent="0.2">
      <c r="A904" s="226" t="s">
        <v>1189</v>
      </c>
      <c r="B904" s="226" t="s">
        <v>1231</v>
      </c>
      <c r="C904" s="226" t="s">
        <v>1234</v>
      </c>
      <c r="D904" s="226" t="s">
        <v>174</v>
      </c>
      <c r="E904" s="226" t="s">
        <v>1192</v>
      </c>
    </row>
    <row r="905" spans="1:5" x14ac:dyDescent="0.2">
      <c r="A905" s="226" t="s">
        <v>1189</v>
      </c>
      <c r="B905" s="227" t="s">
        <v>1231</v>
      </c>
      <c r="C905" s="227" t="s">
        <v>1235</v>
      </c>
      <c r="D905" s="226" t="s">
        <v>174</v>
      </c>
      <c r="E905" s="226" t="s">
        <v>1192</v>
      </c>
    </row>
    <row r="906" spans="1:5" x14ac:dyDescent="0.2">
      <c r="A906" s="226" t="s">
        <v>1189</v>
      </c>
      <c r="B906" s="227" t="s">
        <v>1231</v>
      </c>
      <c r="C906" s="227" t="s">
        <v>1236</v>
      </c>
      <c r="D906" s="226" t="s">
        <v>174</v>
      </c>
      <c r="E906" s="226" t="s">
        <v>1192</v>
      </c>
    </row>
    <row r="907" spans="1:5" x14ac:dyDescent="0.2">
      <c r="A907" s="226" t="s">
        <v>1189</v>
      </c>
      <c r="B907" s="227" t="s">
        <v>1231</v>
      </c>
      <c r="C907" s="227" t="s">
        <v>1237</v>
      </c>
      <c r="D907" s="226" t="s">
        <v>174</v>
      </c>
      <c r="E907" s="226" t="s">
        <v>1192</v>
      </c>
    </row>
    <row r="908" spans="1:5" x14ac:dyDescent="0.2">
      <c r="A908" s="226" t="s">
        <v>1189</v>
      </c>
      <c r="B908" s="227" t="s">
        <v>1231</v>
      </c>
      <c r="C908" s="227" t="s">
        <v>1238</v>
      </c>
      <c r="D908" s="226" t="s">
        <v>174</v>
      </c>
      <c r="E908" s="226" t="s">
        <v>1192</v>
      </c>
    </row>
    <row r="909" spans="1:5" x14ac:dyDescent="0.2">
      <c r="A909" s="226" t="s">
        <v>1189</v>
      </c>
      <c r="B909" s="227" t="s">
        <v>1231</v>
      </c>
      <c r="C909" s="227" t="s">
        <v>1239</v>
      </c>
      <c r="D909" s="226" t="s">
        <v>174</v>
      </c>
      <c r="E909" s="226" t="s">
        <v>1192</v>
      </c>
    </row>
    <row r="910" spans="1:5" x14ac:dyDescent="0.2">
      <c r="A910" s="226" t="s">
        <v>1189</v>
      </c>
      <c r="B910" s="227" t="s">
        <v>1231</v>
      </c>
      <c r="C910" s="227" t="s">
        <v>1240</v>
      </c>
      <c r="D910" s="226" t="s">
        <v>174</v>
      </c>
      <c r="E910" s="226" t="s">
        <v>176</v>
      </c>
    </row>
    <row r="911" spans="1:5" x14ac:dyDescent="0.2">
      <c r="A911" s="226" t="s">
        <v>1189</v>
      </c>
      <c r="B911" s="227" t="s">
        <v>1231</v>
      </c>
      <c r="C911" s="227" t="s">
        <v>1241</v>
      </c>
      <c r="D911" s="226" t="s">
        <v>174</v>
      </c>
      <c r="E911" s="226" t="s">
        <v>176</v>
      </c>
    </row>
    <row r="912" spans="1:5" x14ac:dyDescent="0.2">
      <c r="A912" s="226" t="s">
        <v>1189</v>
      </c>
      <c r="B912" s="227" t="s">
        <v>1231</v>
      </c>
      <c r="C912" s="227" t="s">
        <v>1242</v>
      </c>
      <c r="D912" s="226" t="s">
        <v>174</v>
      </c>
      <c r="E912" s="226" t="s">
        <v>176</v>
      </c>
    </row>
    <row r="913" spans="1:5" x14ac:dyDescent="0.2">
      <c r="A913" s="226" t="s">
        <v>1189</v>
      </c>
      <c r="B913" s="227" t="s">
        <v>1231</v>
      </c>
      <c r="C913" s="227" t="s">
        <v>1243</v>
      </c>
      <c r="D913" s="226" t="s">
        <v>174</v>
      </c>
      <c r="E913" s="226" t="s">
        <v>1192</v>
      </c>
    </row>
    <row r="914" spans="1:5" x14ac:dyDescent="0.2">
      <c r="A914" s="226" t="s">
        <v>1189</v>
      </c>
      <c r="B914" s="227" t="s">
        <v>1231</v>
      </c>
      <c r="C914" s="227" t="s">
        <v>1244</v>
      </c>
      <c r="D914" s="226" t="s">
        <v>174</v>
      </c>
      <c r="E914" s="226" t="s">
        <v>1192</v>
      </c>
    </row>
    <row r="915" spans="1:5" x14ac:dyDescent="0.2">
      <c r="A915" s="226" t="s">
        <v>1189</v>
      </c>
      <c r="B915" s="226" t="s">
        <v>1231</v>
      </c>
      <c r="C915" s="226" t="s">
        <v>1245</v>
      </c>
      <c r="D915" s="226" t="s">
        <v>174</v>
      </c>
      <c r="E915" s="226" t="s">
        <v>1192</v>
      </c>
    </row>
    <row r="916" spans="1:5" x14ac:dyDescent="0.2">
      <c r="A916" s="226" t="s">
        <v>1189</v>
      </c>
      <c r="B916" s="226" t="s">
        <v>1231</v>
      </c>
      <c r="C916" s="226" t="s">
        <v>1246</v>
      </c>
      <c r="D916" s="226" t="s">
        <v>174</v>
      </c>
      <c r="E916" s="226" t="s">
        <v>1192</v>
      </c>
    </row>
    <row r="917" spans="1:5" x14ac:dyDescent="0.2">
      <c r="A917" s="226" t="s">
        <v>1189</v>
      </c>
      <c r="B917" s="227" t="s">
        <v>1231</v>
      </c>
      <c r="C917" s="227" t="s">
        <v>1247</v>
      </c>
      <c r="D917" s="226" t="s">
        <v>174</v>
      </c>
      <c r="E917" s="226" t="s">
        <v>1192</v>
      </c>
    </row>
    <row r="918" spans="1:5" x14ac:dyDescent="0.2">
      <c r="A918" s="226" t="s">
        <v>1189</v>
      </c>
      <c r="B918" s="226" t="s">
        <v>1231</v>
      </c>
      <c r="C918" s="226" t="s">
        <v>1248</v>
      </c>
      <c r="D918" s="226" t="s">
        <v>174</v>
      </c>
      <c r="E918" s="226" t="s">
        <v>1192</v>
      </c>
    </row>
    <row r="919" spans="1:5" x14ac:dyDescent="0.2">
      <c r="A919" s="226" t="s">
        <v>1189</v>
      </c>
      <c r="B919" s="227" t="s">
        <v>1231</v>
      </c>
      <c r="C919" s="227" t="s">
        <v>1249</v>
      </c>
      <c r="D919" s="226" t="s">
        <v>174</v>
      </c>
      <c r="E919" s="226" t="s">
        <v>1192</v>
      </c>
    </row>
    <row r="920" spans="1:5" x14ac:dyDescent="0.2">
      <c r="A920" s="226" t="s">
        <v>1189</v>
      </c>
      <c r="B920" s="227" t="s">
        <v>1231</v>
      </c>
      <c r="C920" s="227" t="s">
        <v>1250</v>
      </c>
      <c r="D920" s="226" t="s">
        <v>174</v>
      </c>
      <c r="E920" s="226" t="s">
        <v>1192</v>
      </c>
    </row>
    <row r="921" spans="1:5" x14ac:dyDescent="0.2">
      <c r="A921" s="226" t="s">
        <v>1189</v>
      </c>
      <c r="B921" s="227" t="s">
        <v>1231</v>
      </c>
      <c r="C921" s="227" t="s">
        <v>1251</v>
      </c>
      <c r="D921" s="226" t="s">
        <v>174</v>
      </c>
      <c r="E921" s="226" t="s">
        <v>1192</v>
      </c>
    </row>
    <row r="922" spans="1:5" x14ac:dyDescent="0.2">
      <c r="A922" s="226" t="s">
        <v>1189</v>
      </c>
      <c r="B922" s="227" t="s">
        <v>1231</v>
      </c>
      <c r="C922" s="227" t="s">
        <v>1252</v>
      </c>
      <c r="D922" s="226" t="s">
        <v>174</v>
      </c>
      <c r="E922" s="226" t="s">
        <v>1192</v>
      </c>
    </row>
    <row r="923" spans="1:5" x14ac:dyDescent="0.2">
      <c r="A923" s="226" t="s">
        <v>1189</v>
      </c>
      <c r="B923" s="227" t="s">
        <v>1231</v>
      </c>
      <c r="C923" s="227" t="s">
        <v>1253</v>
      </c>
      <c r="D923" s="226" t="s">
        <v>174</v>
      </c>
      <c r="E923" s="226" t="s">
        <v>1192</v>
      </c>
    </row>
    <row r="924" spans="1:5" x14ac:dyDescent="0.2">
      <c r="A924" s="226" t="s">
        <v>1189</v>
      </c>
      <c r="B924" s="227" t="s">
        <v>1231</v>
      </c>
      <c r="C924" s="227" t="s">
        <v>1254</v>
      </c>
      <c r="D924" s="226" t="s">
        <v>174</v>
      </c>
      <c r="E924" s="226" t="s">
        <v>1192</v>
      </c>
    </row>
    <row r="925" spans="1:5" x14ac:dyDescent="0.2">
      <c r="A925" s="226" t="s">
        <v>1189</v>
      </c>
      <c r="B925" s="226" t="s">
        <v>1255</v>
      </c>
      <c r="C925" s="226" t="s">
        <v>1256</v>
      </c>
      <c r="D925" s="226" t="s">
        <v>174</v>
      </c>
      <c r="E925" s="226" t="s">
        <v>1192</v>
      </c>
    </row>
    <row r="926" spans="1:5" x14ac:dyDescent="0.2">
      <c r="A926" s="226" t="s">
        <v>1189</v>
      </c>
      <c r="B926" s="226" t="s">
        <v>1255</v>
      </c>
      <c r="C926" s="226" t="s">
        <v>1257</v>
      </c>
      <c r="D926" s="226" t="s">
        <v>174</v>
      </c>
      <c r="E926" s="226" t="s">
        <v>1192</v>
      </c>
    </row>
    <row r="927" spans="1:5" x14ac:dyDescent="0.2">
      <c r="A927" s="226" t="s">
        <v>1189</v>
      </c>
      <c r="B927" s="226" t="s">
        <v>1255</v>
      </c>
      <c r="C927" s="226" t="s">
        <v>1258</v>
      </c>
      <c r="D927" s="226" t="s">
        <v>174</v>
      </c>
      <c r="E927" s="226" t="s">
        <v>1192</v>
      </c>
    </row>
    <row r="928" spans="1:5" x14ac:dyDescent="0.2">
      <c r="A928" s="226" t="s">
        <v>1189</v>
      </c>
      <c r="B928" s="227" t="s">
        <v>1255</v>
      </c>
      <c r="C928" s="227" t="s">
        <v>1259</v>
      </c>
      <c r="D928" s="226" t="s">
        <v>174</v>
      </c>
      <c r="E928" s="226" t="s">
        <v>1192</v>
      </c>
    </row>
    <row r="929" spans="1:5" x14ac:dyDescent="0.2">
      <c r="A929" s="226" t="s">
        <v>1189</v>
      </c>
      <c r="B929" s="227" t="s">
        <v>1255</v>
      </c>
      <c r="C929" s="227" t="s">
        <v>1260</v>
      </c>
      <c r="D929" s="226" t="s">
        <v>174</v>
      </c>
      <c r="E929" s="226" t="s">
        <v>1192</v>
      </c>
    </row>
    <row r="930" spans="1:5" x14ac:dyDescent="0.2">
      <c r="A930" s="226" t="s">
        <v>1189</v>
      </c>
      <c r="B930" s="227" t="s">
        <v>1255</v>
      </c>
      <c r="C930" s="227" t="s">
        <v>1261</v>
      </c>
      <c r="D930" s="226" t="s">
        <v>174</v>
      </c>
      <c r="E930" s="226" t="s">
        <v>1192</v>
      </c>
    </row>
    <row r="931" spans="1:5" x14ac:dyDescent="0.2">
      <c r="A931" s="226" t="s">
        <v>1189</v>
      </c>
      <c r="B931" s="227" t="s">
        <v>1255</v>
      </c>
      <c r="C931" s="227" t="s">
        <v>1262</v>
      </c>
      <c r="D931" s="226" t="s">
        <v>174</v>
      </c>
      <c r="E931" s="226" t="s">
        <v>1192</v>
      </c>
    </row>
    <row r="932" spans="1:5" x14ac:dyDescent="0.2">
      <c r="A932" s="226" t="s">
        <v>1189</v>
      </c>
      <c r="B932" s="227" t="s">
        <v>1255</v>
      </c>
      <c r="C932" s="227" t="s">
        <v>1263</v>
      </c>
      <c r="D932" s="226" t="s">
        <v>174</v>
      </c>
      <c r="E932" s="226" t="s">
        <v>1192</v>
      </c>
    </row>
    <row r="933" spans="1:5" x14ac:dyDescent="0.2">
      <c r="A933" s="226" t="s">
        <v>1189</v>
      </c>
      <c r="B933" s="227" t="s">
        <v>1255</v>
      </c>
      <c r="C933" s="227" t="s">
        <v>1264</v>
      </c>
      <c r="D933" s="226" t="s">
        <v>174</v>
      </c>
      <c r="E933" s="226" t="s">
        <v>1192</v>
      </c>
    </row>
    <row r="934" spans="1:5" x14ac:dyDescent="0.2">
      <c r="A934" s="226" t="s">
        <v>1189</v>
      </c>
      <c r="B934" s="227" t="s">
        <v>1255</v>
      </c>
      <c r="C934" s="227" t="s">
        <v>1265</v>
      </c>
      <c r="D934" s="226" t="s">
        <v>174</v>
      </c>
      <c r="E934" s="226" t="s">
        <v>1192</v>
      </c>
    </row>
    <row r="935" spans="1:5" x14ac:dyDescent="0.2">
      <c r="A935" s="226" t="s">
        <v>1189</v>
      </c>
      <c r="B935" s="226" t="s">
        <v>1255</v>
      </c>
      <c r="C935" s="226" t="s">
        <v>1266</v>
      </c>
      <c r="D935" s="226" t="s">
        <v>174</v>
      </c>
      <c r="E935" s="226" t="s">
        <v>1192</v>
      </c>
    </row>
    <row r="936" spans="1:5" x14ac:dyDescent="0.2">
      <c r="A936" s="226" t="s">
        <v>1189</v>
      </c>
      <c r="B936" s="227" t="s">
        <v>1255</v>
      </c>
      <c r="C936" s="227" t="s">
        <v>1267</v>
      </c>
      <c r="D936" s="226" t="s">
        <v>174</v>
      </c>
      <c r="E936" s="226" t="s">
        <v>1192</v>
      </c>
    </row>
    <row r="937" spans="1:5" x14ac:dyDescent="0.2">
      <c r="A937" s="226" t="s">
        <v>1189</v>
      </c>
      <c r="B937" s="227" t="s">
        <v>1255</v>
      </c>
      <c r="C937" s="227" t="s">
        <v>1268</v>
      </c>
      <c r="D937" s="226" t="s">
        <v>174</v>
      </c>
      <c r="E937" s="226" t="s">
        <v>1192</v>
      </c>
    </row>
    <row r="938" spans="1:5" x14ac:dyDescent="0.2">
      <c r="A938" s="226" t="s">
        <v>1189</v>
      </c>
      <c r="B938" s="227" t="s">
        <v>1255</v>
      </c>
      <c r="C938" s="227" t="s">
        <v>1269</v>
      </c>
      <c r="D938" s="226" t="s">
        <v>174</v>
      </c>
      <c r="E938" s="226" t="s">
        <v>1192</v>
      </c>
    </row>
    <row r="939" spans="1:5" x14ac:dyDescent="0.2">
      <c r="A939" s="226" t="s">
        <v>1189</v>
      </c>
      <c r="B939" s="227" t="s">
        <v>1255</v>
      </c>
      <c r="C939" s="227" t="s">
        <v>1270</v>
      </c>
      <c r="D939" s="226" t="s">
        <v>174</v>
      </c>
      <c r="E939" s="226" t="s">
        <v>1192</v>
      </c>
    </row>
    <row r="940" spans="1:5" x14ac:dyDescent="0.2">
      <c r="A940" s="226" t="s">
        <v>1189</v>
      </c>
      <c r="B940" s="227" t="s">
        <v>1255</v>
      </c>
      <c r="C940" s="227" t="s">
        <v>1271</v>
      </c>
      <c r="D940" s="226" t="s">
        <v>174</v>
      </c>
      <c r="E940" s="226" t="s">
        <v>1192</v>
      </c>
    </row>
    <row r="941" spans="1:5" x14ac:dyDescent="0.2">
      <c r="A941" s="226" t="s">
        <v>1189</v>
      </c>
      <c r="B941" s="226" t="s">
        <v>1272</v>
      </c>
      <c r="C941" s="226" t="s">
        <v>1273</v>
      </c>
      <c r="D941" s="226" t="s">
        <v>174</v>
      </c>
      <c r="E941" s="226" t="s">
        <v>1192</v>
      </c>
    </row>
    <row r="942" spans="1:5" x14ac:dyDescent="0.2">
      <c r="A942" s="226" t="s">
        <v>1189</v>
      </c>
      <c r="B942" s="226" t="s">
        <v>1272</v>
      </c>
      <c r="C942" s="226" t="s">
        <v>1274</v>
      </c>
      <c r="D942" s="226" t="s">
        <v>174</v>
      </c>
      <c r="E942" s="226" t="s">
        <v>1192</v>
      </c>
    </row>
    <row r="943" spans="1:5" x14ac:dyDescent="0.2">
      <c r="A943" s="226" t="s">
        <v>1189</v>
      </c>
      <c r="B943" s="226" t="s">
        <v>1272</v>
      </c>
      <c r="C943" s="226" t="s">
        <v>1275</v>
      </c>
      <c r="D943" s="226" t="s">
        <v>174</v>
      </c>
      <c r="E943" s="226" t="s">
        <v>1192</v>
      </c>
    </row>
    <row r="944" spans="1:5" x14ac:dyDescent="0.2">
      <c r="A944" s="226" t="s">
        <v>1189</v>
      </c>
      <c r="B944" s="227" t="s">
        <v>1272</v>
      </c>
      <c r="C944" s="227" t="s">
        <v>1276</v>
      </c>
      <c r="D944" s="226" t="s">
        <v>174</v>
      </c>
      <c r="E944" s="226" t="s">
        <v>1192</v>
      </c>
    </row>
    <row r="945" spans="1:5" x14ac:dyDescent="0.2">
      <c r="A945" s="226" t="s">
        <v>1189</v>
      </c>
      <c r="B945" s="227" t="s">
        <v>1272</v>
      </c>
      <c r="C945" s="227" t="s">
        <v>1277</v>
      </c>
      <c r="D945" s="226" t="s">
        <v>174</v>
      </c>
      <c r="E945" s="226" t="s">
        <v>1192</v>
      </c>
    </row>
    <row r="946" spans="1:5" x14ac:dyDescent="0.2">
      <c r="A946" s="226" t="s">
        <v>1189</v>
      </c>
      <c r="B946" s="227" t="s">
        <v>1272</v>
      </c>
      <c r="C946" s="227" t="s">
        <v>1278</v>
      </c>
      <c r="D946" s="226" t="s">
        <v>174</v>
      </c>
      <c r="E946" s="226" t="s">
        <v>1192</v>
      </c>
    </row>
    <row r="947" spans="1:5" x14ac:dyDescent="0.2">
      <c r="A947" s="226" t="s">
        <v>1189</v>
      </c>
      <c r="B947" s="227" t="s">
        <v>1272</v>
      </c>
      <c r="C947" s="227" t="s">
        <v>1279</v>
      </c>
      <c r="D947" s="226" t="s">
        <v>174</v>
      </c>
      <c r="E947" s="226" t="s">
        <v>1192</v>
      </c>
    </row>
    <row r="948" spans="1:5" x14ac:dyDescent="0.2">
      <c r="A948" s="226" t="s">
        <v>1189</v>
      </c>
      <c r="B948" s="227" t="s">
        <v>1272</v>
      </c>
      <c r="C948" s="227" t="s">
        <v>1280</v>
      </c>
      <c r="D948" s="226" t="s">
        <v>174</v>
      </c>
      <c r="E948" s="226" t="s">
        <v>1192</v>
      </c>
    </row>
    <row r="949" spans="1:5" x14ac:dyDescent="0.2">
      <c r="A949" s="226" t="s">
        <v>1189</v>
      </c>
      <c r="B949" s="227" t="s">
        <v>1272</v>
      </c>
      <c r="C949" s="227" t="s">
        <v>1281</v>
      </c>
      <c r="D949" s="226" t="s">
        <v>174</v>
      </c>
      <c r="E949" s="226" t="s">
        <v>1192</v>
      </c>
    </row>
    <row r="950" spans="1:5" x14ac:dyDescent="0.2">
      <c r="A950" s="226" t="s">
        <v>1189</v>
      </c>
      <c r="B950" s="227" t="s">
        <v>1272</v>
      </c>
      <c r="C950" s="227" t="s">
        <v>1282</v>
      </c>
      <c r="D950" s="226" t="s">
        <v>174</v>
      </c>
      <c r="E950" s="226" t="s">
        <v>1192</v>
      </c>
    </row>
    <row r="951" spans="1:5" x14ac:dyDescent="0.2">
      <c r="A951" s="226" t="s">
        <v>1189</v>
      </c>
      <c r="B951" s="227" t="s">
        <v>1272</v>
      </c>
      <c r="C951" s="227" t="s">
        <v>1283</v>
      </c>
      <c r="D951" s="226" t="s">
        <v>174</v>
      </c>
      <c r="E951" s="226" t="s">
        <v>1192</v>
      </c>
    </row>
    <row r="952" spans="1:5" x14ac:dyDescent="0.2">
      <c r="A952" s="226" t="s">
        <v>1189</v>
      </c>
      <c r="B952" s="227" t="s">
        <v>1272</v>
      </c>
      <c r="C952" s="227" t="s">
        <v>1284</v>
      </c>
      <c r="D952" s="226" t="s">
        <v>174</v>
      </c>
      <c r="E952" s="226" t="s">
        <v>176</v>
      </c>
    </row>
    <row r="953" spans="1:5" x14ac:dyDescent="0.2">
      <c r="A953" s="226" t="s">
        <v>1189</v>
      </c>
      <c r="B953" s="227" t="s">
        <v>1272</v>
      </c>
      <c r="C953" s="227" t="s">
        <v>1285</v>
      </c>
      <c r="D953" s="226" t="s">
        <v>174</v>
      </c>
      <c r="E953" s="226" t="s">
        <v>176</v>
      </c>
    </row>
    <row r="954" spans="1:5" x14ac:dyDescent="0.2">
      <c r="A954" s="226" t="s">
        <v>1189</v>
      </c>
      <c r="B954" s="227" t="s">
        <v>1272</v>
      </c>
      <c r="C954" s="227" t="s">
        <v>1286</v>
      </c>
      <c r="D954" s="226" t="s">
        <v>174</v>
      </c>
      <c r="E954" s="226" t="s">
        <v>1192</v>
      </c>
    </row>
    <row r="955" spans="1:5" x14ac:dyDescent="0.2">
      <c r="A955" s="226" t="s">
        <v>1189</v>
      </c>
      <c r="B955" s="227" t="s">
        <v>1272</v>
      </c>
      <c r="C955" s="227" t="s">
        <v>1287</v>
      </c>
      <c r="D955" s="226" t="s">
        <v>174</v>
      </c>
      <c r="E955" s="226" t="s">
        <v>1192</v>
      </c>
    </row>
    <row r="956" spans="1:5" x14ac:dyDescent="0.2">
      <c r="A956" s="226" t="s">
        <v>1189</v>
      </c>
      <c r="B956" s="227" t="s">
        <v>1272</v>
      </c>
      <c r="C956" s="227" t="s">
        <v>1288</v>
      </c>
      <c r="D956" s="226" t="s">
        <v>174</v>
      </c>
      <c r="E956" s="226" t="s">
        <v>1192</v>
      </c>
    </row>
    <row r="957" spans="1:5" x14ac:dyDescent="0.2">
      <c r="A957" s="226" t="s">
        <v>1189</v>
      </c>
      <c r="B957" s="227" t="s">
        <v>1272</v>
      </c>
      <c r="C957" s="227" t="s">
        <v>1289</v>
      </c>
      <c r="D957" s="226" t="s">
        <v>174</v>
      </c>
      <c r="E957" s="226" t="s">
        <v>1192</v>
      </c>
    </row>
    <row r="958" spans="1:5" x14ac:dyDescent="0.2">
      <c r="A958" s="226" t="s">
        <v>1189</v>
      </c>
      <c r="B958" s="227" t="s">
        <v>1272</v>
      </c>
      <c r="C958" s="227" t="s">
        <v>1290</v>
      </c>
      <c r="D958" s="226" t="s">
        <v>174</v>
      </c>
      <c r="E958" s="226" t="s">
        <v>1192</v>
      </c>
    </row>
    <row r="959" spans="1:5" x14ac:dyDescent="0.2">
      <c r="A959" s="226" t="s">
        <v>1189</v>
      </c>
      <c r="B959" s="227" t="s">
        <v>1272</v>
      </c>
      <c r="C959" s="227" t="s">
        <v>1291</v>
      </c>
      <c r="D959" s="226" t="s">
        <v>174</v>
      </c>
      <c r="E959" s="226" t="s">
        <v>1192</v>
      </c>
    </row>
    <row r="960" spans="1:5" x14ac:dyDescent="0.2">
      <c r="A960" s="226" t="s">
        <v>1189</v>
      </c>
      <c r="B960" s="227" t="s">
        <v>1272</v>
      </c>
      <c r="C960" s="227" t="s">
        <v>1292</v>
      </c>
      <c r="D960" s="226" t="s">
        <v>174</v>
      </c>
      <c r="E960" s="226" t="s">
        <v>1192</v>
      </c>
    </row>
    <row r="961" spans="1:5" x14ac:dyDescent="0.2">
      <c r="A961" s="226" t="s">
        <v>1189</v>
      </c>
      <c r="B961" s="227" t="s">
        <v>1272</v>
      </c>
      <c r="C961" s="227" t="s">
        <v>1293</v>
      </c>
      <c r="D961" s="226" t="s">
        <v>174</v>
      </c>
      <c r="E961" s="226" t="s">
        <v>1192</v>
      </c>
    </row>
    <row r="962" spans="1:5" x14ac:dyDescent="0.2">
      <c r="A962" s="226" t="s">
        <v>1189</v>
      </c>
      <c r="B962" s="227" t="s">
        <v>1272</v>
      </c>
      <c r="C962" s="227" t="s">
        <v>1294</v>
      </c>
      <c r="D962" s="226" t="s">
        <v>174</v>
      </c>
      <c r="E962" s="226" t="s">
        <v>1192</v>
      </c>
    </row>
    <row r="963" spans="1:5" x14ac:dyDescent="0.2">
      <c r="A963" s="226" t="s">
        <v>1189</v>
      </c>
      <c r="B963" s="227" t="s">
        <v>1272</v>
      </c>
      <c r="C963" s="227" t="s">
        <v>1295</v>
      </c>
      <c r="D963" s="226" t="s">
        <v>174</v>
      </c>
      <c r="E963" s="226" t="s">
        <v>1192</v>
      </c>
    </row>
    <row r="964" spans="1:5" x14ac:dyDescent="0.2">
      <c r="A964" s="226" t="s">
        <v>1189</v>
      </c>
      <c r="B964" s="227" t="s">
        <v>1272</v>
      </c>
      <c r="C964" s="227" t="s">
        <v>1296</v>
      </c>
      <c r="D964" s="226" t="s">
        <v>174</v>
      </c>
      <c r="E964" s="226" t="s">
        <v>1192</v>
      </c>
    </row>
    <row r="965" spans="1:5" x14ac:dyDescent="0.2">
      <c r="A965" s="226" t="s">
        <v>1189</v>
      </c>
      <c r="B965" s="226" t="s">
        <v>1297</v>
      </c>
      <c r="C965" s="226" t="s">
        <v>1298</v>
      </c>
      <c r="D965" s="226" t="s">
        <v>179</v>
      </c>
      <c r="E965" s="226" t="s">
        <v>1299</v>
      </c>
    </row>
    <row r="966" spans="1:5" x14ac:dyDescent="0.2">
      <c r="A966" s="226" t="s">
        <v>1189</v>
      </c>
      <c r="B966" s="226" t="s">
        <v>1297</v>
      </c>
      <c r="C966" s="226" t="s">
        <v>1300</v>
      </c>
      <c r="D966" s="226" t="s">
        <v>179</v>
      </c>
      <c r="E966" s="226" t="s">
        <v>1299</v>
      </c>
    </row>
    <row r="967" spans="1:5" x14ac:dyDescent="0.2">
      <c r="A967" s="226" t="s">
        <v>1189</v>
      </c>
      <c r="B967" s="226" t="s">
        <v>1297</v>
      </c>
      <c r="C967" s="226" t="s">
        <v>1301</v>
      </c>
      <c r="D967" s="226" t="s">
        <v>179</v>
      </c>
      <c r="E967" s="226" t="s">
        <v>1299</v>
      </c>
    </row>
    <row r="968" spans="1:5" x14ac:dyDescent="0.2">
      <c r="A968" s="226" t="s">
        <v>1189</v>
      </c>
      <c r="B968" s="227" t="s">
        <v>1297</v>
      </c>
      <c r="C968" s="227" t="s">
        <v>1302</v>
      </c>
      <c r="D968" s="226" t="s">
        <v>179</v>
      </c>
      <c r="E968" s="226" t="s">
        <v>1299</v>
      </c>
    </row>
    <row r="969" spans="1:5" x14ac:dyDescent="0.2">
      <c r="A969" s="226" t="s">
        <v>1189</v>
      </c>
      <c r="B969" s="227" t="s">
        <v>1297</v>
      </c>
      <c r="C969" s="227" t="s">
        <v>1303</v>
      </c>
      <c r="D969" s="226" t="s">
        <v>179</v>
      </c>
      <c r="E969" s="226" t="s">
        <v>1299</v>
      </c>
    </row>
    <row r="970" spans="1:5" x14ac:dyDescent="0.2">
      <c r="A970" s="226" t="s">
        <v>1189</v>
      </c>
      <c r="B970" s="226" t="s">
        <v>1304</v>
      </c>
      <c r="C970" s="226" t="s">
        <v>1305</v>
      </c>
      <c r="D970" s="226" t="s">
        <v>179</v>
      </c>
      <c r="E970" s="226" t="s">
        <v>1299</v>
      </c>
    </row>
    <row r="971" spans="1:5" x14ac:dyDescent="0.2">
      <c r="A971" s="226" t="s">
        <v>1189</v>
      </c>
      <c r="B971" s="226" t="s">
        <v>1304</v>
      </c>
      <c r="C971" s="226" t="s">
        <v>1306</v>
      </c>
      <c r="D971" s="226" t="s">
        <v>179</v>
      </c>
      <c r="E971" s="226" t="s">
        <v>1299</v>
      </c>
    </row>
    <row r="972" spans="1:5" x14ac:dyDescent="0.2">
      <c r="A972" s="226" t="s">
        <v>1189</v>
      </c>
      <c r="B972" s="226" t="s">
        <v>1304</v>
      </c>
      <c r="C972" s="226" t="s">
        <v>1307</v>
      </c>
      <c r="D972" s="226" t="s">
        <v>179</v>
      </c>
      <c r="E972" s="226" t="s">
        <v>1299</v>
      </c>
    </row>
    <row r="973" spans="1:5" x14ac:dyDescent="0.2">
      <c r="A973" s="226" t="s">
        <v>1189</v>
      </c>
      <c r="B973" s="227" t="s">
        <v>1304</v>
      </c>
      <c r="C973" s="227" t="s">
        <v>1308</v>
      </c>
      <c r="D973" s="226" t="s">
        <v>179</v>
      </c>
      <c r="E973" s="226" t="s">
        <v>1299</v>
      </c>
    </row>
    <row r="974" spans="1:5" x14ac:dyDescent="0.2">
      <c r="A974" s="226" t="s">
        <v>1189</v>
      </c>
      <c r="B974" s="227" t="s">
        <v>1304</v>
      </c>
      <c r="C974" s="227" t="s">
        <v>1309</v>
      </c>
      <c r="D974" s="226" t="s">
        <v>179</v>
      </c>
      <c r="E974" s="226" t="s">
        <v>1299</v>
      </c>
    </row>
    <row r="975" spans="1:5" x14ac:dyDescent="0.2">
      <c r="A975" s="226" t="s">
        <v>1189</v>
      </c>
      <c r="B975" s="227" t="s">
        <v>1304</v>
      </c>
      <c r="C975" s="227" t="s">
        <v>1310</v>
      </c>
      <c r="D975" s="226" t="s">
        <v>179</v>
      </c>
      <c r="E975" s="226" t="s">
        <v>1299</v>
      </c>
    </row>
    <row r="976" spans="1:5" x14ac:dyDescent="0.2">
      <c r="A976" s="226" t="s">
        <v>1189</v>
      </c>
      <c r="B976" s="227" t="s">
        <v>1304</v>
      </c>
      <c r="C976" s="227" t="s">
        <v>1311</v>
      </c>
      <c r="D976" s="226" t="s">
        <v>179</v>
      </c>
      <c r="E976" s="226" t="s">
        <v>1299</v>
      </c>
    </row>
    <row r="977" spans="1:5" x14ac:dyDescent="0.2">
      <c r="A977" s="226" t="s">
        <v>1189</v>
      </c>
      <c r="B977" s="226" t="s">
        <v>1304</v>
      </c>
      <c r="C977" s="226" t="s">
        <v>1312</v>
      </c>
      <c r="D977" s="226" t="s">
        <v>179</v>
      </c>
      <c r="E977" s="226" t="s">
        <v>1299</v>
      </c>
    </row>
    <row r="978" spans="1:5" x14ac:dyDescent="0.2">
      <c r="A978" s="226" t="s">
        <v>1189</v>
      </c>
      <c r="B978" s="227" t="s">
        <v>1304</v>
      </c>
      <c r="C978" s="227" t="s">
        <v>1313</v>
      </c>
      <c r="D978" s="226" t="s">
        <v>179</v>
      </c>
      <c r="E978" s="226" t="s">
        <v>1299</v>
      </c>
    </row>
    <row r="979" spans="1:5" x14ac:dyDescent="0.2">
      <c r="A979" s="226" t="s">
        <v>1189</v>
      </c>
      <c r="B979" s="227" t="s">
        <v>1304</v>
      </c>
      <c r="C979" s="227" t="s">
        <v>1314</v>
      </c>
      <c r="D979" s="226" t="s">
        <v>179</v>
      </c>
      <c r="E979" s="226" t="s">
        <v>1299</v>
      </c>
    </row>
    <row r="980" spans="1:5" x14ac:dyDescent="0.2">
      <c r="A980" s="226" t="s">
        <v>1189</v>
      </c>
      <c r="B980" s="227" t="s">
        <v>1304</v>
      </c>
      <c r="C980" s="227" t="s">
        <v>1315</v>
      </c>
      <c r="D980" s="226" t="s">
        <v>179</v>
      </c>
      <c r="E980" s="226" t="s">
        <v>1299</v>
      </c>
    </row>
    <row r="981" spans="1:5" x14ac:dyDescent="0.2">
      <c r="A981" s="226" t="s">
        <v>1189</v>
      </c>
      <c r="B981" s="226" t="s">
        <v>1304</v>
      </c>
      <c r="C981" s="226" t="s">
        <v>1316</v>
      </c>
      <c r="D981" s="226" t="s">
        <v>179</v>
      </c>
      <c r="E981" s="226" t="s">
        <v>1299</v>
      </c>
    </row>
    <row r="982" spans="1:5" x14ac:dyDescent="0.2">
      <c r="A982" s="226" t="s">
        <v>1189</v>
      </c>
      <c r="B982" s="227" t="s">
        <v>1304</v>
      </c>
      <c r="C982" s="227" t="s">
        <v>1317</v>
      </c>
      <c r="D982" s="226" t="s">
        <v>179</v>
      </c>
      <c r="E982" s="226" t="s">
        <v>1299</v>
      </c>
    </row>
    <row r="983" spans="1:5" x14ac:dyDescent="0.2">
      <c r="A983" s="226" t="s">
        <v>1189</v>
      </c>
      <c r="B983" s="227" t="s">
        <v>1304</v>
      </c>
      <c r="C983" s="227" t="s">
        <v>1318</v>
      </c>
      <c r="D983" s="226" t="s">
        <v>179</v>
      </c>
      <c r="E983" s="226" t="s">
        <v>1299</v>
      </c>
    </row>
    <row r="984" spans="1:5" x14ac:dyDescent="0.2">
      <c r="A984" s="226" t="s">
        <v>1189</v>
      </c>
      <c r="B984" s="226" t="s">
        <v>1319</v>
      </c>
      <c r="C984" s="226" t="s">
        <v>1320</v>
      </c>
      <c r="D984" s="226" t="s">
        <v>179</v>
      </c>
      <c r="E984" s="226" t="s">
        <v>1299</v>
      </c>
    </row>
    <row r="985" spans="1:5" x14ac:dyDescent="0.2">
      <c r="A985" s="226" t="s">
        <v>1189</v>
      </c>
      <c r="B985" s="226" t="s">
        <v>1319</v>
      </c>
      <c r="C985" s="226" t="s">
        <v>1321</v>
      </c>
      <c r="D985" s="226" t="s">
        <v>179</v>
      </c>
      <c r="E985" s="226" t="s">
        <v>1299</v>
      </c>
    </row>
    <row r="986" spans="1:5" x14ac:dyDescent="0.2">
      <c r="A986" s="226" t="s">
        <v>1189</v>
      </c>
      <c r="B986" s="226" t="s">
        <v>1319</v>
      </c>
      <c r="C986" s="226" t="s">
        <v>1322</v>
      </c>
      <c r="D986" s="226" t="s">
        <v>179</v>
      </c>
      <c r="E986" s="226" t="s">
        <v>1299</v>
      </c>
    </row>
    <row r="987" spans="1:5" x14ac:dyDescent="0.2">
      <c r="A987" s="226" t="s">
        <v>1189</v>
      </c>
      <c r="B987" s="227" t="s">
        <v>1319</v>
      </c>
      <c r="C987" s="227" t="s">
        <v>1323</v>
      </c>
      <c r="D987" s="226" t="s">
        <v>179</v>
      </c>
      <c r="E987" s="226" t="s">
        <v>1299</v>
      </c>
    </row>
    <row r="988" spans="1:5" x14ac:dyDescent="0.2">
      <c r="A988" s="226" t="s">
        <v>1189</v>
      </c>
      <c r="B988" s="227" t="s">
        <v>1319</v>
      </c>
      <c r="C988" s="227" t="s">
        <v>1324</v>
      </c>
      <c r="D988" s="226" t="s">
        <v>179</v>
      </c>
      <c r="E988" s="226" t="s">
        <v>1299</v>
      </c>
    </row>
    <row r="989" spans="1:5" x14ac:dyDescent="0.2">
      <c r="A989" s="226" t="s">
        <v>1189</v>
      </c>
      <c r="B989" s="227" t="s">
        <v>1319</v>
      </c>
      <c r="C989" s="227" t="s">
        <v>1325</v>
      </c>
      <c r="D989" s="226" t="s">
        <v>179</v>
      </c>
      <c r="E989" s="226" t="s">
        <v>1299</v>
      </c>
    </row>
    <row r="990" spans="1:5" x14ac:dyDescent="0.2">
      <c r="A990" s="226" t="s">
        <v>1189</v>
      </c>
      <c r="B990" s="227" t="s">
        <v>1319</v>
      </c>
      <c r="C990" s="227" t="s">
        <v>1326</v>
      </c>
      <c r="D990" s="226" t="s">
        <v>179</v>
      </c>
      <c r="E990" s="226" t="s">
        <v>1299</v>
      </c>
    </row>
    <row r="991" spans="1:5" x14ac:dyDescent="0.2">
      <c r="A991" s="226" t="s">
        <v>1189</v>
      </c>
      <c r="B991" s="227" t="s">
        <v>1319</v>
      </c>
      <c r="C991" s="227" t="s">
        <v>1327</v>
      </c>
      <c r="D991" s="226" t="s">
        <v>179</v>
      </c>
      <c r="E991" s="226" t="s">
        <v>1299</v>
      </c>
    </row>
    <row r="992" spans="1:5" x14ac:dyDescent="0.2">
      <c r="A992" s="226" t="s">
        <v>1189</v>
      </c>
      <c r="B992" s="227" t="s">
        <v>1319</v>
      </c>
      <c r="C992" s="227" t="s">
        <v>1328</v>
      </c>
      <c r="D992" s="226" t="s">
        <v>179</v>
      </c>
      <c r="E992" s="226" t="s">
        <v>1299</v>
      </c>
    </row>
    <row r="993" spans="1:5" x14ac:dyDescent="0.2">
      <c r="A993" s="226" t="s">
        <v>1189</v>
      </c>
      <c r="B993" s="227" t="s">
        <v>1319</v>
      </c>
      <c r="C993" s="227" t="s">
        <v>1329</v>
      </c>
      <c r="D993" s="226" t="s">
        <v>179</v>
      </c>
      <c r="E993" s="226" t="s">
        <v>1299</v>
      </c>
    </row>
    <row r="994" spans="1:5" x14ac:dyDescent="0.2">
      <c r="A994" s="226" t="s">
        <v>1189</v>
      </c>
      <c r="B994" s="227" t="s">
        <v>1319</v>
      </c>
      <c r="C994" s="227" t="s">
        <v>1330</v>
      </c>
      <c r="D994" s="226" t="s">
        <v>179</v>
      </c>
      <c r="E994" s="226" t="s">
        <v>1299</v>
      </c>
    </row>
    <row r="995" spans="1:5" x14ac:dyDescent="0.2">
      <c r="A995" s="226" t="s">
        <v>1189</v>
      </c>
      <c r="B995" s="227" t="s">
        <v>1319</v>
      </c>
      <c r="C995" s="227" t="s">
        <v>1331</v>
      </c>
      <c r="D995" s="226" t="s">
        <v>179</v>
      </c>
      <c r="E995" s="226" t="s">
        <v>1299</v>
      </c>
    </row>
    <row r="996" spans="1:5" x14ac:dyDescent="0.2">
      <c r="A996" s="226" t="s">
        <v>1189</v>
      </c>
      <c r="B996" s="227" t="s">
        <v>1319</v>
      </c>
      <c r="C996" s="227" t="s">
        <v>1332</v>
      </c>
      <c r="D996" s="226" t="s">
        <v>179</v>
      </c>
      <c r="E996" s="226" t="s">
        <v>1299</v>
      </c>
    </row>
    <row r="997" spans="1:5" x14ac:dyDescent="0.2">
      <c r="A997" s="226" t="s">
        <v>1189</v>
      </c>
      <c r="B997" s="227" t="s">
        <v>1319</v>
      </c>
      <c r="C997" s="227" t="s">
        <v>1333</v>
      </c>
      <c r="D997" s="226" t="s">
        <v>179</v>
      </c>
      <c r="E997" s="226" t="s">
        <v>1299</v>
      </c>
    </row>
    <row r="998" spans="1:5" x14ac:dyDescent="0.2">
      <c r="A998" s="226" t="s">
        <v>1189</v>
      </c>
      <c r="B998" s="227" t="s">
        <v>1319</v>
      </c>
      <c r="C998" s="227" t="s">
        <v>1334</v>
      </c>
      <c r="D998" s="226" t="s">
        <v>179</v>
      </c>
      <c r="E998" s="226" t="s">
        <v>1299</v>
      </c>
    </row>
    <row r="999" spans="1:5" x14ac:dyDescent="0.2">
      <c r="A999" s="226" t="s">
        <v>1189</v>
      </c>
      <c r="B999" s="227" t="s">
        <v>1319</v>
      </c>
      <c r="C999" s="227" t="s">
        <v>1335</v>
      </c>
      <c r="D999" s="226" t="s">
        <v>179</v>
      </c>
      <c r="E999" s="226" t="s">
        <v>1299</v>
      </c>
    </row>
    <row r="1000" spans="1:5" x14ac:dyDescent="0.2">
      <c r="A1000" s="226" t="s">
        <v>1189</v>
      </c>
      <c r="B1000" s="226" t="s">
        <v>1319</v>
      </c>
      <c r="C1000" s="226" t="s">
        <v>1336</v>
      </c>
      <c r="D1000" s="226" t="s">
        <v>179</v>
      </c>
      <c r="E1000" s="226" t="s">
        <v>1299</v>
      </c>
    </row>
    <row r="1001" spans="1:5" x14ac:dyDescent="0.2">
      <c r="A1001" s="226" t="s">
        <v>1189</v>
      </c>
      <c r="B1001" s="227" t="s">
        <v>1319</v>
      </c>
      <c r="C1001" s="227" t="s">
        <v>1337</v>
      </c>
      <c r="D1001" s="226" t="s">
        <v>179</v>
      </c>
      <c r="E1001" s="226" t="s">
        <v>1299</v>
      </c>
    </row>
    <row r="1002" spans="1:5" x14ac:dyDescent="0.2">
      <c r="A1002" s="226" t="s">
        <v>1189</v>
      </c>
      <c r="B1002" s="227" t="s">
        <v>1319</v>
      </c>
      <c r="C1002" s="227" t="s">
        <v>1338</v>
      </c>
      <c r="D1002" s="226" t="s">
        <v>179</v>
      </c>
      <c r="E1002" s="226" t="s">
        <v>1299</v>
      </c>
    </row>
    <row r="1003" spans="1:5" x14ac:dyDescent="0.2">
      <c r="A1003" s="226" t="s">
        <v>1189</v>
      </c>
      <c r="B1003" s="227" t="s">
        <v>1319</v>
      </c>
      <c r="C1003" s="227" t="s">
        <v>1339</v>
      </c>
      <c r="D1003" s="226" t="s">
        <v>179</v>
      </c>
      <c r="E1003" s="226" t="s">
        <v>1299</v>
      </c>
    </row>
    <row r="1004" spans="1:5" x14ac:dyDescent="0.2">
      <c r="A1004" s="226" t="s">
        <v>1189</v>
      </c>
      <c r="B1004" s="227" t="s">
        <v>1319</v>
      </c>
      <c r="C1004" s="227" t="s">
        <v>1340</v>
      </c>
      <c r="D1004" s="226" t="s">
        <v>179</v>
      </c>
      <c r="E1004" s="226" t="s">
        <v>1299</v>
      </c>
    </row>
    <row r="1005" spans="1:5" x14ac:dyDescent="0.2">
      <c r="A1005" s="226" t="s">
        <v>1189</v>
      </c>
      <c r="B1005" s="227" t="s">
        <v>1319</v>
      </c>
      <c r="C1005" s="227" t="s">
        <v>1341</v>
      </c>
      <c r="D1005" s="226" t="s">
        <v>179</v>
      </c>
      <c r="E1005" s="226" t="s">
        <v>1299</v>
      </c>
    </row>
    <row r="1006" spans="1:5" x14ac:dyDescent="0.2">
      <c r="A1006" s="226" t="s">
        <v>1189</v>
      </c>
      <c r="B1006" s="227" t="s">
        <v>1319</v>
      </c>
      <c r="C1006" s="227" t="s">
        <v>1342</v>
      </c>
      <c r="D1006" s="226" t="s">
        <v>179</v>
      </c>
      <c r="E1006" s="226" t="s">
        <v>1299</v>
      </c>
    </row>
    <row r="1007" spans="1:5" x14ac:dyDescent="0.2">
      <c r="A1007" s="226" t="s">
        <v>1189</v>
      </c>
      <c r="B1007" s="226" t="s">
        <v>1343</v>
      </c>
      <c r="C1007" s="226" t="s">
        <v>1344</v>
      </c>
      <c r="D1007" s="226" t="s">
        <v>179</v>
      </c>
      <c r="E1007" s="226" t="s">
        <v>1299</v>
      </c>
    </row>
    <row r="1008" spans="1:5" x14ac:dyDescent="0.2">
      <c r="A1008" s="226" t="s">
        <v>1189</v>
      </c>
      <c r="B1008" s="226" t="s">
        <v>1343</v>
      </c>
      <c r="C1008" s="226" t="s">
        <v>1345</v>
      </c>
      <c r="D1008" s="226" t="s">
        <v>179</v>
      </c>
      <c r="E1008" s="226" t="s">
        <v>1299</v>
      </c>
    </row>
    <row r="1009" spans="1:5" x14ac:dyDescent="0.2">
      <c r="A1009" s="226" t="s">
        <v>1189</v>
      </c>
      <c r="B1009" s="226" t="s">
        <v>1343</v>
      </c>
      <c r="C1009" s="226" t="s">
        <v>1346</v>
      </c>
      <c r="D1009" s="226" t="s">
        <v>179</v>
      </c>
      <c r="E1009" s="226" t="s">
        <v>1299</v>
      </c>
    </row>
    <row r="1010" spans="1:5" x14ac:dyDescent="0.2">
      <c r="A1010" s="226" t="s">
        <v>1189</v>
      </c>
      <c r="B1010" s="227" t="s">
        <v>1343</v>
      </c>
      <c r="C1010" s="227" t="s">
        <v>1347</v>
      </c>
      <c r="D1010" s="226" t="s">
        <v>179</v>
      </c>
      <c r="E1010" s="226" t="s">
        <v>1299</v>
      </c>
    </row>
    <row r="1011" spans="1:5" x14ac:dyDescent="0.2">
      <c r="A1011" s="226" t="s">
        <v>1189</v>
      </c>
      <c r="B1011" s="227" t="s">
        <v>1343</v>
      </c>
      <c r="C1011" s="227" t="s">
        <v>1348</v>
      </c>
      <c r="D1011" s="226" t="s">
        <v>179</v>
      </c>
      <c r="E1011" s="226" t="s">
        <v>1299</v>
      </c>
    </row>
    <row r="1012" spans="1:5" x14ac:dyDescent="0.2">
      <c r="A1012" s="226" t="s">
        <v>1189</v>
      </c>
      <c r="B1012" s="227" t="s">
        <v>1343</v>
      </c>
      <c r="C1012" s="227" t="s">
        <v>1349</v>
      </c>
      <c r="D1012" s="226" t="s">
        <v>179</v>
      </c>
      <c r="E1012" s="226" t="s">
        <v>1299</v>
      </c>
    </row>
    <row r="1013" spans="1:5" x14ac:dyDescent="0.2">
      <c r="A1013" s="226" t="s">
        <v>1189</v>
      </c>
      <c r="B1013" s="227" t="s">
        <v>1343</v>
      </c>
      <c r="C1013" s="227" t="s">
        <v>1350</v>
      </c>
      <c r="D1013" s="226" t="s">
        <v>179</v>
      </c>
      <c r="E1013" s="226" t="s">
        <v>1299</v>
      </c>
    </row>
    <row r="1014" spans="1:5" x14ac:dyDescent="0.2">
      <c r="A1014" s="226" t="s">
        <v>1189</v>
      </c>
      <c r="B1014" s="227" t="s">
        <v>1343</v>
      </c>
      <c r="C1014" s="227" t="s">
        <v>1351</v>
      </c>
      <c r="D1014" s="226" t="s">
        <v>179</v>
      </c>
      <c r="E1014" s="226" t="s">
        <v>1299</v>
      </c>
    </row>
    <row r="1015" spans="1:5" x14ac:dyDescent="0.2">
      <c r="A1015" s="226" t="s">
        <v>1189</v>
      </c>
      <c r="B1015" s="227" t="s">
        <v>1343</v>
      </c>
      <c r="C1015" s="227" t="s">
        <v>1352</v>
      </c>
      <c r="D1015" s="226" t="s">
        <v>179</v>
      </c>
      <c r="E1015" s="226" t="s">
        <v>1299</v>
      </c>
    </row>
    <row r="1016" spans="1:5" x14ac:dyDescent="0.2">
      <c r="A1016" s="226" t="s">
        <v>1189</v>
      </c>
      <c r="B1016" s="227" t="s">
        <v>1343</v>
      </c>
      <c r="C1016" s="227" t="s">
        <v>1353</v>
      </c>
      <c r="D1016" s="226" t="s">
        <v>179</v>
      </c>
      <c r="E1016" s="226" t="s">
        <v>1299</v>
      </c>
    </row>
    <row r="1017" spans="1:5" x14ac:dyDescent="0.2">
      <c r="A1017" s="226" t="s">
        <v>1189</v>
      </c>
      <c r="B1017" s="226" t="s">
        <v>1343</v>
      </c>
      <c r="C1017" s="226" t="s">
        <v>1354</v>
      </c>
      <c r="D1017" s="226" t="s">
        <v>179</v>
      </c>
      <c r="E1017" s="226" t="s">
        <v>1299</v>
      </c>
    </row>
    <row r="1018" spans="1:5" x14ac:dyDescent="0.2">
      <c r="A1018" s="226" t="s">
        <v>1189</v>
      </c>
      <c r="B1018" s="227" t="s">
        <v>1343</v>
      </c>
      <c r="C1018" s="227" t="s">
        <v>1355</v>
      </c>
      <c r="D1018" s="226" t="s">
        <v>179</v>
      </c>
      <c r="E1018" s="226" t="s">
        <v>1299</v>
      </c>
    </row>
    <row r="1019" spans="1:5" x14ac:dyDescent="0.2">
      <c r="A1019" s="226" t="s">
        <v>1189</v>
      </c>
      <c r="B1019" s="226" t="s">
        <v>1356</v>
      </c>
      <c r="C1019" s="226" t="s">
        <v>1357</v>
      </c>
      <c r="D1019" s="226" t="s">
        <v>179</v>
      </c>
      <c r="E1019" s="226" t="s">
        <v>1299</v>
      </c>
    </row>
    <row r="1020" spans="1:5" x14ac:dyDescent="0.2">
      <c r="A1020" s="226" t="s">
        <v>1189</v>
      </c>
      <c r="B1020" s="226" t="s">
        <v>1356</v>
      </c>
      <c r="C1020" s="226" t="s">
        <v>1358</v>
      </c>
      <c r="D1020" s="226" t="s">
        <v>179</v>
      </c>
      <c r="E1020" s="226" t="s">
        <v>1299</v>
      </c>
    </row>
    <row r="1021" spans="1:5" x14ac:dyDescent="0.2">
      <c r="A1021" s="226" t="s">
        <v>1189</v>
      </c>
      <c r="B1021" s="226" t="s">
        <v>1356</v>
      </c>
      <c r="C1021" s="226" t="s">
        <v>1359</v>
      </c>
      <c r="D1021" s="226" t="s">
        <v>179</v>
      </c>
      <c r="E1021" s="226" t="s">
        <v>1299</v>
      </c>
    </row>
    <row r="1022" spans="1:5" x14ac:dyDescent="0.2">
      <c r="A1022" s="226" t="s">
        <v>1189</v>
      </c>
      <c r="B1022" s="227" t="s">
        <v>1356</v>
      </c>
      <c r="C1022" s="227" t="s">
        <v>1360</v>
      </c>
      <c r="D1022" s="226" t="s">
        <v>179</v>
      </c>
      <c r="E1022" s="226" t="s">
        <v>1299</v>
      </c>
    </row>
    <row r="1023" spans="1:5" x14ac:dyDescent="0.2">
      <c r="A1023" s="226" t="s">
        <v>1189</v>
      </c>
      <c r="B1023" s="227" t="s">
        <v>1356</v>
      </c>
      <c r="C1023" s="227" t="s">
        <v>1361</v>
      </c>
      <c r="D1023" s="226" t="s">
        <v>179</v>
      </c>
      <c r="E1023" s="226" t="s">
        <v>1299</v>
      </c>
    </row>
    <row r="1024" spans="1:5" x14ac:dyDescent="0.2">
      <c r="A1024" s="226" t="s">
        <v>1189</v>
      </c>
      <c r="B1024" s="227" t="s">
        <v>1356</v>
      </c>
      <c r="C1024" s="227" t="s">
        <v>1362</v>
      </c>
      <c r="D1024" s="226" t="s">
        <v>179</v>
      </c>
      <c r="E1024" s="226" t="s">
        <v>1299</v>
      </c>
    </row>
    <row r="1025" spans="1:5" x14ac:dyDescent="0.2">
      <c r="A1025" s="226" t="s">
        <v>1189</v>
      </c>
      <c r="B1025" s="227" t="s">
        <v>1356</v>
      </c>
      <c r="C1025" s="227" t="s">
        <v>1363</v>
      </c>
      <c r="D1025" s="226" t="s">
        <v>179</v>
      </c>
      <c r="E1025" s="226" t="s">
        <v>1299</v>
      </c>
    </row>
    <row r="1026" spans="1:5" x14ac:dyDescent="0.2">
      <c r="A1026" s="226" t="s">
        <v>1189</v>
      </c>
      <c r="B1026" s="226" t="s">
        <v>1356</v>
      </c>
      <c r="C1026" s="226" t="s">
        <v>1364</v>
      </c>
      <c r="D1026" s="226" t="s">
        <v>179</v>
      </c>
      <c r="E1026" s="226" t="s">
        <v>1299</v>
      </c>
    </row>
    <row r="1027" spans="1:5" x14ac:dyDescent="0.2">
      <c r="A1027" s="226" t="s">
        <v>1189</v>
      </c>
      <c r="B1027" s="227" t="s">
        <v>1356</v>
      </c>
      <c r="C1027" s="227" t="s">
        <v>1365</v>
      </c>
      <c r="D1027" s="226" t="s">
        <v>179</v>
      </c>
      <c r="E1027" s="226" t="s">
        <v>1299</v>
      </c>
    </row>
    <row r="1028" spans="1:5" x14ac:dyDescent="0.2">
      <c r="A1028" s="226" t="s">
        <v>1189</v>
      </c>
      <c r="B1028" s="227" t="s">
        <v>1356</v>
      </c>
      <c r="C1028" s="227" t="s">
        <v>1366</v>
      </c>
      <c r="D1028" s="226" t="s">
        <v>179</v>
      </c>
      <c r="E1028" s="226" t="s">
        <v>1299</v>
      </c>
    </row>
    <row r="1029" spans="1:5" x14ac:dyDescent="0.2">
      <c r="A1029" s="226" t="s">
        <v>1189</v>
      </c>
      <c r="B1029" s="227" t="s">
        <v>1356</v>
      </c>
      <c r="C1029" s="227" t="s">
        <v>1367</v>
      </c>
      <c r="D1029" s="226" t="s">
        <v>179</v>
      </c>
      <c r="E1029" s="226" t="s">
        <v>1299</v>
      </c>
    </row>
    <row r="1030" spans="1:5" x14ac:dyDescent="0.2">
      <c r="A1030" s="226" t="s">
        <v>1189</v>
      </c>
      <c r="B1030" s="226" t="s">
        <v>1356</v>
      </c>
      <c r="C1030" s="226" t="s">
        <v>1368</v>
      </c>
      <c r="D1030" s="226" t="s">
        <v>179</v>
      </c>
      <c r="E1030" s="226" t="s">
        <v>1299</v>
      </c>
    </row>
    <row r="1031" spans="1:5" x14ac:dyDescent="0.2">
      <c r="A1031" s="226" t="s">
        <v>1189</v>
      </c>
      <c r="B1031" s="227" t="s">
        <v>1356</v>
      </c>
      <c r="C1031" s="227" t="s">
        <v>1369</v>
      </c>
      <c r="D1031" s="226" t="s">
        <v>179</v>
      </c>
      <c r="E1031" s="226" t="s">
        <v>1299</v>
      </c>
    </row>
    <row r="1032" spans="1:5" x14ac:dyDescent="0.2">
      <c r="A1032" s="226" t="s">
        <v>1189</v>
      </c>
      <c r="B1032" s="226" t="s">
        <v>1356</v>
      </c>
      <c r="C1032" s="226" t="s">
        <v>1370</v>
      </c>
      <c r="D1032" s="226" t="s">
        <v>179</v>
      </c>
      <c r="E1032" s="226" t="s">
        <v>1299</v>
      </c>
    </row>
    <row r="1033" spans="1:5" x14ac:dyDescent="0.2">
      <c r="A1033" s="226" t="s">
        <v>1189</v>
      </c>
      <c r="B1033" s="227" t="s">
        <v>1356</v>
      </c>
      <c r="C1033" s="227" t="s">
        <v>1371</v>
      </c>
      <c r="D1033" s="226" t="s">
        <v>179</v>
      </c>
      <c r="E1033" s="226" t="s">
        <v>1299</v>
      </c>
    </row>
    <row r="1034" spans="1:5" x14ac:dyDescent="0.2">
      <c r="A1034" s="226" t="s">
        <v>1189</v>
      </c>
      <c r="B1034" s="227" t="s">
        <v>1356</v>
      </c>
      <c r="C1034" s="227" t="s">
        <v>1372</v>
      </c>
      <c r="D1034" s="226" t="s">
        <v>179</v>
      </c>
      <c r="E1034" s="226" t="s">
        <v>1299</v>
      </c>
    </row>
    <row r="1035" spans="1:5" x14ac:dyDescent="0.2">
      <c r="A1035" s="226" t="s">
        <v>1189</v>
      </c>
      <c r="B1035" s="227" t="s">
        <v>1356</v>
      </c>
      <c r="C1035" s="227" t="s">
        <v>1373</v>
      </c>
      <c r="D1035" s="226" t="s">
        <v>179</v>
      </c>
      <c r="E1035" s="226" t="s">
        <v>1299</v>
      </c>
    </row>
    <row r="1036" spans="1:5" x14ac:dyDescent="0.2">
      <c r="A1036" s="226" t="s">
        <v>1189</v>
      </c>
      <c r="B1036" s="227" t="s">
        <v>1356</v>
      </c>
      <c r="C1036" s="227" t="s">
        <v>1374</v>
      </c>
      <c r="D1036" s="226" t="s">
        <v>179</v>
      </c>
      <c r="E1036" s="226" t="s">
        <v>1299</v>
      </c>
    </row>
    <row r="1037" spans="1:5" x14ac:dyDescent="0.2">
      <c r="A1037" s="226" t="s">
        <v>1189</v>
      </c>
      <c r="B1037" s="227" t="s">
        <v>1356</v>
      </c>
      <c r="C1037" s="227" t="s">
        <v>1375</v>
      </c>
      <c r="D1037" s="226" t="s">
        <v>179</v>
      </c>
      <c r="E1037" s="226" t="s">
        <v>1299</v>
      </c>
    </row>
    <row r="1038" spans="1:5" x14ac:dyDescent="0.2">
      <c r="A1038" s="226" t="s">
        <v>1189</v>
      </c>
      <c r="B1038" s="227" t="s">
        <v>1356</v>
      </c>
      <c r="C1038" s="227" t="s">
        <v>1376</v>
      </c>
      <c r="D1038" s="226" t="s">
        <v>179</v>
      </c>
      <c r="E1038" s="226" t="s">
        <v>1299</v>
      </c>
    </row>
    <row r="1039" spans="1:5" x14ac:dyDescent="0.2">
      <c r="A1039" s="226" t="s">
        <v>1189</v>
      </c>
      <c r="B1039" s="227" t="s">
        <v>1356</v>
      </c>
      <c r="C1039" s="227" t="s">
        <v>1377</v>
      </c>
      <c r="D1039" s="226" t="s">
        <v>179</v>
      </c>
      <c r="E1039" s="226" t="s">
        <v>1299</v>
      </c>
    </row>
    <row r="1040" spans="1:5" x14ac:dyDescent="0.2">
      <c r="A1040" s="226" t="s">
        <v>1189</v>
      </c>
      <c r="B1040" s="226" t="s">
        <v>1356</v>
      </c>
      <c r="C1040" s="226" t="s">
        <v>1378</v>
      </c>
      <c r="D1040" s="226" t="s">
        <v>179</v>
      </c>
      <c r="E1040" s="226" t="s">
        <v>1299</v>
      </c>
    </row>
    <row r="1041" spans="1:5" x14ac:dyDescent="0.2">
      <c r="A1041" s="226" t="s">
        <v>1189</v>
      </c>
      <c r="B1041" s="227" t="s">
        <v>1356</v>
      </c>
      <c r="C1041" s="227" t="s">
        <v>1379</v>
      </c>
      <c r="D1041" s="226" t="s">
        <v>179</v>
      </c>
      <c r="E1041" s="226" t="s">
        <v>1299</v>
      </c>
    </row>
    <row r="1042" spans="1:5" x14ac:dyDescent="0.2">
      <c r="A1042" s="226" t="s">
        <v>1189</v>
      </c>
      <c r="B1042" s="227" t="s">
        <v>1356</v>
      </c>
      <c r="C1042" s="227" t="s">
        <v>1380</v>
      </c>
      <c r="D1042" s="226" t="s">
        <v>179</v>
      </c>
      <c r="E1042" s="226" t="s">
        <v>1299</v>
      </c>
    </row>
    <row r="1043" spans="1:5" x14ac:dyDescent="0.2">
      <c r="A1043" s="226" t="s">
        <v>1189</v>
      </c>
      <c r="B1043" s="227" t="s">
        <v>1356</v>
      </c>
      <c r="C1043" s="227" t="s">
        <v>1381</v>
      </c>
      <c r="D1043" s="226" t="s">
        <v>179</v>
      </c>
      <c r="E1043" s="226" t="s">
        <v>1299</v>
      </c>
    </row>
    <row r="1044" spans="1:5" x14ac:dyDescent="0.2">
      <c r="A1044" s="226" t="s">
        <v>1189</v>
      </c>
      <c r="B1044" s="227" t="s">
        <v>1356</v>
      </c>
      <c r="C1044" s="227" t="s">
        <v>1382</v>
      </c>
      <c r="D1044" s="226" t="s">
        <v>179</v>
      </c>
      <c r="E1044" s="226" t="s">
        <v>1299</v>
      </c>
    </row>
    <row r="1045" spans="1:5" x14ac:dyDescent="0.2">
      <c r="A1045" s="226" t="s">
        <v>1189</v>
      </c>
      <c r="B1045" s="227" t="s">
        <v>1356</v>
      </c>
      <c r="C1045" s="227" t="s">
        <v>1383</v>
      </c>
      <c r="D1045" s="226" t="s">
        <v>179</v>
      </c>
      <c r="E1045" s="226" t="s">
        <v>1299</v>
      </c>
    </row>
    <row r="1046" spans="1:5" x14ac:dyDescent="0.2">
      <c r="A1046" s="226" t="s">
        <v>1189</v>
      </c>
      <c r="B1046" s="227" t="s">
        <v>1356</v>
      </c>
      <c r="C1046" s="227" t="s">
        <v>1384</v>
      </c>
      <c r="D1046" s="226" t="s">
        <v>179</v>
      </c>
      <c r="E1046" s="226" t="s">
        <v>1299</v>
      </c>
    </row>
    <row r="1047" spans="1:5" x14ac:dyDescent="0.2">
      <c r="A1047" s="226" t="s">
        <v>1189</v>
      </c>
      <c r="B1047" s="227" t="s">
        <v>1356</v>
      </c>
      <c r="C1047" s="227" t="s">
        <v>1385</v>
      </c>
      <c r="D1047" s="226" t="s">
        <v>179</v>
      </c>
      <c r="E1047" s="226" t="s">
        <v>1299</v>
      </c>
    </row>
    <row r="1048" spans="1:5" x14ac:dyDescent="0.2">
      <c r="A1048" s="226" t="s">
        <v>1189</v>
      </c>
      <c r="B1048" s="227" t="s">
        <v>1356</v>
      </c>
      <c r="C1048" s="227" t="s">
        <v>1386</v>
      </c>
      <c r="D1048" s="226" t="s">
        <v>179</v>
      </c>
      <c r="E1048" s="226" t="s">
        <v>1299</v>
      </c>
    </row>
    <row r="1049" spans="1:5" x14ac:dyDescent="0.2">
      <c r="A1049" s="226" t="s">
        <v>1189</v>
      </c>
      <c r="B1049" s="227" t="s">
        <v>1356</v>
      </c>
      <c r="C1049" s="227" t="s">
        <v>1387</v>
      </c>
      <c r="D1049" s="226" t="s">
        <v>179</v>
      </c>
      <c r="E1049" s="226" t="s">
        <v>1299</v>
      </c>
    </row>
    <row r="1050" spans="1:5" x14ac:dyDescent="0.2">
      <c r="A1050" s="226" t="s">
        <v>1189</v>
      </c>
      <c r="B1050" s="227" t="s">
        <v>1356</v>
      </c>
      <c r="C1050" s="227" t="s">
        <v>1388</v>
      </c>
      <c r="D1050" s="226" t="s">
        <v>179</v>
      </c>
      <c r="E1050" s="226" t="s">
        <v>1299</v>
      </c>
    </row>
    <row r="1051" spans="1:5" x14ac:dyDescent="0.2">
      <c r="A1051" s="226" t="s">
        <v>1189</v>
      </c>
      <c r="B1051" s="227" t="s">
        <v>1356</v>
      </c>
      <c r="C1051" s="227" t="s">
        <v>1389</v>
      </c>
      <c r="D1051" s="226" t="s">
        <v>179</v>
      </c>
      <c r="E1051" s="226" t="s">
        <v>1299</v>
      </c>
    </row>
    <row r="1052" spans="1:5" x14ac:dyDescent="0.2">
      <c r="A1052" s="226" t="s">
        <v>1189</v>
      </c>
      <c r="B1052" s="227" t="s">
        <v>1356</v>
      </c>
      <c r="C1052" s="227" t="s">
        <v>1390</v>
      </c>
      <c r="D1052" s="226" t="s">
        <v>179</v>
      </c>
      <c r="E1052" s="226" t="s">
        <v>1299</v>
      </c>
    </row>
    <row r="1053" spans="1:5" x14ac:dyDescent="0.2">
      <c r="A1053" s="226" t="s">
        <v>1189</v>
      </c>
      <c r="B1053" s="226" t="s">
        <v>1356</v>
      </c>
      <c r="C1053" s="226" t="s">
        <v>1391</v>
      </c>
      <c r="D1053" s="226" t="s">
        <v>179</v>
      </c>
      <c r="E1053" s="226" t="s">
        <v>1299</v>
      </c>
    </row>
    <row r="1054" spans="1:5" x14ac:dyDescent="0.2">
      <c r="A1054" s="226" t="s">
        <v>1189</v>
      </c>
      <c r="B1054" s="227" t="s">
        <v>1356</v>
      </c>
      <c r="C1054" s="227" t="s">
        <v>1392</v>
      </c>
      <c r="D1054" s="226" t="s">
        <v>179</v>
      </c>
      <c r="E1054" s="226" t="s">
        <v>1299</v>
      </c>
    </row>
    <row r="1055" spans="1:5" x14ac:dyDescent="0.2">
      <c r="A1055" s="226" t="s">
        <v>1189</v>
      </c>
      <c r="B1055" s="227" t="s">
        <v>1356</v>
      </c>
      <c r="C1055" s="227" t="s">
        <v>1393</v>
      </c>
      <c r="D1055" s="226" t="s">
        <v>179</v>
      </c>
      <c r="E1055" s="226" t="s">
        <v>1299</v>
      </c>
    </row>
    <row r="1056" spans="1:5" x14ac:dyDescent="0.2">
      <c r="A1056" s="226" t="s">
        <v>1189</v>
      </c>
      <c r="B1056" s="227" t="s">
        <v>1356</v>
      </c>
      <c r="C1056" s="227" t="s">
        <v>1394</v>
      </c>
      <c r="D1056" s="226" t="s">
        <v>179</v>
      </c>
      <c r="E1056" s="226" t="s">
        <v>1299</v>
      </c>
    </row>
    <row r="1057" spans="1:5" x14ac:dyDescent="0.2">
      <c r="A1057" s="226" t="s">
        <v>1189</v>
      </c>
      <c r="B1057" s="226" t="s">
        <v>1395</v>
      </c>
      <c r="C1057" s="226" t="s">
        <v>1396</v>
      </c>
      <c r="D1057" s="226" t="s">
        <v>179</v>
      </c>
      <c r="E1057" s="226" t="s">
        <v>1299</v>
      </c>
    </row>
    <row r="1058" spans="1:5" x14ac:dyDescent="0.2">
      <c r="A1058" s="226" t="s">
        <v>1189</v>
      </c>
      <c r="B1058" s="226" t="s">
        <v>1395</v>
      </c>
      <c r="C1058" s="226" t="s">
        <v>1397</v>
      </c>
      <c r="D1058" s="226" t="s">
        <v>179</v>
      </c>
      <c r="E1058" s="226" t="s">
        <v>1299</v>
      </c>
    </row>
    <row r="1059" spans="1:5" x14ac:dyDescent="0.2">
      <c r="A1059" s="226" t="s">
        <v>1189</v>
      </c>
      <c r="B1059" s="226" t="s">
        <v>1395</v>
      </c>
      <c r="C1059" s="226" t="s">
        <v>1398</v>
      </c>
      <c r="D1059" s="226" t="s">
        <v>179</v>
      </c>
      <c r="E1059" s="226" t="s">
        <v>1299</v>
      </c>
    </row>
    <row r="1060" spans="1:5" x14ac:dyDescent="0.2">
      <c r="A1060" s="226" t="s">
        <v>1189</v>
      </c>
      <c r="B1060" s="226" t="s">
        <v>1395</v>
      </c>
      <c r="C1060" s="226" t="s">
        <v>1399</v>
      </c>
      <c r="D1060" s="226" t="s">
        <v>179</v>
      </c>
      <c r="E1060" s="226" t="s">
        <v>1299</v>
      </c>
    </row>
    <row r="1061" spans="1:5" x14ac:dyDescent="0.2">
      <c r="A1061" s="226" t="s">
        <v>1189</v>
      </c>
      <c r="B1061" s="226" t="s">
        <v>1395</v>
      </c>
      <c r="C1061" s="226" t="s">
        <v>1400</v>
      </c>
      <c r="D1061" s="226" t="s">
        <v>179</v>
      </c>
      <c r="E1061" s="226" t="s">
        <v>1299</v>
      </c>
    </row>
    <row r="1062" spans="1:5" x14ac:dyDescent="0.2">
      <c r="A1062" s="226" t="s">
        <v>1189</v>
      </c>
      <c r="B1062" s="226" t="s">
        <v>1395</v>
      </c>
      <c r="C1062" s="226" t="s">
        <v>1401</v>
      </c>
      <c r="D1062" s="226" t="s">
        <v>179</v>
      </c>
      <c r="E1062" s="226" t="s">
        <v>1299</v>
      </c>
    </row>
    <row r="1063" spans="1:5" x14ac:dyDescent="0.2">
      <c r="A1063" s="226" t="s">
        <v>1189</v>
      </c>
      <c r="B1063" s="226" t="s">
        <v>1395</v>
      </c>
      <c r="C1063" s="226" t="s">
        <v>1402</v>
      </c>
      <c r="D1063" s="226" t="s">
        <v>179</v>
      </c>
      <c r="E1063" s="226" t="s">
        <v>1299</v>
      </c>
    </row>
    <row r="1064" spans="1:5" x14ac:dyDescent="0.2">
      <c r="A1064" s="226" t="s">
        <v>1189</v>
      </c>
      <c r="B1064" s="227" t="s">
        <v>1395</v>
      </c>
      <c r="C1064" s="227" t="s">
        <v>1403</v>
      </c>
      <c r="D1064" s="226" t="s">
        <v>179</v>
      </c>
      <c r="E1064" s="226" t="s">
        <v>1299</v>
      </c>
    </row>
    <row r="1065" spans="1:5" x14ac:dyDescent="0.2">
      <c r="A1065" s="226" t="s">
        <v>1189</v>
      </c>
      <c r="B1065" s="226" t="s">
        <v>1395</v>
      </c>
      <c r="C1065" s="226" t="s">
        <v>1404</v>
      </c>
      <c r="D1065" s="226" t="s">
        <v>179</v>
      </c>
      <c r="E1065" s="226" t="s">
        <v>1299</v>
      </c>
    </row>
    <row r="1066" spans="1:5" x14ac:dyDescent="0.2">
      <c r="A1066" s="226" t="s">
        <v>1189</v>
      </c>
      <c r="B1066" s="226" t="s">
        <v>1395</v>
      </c>
      <c r="C1066" s="226" t="s">
        <v>1405</v>
      </c>
      <c r="D1066" s="226" t="s">
        <v>179</v>
      </c>
      <c r="E1066" s="226" t="s">
        <v>1299</v>
      </c>
    </row>
    <row r="1067" spans="1:5" x14ac:dyDescent="0.2">
      <c r="A1067" s="226" t="s">
        <v>1406</v>
      </c>
      <c r="B1067" s="226" t="s">
        <v>267</v>
      </c>
      <c r="C1067" s="226" t="s">
        <v>1407</v>
      </c>
      <c r="D1067" s="226" t="s">
        <v>257</v>
      </c>
      <c r="E1067" s="226" t="s">
        <v>304</v>
      </c>
    </row>
    <row r="1068" spans="1:5" x14ac:dyDescent="0.2">
      <c r="A1068" s="226" t="s">
        <v>1406</v>
      </c>
      <c r="B1068" s="226" t="s">
        <v>267</v>
      </c>
      <c r="C1068" s="226" t="s">
        <v>1408</v>
      </c>
      <c r="D1068" s="226" t="s">
        <v>257</v>
      </c>
      <c r="E1068" s="226" t="s">
        <v>304</v>
      </c>
    </row>
    <row r="1069" spans="1:5" x14ac:dyDescent="0.2">
      <c r="A1069" s="226" t="s">
        <v>1406</v>
      </c>
      <c r="B1069" s="227" t="s">
        <v>267</v>
      </c>
      <c r="C1069" s="227" t="s">
        <v>1409</v>
      </c>
      <c r="D1069" s="226" t="s">
        <v>257</v>
      </c>
      <c r="E1069" s="226" t="s">
        <v>304</v>
      </c>
    </row>
    <row r="1070" spans="1:5" x14ac:dyDescent="0.2">
      <c r="A1070" s="226" t="s">
        <v>1406</v>
      </c>
      <c r="B1070" s="227" t="s">
        <v>267</v>
      </c>
      <c r="C1070" s="227" t="s">
        <v>1410</v>
      </c>
      <c r="D1070" s="226" t="s">
        <v>257</v>
      </c>
      <c r="E1070" s="226" t="s">
        <v>304</v>
      </c>
    </row>
    <row r="1071" spans="1:5" x14ac:dyDescent="0.2">
      <c r="A1071" s="226" t="s">
        <v>1406</v>
      </c>
      <c r="B1071" s="227" t="s">
        <v>267</v>
      </c>
      <c r="C1071" s="227" t="s">
        <v>1411</v>
      </c>
      <c r="D1071" s="226" t="s">
        <v>257</v>
      </c>
      <c r="E1071" s="226" t="s">
        <v>304</v>
      </c>
    </row>
    <row r="1072" spans="1:5" x14ac:dyDescent="0.2">
      <c r="A1072" s="226" t="s">
        <v>1406</v>
      </c>
      <c r="B1072" s="227" t="s">
        <v>267</v>
      </c>
      <c r="C1072" s="227" t="s">
        <v>1412</v>
      </c>
      <c r="D1072" s="226" t="s">
        <v>257</v>
      </c>
      <c r="E1072" s="226" t="s">
        <v>304</v>
      </c>
    </row>
    <row r="1073" spans="1:5" x14ac:dyDescent="0.2">
      <c r="A1073" s="226" t="s">
        <v>1406</v>
      </c>
      <c r="B1073" s="227" t="s">
        <v>267</v>
      </c>
      <c r="C1073" s="227" t="s">
        <v>1413</v>
      </c>
      <c r="D1073" s="226" t="s">
        <v>257</v>
      </c>
      <c r="E1073" s="226" t="s">
        <v>304</v>
      </c>
    </row>
    <row r="1074" spans="1:5" x14ac:dyDescent="0.2">
      <c r="A1074" s="226" t="s">
        <v>1406</v>
      </c>
      <c r="B1074" s="226" t="s">
        <v>268</v>
      </c>
      <c r="C1074" s="226" t="s">
        <v>1414</v>
      </c>
      <c r="D1074" s="226" t="s">
        <v>257</v>
      </c>
      <c r="E1074" s="226" t="s">
        <v>304</v>
      </c>
    </row>
    <row r="1075" spans="1:5" x14ac:dyDescent="0.2">
      <c r="A1075" s="226" t="s">
        <v>1406</v>
      </c>
      <c r="B1075" s="226" t="s">
        <v>268</v>
      </c>
      <c r="C1075" s="226" t="s">
        <v>1415</v>
      </c>
      <c r="D1075" s="226" t="s">
        <v>257</v>
      </c>
      <c r="E1075" s="226" t="s">
        <v>304</v>
      </c>
    </row>
    <row r="1076" spans="1:5" x14ac:dyDescent="0.2">
      <c r="A1076" s="226" t="s">
        <v>1406</v>
      </c>
      <c r="B1076" s="227" t="s">
        <v>268</v>
      </c>
      <c r="C1076" s="227" t="s">
        <v>1416</v>
      </c>
      <c r="D1076" s="226" t="s">
        <v>257</v>
      </c>
      <c r="E1076" s="226" t="s">
        <v>304</v>
      </c>
    </row>
    <row r="1077" spans="1:5" x14ac:dyDescent="0.2">
      <c r="A1077" s="226" t="s">
        <v>1406</v>
      </c>
      <c r="B1077" s="227" t="s">
        <v>268</v>
      </c>
      <c r="C1077" s="227" t="s">
        <v>1417</v>
      </c>
      <c r="D1077" s="226" t="s">
        <v>257</v>
      </c>
      <c r="E1077" s="226" t="s">
        <v>304</v>
      </c>
    </row>
    <row r="1078" spans="1:5" x14ac:dyDescent="0.2">
      <c r="A1078" s="226" t="s">
        <v>1406</v>
      </c>
      <c r="B1078" s="227" t="s">
        <v>268</v>
      </c>
      <c r="C1078" s="227" t="s">
        <v>1418</v>
      </c>
      <c r="D1078" s="226" t="s">
        <v>257</v>
      </c>
      <c r="E1078" s="226" t="s">
        <v>304</v>
      </c>
    </row>
    <row r="1079" spans="1:5" x14ac:dyDescent="0.2">
      <c r="A1079" s="226" t="s">
        <v>1406</v>
      </c>
      <c r="B1079" s="227" t="s">
        <v>268</v>
      </c>
      <c r="C1079" s="227" t="s">
        <v>1419</v>
      </c>
      <c r="D1079" s="226" t="s">
        <v>257</v>
      </c>
      <c r="E1079" s="226" t="s">
        <v>304</v>
      </c>
    </row>
    <row r="1080" spans="1:5" x14ac:dyDescent="0.2">
      <c r="A1080" s="226" t="s">
        <v>1406</v>
      </c>
      <c r="B1080" s="227" t="s">
        <v>268</v>
      </c>
      <c r="C1080" s="227" t="s">
        <v>1420</v>
      </c>
      <c r="D1080" s="226" t="s">
        <v>257</v>
      </c>
      <c r="E1080" s="226" t="s">
        <v>304</v>
      </c>
    </row>
    <row r="1081" spans="1:5" x14ac:dyDescent="0.2">
      <c r="A1081" s="226" t="s">
        <v>1406</v>
      </c>
      <c r="B1081" s="227" t="s">
        <v>268</v>
      </c>
      <c r="C1081" s="227" t="s">
        <v>1421</v>
      </c>
      <c r="D1081" s="226" t="s">
        <v>257</v>
      </c>
      <c r="E1081" s="226" t="s">
        <v>304</v>
      </c>
    </row>
    <row r="1082" spans="1:5" x14ac:dyDescent="0.2">
      <c r="A1082" s="226" t="s">
        <v>1406</v>
      </c>
      <c r="B1082" s="227" t="s">
        <v>268</v>
      </c>
      <c r="C1082" s="227" t="s">
        <v>1422</v>
      </c>
      <c r="D1082" s="226" t="s">
        <v>257</v>
      </c>
      <c r="E1082" s="226" t="s">
        <v>304</v>
      </c>
    </row>
    <row r="1083" spans="1:5" x14ac:dyDescent="0.2">
      <c r="A1083" s="226" t="s">
        <v>1406</v>
      </c>
      <c r="B1083" s="227" t="s">
        <v>268</v>
      </c>
      <c r="C1083" s="227" t="s">
        <v>1423</v>
      </c>
      <c r="D1083" s="226" t="s">
        <v>257</v>
      </c>
      <c r="E1083" s="226" t="s">
        <v>304</v>
      </c>
    </row>
    <row r="1084" spans="1:5" x14ac:dyDescent="0.2">
      <c r="A1084" s="226" t="s">
        <v>1406</v>
      </c>
      <c r="B1084" s="227" t="s">
        <v>268</v>
      </c>
      <c r="C1084" s="227" t="s">
        <v>1424</v>
      </c>
      <c r="D1084" s="226" t="s">
        <v>257</v>
      </c>
      <c r="E1084" s="226" t="s">
        <v>304</v>
      </c>
    </row>
    <row r="1085" spans="1:5" x14ac:dyDescent="0.2">
      <c r="A1085" s="226" t="s">
        <v>1406</v>
      </c>
      <c r="B1085" s="226" t="s">
        <v>269</v>
      </c>
      <c r="C1085" s="226" t="s">
        <v>1425</v>
      </c>
      <c r="D1085" s="226" t="s">
        <v>257</v>
      </c>
      <c r="E1085" s="226" t="s">
        <v>304</v>
      </c>
    </row>
    <row r="1086" spans="1:5" x14ac:dyDescent="0.2">
      <c r="A1086" s="226" t="s">
        <v>1406</v>
      </c>
      <c r="B1086" s="226" t="s">
        <v>269</v>
      </c>
      <c r="C1086" s="226" t="s">
        <v>1426</v>
      </c>
      <c r="D1086" s="226" t="s">
        <v>257</v>
      </c>
      <c r="E1086" s="226" t="s">
        <v>304</v>
      </c>
    </row>
    <row r="1087" spans="1:5" x14ac:dyDescent="0.2">
      <c r="A1087" s="226" t="s">
        <v>1406</v>
      </c>
      <c r="B1087" s="227" t="s">
        <v>269</v>
      </c>
      <c r="C1087" s="227" t="s">
        <v>1427</v>
      </c>
      <c r="D1087" s="226" t="s">
        <v>257</v>
      </c>
      <c r="E1087" s="226" t="s">
        <v>304</v>
      </c>
    </row>
    <row r="1088" spans="1:5" x14ac:dyDescent="0.2">
      <c r="A1088" s="226" t="s">
        <v>1406</v>
      </c>
      <c r="B1088" s="227" t="s">
        <v>269</v>
      </c>
      <c r="C1088" s="227" t="s">
        <v>1428</v>
      </c>
      <c r="D1088" s="226" t="s">
        <v>257</v>
      </c>
      <c r="E1088" s="226" t="s">
        <v>304</v>
      </c>
    </row>
    <row r="1089" spans="1:5" x14ac:dyDescent="0.2">
      <c r="A1089" s="226" t="s">
        <v>1406</v>
      </c>
      <c r="B1089" s="227" t="s">
        <v>269</v>
      </c>
      <c r="C1089" s="227" t="s">
        <v>1429</v>
      </c>
      <c r="D1089" s="226" t="s">
        <v>257</v>
      </c>
      <c r="E1089" s="226" t="s">
        <v>304</v>
      </c>
    </row>
    <row r="1090" spans="1:5" x14ac:dyDescent="0.2">
      <c r="A1090" s="226" t="s">
        <v>1406</v>
      </c>
      <c r="B1090" s="227" t="s">
        <v>269</v>
      </c>
      <c r="C1090" s="227" t="s">
        <v>1430</v>
      </c>
      <c r="D1090" s="226" t="s">
        <v>257</v>
      </c>
      <c r="E1090" s="226" t="s">
        <v>304</v>
      </c>
    </row>
    <row r="1091" spans="1:5" x14ac:dyDescent="0.2">
      <c r="A1091" s="226" t="s">
        <v>1406</v>
      </c>
      <c r="B1091" s="227" t="s">
        <v>269</v>
      </c>
      <c r="C1091" s="227" t="s">
        <v>1431</v>
      </c>
      <c r="D1091" s="226" t="s">
        <v>257</v>
      </c>
      <c r="E1091" s="226" t="s">
        <v>304</v>
      </c>
    </row>
    <row r="1092" spans="1:5" x14ac:dyDescent="0.2">
      <c r="A1092" s="226" t="s">
        <v>1406</v>
      </c>
      <c r="B1092" s="227" t="s">
        <v>269</v>
      </c>
      <c r="C1092" s="227" t="s">
        <v>1432</v>
      </c>
      <c r="D1092" s="226" t="s">
        <v>257</v>
      </c>
      <c r="E1092" s="226" t="s">
        <v>304</v>
      </c>
    </row>
    <row r="1093" spans="1:5" x14ac:dyDescent="0.2">
      <c r="A1093" s="226" t="s">
        <v>1406</v>
      </c>
      <c r="B1093" s="227" t="s">
        <v>269</v>
      </c>
      <c r="C1093" s="227" t="s">
        <v>1433</v>
      </c>
      <c r="D1093" s="226" t="s">
        <v>257</v>
      </c>
      <c r="E1093" s="226" t="s">
        <v>304</v>
      </c>
    </row>
    <row r="1094" spans="1:5" x14ac:dyDescent="0.2">
      <c r="A1094" s="226" t="s">
        <v>1406</v>
      </c>
      <c r="B1094" s="227" t="s">
        <v>269</v>
      </c>
      <c r="C1094" s="227" t="s">
        <v>1434</v>
      </c>
      <c r="D1094" s="226" t="s">
        <v>257</v>
      </c>
      <c r="E1094" s="226" t="s">
        <v>304</v>
      </c>
    </row>
    <row r="1095" spans="1:5" x14ac:dyDescent="0.2">
      <c r="A1095" s="226" t="s">
        <v>1406</v>
      </c>
      <c r="B1095" s="227" t="s">
        <v>269</v>
      </c>
      <c r="C1095" s="227" t="s">
        <v>1435</v>
      </c>
      <c r="D1095" s="226" t="s">
        <v>257</v>
      </c>
      <c r="E1095" s="226" t="s">
        <v>304</v>
      </c>
    </row>
    <row r="1096" spans="1:5" x14ac:dyDescent="0.2">
      <c r="A1096" s="226" t="s">
        <v>1406</v>
      </c>
      <c r="B1096" s="226" t="s">
        <v>270</v>
      </c>
      <c r="C1096" s="226" t="s">
        <v>1436</v>
      </c>
      <c r="D1096" s="226" t="s">
        <v>257</v>
      </c>
      <c r="E1096" s="226" t="s">
        <v>304</v>
      </c>
    </row>
    <row r="1097" spans="1:5" x14ac:dyDescent="0.2">
      <c r="A1097" s="226" t="s">
        <v>1406</v>
      </c>
      <c r="B1097" s="226" t="s">
        <v>270</v>
      </c>
      <c r="C1097" s="226" t="s">
        <v>1437</v>
      </c>
      <c r="D1097" s="226" t="s">
        <v>257</v>
      </c>
      <c r="E1097" s="226" t="s">
        <v>304</v>
      </c>
    </row>
    <row r="1098" spans="1:5" x14ac:dyDescent="0.2">
      <c r="A1098" s="226" t="s">
        <v>1406</v>
      </c>
      <c r="B1098" s="227" t="s">
        <v>270</v>
      </c>
      <c r="C1098" s="227" t="s">
        <v>1438</v>
      </c>
      <c r="D1098" s="226" t="s">
        <v>257</v>
      </c>
      <c r="E1098" s="226" t="s">
        <v>304</v>
      </c>
    </row>
    <row r="1099" spans="1:5" x14ac:dyDescent="0.2">
      <c r="A1099" s="226" t="s">
        <v>1406</v>
      </c>
      <c r="B1099" s="227" t="s">
        <v>270</v>
      </c>
      <c r="C1099" s="227" t="s">
        <v>1439</v>
      </c>
      <c r="D1099" s="226" t="s">
        <v>257</v>
      </c>
      <c r="E1099" s="226" t="s">
        <v>304</v>
      </c>
    </row>
    <row r="1100" spans="1:5" x14ac:dyDescent="0.2">
      <c r="A1100" s="226" t="s">
        <v>1406</v>
      </c>
      <c r="B1100" s="227" t="s">
        <v>270</v>
      </c>
      <c r="C1100" s="227" t="s">
        <v>1440</v>
      </c>
      <c r="D1100" s="226" t="s">
        <v>257</v>
      </c>
      <c r="E1100" s="226" t="s">
        <v>304</v>
      </c>
    </row>
    <row r="1101" spans="1:5" x14ac:dyDescent="0.2">
      <c r="A1101" s="226" t="s">
        <v>1406</v>
      </c>
      <c r="B1101" s="227" t="s">
        <v>270</v>
      </c>
      <c r="C1101" s="227" t="s">
        <v>1441</v>
      </c>
      <c r="D1101" s="226" t="s">
        <v>257</v>
      </c>
      <c r="E1101" s="226" t="s">
        <v>304</v>
      </c>
    </row>
    <row r="1102" spans="1:5" x14ac:dyDescent="0.2">
      <c r="A1102" s="226" t="s">
        <v>1406</v>
      </c>
      <c r="B1102" s="227" t="s">
        <v>270</v>
      </c>
      <c r="C1102" s="227" t="s">
        <v>1442</v>
      </c>
      <c r="D1102" s="226" t="s">
        <v>257</v>
      </c>
      <c r="E1102" s="226" t="s">
        <v>304</v>
      </c>
    </row>
    <row r="1103" spans="1:5" x14ac:dyDescent="0.2">
      <c r="A1103" s="226" t="s">
        <v>1406</v>
      </c>
      <c r="B1103" s="227" t="s">
        <v>270</v>
      </c>
      <c r="C1103" s="227" t="s">
        <v>1443</v>
      </c>
      <c r="D1103" s="226" t="s">
        <v>257</v>
      </c>
      <c r="E1103" s="226" t="s">
        <v>304</v>
      </c>
    </row>
    <row r="1104" spans="1:5" x14ac:dyDescent="0.2">
      <c r="A1104" s="226" t="s">
        <v>1406</v>
      </c>
      <c r="B1104" s="227" t="s">
        <v>270</v>
      </c>
      <c r="C1104" s="227" t="s">
        <v>1444</v>
      </c>
      <c r="D1104" s="226" t="s">
        <v>257</v>
      </c>
      <c r="E1104" s="226" t="s">
        <v>304</v>
      </c>
    </row>
    <row r="1105" spans="1:5" x14ac:dyDescent="0.2">
      <c r="A1105" s="226" t="s">
        <v>1406</v>
      </c>
      <c r="B1105" s="226" t="s">
        <v>271</v>
      </c>
      <c r="C1105" s="226" t="s">
        <v>1445</v>
      </c>
      <c r="D1105" s="226" t="s">
        <v>257</v>
      </c>
      <c r="E1105" s="226" t="s">
        <v>304</v>
      </c>
    </row>
    <row r="1106" spans="1:5" x14ac:dyDescent="0.2">
      <c r="A1106" s="226" t="s">
        <v>1406</v>
      </c>
      <c r="B1106" s="226" t="s">
        <v>271</v>
      </c>
      <c r="C1106" s="226" t="s">
        <v>1446</v>
      </c>
      <c r="D1106" s="226" t="s">
        <v>257</v>
      </c>
      <c r="E1106" s="226" t="s">
        <v>304</v>
      </c>
    </row>
    <row r="1107" spans="1:5" x14ac:dyDescent="0.2">
      <c r="A1107" s="226" t="s">
        <v>1406</v>
      </c>
      <c r="B1107" s="227" t="s">
        <v>271</v>
      </c>
      <c r="C1107" s="227" t="s">
        <v>1447</v>
      </c>
      <c r="D1107" s="226" t="s">
        <v>257</v>
      </c>
      <c r="E1107" s="226" t="s">
        <v>304</v>
      </c>
    </row>
    <row r="1108" spans="1:5" x14ac:dyDescent="0.2">
      <c r="A1108" s="226" t="s">
        <v>1406</v>
      </c>
      <c r="B1108" s="227" t="s">
        <v>271</v>
      </c>
      <c r="C1108" s="227" t="s">
        <v>1448</v>
      </c>
      <c r="D1108" s="226" t="s">
        <v>257</v>
      </c>
      <c r="E1108" s="226" t="s">
        <v>304</v>
      </c>
    </row>
    <row r="1109" spans="1:5" x14ac:dyDescent="0.2">
      <c r="A1109" s="226" t="s">
        <v>1406</v>
      </c>
      <c r="B1109" s="227" t="s">
        <v>271</v>
      </c>
      <c r="C1109" s="227" t="s">
        <v>1449</v>
      </c>
      <c r="D1109" s="226" t="s">
        <v>257</v>
      </c>
      <c r="E1109" s="226" t="s">
        <v>304</v>
      </c>
    </row>
    <row r="1110" spans="1:5" x14ac:dyDescent="0.2">
      <c r="A1110" s="226" t="s">
        <v>1406</v>
      </c>
      <c r="B1110" s="227" t="s">
        <v>271</v>
      </c>
      <c r="C1110" s="227" t="s">
        <v>1450</v>
      </c>
      <c r="D1110" s="226" t="s">
        <v>257</v>
      </c>
      <c r="E1110" s="226" t="s">
        <v>304</v>
      </c>
    </row>
    <row r="1111" spans="1:5" x14ac:dyDescent="0.2">
      <c r="A1111" s="226" t="s">
        <v>1406</v>
      </c>
      <c r="B1111" s="227" t="s">
        <v>271</v>
      </c>
      <c r="C1111" s="227" t="s">
        <v>1451</v>
      </c>
      <c r="D1111" s="226" t="s">
        <v>257</v>
      </c>
      <c r="E1111" s="226" t="s">
        <v>304</v>
      </c>
    </row>
    <row r="1112" spans="1:5" x14ac:dyDescent="0.2">
      <c r="A1112" s="226" t="s">
        <v>1406</v>
      </c>
      <c r="B1112" s="227" t="s">
        <v>271</v>
      </c>
      <c r="C1112" s="227" t="s">
        <v>1452</v>
      </c>
      <c r="D1112" s="226" t="s">
        <v>257</v>
      </c>
      <c r="E1112" s="226" t="s">
        <v>304</v>
      </c>
    </row>
    <row r="1113" spans="1:5" x14ac:dyDescent="0.2">
      <c r="A1113" s="226" t="s">
        <v>1406</v>
      </c>
      <c r="B1113" s="227" t="s">
        <v>271</v>
      </c>
      <c r="C1113" s="227" t="s">
        <v>1453</v>
      </c>
      <c r="D1113" s="226" t="s">
        <v>257</v>
      </c>
      <c r="E1113" s="226" t="s">
        <v>304</v>
      </c>
    </row>
    <row r="1114" spans="1:5" x14ac:dyDescent="0.2">
      <c r="A1114" s="226" t="s">
        <v>1406</v>
      </c>
      <c r="B1114" s="227" t="s">
        <v>271</v>
      </c>
      <c r="C1114" s="227" t="s">
        <v>1454</v>
      </c>
      <c r="D1114" s="226" t="s">
        <v>257</v>
      </c>
      <c r="E1114" s="226" t="s">
        <v>304</v>
      </c>
    </row>
    <row r="1115" spans="1:5" x14ac:dyDescent="0.2">
      <c r="A1115" s="226" t="s">
        <v>1406</v>
      </c>
      <c r="B1115" s="227" t="s">
        <v>271</v>
      </c>
      <c r="C1115" s="227" t="s">
        <v>1455</v>
      </c>
      <c r="D1115" s="226" t="s">
        <v>257</v>
      </c>
      <c r="E1115" s="226" t="s">
        <v>304</v>
      </c>
    </row>
    <row r="1116" spans="1:5" x14ac:dyDescent="0.2">
      <c r="A1116" s="226" t="s">
        <v>1406</v>
      </c>
      <c r="B1116" s="226" t="s">
        <v>271</v>
      </c>
      <c r="C1116" s="226" t="s">
        <v>1456</v>
      </c>
      <c r="D1116" s="226" t="s">
        <v>257</v>
      </c>
      <c r="E1116" s="226" t="s">
        <v>304</v>
      </c>
    </row>
    <row r="1117" spans="1:5" x14ac:dyDescent="0.2">
      <c r="A1117" s="226" t="s">
        <v>1406</v>
      </c>
      <c r="B1117" s="226" t="s">
        <v>271</v>
      </c>
      <c r="C1117" s="226" t="s">
        <v>1457</v>
      </c>
      <c r="D1117" s="226" t="s">
        <v>257</v>
      </c>
      <c r="E1117" s="226" t="s">
        <v>304</v>
      </c>
    </row>
    <row r="1118" spans="1:5" x14ac:dyDescent="0.2">
      <c r="A1118" s="226" t="s">
        <v>1406</v>
      </c>
      <c r="B1118" s="226" t="s">
        <v>271</v>
      </c>
      <c r="C1118" s="226" t="s">
        <v>1458</v>
      </c>
      <c r="D1118" s="226" t="s">
        <v>257</v>
      </c>
      <c r="E1118" s="226" t="s">
        <v>304</v>
      </c>
    </row>
    <row r="1119" spans="1:5" x14ac:dyDescent="0.2">
      <c r="A1119" s="226" t="s">
        <v>1406</v>
      </c>
      <c r="B1119" s="226" t="s">
        <v>271</v>
      </c>
      <c r="C1119" s="226" t="s">
        <v>1459</v>
      </c>
      <c r="D1119" s="226" t="s">
        <v>257</v>
      </c>
      <c r="E1119" s="226" t="s">
        <v>304</v>
      </c>
    </row>
    <row r="1120" spans="1:5" x14ac:dyDescent="0.2">
      <c r="A1120" s="226" t="s">
        <v>1406</v>
      </c>
      <c r="B1120" s="226" t="s">
        <v>271</v>
      </c>
      <c r="C1120" s="226" t="s">
        <v>1460</v>
      </c>
      <c r="D1120" s="226" t="s">
        <v>257</v>
      </c>
      <c r="E1120" s="226" t="s">
        <v>304</v>
      </c>
    </row>
    <row r="1121" spans="1:5" x14ac:dyDescent="0.2">
      <c r="A1121" s="226" t="s">
        <v>1406</v>
      </c>
      <c r="B1121" s="226" t="s">
        <v>272</v>
      </c>
      <c r="C1121" s="226" t="s">
        <v>1461</v>
      </c>
      <c r="D1121" s="226" t="s">
        <v>257</v>
      </c>
      <c r="E1121" s="226" t="s">
        <v>304</v>
      </c>
    </row>
    <row r="1122" spans="1:5" x14ac:dyDescent="0.2">
      <c r="A1122" s="226" t="s">
        <v>1406</v>
      </c>
      <c r="B1122" s="226" t="s">
        <v>272</v>
      </c>
      <c r="C1122" s="226" t="s">
        <v>1462</v>
      </c>
      <c r="D1122" s="226" t="s">
        <v>257</v>
      </c>
      <c r="E1122" s="226" t="s">
        <v>304</v>
      </c>
    </row>
    <row r="1123" spans="1:5" x14ac:dyDescent="0.2">
      <c r="A1123" s="226" t="s">
        <v>1406</v>
      </c>
      <c r="B1123" s="227" t="s">
        <v>272</v>
      </c>
      <c r="C1123" s="227" t="s">
        <v>1463</v>
      </c>
      <c r="D1123" s="226" t="s">
        <v>257</v>
      </c>
      <c r="E1123" s="226" t="s">
        <v>304</v>
      </c>
    </row>
    <row r="1124" spans="1:5" x14ac:dyDescent="0.2">
      <c r="A1124" s="226" t="s">
        <v>1406</v>
      </c>
      <c r="B1124" s="227" t="s">
        <v>272</v>
      </c>
      <c r="C1124" s="227" t="s">
        <v>1464</v>
      </c>
      <c r="D1124" s="226" t="s">
        <v>257</v>
      </c>
      <c r="E1124" s="226" t="s">
        <v>304</v>
      </c>
    </row>
    <row r="1125" spans="1:5" x14ac:dyDescent="0.2">
      <c r="A1125" s="226" t="s">
        <v>1406</v>
      </c>
      <c r="B1125" s="227" t="s">
        <v>272</v>
      </c>
      <c r="C1125" s="227" t="s">
        <v>1465</v>
      </c>
      <c r="D1125" s="226" t="s">
        <v>257</v>
      </c>
      <c r="E1125" s="226" t="s">
        <v>304</v>
      </c>
    </row>
    <row r="1126" spans="1:5" x14ac:dyDescent="0.2">
      <c r="A1126" s="226" t="s">
        <v>1406</v>
      </c>
      <c r="B1126" s="227" t="s">
        <v>272</v>
      </c>
      <c r="C1126" s="227" t="s">
        <v>1466</v>
      </c>
      <c r="D1126" s="226" t="s">
        <v>257</v>
      </c>
      <c r="E1126" s="226" t="s">
        <v>304</v>
      </c>
    </row>
    <row r="1127" spans="1:5" x14ac:dyDescent="0.2">
      <c r="A1127" s="226" t="s">
        <v>1406</v>
      </c>
      <c r="B1127" s="227" t="s">
        <v>272</v>
      </c>
      <c r="C1127" s="227" t="s">
        <v>1467</v>
      </c>
      <c r="D1127" s="226" t="s">
        <v>257</v>
      </c>
      <c r="E1127" s="226" t="s">
        <v>304</v>
      </c>
    </row>
    <row r="1128" spans="1:5" x14ac:dyDescent="0.2">
      <c r="A1128" s="226" t="s">
        <v>1406</v>
      </c>
      <c r="B1128" s="227" t="s">
        <v>272</v>
      </c>
      <c r="C1128" s="227" t="s">
        <v>1468</v>
      </c>
      <c r="D1128" s="226" t="s">
        <v>257</v>
      </c>
      <c r="E1128" s="226" t="s">
        <v>304</v>
      </c>
    </row>
    <row r="1129" spans="1:5" x14ac:dyDescent="0.2">
      <c r="A1129" s="226" t="s">
        <v>1406</v>
      </c>
      <c r="B1129" s="227" t="s">
        <v>272</v>
      </c>
      <c r="C1129" s="227" t="s">
        <v>1469</v>
      </c>
      <c r="D1129" s="226" t="s">
        <v>257</v>
      </c>
      <c r="E1129" s="226" t="s">
        <v>304</v>
      </c>
    </row>
    <row r="1130" spans="1:5" x14ac:dyDescent="0.2">
      <c r="A1130" s="226" t="s">
        <v>1406</v>
      </c>
      <c r="B1130" s="227" t="s">
        <v>272</v>
      </c>
      <c r="C1130" s="227" t="s">
        <v>1470</v>
      </c>
      <c r="D1130" s="226" t="s">
        <v>257</v>
      </c>
      <c r="E1130" s="226" t="s">
        <v>304</v>
      </c>
    </row>
    <row r="1131" spans="1:5" x14ac:dyDescent="0.2">
      <c r="A1131" s="226" t="s">
        <v>1406</v>
      </c>
      <c r="B1131" s="227" t="s">
        <v>272</v>
      </c>
      <c r="C1131" s="227" t="s">
        <v>1471</v>
      </c>
      <c r="D1131" s="226" t="s">
        <v>257</v>
      </c>
      <c r="E1131" s="226" t="s">
        <v>304</v>
      </c>
    </row>
    <row r="1132" spans="1:5" x14ac:dyDescent="0.2">
      <c r="A1132" s="226" t="s">
        <v>1406</v>
      </c>
      <c r="B1132" s="226" t="s">
        <v>272</v>
      </c>
      <c r="C1132" s="226" t="s">
        <v>1472</v>
      </c>
      <c r="D1132" s="226" t="s">
        <v>257</v>
      </c>
      <c r="E1132" s="226" t="s">
        <v>304</v>
      </c>
    </row>
    <row r="1133" spans="1:5" x14ac:dyDescent="0.2">
      <c r="A1133" s="226" t="s">
        <v>1406</v>
      </c>
      <c r="B1133" s="227" t="s">
        <v>272</v>
      </c>
      <c r="C1133" s="227" t="s">
        <v>1473</v>
      </c>
      <c r="D1133" s="226" t="s">
        <v>257</v>
      </c>
      <c r="E1133" s="226" t="s">
        <v>304</v>
      </c>
    </row>
    <row r="1134" spans="1:5" x14ac:dyDescent="0.2">
      <c r="A1134" s="226" t="s">
        <v>1406</v>
      </c>
      <c r="B1134" s="227" t="s">
        <v>272</v>
      </c>
      <c r="C1134" s="227" t="s">
        <v>1474</v>
      </c>
      <c r="D1134" s="226" t="s">
        <v>257</v>
      </c>
      <c r="E1134" s="226" t="s">
        <v>304</v>
      </c>
    </row>
    <row r="1135" spans="1:5" x14ac:dyDescent="0.2">
      <c r="A1135" s="226" t="s">
        <v>1406</v>
      </c>
      <c r="B1135" s="227" t="s">
        <v>272</v>
      </c>
      <c r="C1135" s="227" t="s">
        <v>1475</v>
      </c>
      <c r="D1135" s="226" t="s">
        <v>257</v>
      </c>
      <c r="E1135" s="226" t="s">
        <v>304</v>
      </c>
    </row>
    <row r="1136" spans="1:5" x14ac:dyDescent="0.2">
      <c r="A1136" s="226" t="s">
        <v>1406</v>
      </c>
      <c r="B1136" s="227" t="s">
        <v>272</v>
      </c>
      <c r="C1136" s="227" t="s">
        <v>1476</v>
      </c>
      <c r="D1136" s="226" t="s">
        <v>257</v>
      </c>
      <c r="E1136" s="226" t="s">
        <v>304</v>
      </c>
    </row>
    <row r="1137" spans="1:5" x14ac:dyDescent="0.2">
      <c r="A1137" s="226" t="s">
        <v>1406</v>
      </c>
      <c r="B1137" s="227" t="s">
        <v>272</v>
      </c>
      <c r="C1137" s="227" t="s">
        <v>1477</v>
      </c>
      <c r="D1137" s="226" t="s">
        <v>257</v>
      </c>
      <c r="E1137" s="226" t="s">
        <v>304</v>
      </c>
    </row>
    <row r="1138" spans="1:5" x14ac:dyDescent="0.2">
      <c r="A1138" s="226" t="s">
        <v>1406</v>
      </c>
      <c r="B1138" s="227" t="s">
        <v>272</v>
      </c>
      <c r="C1138" s="227" t="s">
        <v>1478</v>
      </c>
      <c r="D1138" s="226" t="s">
        <v>257</v>
      </c>
      <c r="E1138" s="226" t="s">
        <v>304</v>
      </c>
    </row>
    <row r="1139" spans="1:5" x14ac:dyDescent="0.2">
      <c r="A1139" s="226" t="s">
        <v>1479</v>
      </c>
      <c r="B1139" s="226" t="s">
        <v>1480</v>
      </c>
      <c r="C1139" s="226" t="s">
        <v>1481</v>
      </c>
      <c r="D1139" s="226" t="s">
        <v>181</v>
      </c>
      <c r="E1139" s="226" t="s">
        <v>1482</v>
      </c>
    </row>
    <row r="1140" spans="1:5" x14ac:dyDescent="0.2">
      <c r="A1140" s="226" t="s">
        <v>1479</v>
      </c>
      <c r="B1140" s="226" t="s">
        <v>1480</v>
      </c>
      <c r="C1140" s="226" t="s">
        <v>1483</v>
      </c>
      <c r="D1140" s="226" t="s">
        <v>181</v>
      </c>
      <c r="E1140" s="226" t="s">
        <v>1482</v>
      </c>
    </row>
    <row r="1141" spans="1:5" x14ac:dyDescent="0.2">
      <c r="A1141" s="226" t="s">
        <v>1479</v>
      </c>
      <c r="B1141" s="227" t="s">
        <v>1480</v>
      </c>
      <c r="C1141" s="227" t="s">
        <v>1484</v>
      </c>
      <c r="D1141" s="226" t="s">
        <v>181</v>
      </c>
      <c r="E1141" s="226" t="s">
        <v>1482</v>
      </c>
    </row>
    <row r="1142" spans="1:5" x14ac:dyDescent="0.2">
      <c r="A1142" s="226" t="s">
        <v>1479</v>
      </c>
      <c r="B1142" s="227" t="s">
        <v>1480</v>
      </c>
      <c r="C1142" s="227" t="s">
        <v>1485</v>
      </c>
      <c r="D1142" s="226" t="s">
        <v>181</v>
      </c>
      <c r="E1142" s="226" t="s">
        <v>1482</v>
      </c>
    </row>
    <row r="1143" spans="1:5" x14ac:dyDescent="0.2">
      <c r="A1143" s="226" t="s">
        <v>1479</v>
      </c>
      <c r="B1143" s="227" t="s">
        <v>1480</v>
      </c>
      <c r="C1143" s="227" t="s">
        <v>1486</v>
      </c>
      <c r="D1143" s="226" t="s">
        <v>181</v>
      </c>
      <c r="E1143" s="226" t="s">
        <v>1482</v>
      </c>
    </row>
    <row r="1144" spans="1:5" x14ac:dyDescent="0.2">
      <c r="A1144" s="226" t="s">
        <v>1479</v>
      </c>
      <c r="B1144" s="226" t="s">
        <v>1487</v>
      </c>
      <c r="C1144" s="226" t="s">
        <v>1488</v>
      </c>
      <c r="D1144" s="226" t="s">
        <v>181</v>
      </c>
      <c r="E1144" s="226" t="s">
        <v>1482</v>
      </c>
    </row>
    <row r="1145" spans="1:5" x14ac:dyDescent="0.2">
      <c r="A1145" s="226" t="s">
        <v>1479</v>
      </c>
      <c r="B1145" s="226" t="s">
        <v>1487</v>
      </c>
      <c r="C1145" s="226" t="s">
        <v>1489</v>
      </c>
      <c r="D1145" s="226" t="s">
        <v>181</v>
      </c>
      <c r="E1145" s="226" t="s">
        <v>1482</v>
      </c>
    </row>
    <row r="1146" spans="1:5" x14ac:dyDescent="0.2">
      <c r="A1146" s="226" t="s">
        <v>1479</v>
      </c>
      <c r="B1146" s="227" t="s">
        <v>1487</v>
      </c>
      <c r="C1146" s="227" t="s">
        <v>1490</v>
      </c>
      <c r="D1146" s="226" t="s">
        <v>181</v>
      </c>
      <c r="E1146" s="226" t="s">
        <v>1482</v>
      </c>
    </row>
    <row r="1147" spans="1:5" x14ac:dyDescent="0.2">
      <c r="A1147" s="226" t="s">
        <v>1479</v>
      </c>
      <c r="B1147" s="227" t="s">
        <v>1487</v>
      </c>
      <c r="C1147" s="227" t="s">
        <v>1491</v>
      </c>
      <c r="D1147" s="226" t="s">
        <v>181</v>
      </c>
      <c r="E1147" s="226" t="s">
        <v>1482</v>
      </c>
    </row>
    <row r="1148" spans="1:5" x14ac:dyDescent="0.2">
      <c r="A1148" s="226" t="s">
        <v>1479</v>
      </c>
      <c r="B1148" s="227" t="s">
        <v>1487</v>
      </c>
      <c r="C1148" s="227" t="s">
        <v>1492</v>
      </c>
      <c r="D1148" s="226" t="s">
        <v>181</v>
      </c>
      <c r="E1148" s="226" t="s">
        <v>1482</v>
      </c>
    </row>
    <row r="1149" spans="1:5" x14ac:dyDescent="0.2">
      <c r="A1149" s="226" t="s">
        <v>1479</v>
      </c>
      <c r="B1149" s="227" t="s">
        <v>1487</v>
      </c>
      <c r="C1149" s="227" t="s">
        <v>1493</v>
      </c>
      <c r="D1149" s="226" t="s">
        <v>181</v>
      </c>
      <c r="E1149" s="226" t="s">
        <v>1482</v>
      </c>
    </row>
    <row r="1150" spans="1:5" x14ac:dyDescent="0.2">
      <c r="A1150" s="226" t="s">
        <v>1479</v>
      </c>
      <c r="B1150" s="227" t="s">
        <v>1487</v>
      </c>
      <c r="C1150" s="227" t="s">
        <v>1494</v>
      </c>
      <c r="D1150" s="226" t="s">
        <v>181</v>
      </c>
      <c r="E1150" s="226" t="s">
        <v>1482</v>
      </c>
    </row>
    <row r="1151" spans="1:5" x14ac:dyDescent="0.2">
      <c r="A1151" s="226" t="s">
        <v>1479</v>
      </c>
      <c r="B1151" s="227" t="s">
        <v>1487</v>
      </c>
      <c r="C1151" s="227" t="s">
        <v>1495</v>
      </c>
      <c r="D1151" s="226" t="s">
        <v>1080</v>
      </c>
      <c r="E1151" s="226" t="s">
        <v>1081</v>
      </c>
    </row>
    <row r="1152" spans="1:5" x14ac:dyDescent="0.2">
      <c r="A1152" s="226" t="s">
        <v>1479</v>
      </c>
      <c r="B1152" s="227" t="s">
        <v>1487</v>
      </c>
      <c r="C1152" s="227" t="s">
        <v>1496</v>
      </c>
      <c r="D1152" s="226" t="s">
        <v>181</v>
      </c>
      <c r="E1152" s="226" t="s">
        <v>1482</v>
      </c>
    </row>
    <row r="1153" spans="1:5" x14ac:dyDescent="0.2">
      <c r="A1153" s="226" t="s">
        <v>1479</v>
      </c>
      <c r="B1153" s="226" t="s">
        <v>1497</v>
      </c>
      <c r="C1153" s="226" t="s">
        <v>1498</v>
      </c>
      <c r="D1153" s="226" t="s">
        <v>1080</v>
      </c>
      <c r="E1153" s="226" t="s">
        <v>186</v>
      </c>
    </row>
    <row r="1154" spans="1:5" x14ac:dyDescent="0.2">
      <c r="A1154" s="226" t="s">
        <v>1479</v>
      </c>
      <c r="B1154" s="226" t="s">
        <v>1497</v>
      </c>
      <c r="C1154" s="226" t="s">
        <v>1499</v>
      </c>
      <c r="D1154" s="226" t="s">
        <v>1080</v>
      </c>
      <c r="E1154" s="226" t="s">
        <v>186</v>
      </c>
    </row>
    <row r="1155" spans="1:5" x14ac:dyDescent="0.2">
      <c r="A1155" s="226" t="s">
        <v>1479</v>
      </c>
      <c r="B1155" s="227" t="s">
        <v>1497</v>
      </c>
      <c r="C1155" s="227" t="s">
        <v>1500</v>
      </c>
      <c r="D1155" s="226" t="s">
        <v>1080</v>
      </c>
      <c r="E1155" s="226" t="s">
        <v>186</v>
      </c>
    </row>
    <row r="1156" spans="1:5" x14ac:dyDescent="0.2">
      <c r="A1156" s="226" t="s">
        <v>1479</v>
      </c>
      <c r="B1156" s="227" t="s">
        <v>1497</v>
      </c>
      <c r="C1156" s="227" t="s">
        <v>1501</v>
      </c>
      <c r="D1156" s="226" t="s">
        <v>1080</v>
      </c>
      <c r="E1156" s="226" t="s">
        <v>186</v>
      </c>
    </row>
    <row r="1157" spans="1:5" x14ac:dyDescent="0.2">
      <c r="A1157" s="226" t="s">
        <v>1479</v>
      </c>
      <c r="B1157" s="227" t="s">
        <v>1497</v>
      </c>
      <c r="C1157" s="227" t="s">
        <v>1502</v>
      </c>
      <c r="D1157" s="226" t="s">
        <v>1080</v>
      </c>
      <c r="E1157" s="226" t="s">
        <v>186</v>
      </c>
    </row>
    <row r="1158" spans="1:5" x14ac:dyDescent="0.2">
      <c r="A1158" s="226" t="s">
        <v>1479</v>
      </c>
      <c r="B1158" s="227" t="s">
        <v>1497</v>
      </c>
      <c r="C1158" s="227" t="s">
        <v>1503</v>
      </c>
      <c r="D1158" s="226" t="s">
        <v>1080</v>
      </c>
      <c r="E1158" s="226" t="s">
        <v>186</v>
      </c>
    </row>
    <row r="1159" spans="1:5" x14ac:dyDescent="0.2">
      <c r="A1159" s="226" t="s">
        <v>1479</v>
      </c>
      <c r="B1159" s="227" t="s">
        <v>1497</v>
      </c>
      <c r="C1159" s="227" t="s">
        <v>1504</v>
      </c>
      <c r="D1159" s="226" t="s">
        <v>1080</v>
      </c>
      <c r="E1159" s="226" t="s">
        <v>186</v>
      </c>
    </row>
    <row r="1160" spans="1:5" x14ac:dyDescent="0.2">
      <c r="A1160" s="226" t="s">
        <v>1479</v>
      </c>
      <c r="B1160" s="227" t="s">
        <v>1497</v>
      </c>
      <c r="C1160" s="227" t="s">
        <v>1505</v>
      </c>
      <c r="D1160" s="226" t="s">
        <v>1080</v>
      </c>
      <c r="E1160" s="226" t="s">
        <v>186</v>
      </c>
    </row>
    <row r="1161" spans="1:5" x14ac:dyDescent="0.2">
      <c r="A1161" s="226" t="s">
        <v>1479</v>
      </c>
      <c r="B1161" s="227" t="s">
        <v>1497</v>
      </c>
      <c r="C1161" s="227" t="s">
        <v>1506</v>
      </c>
      <c r="D1161" s="226" t="s">
        <v>1080</v>
      </c>
      <c r="E1161" s="226" t="s">
        <v>186</v>
      </c>
    </row>
    <row r="1162" spans="1:5" x14ac:dyDescent="0.2">
      <c r="A1162" s="226" t="s">
        <v>1479</v>
      </c>
      <c r="B1162" s="227" t="s">
        <v>1497</v>
      </c>
      <c r="C1162" s="227" t="s">
        <v>1507</v>
      </c>
      <c r="D1162" s="226" t="s">
        <v>1080</v>
      </c>
      <c r="E1162" s="226" t="s">
        <v>186</v>
      </c>
    </row>
    <row r="1163" spans="1:5" x14ac:dyDescent="0.2">
      <c r="A1163" s="226" t="s">
        <v>1479</v>
      </c>
      <c r="B1163" s="227" t="s">
        <v>1497</v>
      </c>
      <c r="C1163" s="227" t="s">
        <v>1508</v>
      </c>
      <c r="D1163" s="226" t="s">
        <v>1080</v>
      </c>
      <c r="E1163" s="226" t="s">
        <v>186</v>
      </c>
    </row>
    <row r="1164" spans="1:5" x14ac:dyDescent="0.2">
      <c r="A1164" s="226" t="s">
        <v>1479</v>
      </c>
      <c r="B1164" s="227" t="s">
        <v>1497</v>
      </c>
      <c r="C1164" s="227" t="s">
        <v>1509</v>
      </c>
      <c r="D1164" s="226" t="s">
        <v>1080</v>
      </c>
      <c r="E1164" s="226" t="s">
        <v>186</v>
      </c>
    </row>
    <row r="1165" spans="1:5" x14ac:dyDescent="0.2">
      <c r="A1165" s="226" t="s">
        <v>1479</v>
      </c>
      <c r="B1165" s="227" t="s">
        <v>1497</v>
      </c>
      <c r="C1165" s="227" t="s">
        <v>1510</v>
      </c>
      <c r="D1165" s="226" t="s">
        <v>1080</v>
      </c>
      <c r="E1165" s="226" t="s">
        <v>186</v>
      </c>
    </row>
    <row r="1166" spans="1:5" x14ac:dyDescent="0.2">
      <c r="A1166" s="226" t="s">
        <v>1479</v>
      </c>
      <c r="B1166" s="227" t="s">
        <v>1497</v>
      </c>
      <c r="C1166" s="227" t="s">
        <v>1511</v>
      </c>
      <c r="D1166" s="226" t="s">
        <v>1080</v>
      </c>
      <c r="E1166" s="226" t="s">
        <v>186</v>
      </c>
    </row>
    <row r="1167" spans="1:5" x14ac:dyDescent="0.2">
      <c r="A1167" s="226" t="s">
        <v>1512</v>
      </c>
      <c r="B1167" s="226" t="s">
        <v>1513</v>
      </c>
      <c r="C1167" s="226" t="s">
        <v>1514</v>
      </c>
      <c r="D1167" s="226" t="s">
        <v>1080</v>
      </c>
      <c r="E1167" s="226" t="s">
        <v>1081</v>
      </c>
    </row>
    <row r="1168" spans="1:5" x14ac:dyDescent="0.2">
      <c r="A1168" s="226" t="s">
        <v>1512</v>
      </c>
      <c r="B1168" s="227" t="s">
        <v>1513</v>
      </c>
      <c r="C1168" s="227" t="s">
        <v>1515</v>
      </c>
      <c r="D1168" s="226" t="s">
        <v>1080</v>
      </c>
      <c r="E1168" s="226" t="s">
        <v>1081</v>
      </c>
    </row>
    <row r="1169" spans="1:5" x14ac:dyDescent="0.2">
      <c r="A1169" s="226" t="s">
        <v>1512</v>
      </c>
      <c r="B1169" s="227" t="s">
        <v>1513</v>
      </c>
      <c r="C1169" s="227" t="s">
        <v>1516</v>
      </c>
      <c r="D1169" s="226" t="s">
        <v>1080</v>
      </c>
      <c r="E1169" s="226" t="s">
        <v>1081</v>
      </c>
    </row>
    <row r="1170" spans="1:5" x14ac:dyDescent="0.2">
      <c r="A1170" s="226" t="s">
        <v>1512</v>
      </c>
      <c r="B1170" s="227" t="s">
        <v>1513</v>
      </c>
      <c r="C1170" s="227" t="s">
        <v>1517</v>
      </c>
      <c r="D1170" s="226" t="s">
        <v>1080</v>
      </c>
      <c r="E1170" s="226" t="s">
        <v>1081</v>
      </c>
    </row>
    <row r="1171" spans="1:5" x14ac:dyDescent="0.2">
      <c r="A1171" s="226" t="s">
        <v>1512</v>
      </c>
      <c r="B1171" s="227" t="s">
        <v>1513</v>
      </c>
      <c r="C1171" s="227" t="s">
        <v>1518</v>
      </c>
      <c r="D1171" s="226" t="s">
        <v>1080</v>
      </c>
      <c r="E1171" s="226" t="s">
        <v>1081</v>
      </c>
    </row>
    <row r="1172" spans="1:5" x14ac:dyDescent="0.2">
      <c r="A1172" s="226" t="s">
        <v>1512</v>
      </c>
      <c r="B1172" s="227" t="s">
        <v>1513</v>
      </c>
      <c r="C1172" s="227" t="s">
        <v>1519</v>
      </c>
      <c r="D1172" s="226" t="s">
        <v>1080</v>
      </c>
      <c r="E1172" s="226" t="s">
        <v>1081</v>
      </c>
    </row>
    <row r="1173" spans="1:5" x14ac:dyDescent="0.2">
      <c r="A1173" s="226" t="s">
        <v>1512</v>
      </c>
      <c r="B1173" s="226" t="s">
        <v>273</v>
      </c>
      <c r="C1173" s="226" t="s">
        <v>1520</v>
      </c>
      <c r="D1173" s="226" t="s">
        <v>1080</v>
      </c>
      <c r="E1173" s="226" t="s">
        <v>190</v>
      </c>
    </row>
    <row r="1174" spans="1:5" x14ac:dyDescent="0.2">
      <c r="A1174" s="226" t="s">
        <v>1512</v>
      </c>
      <c r="B1174" s="227" t="s">
        <v>273</v>
      </c>
      <c r="C1174" s="227" t="s">
        <v>1521</v>
      </c>
      <c r="D1174" s="226" t="s">
        <v>1080</v>
      </c>
      <c r="E1174" s="226" t="s">
        <v>190</v>
      </c>
    </row>
    <row r="1175" spans="1:5" x14ac:dyDescent="0.2">
      <c r="A1175" s="226" t="s">
        <v>1512</v>
      </c>
      <c r="B1175" s="227" t="s">
        <v>273</v>
      </c>
      <c r="C1175" s="227" t="s">
        <v>1522</v>
      </c>
      <c r="D1175" s="226" t="s">
        <v>1080</v>
      </c>
      <c r="E1175" s="226" t="s">
        <v>190</v>
      </c>
    </row>
    <row r="1176" spans="1:5" x14ac:dyDescent="0.2">
      <c r="A1176" s="226" t="s">
        <v>1512</v>
      </c>
      <c r="B1176" s="227" t="s">
        <v>273</v>
      </c>
      <c r="C1176" s="227" t="s">
        <v>1523</v>
      </c>
      <c r="D1176" s="226" t="s">
        <v>1080</v>
      </c>
      <c r="E1176" s="226" t="s">
        <v>190</v>
      </c>
    </row>
    <row r="1177" spans="1:5" x14ac:dyDescent="0.2">
      <c r="A1177" s="226" t="s">
        <v>1512</v>
      </c>
      <c r="B1177" s="226" t="s">
        <v>273</v>
      </c>
      <c r="C1177" s="226" t="s">
        <v>1524</v>
      </c>
      <c r="D1177" s="226" t="s">
        <v>1080</v>
      </c>
      <c r="E1177" s="226" t="s">
        <v>190</v>
      </c>
    </row>
    <row r="1178" spans="1:5" x14ac:dyDescent="0.2">
      <c r="A1178" s="226" t="s">
        <v>1512</v>
      </c>
      <c r="B1178" s="227" t="s">
        <v>273</v>
      </c>
      <c r="C1178" s="227" t="s">
        <v>1525</v>
      </c>
      <c r="D1178" s="226" t="s">
        <v>1080</v>
      </c>
      <c r="E1178" s="226" t="s">
        <v>190</v>
      </c>
    </row>
    <row r="1179" spans="1:5" x14ac:dyDescent="0.2">
      <c r="A1179" s="226" t="s">
        <v>1512</v>
      </c>
      <c r="B1179" s="227" t="s">
        <v>273</v>
      </c>
      <c r="C1179" s="227" t="s">
        <v>1526</v>
      </c>
      <c r="D1179" s="226" t="s">
        <v>1080</v>
      </c>
      <c r="E1179" s="226" t="s">
        <v>190</v>
      </c>
    </row>
    <row r="1180" spans="1:5" x14ac:dyDescent="0.2">
      <c r="A1180" s="226" t="s">
        <v>1512</v>
      </c>
      <c r="B1180" s="227" t="s">
        <v>273</v>
      </c>
      <c r="C1180" s="227" t="s">
        <v>1527</v>
      </c>
      <c r="D1180" s="226" t="s">
        <v>1080</v>
      </c>
      <c r="E1180" s="226" t="s">
        <v>190</v>
      </c>
    </row>
    <row r="1181" spans="1:5" x14ac:dyDescent="0.2">
      <c r="A1181" s="226" t="s">
        <v>1512</v>
      </c>
      <c r="B1181" s="227" t="s">
        <v>273</v>
      </c>
      <c r="C1181" s="227" t="s">
        <v>1528</v>
      </c>
      <c r="D1181" s="226" t="s">
        <v>1080</v>
      </c>
      <c r="E1181" s="226" t="s">
        <v>190</v>
      </c>
    </row>
    <row r="1182" spans="1:5" x14ac:dyDescent="0.2">
      <c r="A1182" s="226" t="s">
        <v>1512</v>
      </c>
      <c r="B1182" s="227" t="s">
        <v>273</v>
      </c>
      <c r="C1182" s="227" t="s">
        <v>1529</v>
      </c>
      <c r="D1182" s="226" t="s">
        <v>1080</v>
      </c>
      <c r="E1182" s="226" t="s">
        <v>190</v>
      </c>
    </row>
    <row r="1183" spans="1:5" x14ac:dyDescent="0.2">
      <c r="A1183" s="226" t="s">
        <v>1512</v>
      </c>
      <c r="B1183" s="227" t="s">
        <v>273</v>
      </c>
      <c r="C1183" s="227" t="s">
        <v>1530</v>
      </c>
      <c r="D1183" s="226" t="s">
        <v>1080</v>
      </c>
      <c r="E1183" s="226" t="s">
        <v>190</v>
      </c>
    </row>
    <row r="1184" spans="1:5" x14ac:dyDescent="0.2">
      <c r="A1184" s="226" t="s">
        <v>1512</v>
      </c>
      <c r="B1184" s="227" t="s">
        <v>273</v>
      </c>
      <c r="C1184" s="227" t="s">
        <v>1531</v>
      </c>
      <c r="D1184" s="226" t="s">
        <v>1080</v>
      </c>
      <c r="E1184" s="226" t="s">
        <v>190</v>
      </c>
    </row>
    <row r="1185" spans="1:5" x14ac:dyDescent="0.2">
      <c r="A1185" s="226" t="s">
        <v>1512</v>
      </c>
      <c r="B1185" s="227" t="s">
        <v>273</v>
      </c>
      <c r="C1185" s="227" t="s">
        <v>1532</v>
      </c>
      <c r="D1185" s="226" t="s">
        <v>1080</v>
      </c>
      <c r="E1185" s="226" t="s">
        <v>190</v>
      </c>
    </row>
    <row r="1186" spans="1:5" x14ac:dyDescent="0.2">
      <c r="A1186" s="226" t="s">
        <v>1512</v>
      </c>
      <c r="B1186" s="227" t="s">
        <v>273</v>
      </c>
      <c r="C1186" s="227" t="s">
        <v>1852</v>
      </c>
      <c r="D1186" s="226" t="s">
        <v>1080</v>
      </c>
      <c r="E1186" s="226" t="s">
        <v>190</v>
      </c>
    </row>
    <row r="1187" spans="1:5" x14ac:dyDescent="0.2">
      <c r="A1187" s="226" t="s">
        <v>1512</v>
      </c>
      <c r="B1187" s="227" t="s">
        <v>273</v>
      </c>
      <c r="C1187" s="227" t="s">
        <v>1533</v>
      </c>
      <c r="D1187" s="226" t="s">
        <v>1080</v>
      </c>
      <c r="E1187" s="226" t="s">
        <v>188</v>
      </c>
    </row>
    <row r="1188" spans="1:5" x14ac:dyDescent="0.2">
      <c r="A1188" s="226" t="s">
        <v>1512</v>
      </c>
      <c r="B1188" s="227" t="s">
        <v>273</v>
      </c>
      <c r="C1188" s="227" t="s">
        <v>1534</v>
      </c>
      <c r="D1188" s="226" t="s">
        <v>1080</v>
      </c>
      <c r="E1188" s="226" t="s">
        <v>190</v>
      </c>
    </row>
    <row r="1189" spans="1:5" x14ac:dyDescent="0.2">
      <c r="A1189" s="226" t="s">
        <v>1512</v>
      </c>
      <c r="B1189" s="226" t="s">
        <v>273</v>
      </c>
      <c r="C1189" s="226" t="s">
        <v>1535</v>
      </c>
      <c r="D1189" s="226" t="s">
        <v>1080</v>
      </c>
      <c r="E1189" s="226" t="s">
        <v>190</v>
      </c>
    </row>
    <row r="1190" spans="1:5" x14ac:dyDescent="0.2">
      <c r="A1190" s="226" t="s">
        <v>1512</v>
      </c>
      <c r="B1190" s="227" t="s">
        <v>273</v>
      </c>
      <c r="C1190" s="227" t="s">
        <v>1536</v>
      </c>
      <c r="D1190" s="226" t="s">
        <v>1080</v>
      </c>
      <c r="E1190" s="226" t="s">
        <v>190</v>
      </c>
    </row>
    <row r="1191" spans="1:5" x14ac:dyDescent="0.2">
      <c r="A1191" s="226" t="s">
        <v>1512</v>
      </c>
      <c r="B1191" s="227" t="s">
        <v>273</v>
      </c>
      <c r="C1191" s="227" t="s">
        <v>1537</v>
      </c>
      <c r="D1191" s="226" t="s">
        <v>1080</v>
      </c>
      <c r="E1191" s="226" t="s">
        <v>190</v>
      </c>
    </row>
    <row r="1192" spans="1:5" x14ac:dyDescent="0.2">
      <c r="A1192" s="226" t="s">
        <v>1512</v>
      </c>
      <c r="B1192" s="226" t="s">
        <v>1538</v>
      </c>
      <c r="C1192" s="226" t="s">
        <v>1539</v>
      </c>
      <c r="D1192" s="226" t="s">
        <v>1080</v>
      </c>
      <c r="E1192" s="226" t="s">
        <v>188</v>
      </c>
    </row>
    <row r="1193" spans="1:5" x14ac:dyDescent="0.2">
      <c r="A1193" s="226" t="s">
        <v>1512</v>
      </c>
      <c r="B1193" s="226" t="s">
        <v>1538</v>
      </c>
      <c r="C1193" s="226" t="s">
        <v>1540</v>
      </c>
      <c r="D1193" s="226" t="s">
        <v>1080</v>
      </c>
      <c r="E1193" s="226" t="s">
        <v>188</v>
      </c>
    </row>
    <row r="1194" spans="1:5" x14ac:dyDescent="0.2">
      <c r="A1194" s="226" t="s">
        <v>1512</v>
      </c>
      <c r="B1194" s="227" t="s">
        <v>1538</v>
      </c>
      <c r="C1194" s="227" t="s">
        <v>1541</v>
      </c>
      <c r="D1194" s="226" t="s">
        <v>1080</v>
      </c>
      <c r="E1194" s="226" t="s">
        <v>188</v>
      </c>
    </row>
    <row r="1195" spans="1:5" x14ac:dyDescent="0.2">
      <c r="A1195" s="226" t="s">
        <v>1512</v>
      </c>
      <c r="B1195" s="226" t="s">
        <v>1542</v>
      </c>
      <c r="C1195" s="226" t="s">
        <v>1543</v>
      </c>
      <c r="D1195" s="226" t="s">
        <v>1080</v>
      </c>
      <c r="E1195" s="226" t="s">
        <v>190</v>
      </c>
    </row>
    <row r="1196" spans="1:5" x14ac:dyDescent="0.2">
      <c r="A1196" s="226" t="s">
        <v>1512</v>
      </c>
      <c r="B1196" s="227" t="s">
        <v>1542</v>
      </c>
      <c r="C1196" s="227" t="s">
        <v>1544</v>
      </c>
      <c r="D1196" s="226" t="s">
        <v>162</v>
      </c>
      <c r="E1196" s="226" t="s">
        <v>281</v>
      </c>
    </row>
    <row r="1197" spans="1:5" x14ac:dyDescent="0.2">
      <c r="A1197" s="226" t="s">
        <v>1512</v>
      </c>
      <c r="B1197" s="226" t="s">
        <v>1542</v>
      </c>
      <c r="C1197" s="226" t="s">
        <v>1545</v>
      </c>
      <c r="D1197" s="226" t="s">
        <v>1080</v>
      </c>
      <c r="E1197" s="226" t="s">
        <v>190</v>
      </c>
    </row>
    <row r="1198" spans="1:5" x14ac:dyDescent="0.2">
      <c r="A1198" s="226" t="s">
        <v>1512</v>
      </c>
      <c r="B1198" s="226" t="s">
        <v>1542</v>
      </c>
      <c r="C1198" s="226" t="s">
        <v>1546</v>
      </c>
      <c r="D1198" s="226" t="s">
        <v>1080</v>
      </c>
      <c r="E1198" s="226" t="s">
        <v>190</v>
      </c>
    </row>
    <row r="1199" spans="1:5" x14ac:dyDescent="0.2">
      <c r="A1199" s="226" t="s">
        <v>1512</v>
      </c>
      <c r="B1199" s="227" t="s">
        <v>1542</v>
      </c>
      <c r="C1199" s="227" t="s">
        <v>1547</v>
      </c>
      <c r="D1199" s="226" t="s">
        <v>1080</v>
      </c>
      <c r="E1199" s="226" t="s">
        <v>190</v>
      </c>
    </row>
    <row r="1200" spans="1:5" x14ac:dyDescent="0.2">
      <c r="A1200" s="226" t="s">
        <v>1512</v>
      </c>
      <c r="B1200" s="227" t="s">
        <v>1542</v>
      </c>
      <c r="C1200" s="227" t="s">
        <v>1548</v>
      </c>
      <c r="D1200" s="226" t="s">
        <v>1080</v>
      </c>
      <c r="E1200" s="226" t="s">
        <v>190</v>
      </c>
    </row>
    <row r="1201" spans="1:5" x14ac:dyDescent="0.2">
      <c r="A1201" s="226" t="s">
        <v>1512</v>
      </c>
      <c r="B1201" s="227" t="s">
        <v>1542</v>
      </c>
      <c r="C1201" s="227" t="s">
        <v>1549</v>
      </c>
      <c r="D1201" s="226" t="s">
        <v>1080</v>
      </c>
      <c r="E1201" s="226" t="s">
        <v>189</v>
      </c>
    </row>
    <row r="1202" spans="1:5" x14ac:dyDescent="0.2">
      <c r="A1202" s="226" t="s">
        <v>1512</v>
      </c>
      <c r="B1202" s="227" t="s">
        <v>1542</v>
      </c>
      <c r="C1202" s="227" t="s">
        <v>1550</v>
      </c>
      <c r="D1202" s="226" t="s">
        <v>1080</v>
      </c>
      <c r="E1202" s="226" t="s">
        <v>189</v>
      </c>
    </row>
    <row r="1203" spans="1:5" x14ac:dyDescent="0.2">
      <c r="A1203" s="226" t="s">
        <v>1512</v>
      </c>
      <c r="B1203" s="227" t="s">
        <v>1542</v>
      </c>
      <c r="C1203" s="227" t="s">
        <v>1551</v>
      </c>
      <c r="D1203" s="226" t="s">
        <v>1080</v>
      </c>
      <c r="E1203" s="226" t="s">
        <v>189</v>
      </c>
    </row>
    <row r="1204" spans="1:5" x14ac:dyDescent="0.2">
      <c r="A1204" s="226" t="s">
        <v>1512</v>
      </c>
      <c r="B1204" s="227" t="s">
        <v>1542</v>
      </c>
      <c r="C1204" s="227" t="s">
        <v>1552</v>
      </c>
      <c r="D1204" s="226" t="s">
        <v>1080</v>
      </c>
      <c r="E1204" s="226" t="s">
        <v>189</v>
      </c>
    </row>
    <row r="1205" spans="1:5" x14ac:dyDescent="0.2">
      <c r="A1205" s="226" t="s">
        <v>1512</v>
      </c>
      <c r="B1205" s="227" t="s">
        <v>1542</v>
      </c>
      <c r="C1205" s="227" t="s">
        <v>1553</v>
      </c>
      <c r="D1205" s="226" t="s">
        <v>1080</v>
      </c>
      <c r="E1205" s="226" t="s">
        <v>189</v>
      </c>
    </row>
    <row r="1206" spans="1:5" x14ac:dyDescent="0.2">
      <c r="A1206" s="226" t="s">
        <v>1512</v>
      </c>
      <c r="B1206" s="227" t="s">
        <v>1542</v>
      </c>
      <c r="C1206" s="227" t="s">
        <v>1554</v>
      </c>
      <c r="D1206" s="226" t="s">
        <v>1080</v>
      </c>
      <c r="E1206" s="226" t="s">
        <v>1081</v>
      </c>
    </row>
    <row r="1207" spans="1:5" x14ac:dyDescent="0.2">
      <c r="A1207" s="226" t="s">
        <v>1512</v>
      </c>
      <c r="B1207" s="227" t="s">
        <v>1542</v>
      </c>
      <c r="C1207" s="227" t="s">
        <v>1555</v>
      </c>
      <c r="D1207" s="226" t="s">
        <v>1080</v>
      </c>
      <c r="E1207" s="226" t="s">
        <v>1081</v>
      </c>
    </row>
    <row r="1208" spans="1:5" x14ac:dyDescent="0.2">
      <c r="A1208" s="226" t="s">
        <v>1512</v>
      </c>
      <c r="B1208" s="226" t="s">
        <v>1542</v>
      </c>
      <c r="C1208" s="226" t="s">
        <v>1556</v>
      </c>
      <c r="D1208" s="226" t="s">
        <v>1080</v>
      </c>
      <c r="E1208" s="226" t="s">
        <v>190</v>
      </c>
    </row>
    <row r="1209" spans="1:5" x14ac:dyDescent="0.2">
      <c r="A1209" s="226" t="s">
        <v>1557</v>
      </c>
      <c r="B1209" s="226" t="s">
        <v>1558</v>
      </c>
      <c r="C1209" s="226" t="s">
        <v>1559</v>
      </c>
      <c r="D1209" s="226" t="s">
        <v>1080</v>
      </c>
      <c r="E1209" s="226" t="s">
        <v>1081</v>
      </c>
    </row>
    <row r="1210" spans="1:5" x14ac:dyDescent="0.2">
      <c r="A1210" s="226" t="s">
        <v>1557</v>
      </c>
      <c r="B1210" s="226" t="s">
        <v>1558</v>
      </c>
      <c r="C1210" s="226" t="s">
        <v>1560</v>
      </c>
      <c r="D1210" s="226" t="s">
        <v>1080</v>
      </c>
      <c r="E1210" s="226" t="s">
        <v>1081</v>
      </c>
    </row>
    <row r="1211" spans="1:5" x14ac:dyDescent="0.2">
      <c r="A1211" s="226" t="s">
        <v>1557</v>
      </c>
      <c r="B1211" s="227" t="s">
        <v>1558</v>
      </c>
      <c r="C1211" s="227" t="s">
        <v>1561</v>
      </c>
      <c r="D1211" s="226" t="s">
        <v>1870</v>
      </c>
      <c r="E1211" s="226" t="s">
        <v>1871</v>
      </c>
    </row>
    <row r="1212" spans="1:5" x14ac:dyDescent="0.2">
      <c r="A1212" s="226" t="s">
        <v>1557</v>
      </c>
      <c r="B1212" s="227" t="s">
        <v>1558</v>
      </c>
      <c r="C1212" s="227" t="s">
        <v>1562</v>
      </c>
      <c r="D1212" s="226" t="s">
        <v>1080</v>
      </c>
      <c r="E1212" s="226" t="s">
        <v>1081</v>
      </c>
    </row>
    <row r="1213" spans="1:5" x14ac:dyDescent="0.2">
      <c r="A1213" s="226" t="s">
        <v>1557</v>
      </c>
      <c r="B1213" s="227" t="s">
        <v>1558</v>
      </c>
      <c r="C1213" s="227" t="s">
        <v>1563</v>
      </c>
      <c r="D1213" s="226" t="s">
        <v>1080</v>
      </c>
      <c r="E1213" s="226" t="s">
        <v>1081</v>
      </c>
    </row>
    <row r="1214" spans="1:5" x14ac:dyDescent="0.2">
      <c r="A1214" s="226" t="s">
        <v>1557</v>
      </c>
      <c r="B1214" s="227" t="s">
        <v>1558</v>
      </c>
      <c r="C1214" s="227" t="s">
        <v>1564</v>
      </c>
      <c r="D1214" s="226" t="s">
        <v>1080</v>
      </c>
      <c r="E1214" s="226" t="s">
        <v>1081</v>
      </c>
    </row>
    <row r="1215" spans="1:5" x14ac:dyDescent="0.2">
      <c r="A1215" s="226" t="s">
        <v>1557</v>
      </c>
      <c r="B1215" s="227" t="s">
        <v>1558</v>
      </c>
      <c r="C1215" s="227" t="s">
        <v>1565</v>
      </c>
      <c r="D1215" s="226" t="s">
        <v>1080</v>
      </c>
      <c r="E1215" s="226" t="s">
        <v>1081</v>
      </c>
    </row>
    <row r="1216" spans="1:5" x14ac:dyDescent="0.2">
      <c r="A1216" s="226" t="s">
        <v>1557</v>
      </c>
      <c r="B1216" s="227" t="s">
        <v>1558</v>
      </c>
      <c r="C1216" s="227" t="s">
        <v>1566</v>
      </c>
      <c r="D1216" s="226" t="s">
        <v>1080</v>
      </c>
      <c r="E1216" s="226" t="s">
        <v>1081</v>
      </c>
    </row>
    <row r="1217" spans="1:5" x14ac:dyDescent="0.2">
      <c r="A1217" s="226" t="s">
        <v>1557</v>
      </c>
      <c r="B1217" s="226" t="s">
        <v>1567</v>
      </c>
      <c r="C1217" s="226" t="s">
        <v>1568</v>
      </c>
      <c r="D1217" s="226" t="s">
        <v>180</v>
      </c>
      <c r="E1217" s="226" t="s">
        <v>1569</v>
      </c>
    </row>
    <row r="1218" spans="1:5" x14ac:dyDescent="0.2">
      <c r="A1218" s="226" t="s">
        <v>1557</v>
      </c>
      <c r="B1218" s="226" t="s">
        <v>1567</v>
      </c>
      <c r="C1218" s="226" t="s">
        <v>1570</v>
      </c>
      <c r="D1218" s="226" t="s">
        <v>180</v>
      </c>
      <c r="E1218" s="226" t="s">
        <v>1569</v>
      </c>
    </row>
    <row r="1219" spans="1:5" x14ac:dyDescent="0.2">
      <c r="A1219" s="226" t="s">
        <v>1557</v>
      </c>
      <c r="B1219" s="227" t="s">
        <v>1567</v>
      </c>
      <c r="C1219" s="227" t="s">
        <v>1571</v>
      </c>
      <c r="D1219" s="226" t="s">
        <v>180</v>
      </c>
      <c r="E1219" s="226" t="s">
        <v>1569</v>
      </c>
    </row>
    <row r="1220" spans="1:5" x14ac:dyDescent="0.2">
      <c r="A1220" s="226" t="s">
        <v>1557</v>
      </c>
      <c r="B1220" s="227" t="s">
        <v>1567</v>
      </c>
      <c r="C1220" s="227" t="s">
        <v>1572</v>
      </c>
      <c r="D1220" s="226" t="s">
        <v>180</v>
      </c>
      <c r="E1220" s="226" t="s">
        <v>1569</v>
      </c>
    </row>
    <row r="1221" spans="1:5" x14ac:dyDescent="0.2">
      <c r="A1221" s="226" t="s">
        <v>1557</v>
      </c>
      <c r="B1221" s="227" t="s">
        <v>1567</v>
      </c>
      <c r="C1221" s="227" t="s">
        <v>1573</v>
      </c>
      <c r="D1221" s="226" t="s">
        <v>180</v>
      </c>
      <c r="E1221" s="226" t="s">
        <v>1569</v>
      </c>
    </row>
    <row r="1222" spans="1:5" x14ac:dyDescent="0.2">
      <c r="A1222" s="226" t="s">
        <v>1557</v>
      </c>
      <c r="B1222" s="226" t="s">
        <v>1567</v>
      </c>
      <c r="C1222" s="226" t="s">
        <v>1574</v>
      </c>
      <c r="D1222" s="226" t="s">
        <v>180</v>
      </c>
      <c r="E1222" s="226" t="s">
        <v>1569</v>
      </c>
    </row>
    <row r="1223" spans="1:5" x14ac:dyDescent="0.2">
      <c r="A1223" s="226" t="s">
        <v>1557</v>
      </c>
      <c r="B1223" s="226" t="s">
        <v>1567</v>
      </c>
      <c r="C1223" s="226" t="s">
        <v>1575</v>
      </c>
      <c r="D1223" s="226" t="s">
        <v>180</v>
      </c>
      <c r="E1223" s="226" t="s">
        <v>1569</v>
      </c>
    </row>
    <row r="1224" spans="1:5" x14ac:dyDescent="0.2">
      <c r="A1224" s="226" t="s">
        <v>1557</v>
      </c>
      <c r="B1224" s="226" t="s">
        <v>1567</v>
      </c>
      <c r="C1224" s="226" t="s">
        <v>1576</v>
      </c>
      <c r="D1224" s="226" t="s">
        <v>180</v>
      </c>
      <c r="E1224" s="226" t="s">
        <v>1569</v>
      </c>
    </row>
    <row r="1225" spans="1:5" x14ac:dyDescent="0.2">
      <c r="A1225" s="226" t="s">
        <v>1557</v>
      </c>
      <c r="B1225" s="227" t="s">
        <v>1567</v>
      </c>
      <c r="C1225" s="227" t="s">
        <v>1577</v>
      </c>
      <c r="D1225" s="226" t="s">
        <v>180</v>
      </c>
      <c r="E1225" s="226" t="s">
        <v>1569</v>
      </c>
    </row>
    <row r="1226" spans="1:5" x14ac:dyDescent="0.2">
      <c r="A1226" s="226" t="s">
        <v>1557</v>
      </c>
      <c r="B1226" s="227" t="s">
        <v>1567</v>
      </c>
      <c r="C1226" s="227" t="s">
        <v>1578</v>
      </c>
      <c r="D1226" s="226" t="s">
        <v>180</v>
      </c>
      <c r="E1226" s="226" t="s">
        <v>1569</v>
      </c>
    </row>
    <row r="1227" spans="1:5" x14ac:dyDescent="0.2">
      <c r="A1227" s="226" t="s">
        <v>1557</v>
      </c>
      <c r="B1227" s="227" t="s">
        <v>1567</v>
      </c>
      <c r="C1227" s="227" t="s">
        <v>1579</v>
      </c>
      <c r="D1227" s="226" t="s">
        <v>180</v>
      </c>
      <c r="E1227" s="226" t="s">
        <v>1569</v>
      </c>
    </row>
    <row r="1228" spans="1:5" x14ac:dyDescent="0.2">
      <c r="A1228" s="226" t="s">
        <v>1557</v>
      </c>
      <c r="B1228" s="227" t="s">
        <v>1567</v>
      </c>
      <c r="C1228" s="227" t="s">
        <v>1580</v>
      </c>
      <c r="D1228" s="226" t="s">
        <v>180</v>
      </c>
      <c r="E1228" s="226" t="s">
        <v>1569</v>
      </c>
    </row>
    <row r="1229" spans="1:5" x14ac:dyDescent="0.2">
      <c r="A1229" s="226" t="s">
        <v>1557</v>
      </c>
      <c r="B1229" s="227" t="s">
        <v>1567</v>
      </c>
      <c r="C1229" s="227" t="s">
        <v>1581</v>
      </c>
      <c r="D1229" s="226" t="s">
        <v>180</v>
      </c>
      <c r="E1229" s="226" t="s">
        <v>1569</v>
      </c>
    </row>
    <row r="1230" spans="1:5" x14ac:dyDescent="0.2">
      <c r="A1230" s="226" t="s">
        <v>1557</v>
      </c>
      <c r="B1230" s="227" t="s">
        <v>1567</v>
      </c>
      <c r="C1230" s="227" t="s">
        <v>1582</v>
      </c>
      <c r="D1230" s="226" t="s">
        <v>180</v>
      </c>
      <c r="E1230" s="226" t="s">
        <v>1569</v>
      </c>
    </row>
    <row r="1231" spans="1:5" x14ac:dyDescent="0.2">
      <c r="A1231" s="226" t="s">
        <v>1557</v>
      </c>
      <c r="B1231" s="226" t="s">
        <v>1567</v>
      </c>
      <c r="C1231" s="226" t="s">
        <v>1583</v>
      </c>
      <c r="D1231" s="226" t="s">
        <v>180</v>
      </c>
      <c r="E1231" s="226" t="s">
        <v>1569</v>
      </c>
    </row>
    <row r="1232" spans="1:5" x14ac:dyDescent="0.2">
      <c r="A1232" s="226" t="s">
        <v>1557</v>
      </c>
      <c r="B1232" s="226" t="s">
        <v>1567</v>
      </c>
      <c r="C1232" s="226" t="s">
        <v>1584</v>
      </c>
      <c r="D1232" s="226" t="s">
        <v>180</v>
      </c>
      <c r="E1232" s="226" t="s">
        <v>1569</v>
      </c>
    </row>
    <row r="1233" spans="1:5" x14ac:dyDescent="0.2">
      <c r="A1233" s="226" t="s">
        <v>1557</v>
      </c>
      <c r="B1233" s="227" t="s">
        <v>1567</v>
      </c>
      <c r="C1233" s="227" t="s">
        <v>1585</v>
      </c>
      <c r="D1233" s="226" t="s">
        <v>180</v>
      </c>
      <c r="E1233" s="226" t="s">
        <v>1569</v>
      </c>
    </row>
    <row r="1234" spans="1:5" x14ac:dyDescent="0.2">
      <c r="A1234" s="226" t="s">
        <v>1557</v>
      </c>
      <c r="B1234" s="226" t="s">
        <v>1586</v>
      </c>
      <c r="C1234" s="226" t="s">
        <v>1587</v>
      </c>
      <c r="D1234" s="226" t="s">
        <v>180</v>
      </c>
      <c r="E1234" s="226" t="s">
        <v>1569</v>
      </c>
    </row>
    <row r="1235" spans="1:5" x14ac:dyDescent="0.2">
      <c r="A1235" s="226" t="s">
        <v>1557</v>
      </c>
      <c r="B1235" s="226" t="s">
        <v>1586</v>
      </c>
      <c r="C1235" s="226" t="s">
        <v>1588</v>
      </c>
      <c r="D1235" s="226" t="s">
        <v>180</v>
      </c>
      <c r="E1235" s="226" t="s">
        <v>1569</v>
      </c>
    </row>
    <row r="1236" spans="1:5" x14ac:dyDescent="0.2">
      <c r="A1236" s="226" t="s">
        <v>1557</v>
      </c>
      <c r="B1236" s="226" t="s">
        <v>1586</v>
      </c>
      <c r="C1236" s="226" t="s">
        <v>1589</v>
      </c>
      <c r="D1236" s="226" t="s">
        <v>180</v>
      </c>
      <c r="E1236" s="226" t="s">
        <v>1569</v>
      </c>
    </row>
    <row r="1237" spans="1:5" x14ac:dyDescent="0.2">
      <c r="A1237" s="226" t="s">
        <v>1557</v>
      </c>
      <c r="B1237" s="226" t="s">
        <v>1586</v>
      </c>
      <c r="C1237" s="226" t="s">
        <v>1590</v>
      </c>
      <c r="D1237" s="226" t="s">
        <v>180</v>
      </c>
      <c r="E1237" s="226" t="s">
        <v>1569</v>
      </c>
    </row>
    <row r="1238" spans="1:5" x14ac:dyDescent="0.2">
      <c r="A1238" s="226" t="s">
        <v>1591</v>
      </c>
      <c r="B1238" s="226" t="s">
        <v>1592</v>
      </c>
      <c r="C1238" s="226" t="s">
        <v>1593</v>
      </c>
      <c r="D1238" s="226" t="s">
        <v>1080</v>
      </c>
      <c r="E1238" s="226" t="s">
        <v>1081</v>
      </c>
    </row>
    <row r="1239" spans="1:5" x14ac:dyDescent="0.2">
      <c r="A1239" s="226" t="s">
        <v>1591</v>
      </c>
      <c r="B1239" s="226" t="s">
        <v>1592</v>
      </c>
      <c r="C1239" s="226" t="s">
        <v>1594</v>
      </c>
      <c r="D1239" s="226" t="s">
        <v>1080</v>
      </c>
      <c r="E1239" s="226" t="s">
        <v>1081</v>
      </c>
    </row>
    <row r="1240" spans="1:5" x14ac:dyDescent="0.2">
      <c r="A1240" s="226" t="s">
        <v>1591</v>
      </c>
      <c r="B1240" s="227" t="s">
        <v>1592</v>
      </c>
      <c r="C1240" s="227" t="s">
        <v>1595</v>
      </c>
      <c r="D1240" s="226" t="s">
        <v>1080</v>
      </c>
      <c r="E1240" s="226" t="s">
        <v>1081</v>
      </c>
    </row>
    <row r="1241" spans="1:5" x14ac:dyDescent="0.2">
      <c r="A1241" s="226" t="s">
        <v>1591</v>
      </c>
      <c r="B1241" s="227" t="s">
        <v>1592</v>
      </c>
      <c r="C1241" s="227" t="s">
        <v>1596</v>
      </c>
      <c r="D1241" s="226" t="s">
        <v>1080</v>
      </c>
      <c r="E1241" s="226" t="s">
        <v>1081</v>
      </c>
    </row>
    <row r="1242" spans="1:5" x14ac:dyDescent="0.2">
      <c r="A1242" s="226" t="s">
        <v>1591</v>
      </c>
      <c r="B1242" s="227" t="s">
        <v>1592</v>
      </c>
      <c r="C1242" s="227" t="s">
        <v>1597</v>
      </c>
      <c r="D1242" s="226" t="s">
        <v>1080</v>
      </c>
      <c r="E1242" s="226" t="s">
        <v>1081</v>
      </c>
    </row>
    <row r="1243" spans="1:5" x14ac:dyDescent="0.2">
      <c r="A1243" s="226" t="s">
        <v>1591</v>
      </c>
      <c r="B1243" s="227" t="s">
        <v>1592</v>
      </c>
      <c r="C1243" s="227" t="s">
        <v>1598</v>
      </c>
      <c r="D1243" s="226" t="s">
        <v>1080</v>
      </c>
      <c r="E1243" s="226" t="s">
        <v>1081</v>
      </c>
    </row>
    <row r="1244" spans="1:5" x14ac:dyDescent="0.2">
      <c r="A1244" s="226" t="s">
        <v>1591</v>
      </c>
      <c r="B1244" s="227" t="s">
        <v>1592</v>
      </c>
      <c r="C1244" s="227" t="s">
        <v>1599</v>
      </c>
      <c r="D1244" s="226" t="s">
        <v>1080</v>
      </c>
      <c r="E1244" s="226" t="s">
        <v>1081</v>
      </c>
    </row>
    <row r="1245" spans="1:5" x14ac:dyDescent="0.2">
      <c r="A1245" s="226" t="s">
        <v>1591</v>
      </c>
      <c r="B1245" s="227" t="s">
        <v>1592</v>
      </c>
      <c r="C1245" s="227" t="s">
        <v>1600</v>
      </c>
      <c r="D1245" s="226" t="s">
        <v>1080</v>
      </c>
      <c r="E1245" s="226" t="s">
        <v>1081</v>
      </c>
    </row>
    <row r="1246" spans="1:5" x14ac:dyDescent="0.2">
      <c r="A1246" s="226" t="s">
        <v>1591</v>
      </c>
      <c r="B1246" s="226" t="s">
        <v>1592</v>
      </c>
      <c r="C1246" s="226" t="s">
        <v>1601</v>
      </c>
      <c r="D1246" s="226" t="s">
        <v>1080</v>
      </c>
      <c r="E1246" s="226" t="s">
        <v>1081</v>
      </c>
    </row>
    <row r="1247" spans="1:5" x14ac:dyDescent="0.2">
      <c r="A1247" s="226" t="s">
        <v>1591</v>
      </c>
      <c r="B1247" s="227" t="s">
        <v>1592</v>
      </c>
      <c r="C1247" s="227" t="s">
        <v>1602</v>
      </c>
      <c r="D1247" s="226" t="s">
        <v>1080</v>
      </c>
      <c r="E1247" s="226" t="s">
        <v>1081</v>
      </c>
    </row>
    <row r="1248" spans="1:5" x14ac:dyDescent="0.2">
      <c r="A1248" s="226" t="s">
        <v>1591</v>
      </c>
      <c r="B1248" s="226" t="s">
        <v>1592</v>
      </c>
      <c r="C1248" s="226" t="s">
        <v>1603</v>
      </c>
      <c r="D1248" s="226" t="s">
        <v>1080</v>
      </c>
      <c r="E1248" s="226" t="s">
        <v>1081</v>
      </c>
    </row>
    <row r="1249" spans="1:5" x14ac:dyDescent="0.2">
      <c r="A1249" s="226" t="s">
        <v>1591</v>
      </c>
      <c r="B1249" s="226" t="s">
        <v>1592</v>
      </c>
      <c r="C1249" s="226" t="s">
        <v>1604</v>
      </c>
      <c r="D1249" s="226" t="s">
        <v>1080</v>
      </c>
      <c r="E1249" s="226" t="s">
        <v>1081</v>
      </c>
    </row>
    <row r="1250" spans="1:5" x14ac:dyDescent="0.2">
      <c r="A1250" s="226" t="s">
        <v>1591</v>
      </c>
      <c r="B1250" s="226" t="s">
        <v>1592</v>
      </c>
      <c r="C1250" s="226" t="s">
        <v>1605</v>
      </c>
      <c r="D1250" s="226" t="s">
        <v>1080</v>
      </c>
      <c r="E1250" s="226" t="s">
        <v>1081</v>
      </c>
    </row>
    <row r="1251" spans="1:5" x14ac:dyDescent="0.2">
      <c r="A1251" s="226" t="s">
        <v>1591</v>
      </c>
      <c r="B1251" s="227" t="s">
        <v>1592</v>
      </c>
      <c r="C1251" s="227" t="s">
        <v>1606</v>
      </c>
      <c r="D1251" s="226" t="s">
        <v>1080</v>
      </c>
      <c r="E1251" s="226" t="s">
        <v>1081</v>
      </c>
    </row>
    <row r="1252" spans="1:5" x14ac:dyDescent="0.2">
      <c r="A1252" s="226" t="s">
        <v>1591</v>
      </c>
      <c r="B1252" s="226" t="s">
        <v>274</v>
      </c>
      <c r="C1252" s="226" t="s">
        <v>1607</v>
      </c>
      <c r="D1252" s="226" t="s">
        <v>1080</v>
      </c>
      <c r="E1252" s="226" t="s">
        <v>1081</v>
      </c>
    </row>
    <row r="1253" spans="1:5" x14ac:dyDescent="0.2">
      <c r="A1253" s="226" t="s">
        <v>1591</v>
      </c>
      <c r="B1253" s="226" t="s">
        <v>274</v>
      </c>
      <c r="C1253" s="226" t="s">
        <v>1608</v>
      </c>
      <c r="D1253" s="226" t="s">
        <v>1080</v>
      </c>
      <c r="E1253" s="226" t="s">
        <v>1081</v>
      </c>
    </row>
    <row r="1254" spans="1:5" x14ac:dyDescent="0.2">
      <c r="A1254" s="226" t="s">
        <v>1591</v>
      </c>
      <c r="B1254" s="227" t="s">
        <v>274</v>
      </c>
      <c r="C1254" s="227" t="s">
        <v>1609</v>
      </c>
      <c r="D1254" s="226" t="s">
        <v>1870</v>
      </c>
      <c r="E1254" s="226" t="s">
        <v>1871</v>
      </c>
    </row>
    <row r="1255" spans="1:5" x14ac:dyDescent="0.2">
      <c r="A1255" s="226" t="s">
        <v>1591</v>
      </c>
      <c r="B1255" s="227" t="s">
        <v>274</v>
      </c>
      <c r="C1255" s="227" t="s">
        <v>1853</v>
      </c>
      <c r="D1255" s="226" t="s">
        <v>1870</v>
      </c>
      <c r="E1255" s="226" t="s">
        <v>1871</v>
      </c>
    </row>
    <row r="1256" spans="1:5" x14ac:dyDescent="0.2">
      <c r="A1256" s="226" t="s">
        <v>1591</v>
      </c>
      <c r="B1256" s="227" t="s">
        <v>274</v>
      </c>
      <c r="C1256" s="227" t="s">
        <v>1610</v>
      </c>
      <c r="D1256" s="226" t="s">
        <v>1080</v>
      </c>
      <c r="E1256" s="226" t="s">
        <v>1081</v>
      </c>
    </row>
    <row r="1257" spans="1:5" x14ac:dyDescent="0.2">
      <c r="A1257" s="226" t="s">
        <v>1591</v>
      </c>
      <c r="B1257" s="227" t="s">
        <v>274</v>
      </c>
      <c r="C1257" s="227" t="s">
        <v>1611</v>
      </c>
      <c r="D1257" s="226" t="s">
        <v>1080</v>
      </c>
      <c r="E1257" s="226" t="s">
        <v>1081</v>
      </c>
    </row>
    <row r="1258" spans="1:5" x14ac:dyDescent="0.2">
      <c r="A1258" s="226" t="s">
        <v>1591</v>
      </c>
      <c r="B1258" s="227" t="s">
        <v>274</v>
      </c>
      <c r="C1258" s="227" t="s">
        <v>1612</v>
      </c>
      <c r="D1258" s="226" t="s">
        <v>1080</v>
      </c>
      <c r="E1258" s="226" t="s">
        <v>1081</v>
      </c>
    </row>
    <row r="1259" spans="1:5" x14ac:dyDescent="0.2">
      <c r="A1259" s="226" t="s">
        <v>1591</v>
      </c>
      <c r="B1259" s="227" t="s">
        <v>274</v>
      </c>
      <c r="C1259" s="227" t="s">
        <v>1613</v>
      </c>
      <c r="D1259" s="226" t="s">
        <v>1080</v>
      </c>
      <c r="E1259" s="226" t="s">
        <v>1081</v>
      </c>
    </row>
    <row r="1260" spans="1:5" x14ac:dyDescent="0.2">
      <c r="A1260" s="226" t="s">
        <v>1591</v>
      </c>
      <c r="B1260" s="227" t="s">
        <v>274</v>
      </c>
      <c r="C1260" s="227" t="s">
        <v>1614</v>
      </c>
      <c r="D1260" s="226" t="s">
        <v>1080</v>
      </c>
      <c r="E1260" s="226" t="s">
        <v>1081</v>
      </c>
    </row>
    <row r="1261" spans="1:5" x14ac:dyDescent="0.2">
      <c r="A1261" s="226" t="s">
        <v>1591</v>
      </c>
      <c r="B1261" s="227" t="s">
        <v>274</v>
      </c>
      <c r="C1261" s="227" t="s">
        <v>1615</v>
      </c>
      <c r="D1261" s="226" t="s">
        <v>1080</v>
      </c>
      <c r="E1261" s="226" t="s">
        <v>1081</v>
      </c>
    </row>
    <row r="1262" spans="1:5" x14ac:dyDescent="0.2">
      <c r="A1262" s="226" t="s">
        <v>1591</v>
      </c>
      <c r="B1262" s="227" t="s">
        <v>274</v>
      </c>
      <c r="C1262" s="227" t="s">
        <v>1616</v>
      </c>
      <c r="D1262" s="226" t="s">
        <v>1080</v>
      </c>
      <c r="E1262" s="226" t="s">
        <v>1081</v>
      </c>
    </row>
    <row r="1263" spans="1:5" x14ac:dyDescent="0.2">
      <c r="A1263" s="226" t="s">
        <v>1591</v>
      </c>
      <c r="B1263" s="227" t="s">
        <v>274</v>
      </c>
      <c r="C1263" s="227" t="s">
        <v>1617</v>
      </c>
      <c r="D1263" s="226" t="s">
        <v>1080</v>
      </c>
      <c r="E1263" s="226" t="s">
        <v>1081</v>
      </c>
    </row>
    <row r="1264" spans="1:5" x14ac:dyDescent="0.2">
      <c r="A1264" s="226" t="s">
        <v>1591</v>
      </c>
      <c r="B1264" s="227" t="s">
        <v>274</v>
      </c>
      <c r="C1264" s="227" t="s">
        <v>1618</v>
      </c>
      <c r="D1264" s="226" t="s">
        <v>1080</v>
      </c>
      <c r="E1264" s="226" t="s">
        <v>1081</v>
      </c>
    </row>
    <row r="1265" spans="1:5" x14ac:dyDescent="0.2">
      <c r="A1265" s="226" t="s">
        <v>1591</v>
      </c>
      <c r="B1265" s="227" t="s">
        <v>274</v>
      </c>
      <c r="C1265" s="227" t="s">
        <v>1619</v>
      </c>
      <c r="D1265" s="226" t="s">
        <v>1080</v>
      </c>
      <c r="E1265" s="226" t="s">
        <v>1081</v>
      </c>
    </row>
    <row r="1266" spans="1:5" x14ac:dyDescent="0.2">
      <c r="A1266" s="226" t="s">
        <v>1591</v>
      </c>
      <c r="B1266" s="227" t="s">
        <v>274</v>
      </c>
      <c r="C1266" s="227" t="s">
        <v>1620</v>
      </c>
      <c r="D1266" s="226" t="s">
        <v>1080</v>
      </c>
      <c r="E1266" s="226" t="s">
        <v>1081</v>
      </c>
    </row>
    <row r="1267" spans="1:5" x14ac:dyDescent="0.2">
      <c r="A1267" s="226" t="s">
        <v>1591</v>
      </c>
      <c r="B1267" s="227" t="s">
        <v>274</v>
      </c>
      <c r="C1267" s="227" t="s">
        <v>1621</v>
      </c>
      <c r="D1267" s="226" t="s">
        <v>1080</v>
      </c>
      <c r="E1267" s="226" t="s">
        <v>1081</v>
      </c>
    </row>
    <row r="1268" spans="1:5" x14ac:dyDescent="0.2">
      <c r="A1268" s="226" t="s">
        <v>1591</v>
      </c>
      <c r="B1268" s="227" t="s">
        <v>274</v>
      </c>
      <c r="C1268" s="227" t="s">
        <v>1622</v>
      </c>
      <c r="D1268" s="226" t="s">
        <v>1870</v>
      </c>
      <c r="E1268" s="226" t="s">
        <v>1871</v>
      </c>
    </row>
    <row r="1269" spans="1:5" x14ac:dyDescent="0.2">
      <c r="A1269" s="226" t="s">
        <v>1591</v>
      </c>
      <c r="B1269" s="226" t="s">
        <v>1623</v>
      </c>
      <c r="C1269" s="226" t="s">
        <v>1624</v>
      </c>
      <c r="D1269" s="226" t="s">
        <v>1080</v>
      </c>
      <c r="E1269" s="226" t="s">
        <v>187</v>
      </c>
    </row>
    <row r="1270" spans="1:5" x14ac:dyDescent="0.2">
      <c r="A1270" s="226" t="s">
        <v>1591</v>
      </c>
      <c r="B1270" s="226" t="s">
        <v>1623</v>
      </c>
      <c r="C1270" s="226" t="s">
        <v>1625</v>
      </c>
      <c r="D1270" s="226" t="s">
        <v>1080</v>
      </c>
      <c r="E1270" s="226" t="s">
        <v>187</v>
      </c>
    </row>
    <row r="1271" spans="1:5" x14ac:dyDescent="0.2">
      <c r="A1271" s="226" t="s">
        <v>1591</v>
      </c>
      <c r="B1271" s="227" t="s">
        <v>1623</v>
      </c>
      <c r="C1271" s="227" t="s">
        <v>1626</v>
      </c>
      <c r="D1271" s="226" t="s">
        <v>1080</v>
      </c>
      <c r="E1271" s="226" t="s">
        <v>187</v>
      </c>
    </row>
    <row r="1272" spans="1:5" x14ac:dyDescent="0.2">
      <c r="A1272" s="226" t="s">
        <v>1591</v>
      </c>
      <c r="B1272" s="227" t="s">
        <v>1623</v>
      </c>
      <c r="C1272" s="227" t="s">
        <v>1627</v>
      </c>
      <c r="D1272" s="226" t="s">
        <v>1080</v>
      </c>
      <c r="E1272" s="226" t="s">
        <v>187</v>
      </c>
    </row>
    <row r="1273" spans="1:5" x14ac:dyDescent="0.2">
      <c r="A1273" s="226" t="s">
        <v>1591</v>
      </c>
      <c r="B1273" s="227" t="s">
        <v>1623</v>
      </c>
      <c r="C1273" s="227" t="s">
        <v>1628</v>
      </c>
      <c r="D1273" s="226" t="s">
        <v>1080</v>
      </c>
      <c r="E1273" s="226" t="s">
        <v>187</v>
      </c>
    </row>
    <row r="1274" spans="1:5" x14ac:dyDescent="0.2">
      <c r="A1274" s="226" t="s">
        <v>1591</v>
      </c>
      <c r="B1274" s="227" t="s">
        <v>1623</v>
      </c>
      <c r="C1274" s="227" t="s">
        <v>1629</v>
      </c>
      <c r="D1274" s="226" t="s">
        <v>1080</v>
      </c>
      <c r="E1274" s="226" t="s">
        <v>187</v>
      </c>
    </row>
    <row r="1275" spans="1:5" x14ac:dyDescent="0.2">
      <c r="A1275" s="226" t="s">
        <v>1591</v>
      </c>
      <c r="B1275" s="227" t="s">
        <v>1623</v>
      </c>
      <c r="C1275" s="227" t="s">
        <v>1630</v>
      </c>
      <c r="D1275" s="226" t="s">
        <v>1080</v>
      </c>
      <c r="E1275" s="226" t="s">
        <v>187</v>
      </c>
    </row>
    <row r="1276" spans="1:5" x14ac:dyDescent="0.2">
      <c r="A1276" s="226" t="s">
        <v>1591</v>
      </c>
      <c r="B1276" s="227" t="s">
        <v>1623</v>
      </c>
      <c r="C1276" s="227" t="s">
        <v>1631</v>
      </c>
      <c r="D1276" s="226" t="s">
        <v>1080</v>
      </c>
      <c r="E1276" s="226" t="s">
        <v>187</v>
      </c>
    </row>
    <row r="1277" spans="1:5" x14ac:dyDescent="0.2">
      <c r="A1277" s="226" t="s">
        <v>1591</v>
      </c>
      <c r="B1277" s="227" t="s">
        <v>1623</v>
      </c>
      <c r="C1277" s="227" t="s">
        <v>1632</v>
      </c>
      <c r="D1277" s="226" t="s">
        <v>1080</v>
      </c>
      <c r="E1277" s="226" t="s">
        <v>187</v>
      </c>
    </row>
    <row r="1278" spans="1:5" x14ac:dyDescent="0.2">
      <c r="A1278" s="226" t="s">
        <v>1591</v>
      </c>
      <c r="B1278" s="227" t="s">
        <v>1623</v>
      </c>
      <c r="C1278" s="227" t="s">
        <v>1633</v>
      </c>
      <c r="D1278" s="226" t="s">
        <v>1080</v>
      </c>
      <c r="E1278" s="226" t="s">
        <v>187</v>
      </c>
    </row>
    <row r="1279" spans="1:5" x14ac:dyDescent="0.2">
      <c r="A1279" s="226" t="s">
        <v>1591</v>
      </c>
      <c r="B1279" s="227" t="s">
        <v>1623</v>
      </c>
      <c r="C1279" s="227" t="s">
        <v>1634</v>
      </c>
      <c r="D1279" s="226" t="s">
        <v>1080</v>
      </c>
      <c r="E1279" s="226" t="s">
        <v>187</v>
      </c>
    </row>
    <row r="1280" spans="1:5" x14ac:dyDescent="0.2">
      <c r="A1280" s="226" t="s">
        <v>1591</v>
      </c>
      <c r="B1280" s="227" t="s">
        <v>1623</v>
      </c>
      <c r="C1280" s="227" t="s">
        <v>1635</v>
      </c>
      <c r="D1280" s="226" t="s">
        <v>1080</v>
      </c>
      <c r="E1280" s="226" t="s">
        <v>187</v>
      </c>
    </row>
    <row r="1281" spans="1:5" x14ac:dyDescent="0.2">
      <c r="A1281" s="226" t="s">
        <v>1591</v>
      </c>
      <c r="B1281" s="227" t="s">
        <v>1623</v>
      </c>
      <c r="C1281" s="227" t="s">
        <v>1636</v>
      </c>
      <c r="D1281" s="226" t="s">
        <v>1080</v>
      </c>
      <c r="E1281" s="226" t="s">
        <v>187</v>
      </c>
    </row>
    <row r="1282" spans="1:5" x14ac:dyDescent="0.2">
      <c r="A1282" s="226" t="s">
        <v>1591</v>
      </c>
      <c r="B1282" s="227" t="s">
        <v>1623</v>
      </c>
      <c r="C1282" s="227" t="s">
        <v>1637</v>
      </c>
      <c r="D1282" s="226" t="s">
        <v>1080</v>
      </c>
      <c r="E1282" s="226" t="s">
        <v>187</v>
      </c>
    </row>
    <row r="1283" spans="1:5" x14ac:dyDescent="0.2">
      <c r="A1283" s="226" t="s">
        <v>1591</v>
      </c>
      <c r="B1283" s="227" t="s">
        <v>1623</v>
      </c>
      <c r="C1283" s="227" t="s">
        <v>1638</v>
      </c>
      <c r="D1283" s="226" t="s">
        <v>1080</v>
      </c>
      <c r="E1283" s="226" t="s">
        <v>187</v>
      </c>
    </row>
    <row r="1284" spans="1:5" x14ac:dyDescent="0.2">
      <c r="A1284" s="226" t="s">
        <v>1591</v>
      </c>
      <c r="B1284" s="227" t="s">
        <v>1623</v>
      </c>
      <c r="C1284" s="227" t="s">
        <v>1639</v>
      </c>
      <c r="D1284" s="226" t="s">
        <v>1080</v>
      </c>
      <c r="E1284" s="226" t="s">
        <v>187</v>
      </c>
    </row>
    <row r="1285" spans="1:5" x14ac:dyDescent="0.2">
      <c r="A1285" s="226" t="s">
        <v>1591</v>
      </c>
      <c r="B1285" s="227" t="s">
        <v>1623</v>
      </c>
      <c r="C1285" s="227" t="s">
        <v>1640</v>
      </c>
      <c r="D1285" s="226" t="s">
        <v>1080</v>
      </c>
      <c r="E1285" s="226" t="s">
        <v>187</v>
      </c>
    </row>
    <row r="1286" spans="1:5" x14ac:dyDescent="0.2">
      <c r="A1286" s="226" t="s">
        <v>1591</v>
      </c>
      <c r="B1286" s="227" t="s">
        <v>1623</v>
      </c>
      <c r="C1286" s="227" t="s">
        <v>1641</v>
      </c>
      <c r="D1286" s="226" t="s">
        <v>1080</v>
      </c>
      <c r="E1286" s="226" t="s">
        <v>187</v>
      </c>
    </row>
    <row r="1287" spans="1:5" x14ac:dyDescent="0.2">
      <c r="A1287" s="226" t="s">
        <v>1591</v>
      </c>
      <c r="B1287" s="227" t="s">
        <v>1623</v>
      </c>
      <c r="C1287" s="227" t="s">
        <v>1642</v>
      </c>
      <c r="D1287" s="226" t="s">
        <v>1080</v>
      </c>
      <c r="E1287" s="226" t="s">
        <v>187</v>
      </c>
    </row>
    <row r="1288" spans="1:5" x14ac:dyDescent="0.2">
      <c r="A1288" s="226" t="s">
        <v>1591</v>
      </c>
      <c r="B1288" s="227" t="s">
        <v>1623</v>
      </c>
      <c r="C1288" s="227" t="s">
        <v>1643</v>
      </c>
      <c r="D1288" s="226" t="s">
        <v>1080</v>
      </c>
      <c r="E1288" s="226" t="s">
        <v>187</v>
      </c>
    </row>
    <row r="1289" spans="1:5" x14ac:dyDescent="0.2">
      <c r="A1289" s="226" t="s">
        <v>1591</v>
      </c>
      <c r="B1289" s="227" t="s">
        <v>1623</v>
      </c>
      <c r="C1289" s="227" t="s">
        <v>1644</v>
      </c>
      <c r="D1289" s="226" t="s">
        <v>1080</v>
      </c>
      <c r="E1289" s="226" t="s">
        <v>187</v>
      </c>
    </row>
    <row r="1290" spans="1:5" x14ac:dyDescent="0.2">
      <c r="A1290" s="226" t="s">
        <v>1591</v>
      </c>
      <c r="B1290" s="227" t="s">
        <v>1623</v>
      </c>
      <c r="C1290" s="227" t="s">
        <v>1645</v>
      </c>
      <c r="D1290" s="226" t="s">
        <v>1080</v>
      </c>
      <c r="E1290" s="226" t="s">
        <v>187</v>
      </c>
    </row>
    <row r="1291" spans="1:5" x14ac:dyDescent="0.2">
      <c r="A1291" s="226" t="s">
        <v>1591</v>
      </c>
      <c r="B1291" s="227" t="s">
        <v>1623</v>
      </c>
      <c r="C1291" s="227" t="s">
        <v>1646</v>
      </c>
      <c r="D1291" s="226" t="s">
        <v>1080</v>
      </c>
      <c r="E1291" s="226" t="s">
        <v>187</v>
      </c>
    </row>
    <row r="1292" spans="1:5" x14ac:dyDescent="0.2">
      <c r="A1292" s="226" t="s">
        <v>1591</v>
      </c>
      <c r="B1292" s="227" t="s">
        <v>1623</v>
      </c>
      <c r="C1292" s="227" t="s">
        <v>1647</v>
      </c>
      <c r="D1292" s="226" t="s">
        <v>1080</v>
      </c>
      <c r="E1292" s="226" t="s">
        <v>187</v>
      </c>
    </row>
    <row r="1293" spans="1:5" x14ac:dyDescent="0.2">
      <c r="A1293" s="226" t="s">
        <v>1591</v>
      </c>
      <c r="B1293" s="226" t="s">
        <v>1623</v>
      </c>
      <c r="C1293" s="226" t="s">
        <v>1648</v>
      </c>
      <c r="D1293" s="226" t="s">
        <v>1080</v>
      </c>
      <c r="E1293" s="226" t="s">
        <v>187</v>
      </c>
    </row>
    <row r="1294" spans="1:5" x14ac:dyDescent="0.2">
      <c r="A1294" s="226" t="s">
        <v>1591</v>
      </c>
      <c r="B1294" s="227" t="s">
        <v>1623</v>
      </c>
      <c r="C1294" s="227" t="s">
        <v>1649</v>
      </c>
      <c r="D1294" s="226" t="s">
        <v>1080</v>
      </c>
      <c r="E1294" s="226" t="s">
        <v>187</v>
      </c>
    </row>
    <row r="1295" spans="1:5" x14ac:dyDescent="0.2">
      <c r="A1295" s="226" t="s">
        <v>1591</v>
      </c>
      <c r="B1295" s="227" t="s">
        <v>1623</v>
      </c>
      <c r="C1295" s="227" t="s">
        <v>1650</v>
      </c>
      <c r="D1295" s="226" t="s">
        <v>1080</v>
      </c>
      <c r="E1295" s="226" t="s">
        <v>187</v>
      </c>
    </row>
    <row r="1296" spans="1:5" x14ac:dyDescent="0.2">
      <c r="A1296" s="226" t="s">
        <v>1591</v>
      </c>
      <c r="B1296" s="227" t="s">
        <v>1623</v>
      </c>
      <c r="C1296" s="227" t="s">
        <v>1651</v>
      </c>
      <c r="D1296" s="226" t="s">
        <v>1080</v>
      </c>
      <c r="E1296" s="226" t="s">
        <v>187</v>
      </c>
    </row>
    <row r="1297" spans="1:5" x14ac:dyDescent="0.2">
      <c r="A1297" s="226" t="s">
        <v>1591</v>
      </c>
      <c r="B1297" s="227" t="s">
        <v>1623</v>
      </c>
      <c r="C1297" s="227" t="s">
        <v>1652</v>
      </c>
      <c r="D1297" s="226" t="s">
        <v>1080</v>
      </c>
      <c r="E1297" s="226" t="s">
        <v>187</v>
      </c>
    </row>
    <row r="1298" spans="1:5" x14ac:dyDescent="0.2">
      <c r="A1298" s="226" t="s">
        <v>1591</v>
      </c>
      <c r="B1298" s="226" t="s">
        <v>1623</v>
      </c>
      <c r="C1298" s="226" t="s">
        <v>1653</v>
      </c>
      <c r="D1298" s="226" t="s">
        <v>1080</v>
      </c>
      <c r="E1298" s="226" t="s">
        <v>187</v>
      </c>
    </row>
    <row r="1299" spans="1:5" x14ac:dyDescent="0.2">
      <c r="A1299" s="226" t="s">
        <v>1591</v>
      </c>
      <c r="B1299" s="227" t="s">
        <v>1623</v>
      </c>
      <c r="C1299" s="227" t="s">
        <v>1654</v>
      </c>
      <c r="D1299" s="226" t="s">
        <v>1080</v>
      </c>
      <c r="E1299" s="226" t="s">
        <v>187</v>
      </c>
    </row>
    <row r="1300" spans="1:5" x14ac:dyDescent="0.2">
      <c r="A1300" s="226" t="s">
        <v>1591</v>
      </c>
      <c r="B1300" s="227" t="s">
        <v>1623</v>
      </c>
      <c r="C1300" s="227" t="s">
        <v>1655</v>
      </c>
      <c r="D1300" s="226" t="s">
        <v>1080</v>
      </c>
      <c r="E1300" s="226" t="s">
        <v>187</v>
      </c>
    </row>
    <row r="1301" spans="1:5" x14ac:dyDescent="0.2">
      <c r="A1301" s="226" t="s">
        <v>1591</v>
      </c>
      <c r="B1301" s="227" t="s">
        <v>1623</v>
      </c>
      <c r="C1301" s="227" t="s">
        <v>1656</v>
      </c>
      <c r="D1301" s="226" t="s">
        <v>1080</v>
      </c>
      <c r="E1301" s="226" t="s">
        <v>187</v>
      </c>
    </row>
    <row r="1302" spans="1:5" x14ac:dyDescent="0.2">
      <c r="A1302" s="226" t="s">
        <v>1591</v>
      </c>
      <c r="B1302" s="227" t="s">
        <v>1623</v>
      </c>
      <c r="C1302" s="227" t="s">
        <v>1657</v>
      </c>
      <c r="D1302" s="226" t="s">
        <v>1080</v>
      </c>
      <c r="E1302" s="226" t="s">
        <v>187</v>
      </c>
    </row>
    <row r="1303" spans="1:5" x14ac:dyDescent="0.2">
      <c r="A1303" s="226" t="s">
        <v>1591</v>
      </c>
      <c r="B1303" s="227" t="s">
        <v>1623</v>
      </c>
      <c r="C1303" s="227" t="s">
        <v>1658</v>
      </c>
      <c r="D1303" s="226" t="s">
        <v>1080</v>
      </c>
      <c r="E1303" s="226" t="s">
        <v>187</v>
      </c>
    </row>
    <row r="1304" spans="1:5" x14ac:dyDescent="0.2">
      <c r="A1304" s="226" t="s">
        <v>1591</v>
      </c>
      <c r="B1304" s="227" t="s">
        <v>1623</v>
      </c>
      <c r="C1304" s="227" t="s">
        <v>1659</v>
      </c>
      <c r="D1304" s="226" t="s">
        <v>1080</v>
      </c>
      <c r="E1304" s="226" t="s">
        <v>187</v>
      </c>
    </row>
    <row r="1305" spans="1:5" x14ac:dyDescent="0.2">
      <c r="A1305" s="226" t="s">
        <v>1591</v>
      </c>
      <c r="B1305" s="227" t="s">
        <v>1623</v>
      </c>
      <c r="C1305" s="227" t="s">
        <v>1660</v>
      </c>
      <c r="D1305" s="226" t="s">
        <v>1080</v>
      </c>
      <c r="E1305" s="226" t="s">
        <v>187</v>
      </c>
    </row>
    <row r="1306" spans="1:5" x14ac:dyDescent="0.2">
      <c r="A1306" s="226" t="s">
        <v>1591</v>
      </c>
      <c r="B1306" s="227" t="s">
        <v>1623</v>
      </c>
      <c r="C1306" s="227" t="s">
        <v>1661</v>
      </c>
      <c r="D1306" s="226" t="s">
        <v>1080</v>
      </c>
      <c r="E1306" s="226" t="s">
        <v>187</v>
      </c>
    </row>
    <row r="1307" spans="1:5" x14ac:dyDescent="0.2">
      <c r="A1307" s="226" t="s">
        <v>1662</v>
      </c>
      <c r="B1307" s="226" t="s">
        <v>1663</v>
      </c>
      <c r="C1307" s="226" t="s">
        <v>1664</v>
      </c>
      <c r="D1307" s="226" t="s">
        <v>1080</v>
      </c>
      <c r="E1307" s="226" t="s">
        <v>1081</v>
      </c>
    </row>
    <row r="1308" spans="1:5" x14ac:dyDescent="0.2">
      <c r="A1308" s="226" t="s">
        <v>1662</v>
      </c>
      <c r="B1308" s="227" t="s">
        <v>1663</v>
      </c>
      <c r="C1308" s="227" t="s">
        <v>1665</v>
      </c>
      <c r="D1308" s="226" t="s">
        <v>1080</v>
      </c>
      <c r="E1308" s="226" t="s">
        <v>1081</v>
      </c>
    </row>
    <row r="1309" spans="1:5" x14ac:dyDescent="0.2">
      <c r="A1309" s="226" t="s">
        <v>1662</v>
      </c>
      <c r="B1309" s="227" t="s">
        <v>1663</v>
      </c>
      <c r="C1309" s="227" t="s">
        <v>1666</v>
      </c>
      <c r="D1309" s="226" t="s">
        <v>1080</v>
      </c>
      <c r="E1309" s="226" t="s">
        <v>1081</v>
      </c>
    </row>
    <row r="1310" spans="1:5" x14ac:dyDescent="0.2">
      <c r="A1310" s="226" t="s">
        <v>1662</v>
      </c>
      <c r="B1310" s="227" t="s">
        <v>1663</v>
      </c>
      <c r="C1310" s="227" t="s">
        <v>1667</v>
      </c>
      <c r="D1310" s="226" t="s">
        <v>1080</v>
      </c>
      <c r="E1310" s="226" t="s">
        <v>1081</v>
      </c>
    </row>
    <row r="1311" spans="1:5" x14ac:dyDescent="0.2">
      <c r="A1311" s="226" t="s">
        <v>1662</v>
      </c>
      <c r="B1311" s="227" t="s">
        <v>1663</v>
      </c>
      <c r="C1311" s="227" t="s">
        <v>1668</v>
      </c>
      <c r="D1311" s="226" t="s">
        <v>1080</v>
      </c>
      <c r="E1311" s="226" t="s">
        <v>1081</v>
      </c>
    </row>
    <row r="1312" spans="1:5" x14ac:dyDescent="0.2">
      <c r="A1312" s="226" t="s">
        <v>1662</v>
      </c>
      <c r="B1312" s="226" t="s">
        <v>1663</v>
      </c>
      <c r="C1312" s="226" t="s">
        <v>1669</v>
      </c>
      <c r="D1312" s="226" t="s">
        <v>1080</v>
      </c>
      <c r="E1312" s="226" t="s">
        <v>1081</v>
      </c>
    </row>
    <row r="1313" spans="1:5" x14ac:dyDescent="0.2">
      <c r="A1313" s="226" t="s">
        <v>1662</v>
      </c>
      <c r="B1313" s="227" t="s">
        <v>1663</v>
      </c>
      <c r="C1313" s="227" t="s">
        <v>1670</v>
      </c>
      <c r="D1313" s="226" t="s">
        <v>1080</v>
      </c>
      <c r="E1313" s="226" t="s">
        <v>1081</v>
      </c>
    </row>
    <row r="1314" spans="1:5" x14ac:dyDescent="0.2">
      <c r="A1314" s="226" t="s">
        <v>1662</v>
      </c>
      <c r="B1314" s="227" t="s">
        <v>1663</v>
      </c>
      <c r="C1314" s="227" t="s">
        <v>1671</v>
      </c>
      <c r="D1314" s="226" t="s">
        <v>1080</v>
      </c>
      <c r="E1314" s="226" t="s">
        <v>1081</v>
      </c>
    </row>
    <row r="1315" spans="1:5" x14ac:dyDescent="0.2">
      <c r="A1315" s="226" t="s">
        <v>1662</v>
      </c>
      <c r="B1315" s="227" t="s">
        <v>1663</v>
      </c>
      <c r="C1315" s="227" t="s">
        <v>1672</v>
      </c>
      <c r="D1315" s="226" t="s">
        <v>1080</v>
      </c>
      <c r="E1315" s="226" t="s">
        <v>1081</v>
      </c>
    </row>
    <row r="1316" spans="1:5" x14ac:dyDescent="0.2">
      <c r="A1316" s="226" t="s">
        <v>1662</v>
      </c>
      <c r="B1316" s="227" t="s">
        <v>1663</v>
      </c>
      <c r="C1316" s="227" t="s">
        <v>1673</v>
      </c>
      <c r="D1316" s="226" t="s">
        <v>1080</v>
      </c>
      <c r="E1316" s="226" t="s">
        <v>1081</v>
      </c>
    </row>
    <row r="1317" spans="1:5" x14ac:dyDescent="0.2">
      <c r="A1317" s="226" t="s">
        <v>1662</v>
      </c>
      <c r="B1317" s="227" t="s">
        <v>1663</v>
      </c>
      <c r="C1317" s="227" t="s">
        <v>1674</v>
      </c>
      <c r="D1317" s="226" t="s">
        <v>1080</v>
      </c>
      <c r="E1317" s="226" t="s">
        <v>1081</v>
      </c>
    </row>
    <row r="1318" spans="1:5" x14ac:dyDescent="0.2">
      <c r="A1318" s="226" t="s">
        <v>1662</v>
      </c>
      <c r="B1318" s="227" t="s">
        <v>1663</v>
      </c>
      <c r="C1318" s="227" t="s">
        <v>1675</v>
      </c>
      <c r="D1318" s="226" t="s">
        <v>1080</v>
      </c>
      <c r="E1318" s="226" t="s">
        <v>1081</v>
      </c>
    </row>
    <row r="1319" spans="1:5" x14ac:dyDescent="0.2">
      <c r="A1319" s="226" t="s">
        <v>1662</v>
      </c>
      <c r="B1319" s="226" t="s">
        <v>1663</v>
      </c>
      <c r="C1319" s="226" t="s">
        <v>1676</v>
      </c>
      <c r="D1319" s="226" t="s">
        <v>1080</v>
      </c>
      <c r="E1319" s="226" t="s">
        <v>1081</v>
      </c>
    </row>
    <row r="1320" spans="1:5" x14ac:dyDescent="0.2">
      <c r="A1320" s="226" t="s">
        <v>1662</v>
      </c>
      <c r="B1320" s="226" t="s">
        <v>1663</v>
      </c>
      <c r="C1320" s="226" t="s">
        <v>1677</v>
      </c>
      <c r="D1320" s="226" t="s">
        <v>1080</v>
      </c>
      <c r="E1320" s="226" t="s">
        <v>1081</v>
      </c>
    </row>
    <row r="1321" spans="1:5" x14ac:dyDescent="0.2">
      <c r="A1321" s="226" t="s">
        <v>1662</v>
      </c>
      <c r="B1321" s="226" t="s">
        <v>1678</v>
      </c>
      <c r="C1321" s="226" t="s">
        <v>1679</v>
      </c>
      <c r="D1321" s="226" t="s">
        <v>1080</v>
      </c>
      <c r="E1321" s="226" t="s">
        <v>1081</v>
      </c>
    </row>
    <row r="1322" spans="1:5" x14ac:dyDescent="0.2">
      <c r="A1322" s="226" t="s">
        <v>1662</v>
      </c>
      <c r="B1322" s="226" t="s">
        <v>1678</v>
      </c>
      <c r="C1322" s="226" t="s">
        <v>1680</v>
      </c>
      <c r="D1322" s="226" t="s">
        <v>1080</v>
      </c>
      <c r="E1322" s="226" t="s">
        <v>1081</v>
      </c>
    </row>
    <row r="1323" spans="1:5" x14ac:dyDescent="0.2">
      <c r="A1323" s="226" t="s">
        <v>1662</v>
      </c>
      <c r="B1323" s="227" t="s">
        <v>1678</v>
      </c>
      <c r="C1323" s="227" t="s">
        <v>1681</v>
      </c>
      <c r="D1323" s="226" t="s">
        <v>1080</v>
      </c>
      <c r="E1323" s="226" t="s">
        <v>1081</v>
      </c>
    </row>
    <row r="1324" spans="1:5" x14ac:dyDescent="0.2">
      <c r="A1324" s="226" t="s">
        <v>1662</v>
      </c>
      <c r="B1324" s="227" t="s">
        <v>1678</v>
      </c>
      <c r="C1324" s="227" t="s">
        <v>1682</v>
      </c>
      <c r="D1324" s="226" t="s">
        <v>1080</v>
      </c>
      <c r="E1324" s="226" t="s">
        <v>1081</v>
      </c>
    </row>
    <row r="1325" spans="1:5" x14ac:dyDescent="0.2">
      <c r="A1325" s="226" t="s">
        <v>1662</v>
      </c>
      <c r="B1325" s="227" t="s">
        <v>1678</v>
      </c>
      <c r="C1325" s="227" t="s">
        <v>1683</v>
      </c>
      <c r="D1325" s="226" t="s">
        <v>1080</v>
      </c>
      <c r="E1325" s="226" t="s">
        <v>1081</v>
      </c>
    </row>
    <row r="1326" spans="1:5" x14ac:dyDescent="0.2">
      <c r="A1326" s="226" t="s">
        <v>1662</v>
      </c>
      <c r="B1326" s="227" t="s">
        <v>1678</v>
      </c>
      <c r="C1326" s="227" t="s">
        <v>1684</v>
      </c>
      <c r="D1326" s="226" t="s">
        <v>1080</v>
      </c>
      <c r="E1326" s="226" t="s">
        <v>1081</v>
      </c>
    </row>
    <row r="1327" spans="1:5" x14ac:dyDescent="0.2">
      <c r="A1327" s="226" t="s">
        <v>1662</v>
      </c>
      <c r="B1327" s="227" t="s">
        <v>1678</v>
      </c>
      <c r="C1327" s="227" t="s">
        <v>1685</v>
      </c>
      <c r="D1327" s="226" t="s">
        <v>1080</v>
      </c>
      <c r="E1327" s="226" t="s">
        <v>1081</v>
      </c>
    </row>
    <row r="1328" spans="1:5" x14ac:dyDescent="0.2">
      <c r="A1328" s="226" t="s">
        <v>1662</v>
      </c>
      <c r="B1328" s="227" t="s">
        <v>1678</v>
      </c>
      <c r="C1328" s="227" t="s">
        <v>1686</v>
      </c>
      <c r="D1328" s="226" t="s">
        <v>1080</v>
      </c>
      <c r="E1328" s="226" t="s">
        <v>1081</v>
      </c>
    </row>
    <row r="1329" spans="1:5" x14ac:dyDescent="0.2">
      <c r="A1329" s="226" t="s">
        <v>1662</v>
      </c>
      <c r="B1329" s="227" t="s">
        <v>1678</v>
      </c>
      <c r="C1329" s="227" t="s">
        <v>1687</v>
      </c>
      <c r="D1329" s="226" t="s">
        <v>1080</v>
      </c>
      <c r="E1329" s="226" t="s">
        <v>1081</v>
      </c>
    </row>
    <row r="1330" spans="1:5" x14ac:dyDescent="0.2">
      <c r="A1330" s="226" t="s">
        <v>1662</v>
      </c>
      <c r="B1330" s="226" t="s">
        <v>1678</v>
      </c>
      <c r="C1330" s="226" t="s">
        <v>1688</v>
      </c>
      <c r="D1330" s="226" t="s">
        <v>1080</v>
      </c>
      <c r="E1330" s="226" t="s">
        <v>1081</v>
      </c>
    </row>
    <row r="1331" spans="1:5" x14ac:dyDescent="0.2">
      <c r="A1331" s="226" t="s">
        <v>1662</v>
      </c>
      <c r="B1331" s="227" t="s">
        <v>1678</v>
      </c>
      <c r="C1331" s="227" t="s">
        <v>1689</v>
      </c>
      <c r="D1331" s="226" t="s">
        <v>1080</v>
      </c>
      <c r="E1331" s="226" t="s">
        <v>1081</v>
      </c>
    </row>
    <row r="1332" spans="1:5" x14ac:dyDescent="0.2">
      <c r="A1332" s="226" t="s">
        <v>1662</v>
      </c>
      <c r="B1332" s="227" t="s">
        <v>1678</v>
      </c>
      <c r="C1332" s="227" t="s">
        <v>1690</v>
      </c>
      <c r="D1332" s="226" t="s">
        <v>1080</v>
      </c>
      <c r="E1332" s="226" t="s">
        <v>1081</v>
      </c>
    </row>
    <row r="1333" spans="1:5" x14ac:dyDescent="0.2">
      <c r="A1333" s="226" t="s">
        <v>1662</v>
      </c>
      <c r="B1333" s="227" t="s">
        <v>1678</v>
      </c>
      <c r="C1333" s="227" t="s">
        <v>1691</v>
      </c>
      <c r="D1333" s="226" t="s">
        <v>1080</v>
      </c>
      <c r="E1333" s="226" t="s">
        <v>190</v>
      </c>
    </row>
    <row r="1334" spans="1:5" x14ac:dyDescent="0.2">
      <c r="A1334" s="226" t="s">
        <v>1662</v>
      </c>
      <c r="B1334" s="226" t="s">
        <v>1678</v>
      </c>
      <c r="C1334" s="226" t="s">
        <v>1692</v>
      </c>
      <c r="D1334" s="226" t="s">
        <v>1080</v>
      </c>
      <c r="E1334" s="226" t="s">
        <v>1081</v>
      </c>
    </row>
    <row r="1335" spans="1:5" x14ac:dyDescent="0.2">
      <c r="A1335" s="226" t="s">
        <v>1662</v>
      </c>
      <c r="B1335" s="226" t="s">
        <v>1678</v>
      </c>
      <c r="C1335" s="226" t="s">
        <v>1693</v>
      </c>
      <c r="D1335" s="226" t="s">
        <v>1080</v>
      </c>
      <c r="E1335" s="226" t="s">
        <v>1081</v>
      </c>
    </row>
    <row r="1336" spans="1:5" x14ac:dyDescent="0.2">
      <c r="A1336" s="226" t="s">
        <v>1662</v>
      </c>
      <c r="B1336" s="226" t="s">
        <v>1678</v>
      </c>
      <c r="C1336" s="226" t="s">
        <v>1694</v>
      </c>
      <c r="D1336" s="226" t="s">
        <v>1080</v>
      </c>
      <c r="E1336" s="226" t="s">
        <v>1081</v>
      </c>
    </row>
    <row r="1337" spans="1:5" x14ac:dyDescent="0.2">
      <c r="A1337" s="226" t="s">
        <v>1662</v>
      </c>
      <c r="B1337" s="226" t="s">
        <v>1678</v>
      </c>
      <c r="C1337" s="226" t="s">
        <v>1695</v>
      </c>
      <c r="D1337" s="226" t="s">
        <v>1080</v>
      </c>
      <c r="E1337" s="226" t="s">
        <v>1081</v>
      </c>
    </row>
    <row r="1338" spans="1:5" x14ac:dyDescent="0.2">
      <c r="A1338" s="226" t="s">
        <v>1662</v>
      </c>
      <c r="B1338" s="226" t="s">
        <v>1678</v>
      </c>
      <c r="C1338" s="226" t="s">
        <v>1696</v>
      </c>
      <c r="D1338" s="226" t="s">
        <v>1080</v>
      </c>
      <c r="E1338" s="226" t="s">
        <v>1081</v>
      </c>
    </row>
    <row r="1339" spans="1:5" x14ac:dyDescent="0.2">
      <c r="A1339" s="226" t="s">
        <v>1662</v>
      </c>
      <c r="B1339" s="226" t="s">
        <v>1678</v>
      </c>
      <c r="C1339" s="226" t="s">
        <v>1697</v>
      </c>
      <c r="D1339" s="226" t="s">
        <v>1080</v>
      </c>
      <c r="E1339" s="226" t="s">
        <v>1081</v>
      </c>
    </row>
    <row r="1340" spans="1:5" x14ac:dyDescent="0.2">
      <c r="A1340" s="226" t="s">
        <v>1662</v>
      </c>
      <c r="B1340" s="227" t="s">
        <v>1678</v>
      </c>
      <c r="C1340" s="227" t="s">
        <v>1698</v>
      </c>
      <c r="D1340" s="226" t="s">
        <v>1080</v>
      </c>
      <c r="E1340" s="226" t="s">
        <v>190</v>
      </c>
    </row>
    <row r="1341" spans="1:5" x14ac:dyDescent="0.2">
      <c r="A1341" s="226" t="s">
        <v>1662</v>
      </c>
      <c r="B1341" s="226" t="s">
        <v>1678</v>
      </c>
      <c r="C1341" s="226" t="s">
        <v>1699</v>
      </c>
      <c r="D1341" s="226" t="s">
        <v>1080</v>
      </c>
      <c r="E1341" s="226" t="s">
        <v>1081</v>
      </c>
    </row>
    <row r="1342" spans="1:5" x14ac:dyDescent="0.2">
      <c r="A1342" s="226" t="s">
        <v>1700</v>
      </c>
      <c r="B1342" s="226" t="s">
        <v>1701</v>
      </c>
      <c r="C1342" s="226" t="s">
        <v>1702</v>
      </c>
      <c r="D1342" s="226" t="s">
        <v>191</v>
      </c>
      <c r="E1342" s="226" t="s">
        <v>1703</v>
      </c>
    </row>
    <row r="1343" spans="1:5" x14ac:dyDescent="0.2">
      <c r="A1343" s="226" t="s">
        <v>1700</v>
      </c>
      <c r="B1343" s="226" t="s">
        <v>1701</v>
      </c>
      <c r="C1343" s="226" t="s">
        <v>1704</v>
      </c>
      <c r="D1343" s="226" t="s">
        <v>191</v>
      </c>
      <c r="E1343" s="226" t="s">
        <v>1703</v>
      </c>
    </row>
    <row r="1344" spans="1:5" x14ac:dyDescent="0.2">
      <c r="A1344" s="226" t="s">
        <v>1700</v>
      </c>
      <c r="B1344" s="227" t="s">
        <v>1701</v>
      </c>
      <c r="C1344" s="227" t="s">
        <v>1705</v>
      </c>
      <c r="D1344" s="226" t="s">
        <v>191</v>
      </c>
      <c r="E1344" s="226" t="s">
        <v>1703</v>
      </c>
    </row>
    <row r="1345" spans="1:5" x14ac:dyDescent="0.2">
      <c r="A1345" s="226" t="s">
        <v>1700</v>
      </c>
      <c r="B1345" s="227" t="s">
        <v>1701</v>
      </c>
      <c r="C1345" s="227" t="s">
        <v>1706</v>
      </c>
      <c r="D1345" s="226" t="s">
        <v>191</v>
      </c>
      <c r="E1345" s="226" t="s">
        <v>1703</v>
      </c>
    </row>
    <row r="1346" spans="1:5" x14ac:dyDescent="0.2">
      <c r="A1346" s="226" t="s">
        <v>1700</v>
      </c>
      <c r="B1346" s="227" t="s">
        <v>1701</v>
      </c>
      <c r="C1346" s="227" t="s">
        <v>1707</v>
      </c>
      <c r="D1346" s="226" t="s">
        <v>191</v>
      </c>
      <c r="E1346" s="226" t="s">
        <v>1703</v>
      </c>
    </row>
    <row r="1347" spans="1:5" x14ac:dyDescent="0.2">
      <c r="A1347" s="226" t="s">
        <v>1700</v>
      </c>
      <c r="B1347" s="227" t="s">
        <v>1701</v>
      </c>
      <c r="C1347" s="227" t="s">
        <v>1708</v>
      </c>
      <c r="D1347" s="226" t="s">
        <v>191</v>
      </c>
      <c r="E1347" s="226" t="s">
        <v>1703</v>
      </c>
    </row>
    <row r="1348" spans="1:5" x14ac:dyDescent="0.2">
      <c r="A1348" s="226" t="s">
        <v>1700</v>
      </c>
      <c r="B1348" s="227" t="s">
        <v>1701</v>
      </c>
      <c r="C1348" s="227" t="s">
        <v>1709</v>
      </c>
      <c r="D1348" s="226" t="s">
        <v>191</v>
      </c>
      <c r="E1348" s="226" t="s">
        <v>1703</v>
      </c>
    </row>
    <row r="1349" spans="1:5" x14ac:dyDescent="0.2">
      <c r="A1349" s="226" t="s">
        <v>1700</v>
      </c>
      <c r="B1349" s="227" t="s">
        <v>1701</v>
      </c>
      <c r="C1349" s="227" t="s">
        <v>1710</v>
      </c>
      <c r="D1349" s="226" t="s">
        <v>191</v>
      </c>
      <c r="E1349" s="226" t="s">
        <v>1703</v>
      </c>
    </row>
    <row r="1350" spans="1:5" x14ac:dyDescent="0.2">
      <c r="A1350" s="226" t="s">
        <v>1700</v>
      </c>
      <c r="B1350" s="227" t="s">
        <v>1701</v>
      </c>
      <c r="C1350" s="227" t="s">
        <v>1711</v>
      </c>
      <c r="D1350" s="226" t="s">
        <v>191</v>
      </c>
      <c r="E1350" s="226" t="s">
        <v>1703</v>
      </c>
    </row>
    <row r="1351" spans="1:5" x14ac:dyDescent="0.2">
      <c r="A1351" s="226" t="s">
        <v>1700</v>
      </c>
      <c r="B1351" s="227" t="s">
        <v>1701</v>
      </c>
      <c r="C1351" s="227" t="s">
        <v>1712</v>
      </c>
      <c r="D1351" s="226" t="s">
        <v>191</v>
      </c>
      <c r="E1351" s="226" t="s">
        <v>1703</v>
      </c>
    </row>
    <row r="1352" spans="1:5" x14ac:dyDescent="0.2">
      <c r="A1352" s="226" t="s">
        <v>1700</v>
      </c>
      <c r="B1352" s="227" t="s">
        <v>1701</v>
      </c>
      <c r="C1352" s="227" t="s">
        <v>1713</v>
      </c>
      <c r="D1352" s="226" t="s">
        <v>191</v>
      </c>
      <c r="E1352" s="226" t="s">
        <v>1703</v>
      </c>
    </row>
    <row r="1353" spans="1:5" x14ac:dyDescent="0.2">
      <c r="A1353" s="226" t="s">
        <v>1700</v>
      </c>
      <c r="B1353" s="227" t="s">
        <v>1701</v>
      </c>
      <c r="C1353" s="227" t="s">
        <v>1714</v>
      </c>
      <c r="D1353" s="226" t="s">
        <v>191</v>
      </c>
      <c r="E1353" s="226" t="s">
        <v>1703</v>
      </c>
    </row>
    <row r="1354" spans="1:5" x14ac:dyDescent="0.2">
      <c r="A1354" s="226" t="s">
        <v>1700</v>
      </c>
      <c r="B1354" s="227" t="s">
        <v>1701</v>
      </c>
      <c r="C1354" s="227" t="s">
        <v>1715</v>
      </c>
      <c r="D1354" s="226" t="s">
        <v>191</v>
      </c>
      <c r="E1354" s="226" t="s">
        <v>1703</v>
      </c>
    </row>
    <row r="1355" spans="1:5" x14ac:dyDescent="0.2">
      <c r="A1355" s="226" t="s">
        <v>1700</v>
      </c>
      <c r="B1355" s="226" t="s">
        <v>1716</v>
      </c>
      <c r="C1355" s="226" t="s">
        <v>1717</v>
      </c>
      <c r="D1355" s="226" t="s">
        <v>192</v>
      </c>
      <c r="E1355" s="226" t="s">
        <v>1718</v>
      </c>
    </row>
    <row r="1356" spans="1:5" x14ac:dyDescent="0.2">
      <c r="A1356" s="226" t="s">
        <v>1700</v>
      </c>
      <c r="B1356" s="226" t="s">
        <v>1716</v>
      </c>
      <c r="C1356" s="226" t="s">
        <v>1719</v>
      </c>
      <c r="D1356" s="226" t="s">
        <v>192</v>
      </c>
      <c r="E1356" s="226" t="s">
        <v>1718</v>
      </c>
    </row>
    <row r="1357" spans="1:5" x14ac:dyDescent="0.2">
      <c r="A1357" s="226" t="s">
        <v>1700</v>
      </c>
      <c r="B1357" s="227" t="s">
        <v>1716</v>
      </c>
      <c r="C1357" s="227" t="s">
        <v>1720</v>
      </c>
      <c r="D1357" s="226" t="s">
        <v>192</v>
      </c>
      <c r="E1357" s="226" t="s">
        <v>1718</v>
      </c>
    </row>
    <row r="1358" spans="1:5" x14ac:dyDescent="0.2">
      <c r="A1358" s="226" t="s">
        <v>1700</v>
      </c>
      <c r="B1358" s="227" t="s">
        <v>1716</v>
      </c>
      <c r="C1358" s="227" t="s">
        <v>1721</v>
      </c>
      <c r="D1358" s="226" t="s">
        <v>192</v>
      </c>
      <c r="E1358" s="226" t="s">
        <v>1718</v>
      </c>
    </row>
    <row r="1359" spans="1:5" x14ac:dyDescent="0.2">
      <c r="A1359" s="226" t="s">
        <v>1700</v>
      </c>
      <c r="B1359" s="227" t="s">
        <v>1716</v>
      </c>
      <c r="C1359" s="227" t="s">
        <v>1722</v>
      </c>
      <c r="D1359" s="226" t="s">
        <v>192</v>
      </c>
      <c r="E1359" s="226" t="s">
        <v>1718</v>
      </c>
    </row>
    <row r="1360" spans="1:5" x14ac:dyDescent="0.2">
      <c r="A1360" s="226" t="s">
        <v>1700</v>
      </c>
      <c r="B1360" s="227" t="s">
        <v>1716</v>
      </c>
      <c r="C1360" s="227" t="s">
        <v>1723</v>
      </c>
      <c r="D1360" s="226" t="s">
        <v>192</v>
      </c>
      <c r="E1360" s="226" t="s">
        <v>1718</v>
      </c>
    </row>
    <row r="1361" spans="1:5" x14ac:dyDescent="0.2">
      <c r="A1361" s="226" t="s">
        <v>1700</v>
      </c>
      <c r="B1361" s="227" t="s">
        <v>1716</v>
      </c>
      <c r="C1361" s="227" t="s">
        <v>1724</v>
      </c>
      <c r="D1361" s="226" t="s">
        <v>192</v>
      </c>
      <c r="E1361" s="226" t="s">
        <v>1718</v>
      </c>
    </row>
    <row r="1362" spans="1:5" x14ac:dyDescent="0.2">
      <c r="A1362" s="226" t="s">
        <v>1700</v>
      </c>
      <c r="B1362" s="227" t="s">
        <v>1716</v>
      </c>
      <c r="C1362" s="227" t="s">
        <v>1725</v>
      </c>
      <c r="D1362" s="226" t="s">
        <v>192</v>
      </c>
      <c r="E1362" s="226" t="s">
        <v>1718</v>
      </c>
    </row>
    <row r="1363" spans="1:5" x14ac:dyDescent="0.2">
      <c r="A1363" s="226" t="s">
        <v>1700</v>
      </c>
      <c r="B1363" s="227" t="s">
        <v>1716</v>
      </c>
      <c r="C1363" s="227" t="s">
        <v>1726</v>
      </c>
      <c r="D1363" s="226" t="s">
        <v>192</v>
      </c>
      <c r="E1363" s="226" t="s">
        <v>1718</v>
      </c>
    </row>
    <row r="1364" spans="1:5" x14ac:dyDescent="0.2">
      <c r="A1364" s="226" t="s">
        <v>1700</v>
      </c>
      <c r="B1364" s="227" t="s">
        <v>1716</v>
      </c>
      <c r="C1364" s="227" t="s">
        <v>1727</v>
      </c>
      <c r="D1364" s="226" t="s">
        <v>192</v>
      </c>
      <c r="E1364" s="226" t="s">
        <v>1718</v>
      </c>
    </row>
    <row r="1365" spans="1:5" x14ac:dyDescent="0.2">
      <c r="A1365" s="226" t="s">
        <v>1700</v>
      </c>
      <c r="B1365" s="227" t="s">
        <v>1716</v>
      </c>
      <c r="C1365" s="227" t="s">
        <v>1728</v>
      </c>
      <c r="D1365" s="226" t="s">
        <v>192</v>
      </c>
      <c r="E1365" s="226" t="s">
        <v>1718</v>
      </c>
    </row>
    <row r="1366" spans="1:5" x14ac:dyDescent="0.2">
      <c r="A1366" s="226" t="s">
        <v>1700</v>
      </c>
      <c r="B1366" s="226" t="s">
        <v>1729</v>
      </c>
      <c r="C1366" s="226" t="s">
        <v>1730</v>
      </c>
      <c r="D1366" s="226" t="s">
        <v>1080</v>
      </c>
      <c r="E1366" s="226" t="s">
        <v>1081</v>
      </c>
    </row>
    <row r="1367" spans="1:5" x14ac:dyDescent="0.2">
      <c r="A1367" s="226" t="s">
        <v>1700</v>
      </c>
      <c r="B1367" s="226" t="s">
        <v>1729</v>
      </c>
      <c r="C1367" s="226" t="s">
        <v>1731</v>
      </c>
      <c r="D1367" s="226" t="s">
        <v>1080</v>
      </c>
      <c r="E1367" s="226" t="s">
        <v>1081</v>
      </c>
    </row>
    <row r="1368" spans="1:5" x14ac:dyDescent="0.2">
      <c r="A1368" s="226" t="s">
        <v>1700</v>
      </c>
      <c r="B1368" s="227" t="s">
        <v>1729</v>
      </c>
      <c r="C1368" s="227" t="s">
        <v>1732</v>
      </c>
      <c r="D1368" s="226" t="s">
        <v>1080</v>
      </c>
      <c r="E1368" s="226" t="s">
        <v>1081</v>
      </c>
    </row>
    <row r="1369" spans="1:5" x14ac:dyDescent="0.2">
      <c r="A1369" s="226" t="s">
        <v>1700</v>
      </c>
      <c r="B1369" s="227" t="s">
        <v>1729</v>
      </c>
      <c r="C1369" s="227" t="s">
        <v>1733</v>
      </c>
      <c r="D1369" s="226" t="s">
        <v>1080</v>
      </c>
      <c r="E1369" s="226" t="s">
        <v>1081</v>
      </c>
    </row>
    <row r="1370" spans="1:5" x14ac:dyDescent="0.2">
      <c r="A1370" s="226" t="s">
        <v>1700</v>
      </c>
      <c r="B1370" s="227" t="s">
        <v>1729</v>
      </c>
      <c r="C1370" s="227" t="s">
        <v>1734</v>
      </c>
      <c r="D1370" s="226" t="s">
        <v>1080</v>
      </c>
      <c r="E1370" s="226" t="s">
        <v>1081</v>
      </c>
    </row>
    <row r="1371" spans="1:5" x14ac:dyDescent="0.2">
      <c r="A1371" s="226" t="s">
        <v>1700</v>
      </c>
      <c r="B1371" s="227" t="s">
        <v>1729</v>
      </c>
      <c r="C1371" s="227" t="s">
        <v>1735</v>
      </c>
      <c r="D1371" s="226" t="s">
        <v>1080</v>
      </c>
      <c r="E1371" s="226" t="s">
        <v>1081</v>
      </c>
    </row>
    <row r="1372" spans="1:5" x14ac:dyDescent="0.2">
      <c r="A1372" s="226" t="s">
        <v>1700</v>
      </c>
      <c r="B1372" s="226" t="s">
        <v>1729</v>
      </c>
      <c r="C1372" s="226" t="s">
        <v>1736</v>
      </c>
      <c r="D1372" s="226" t="s">
        <v>1080</v>
      </c>
      <c r="E1372" s="226" t="s">
        <v>1081</v>
      </c>
    </row>
    <row r="1373" spans="1:5" x14ac:dyDescent="0.2">
      <c r="A1373" s="226" t="s">
        <v>1700</v>
      </c>
      <c r="B1373" s="227" t="s">
        <v>1729</v>
      </c>
      <c r="C1373" s="227" t="s">
        <v>1737</v>
      </c>
      <c r="D1373" s="226" t="s">
        <v>191</v>
      </c>
      <c r="E1373" s="226" t="s">
        <v>1703</v>
      </c>
    </row>
    <row r="1374" spans="1:5" x14ac:dyDescent="0.2">
      <c r="A1374" s="226" t="s">
        <v>1700</v>
      </c>
      <c r="B1374" s="226" t="s">
        <v>1729</v>
      </c>
      <c r="C1374" s="226" t="s">
        <v>1738</v>
      </c>
      <c r="D1374" s="226" t="s">
        <v>1080</v>
      </c>
      <c r="E1374" s="226" t="s">
        <v>1081</v>
      </c>
    </row>
    <row r="1375" spans="1:5" x14ac:dyDescent="0.2">
      <c r="A1375" s="226" t="s">
        <v>1700</v>
      </c>
      <c r="B1375" s="226" t="s">
        <v>1729</v>
      </c>
      <c r="C1375" s="226" t="s">
        <v>1739</v>
      </c>
      <c r="D1375" s="226" t="s">
        <v>1080</v>
      </c>
      <c r="E1375" s="226" t="s">
        <v>1081</v>
      </c>
    </row>
    <row r="1376" spans="1:5" x14ac:dyDescent="0.2">
      <c r="A1376" s="226" t="s">
        <v>1700</v>
      </c>
      <c r="B1376" s="226" t="s">
        <v>1729</v>
      </c>
      <c r="C1376" s="226" t="s">
        <v>1740</v>
      </c>
      <c r="D1376" s="226" t="s">
        <v>1080</v>
      </c>
      <c r="E1376" s="226" t="s">
        <v>1081</v>
      </c>
    </row>
    <row r="1377" spans="1:5" x14ac:dyDescent="0.2">
      <c r="A1377" s="226" t="s">
        <v>1700</v>
      </c>
      <c r="B1377" s="226" t="s">
        <v>1729</v>
      </c>
      <c r="C1377" s="226" t="s">
        <v>1741</v>
      </c>
      <c r="D1377" s="226" t="s">
        <v>1080</v>
      </c>
      <c r="E1377" s="226" t="s">
        <v>1081</v>
      </c>
    </row>
    <row r="1378" spans="1:5" x14ac:dyDescent="0.2">
      <c r="A1378" s="226" t="s">
        <v>1700</v>
      </c>
      <c r="B1378" s="227" t="s">
        <v>1729</v>
      </c>
      <c r="C1378" s="227" t="s">
        <v>1742</v>
      </c>
      <c r="D1378" s="226" t="s">
        <v>1080</v>
      </c>
      <c r="E1378" s="226" t="s">
        <v>1081</v>
      </c>
    </row>
    <row r="1379" spans="1:5" x14ac:dyDescent="0.2">
      <c r="A1379" s="226" t="s">
        <v>1700</v>
      </c>
      <c r="B1379" s="226" t="s">
        <v>1729</v>
      </c>
      <c r="C1379" s="226" t="s">
        <v>1743</v>
      </c>
      <c r="D1379" s="226" t="s">
        <v>1080</v>
      </c>
      <c r="E1379" s="226" t="s">
        <v>1081</v>
      </c>
    </row>
    <row r="1380" spans="1:5" x14ac:dyDescent="0.2">
      <c r="A1380" s="226" t="s">
        <v>1700</v>
      </c>
      <c r="B1380" s="227" t="s">
        <v>1729</v>
      </c>
      <c r="C1380" s="227" t="s">
        <v>1744</v>
      </c>
      <c r="D1380" s="226" t="s">
        <v>1080</v>
      </c>
      <c r="E1380" s="226" t="s">
        <v>1081</v>
      </c>
    </row>
    <row r="1381" spans="1:5" x14ac:dyDescent="0.2">
      <c r="A1381" s="226" t="s">
        <v>1700</v>
      </c>
      <c r="B1381" s="227" t="s">
        <v>1729</v>
      </c>
      <c r="C1381" s="227" t="s">
        <v>1745</v>
      </c>
      <c r="D1381" s="226" t="s">
        <v>1080</v>
      </c>
      <c r="E1381" s="226" t="s">
        <v>1081</v>
      </c>
    </row>
    <row r="1382" spans="1:5" x14ac:dyDescent="0.2">
      <c r="A1382" s="226" t="s">
        <v>1700</v>
      </c>
      <c r="B1382" s="227" t="s">
        <v>1729</v>
      </c>
      <c r="C1382" s="227" t="s">
        <v>1746</v>
      </c>
      <c r="D1382" s="226" t="s">
        <v>1080</v>
      </c>
      <c r="E1382" s="226" t="s">
        <v>1081</v>
      </c>
    </row>
    <row r="1383" spans="1:5" x14ac:dyDescent="0.2">
      <c r="A1383" s="226" t="s">
        <v>1747</v>
      </c>
      <c r="B1383" s="226" t="s">
        <v>275</v>
      </c>
      <c r="C1383" s="226" t="s">
        <v>1748</v>
      </c>
      <c r="D1383" s="226" t="s">
        <v>1080</v>
      </c>
      <c r="E1383" s="226" t="s">
        <v>1081</v>
      </c>
    </row>
    <row r="1384" spans="1:5" x14ac:dyDescent="0.2">
      <c r="A1384" s="226" t="s">
        <v>1747</v>
      </c>
      <c r="B1384" s="226" t="s">
        <v>275</v>
      </c>
      <c r="C1384" s="226" t="s">
        <v>1749</v>
      </c>
      <c r="D1384" s="226" t="s">
        <v>1080</v>
      </c>
      <c r="E1384" s="226" t="s">
        <v>1081</v>
      </c>
    </row>
    <row r="1385" spans="1:5" x14ac:dyDescent="0.2">
      <c r="A1385" s="226" t="s">
        <v>1747</v>
      </c>
      <c r="B1385" s="227" t="s">
        <v>275</v>
      </c>
      <c r="C1385" s="227" t="s">
        <v>1750</v>
      </c>
      <c r="D1385" s="226" t="s">
        <v>1080</v>
      </c>
      <c r="E1385" s="226" t="s">
        <v>1081</v>
      </c>
    </row>
    <row r="1386" spans="1:5" x14ac:dyDescent="0.2">
      <c r="A1386" s="226" t="s">
        <v>1747</v>
      </c>
      <c r="B1386" s="227" t="s">
        <v>275</v>
      </c>
      <c r="C1386" s="227" t="s">
        <v>1751</v>
      </c>
      <c r="D1386" s="226" t="s">
        <v>1080</v>
      </c>
      <c r="E1386" s="226" t="s">
        <v>1081</v>
      </c>
    </row>
    <row r="1387" spans="1:5" x14ac:dyDescent="0.2">
      <c r="A1387" s="226" t="s">
        <v>1747</v>
      </c>
      <c r="B1387" s="226" t="s">
        <v>1752</v>
      </c>
      <c r="C1387" s="226" t="s">
        <v>1753</v>
      </c>
      <c r="D1387" s="226" t="s">
        <v>1080</v>
      </c>
      <c r="E1387" s="226" t="s">
        <v>1081</v>
      </c>
    </row>
    <row r="1388" spans="1:5" x14ac:dyDescent="0.2">
      <c r="A1388" s="226" t="s">
        <v>1747</v>
      </c>
      <c r="B1388" s="227" t="s">
        <v>1752</v>
      </c>
      <c r="C1388" s="227" t="s">
        <v>1754</v>
      </c>
      <c r="D1388" s="226" t="s">
        <v>1080</v>
      </c>
      <c r="E1388" s="226" t="s">
        <v>1081</v>
      </c>
    </row>
    <row r="1389" spans="1:5" x14ac:dyDescent="0.2">
      <c r="A1389" s="226" t="s">
        <v>1747</v>
      </c>
      <c r="B1389" s="227" t="s">
        <v>1752</v>
      </c>
      <c r="C1389" s="227" t="s">
        <v>1755</v>
      </c>
      <c r="D1389" s="226" t="s">
        <v>1080</v>
      </c>
      <c r="E1389" s="226" t="s">
        <v>1081</v>
      </c>
    </row>
    <row r="1390" spans="1:5" x14ac:dyDescent="0.2">
      <c r="A1390" s="226" t="s">
        <v>1747</v>
      </c>
      <c r="B1390" s="227" t="s">
        <v>1752</v>
      </c>
      <c r="C1390" s="227" t="s">
        <v>1756</v>
      </c>
      <c r="D1390" s="226" t="s">
        <v>1080</v>
      </c>
      <c r="E1390" s="226" t="s">
        <v>1081</v>
      </c>
    </row>
    <row r="1391" spans="1:5" x14ac:dyDescent="0.2">
      <c r="A1391" s="226" t="s">
        <v>1747</v>
      </c>
      <c r="B1391" s="227" t="s">
        <v>1752</v>
      </c>
      <c r="C1391" s="227" t="s">
        <v>1757</v>
      </c>
      <c r="D1391" s="226" t="s">
        <v>1080</v>
      </c>
      <c r="E1391" s="226" t="s">
        <v>1081</v>
      </c>
    </row>
    <row r="1392" spans="1:5" x14ac:dyDescent="0.2">
      <c r="A1392" s="226" t="s">
        <v>1747</v>
      </c>
      <c r="B1392" s="227" t="s">
        <v>1752</v>
      </c>
      <c r="C1392" s="227" t="s">
        <v>1758</v>
      </c>
      <c r="D1392" s="226" t="s">
        <v>1080</v>
      </c>
      <c r="E1392" s="226" t="s">
        <v>1081</v>
      </c>
    </row>
    <row r="1393" spans="1:5" x14ac:dyDescent="0.2">
      <c r="A1393" s="226" t="s">
        <v>1759</v>
      </c>
      <c r="B1393" s="226" t="s">
        <v>1760</v>
      </c>
      <c r="C1393" s="226" t="s">
        <v>1761</v>
      </c>
      <c r="D1393" s="226" t="s">
        <v>192</v>
      </c>
      <c r="E1393" s="226" t="s">
        <v>1718</v>
      </c>
    </row>
    <row r="1394" spans="1:5" x14ac:dyDescent="0.2">
      <c r="A1394" s="226" t="s">
        <v>1759</v>
      </c>
      <c r="B1394" s="226" t="s">
        <v>1760</v>
      </c>
      <c r="C1394" s="226" t="s">
        <v>1762</v>
      </c>
      <c r="D1394" s="226" t="s">
        <v>192</v>
      </c>
      <c r="E1394" s="226" t="s">
        <v>1718</v>
      </c>
    </row>
    <row r="1395" spans="1:5" x14ac:dyDescent="0.2">
      <c r="A1395" s="226" t="s">
        <v>1759</v>
      </c>
      <c r="B1395" s="227" t="s">
        <v>1760</v>
      </c>
      <c r="C1395" s="227" t="s">
        <v>1763</v>
      </c>
      <c r="D1395" s="226" t="s">
        <v>192</v>
      </c>
      <c r="E1395" s="226" t="s">
        <v>1718</v>
      </c>
    </row>
    <row r="1396" spans="1:5" x14ac:dyDescent="0.2">
      <c r="A1396" s="226" t="s">
        <v>1759</v>
      </c>
      <c r="B1396" s="227" t="s">
        <v>1760</v>
      </c>
      <c r="C1396" s="227" t="s">
        <v>1764</v>
      </c>
      <c r="D1396" s="226" t="s">
        <v>192</v>
      </c>
      <c r="E1396" s="226" t="s">
        <v>1718</v>
      </c>
    </row>
    <row r="1397" spans="1:5" x14ac:dyDescent="0.2">
      <c r="A1397" s="226" t="s">
        <v>1759</v>
      </c>
      <c r="B1397" s="226" t="s">
        <v>1760</v>
      </c>
      <c r="C1397" s="226" t="s">
        <v>1765</v>
      </c>
      <c r="D1397" s="226" t="s">
        <v>192</v>
      </c>
      <c r="E1397" s="226" t="s">
        <v>1718</v>
      </c>
    </row>
    <row r="1398" spans="1:5" x14ac:dyDescent="0.2">
      <c r="A1398" s="226" t="s">
        <v>1759</v>
      </c>
      <c r="B1398" s="227" t="s">
        <v>1760</v>
      </c>
      <c r="C1398" s="227" t="s">
        <v>1766</v>
      </c>
      <c r="D1398" s="226" t="s">
        <v>192</v>
      </c>
      <c r="E1398" s="226" t="s">
        <v>1718</v>
      </c>
    </row>
    <row r="1399" spans="1:5" x14ac:dyDescent="0.2">
      <c r="A1399" s="226" t="s">
        <v>1759</v>
      </c>
      <c r="B1399" s="227" t="s">
        <v>1760</v>
      </c>
      <c r="C1399" s="227" t="s">
        <v>1767</v>
      </c>
      <c r="D1399" s="226" t="s">
        <v>192</v>
      </c>
      <c r="E1399" s="226" t="s">
        <v>1718</v>
      </c>
    </row>
    <row r="1400" spans="1:5" x14ac:dyDescent="0.2">
      <c r="A1400" s="226" t="s">
        <v>1759</v>
      </c>
      <c r="B1400" s="227" t="s">
        <v>1760</v>
      </c>
      <c r="C1400" s="227" t="s">
        <v>1768</v>
      </c>
      <c r="D1400" s="226" t="s">
        <v>192</v>
      </c>
      <c r="E1400" s="226" t="s">
        <v>1718</v>
      </c>
    </row>
    <row r="1401" spans="1:5" x14ac:dyDescent="0.2">
      <c r="A1401" s="226" t="s">
        <v>1759</v>
      </c>
      <c r="B1401" s="226" t="s">
        <v>1760</v>
      </c>
      <c r="C1401" s="226" t="s">
        <v>1769</v>
      </c>
      <c r="D1401" s="226" t="s">
        <v>192</v>
      </c>
      <c r="E1401" s="226" t="s">
        <v>1718</v>
      </c>
    </row>
    <row r="1402" spans="1:5" x14ac:dyDescent="0.2">
      <c r="A1402" s="226" t="s">
        <v>1759</v>
      </c>
      <c r="B1402" s="227" t="s">
        <v>1760</v>
      </c>
      <c r="C1402" s="227" t="s">
        <v>1770</v>
      </c>
      <c r="D1402" s="226" t="s">
        <v>192</v>
      </c>
      <c r="E1402" s="226" t="s">
        <v>1718</v>
      </c>
    </row>
    <row r="1403" spans="1:5" x14ac:dyDescent="0.2">
      <c r="A1403" s="226" t="s">
        <v>1759</v>
      </c>
      <c r="B1403" s="227" t="s">
        <v>1760</v>
      </c>
      <c r="C1403" s="227" t="s">
        <v>1771</v>
      </c>
      <c r="D1403" s="226" t="s">
        <v>192</v>
      </c>
      <c r="E1403" s="226" t="s">
        <v>1718</v>
      </c>
    </row>
    <row r="1404" spans="1:5" x14ac:dyDescent="0.2">
      <c r="A1404" s="226" t="s">
        <v>1759</v>
      </c>
      <c r="B1404" s="227" t="s">
        <v>1760</v>
      </c>
      <c r="C1404" s="227" t="s">
        <v>1772</v>
      </c>
      <c r="D1404" s="226" t="s">
        <v>192</v>
      </c>
      <c r="E1404" s="226" t="s">
        <v>1718</v>
      </c>
    </row>
    <row r="1405" spans="1:5" x14ac:dyDescent="0.2">
      <c r="A1405" s="226" t="s">
        <v>1759</v>
      </c>
      <c r="B1405" s="227" t="s">
        <v>1760</v>
      </c>
      <c r="C1405" s="227" t="s">
        <v>1773</v>
      </c>
      <c r="D1405" s="226" t="s">
        <v>192</v>
      </c>
      <c r="E1405" s="226" t="s">
        <v>1718</v>
      </c>
    </row>
    <row r="1406" spans="1:5" x14ac:dyDescent="0.2">
      <c r="A1406" s="226" t="s">
        <v>1759</v>
      </c>
      <c r="B1406" s="227" t="s">
        <v>1760</v>
      </c>
      <c r="C1406" s="227" t="s">
        <v>1774</v>
      </c>
      <c r="D1406" s="226" t="s">
        <v>192</v>
      </c>
      <c r="E1406" s="226" t="s">
        <v>1718</v>
      </c>
    </row>
    <row r="1407" spans="1:5" x14ac:dyDescent="0.2">
      <c r="A1407" s="226" t="s">
        <v>1759</v>
      </c>
      <c r="B1407" s="227" t="s">
        <v>1760</v>
      </c>
      <c r="C1407" s="227" t="s">
        <v>1775</v>
      </c>
      <c r="D1407" s="226" t="s">
        <v>192</v>
      </c>
      <c r="E1407" s="226" t="s">
        <v>1718</v>
      </c>
    </row>
    <row r="1408" spans="1:5" x14ac:dyDescent="0.2">
      <c r="A1408" s="226" t="s">
        <v>1759</v>
      </c>
      <c r="B1408" s="226" t="s">
        <v>1776</v>
      </c>
      <c r="C1408" s="226" t="s">
        <v>1777</v>
      </c>
      <c r="D1408" s="226" t="s">
        <v>1080</v>
      </c>
      <c r="E1408" s="226" t="s">
        <v>1081</v>
      </c>
    </row>
    <row r="1409" spans="1:5" x14ac:dyDescent="0.2">
      <c r="A1409" s="226" t="s">
        <v>1759</v>
      </c>
      <c r="B1409" s="227" t="s">
        <v>1776</v>
      </c>
      <c r="C1409" s="227" t="s">
        <v>1778</v>
      </c>
      <c r="D1409" s="226" t="s">
        <v>1080</v>
      </c>
      <c r="E1409" s="226" t="s">
        <v>1081</v>
      </c>
    </row>
    <row r="1410" spans="1:5" x14ac:dyDescent="0.2">
      <c r="A1410" s="226" t="s">
        <v>1759</v>
      </c>
      <c r="B1410" s="227" t="s">
        <v>1776</v>
      </c>
      <c r="C1410" s="227" t="s">
        <v>1779</v>
      </c>
      <c r="D1410" s="226" t="s">
        <v>1080</v>
      </c>
      <c r="E1410" s="226" t="s">
        <v>1081</v>
      </c>
    </row>
    <row r="1411" spans="1:5" x14ac:dyDescent="0.2">
      <c r="A1411" s="226" t="s">
        <v>1759</v>
      </c>
      <c r="B1411" s="226" t="s">
        <v>1780</v>
      </c>
      <c r="C1411" s="226" t="s">
        <v>1781</v>
      </c>
      <c r="D1411" s="226" t="s">
        <v>1080</v>
      </c>
      <c r="E1411" s="226" t="s">
        <v>1081</v>
      </c>
    </row>
    <row r="1412" spans="1:5" x14ac:dyDescent="0.2">
      <c r="A1412" s="226" t="s">
        <v>1759</v>
      </c>
      <c r="B1412" s="226" t="s">
        <v>1780</v>
      </c>
      <c r="C1412" s="226" t="s">
        <v>1782</v>
      </c>
      <c r="D1412" s="226" t="s">
        <v>1080</v>
      </c>
      <c r="E1412" s="226" t="s">
        <v>1081</v>
      </c>
    </row>
    <row r="1413" spans="1:5" x14ac:dyDescent="0.2">
      <c r="A1413" s="226" t="s">
        <v>1759</v>
      </c>
      <c r="B1413" s="227" t="s">
        <v>1780</v>
      </c>
      <c r="C1413" s="227" t="s">
        <v>1783</v>
      </c>
      <c r="D1413" s="226" t="s">
        <v>1080</v>
      </c>
      <c r="E1413" s="226" t="s">
        <v>1081</v>
      </c>
    </row>
    <row r="1414" spans="1:5" x14ac:dyDescent="0.2">
      <c r="A1414" s="226" t="s">
        <v>1759</v>
      </c>
      <c r="B1414" s="227" t="s">
        <v>1780</v>
      </c>
      <c r="C1414" s="227" t="s">
        <v>1784</v>
      </c>
      <c r="D1414" s="226" t="s">
        <v>1080</v>
      </c>
      <c r="E1414" s="226" t="s">
        <v>1081</v>
      </c>
    </row>
    <row r="1415" spans="1:5" x14ac:dyDescent="0.2">
      <c r="A1415" s="226" t="s">
        <v>1759</v>
      </c>
      <c r="B1415" s="227" t="s">
        <v>1780</v>
      </c>
      <c r="C1415" s="227" t="s">
        <v>1785</v>
      </c>
      <c r="D1415" s="226" t="s">
        <v>1080</v>
      </c>
      <c r="E1415" s="226" t="s">
        <v>1081</v>
      </c>
    </row>
    <row r="1416" spans="1:5" x14ac:dyDescent="0.2">
      <c r="A1416" s="226" t="s">
        <v>1759</v>
      </c>
      <c r="B1416" s="227" t="s">
        <v>1780</v>
      </c>
      <c r="C1416" s="227" t="s">
        <v>1786</v>
      </c>
      <c r="D1416" s="226" t="s">
        <v>1080</v>
      </c>
      <c r="E1416" s="226" t="s">
        <v>1081</v>
      </c>
    </row>
    <row r="1417" spans="1:5" x14ac:dyDescent="0.2">
      <c r="A1417" s="226" t="s">
        <v>1759</v>
      </c>
      <c r="B1417" s="227" t="s">
        <v>1780</v>
      </c>
      <c r="C1417" s="227" t="s">
        <v>1787</v>
      </c>
      <c r="D1417" s="226" t="s">
        <v>1080</v>
      </c>
      <c r="E1417" s="226" t="s">
        <v>1081</v>
      </c>
    </row>
    <row r="1418" spans="1:5" x14ac:dyDescent="0.2">
      <c r="A1418" s="226" t="s">
        <v>1759</v>
      </c>
      <c r="B1418" s="227" t="s">
        <v>1780</v>
      </c>
      <c r="C1418" s="227" t="s">
        <v>1788</v>
      </c>
      <c r="D1418" s="226" t="s">
        <v>1080</v>
      </c>
      <c r="E1418" s="226" t="s">
        <v>1081</v>
      </c>
    </row>
    <row r="1419" spans="1:5" x14ac:dyDescent="0.2">
      <c r="A1419" s="226" t="s">
        <v>1759</v>
      </c>
      <c r="B1419" s="227" t="s">
        <v>1780</v>
      </c>
      <c r="C1419" s="227" t="s">
        <v>1789</v>
      </c>
      <c r="D1419" s="226" t="s">
        <v>1080</v>
      </c>
      <c r="E1419" s="226" t="s">
        <v>1081</v>
      </c>
    </row>
    <row r="1420" spans="1:5" x14ac:dyDescent="0.2">
      <c r="A1420" s="226" t="s">
        <v>1759</v>
      </c>
      <c r="B1420" s="227" t="s">
        <v>1780</v>
      </c>
      <c r="C1420" s="227" t="s">
        <v>1790</v>
      </c>
      <c r="D1420" s="226" t="s">
        <v>1080</v>
      </c>
      <c r="E1420" s="226" t="s">
        <v>1081</v>
      </c>
    </row>
    <row r="1421" spans="1:5" x14ac:dyDescent="0.2">
      <c r="A1421" s="226" t="s">
        <v>1759</v>
      </c>
      <c r="B1421" s="227" t="s">
        <v>1780</v>
      </c>
      <c r="C1421" s="227" t="s">
        <v>1791</v>
      </c>
      <c r="D1421" s="226" t="s">
        <v>1080</v>
      </c>
      <c r="E1421" s="226" t="s">
        <v>1081</v>
      </c>
    </row>
    <row r="1422" spans="1:5" x14ac:dyDescent="0.2">
      <c r="A1422" s="226" t="s">
        <v>1759</v>
      </c>
      <c r="B1422" s="226" t="s">
        <v>1792</v>
      </c>
      <c r="C1422" s="226" t="s">
        <v>1793</v>
      </c>
      <c r="D1422" s="226" t="s">
        <v>1080</v>
      </c>
      <c r="E1422" s="226" t="s">
        <v>189</v>
      </c>
    </row>
    <row r="1423" spans="1:5" x14ac:dyDescent="0.2">
      <c r="A1423" s="226" t="s">
        <v>1759</v>
      </c>
      <c r="B1423" s="226" t="s">
        <v>1792</v>
      </c>
      <c r="C1423" s="226" t="s">
        <v>1794</v>
      </c>
      <c r="D1423" s="226" t="s">
        <v>1080</v>
      </c>
      <c r="E1423" s="226" t="s">
        <v>189</v>
      </c>
    </row>
    <row r="1424" spans="1:5" x14ac:dyDescent="0.2">
      <c r="A1424" s="226" t="s">
        <v>1759</v>
      </c>
      <c r="B1424" s="227" t="s">
        <v>1792</v>
      </c>
      <c r="C1424" s="227" t="s">
        <v>1795</v>
      </c>
      <c r="D1424" s="226" t="s">
        <v>1080</v>
      </c>
      <c r="E1424" s="226" t="s">
        <v>189</v>
      </c>
    </row>
    <row r="1425" spans="1:5" x14ac:dyDescent="0.2">
      <c r="A1425" s="226" t="s">
        <v>1759</v>
      </c>
      <c r="B1425" s="227" t="s">
        <v>1792</v>
      </c>
      <c r="C1425" s="227" t="s">
        <v>1796</v>
      </c>
      <c r="D1425" s="226" t="s">
        <v>1080</v>
      </c>
      <c r="E1425" s="226" t="s">
        <v>189</v>
      </c>
    </row>
    <row r="1426" spans="1:5" x14ac:dyDescent="0.2">
      <c r="A1426" s="226" t="s">
        <v>1759</v>
      </c>
      <c r="B1426" s="226" t="s">
        <v>1797</v>
      </c>
      <c r="C1426" s="226" t="s">
        <v>1798</v>
      </c>
      <c r="D1426" s="226" t="s">
        <v>1080</v>
      </c>
      <c r="E1426" s="226" t="s">
        <v>189</v>
      </c>
    </row>
    <row r="1427" spans="1:5" x14ac:dyDescent="0.2">
      <c r="A1427" s="226" t="s">
        <v>1759</v>
      </c>
      <c r="B1427" s="226" t="s">
        <v>1797</v>
      </c>
      <c r="C1427" s="226" t="s">
        <v>1799</v>
      </c>
      <c r="D1427" s="226" t="s">
        <v>1080</v>
      </c>
      <c r="E1427" s="226" t="s">
        <v>189</v>
      </c>
    </row>
    <row r="1428" spans="1:5" x14ac:dyDescent="0.2">
      <c r="A1428" s="226" t="s">
        <v>1759</v>
      </c>
      <c r="B1428" s="227" t="s">
        <v>1797</v>
      </c>
      <c r="C1428" s="227" t="s">
        <v>1800</v>
      </c>
      <c r="D1428" s="226" t="s">
        <v>1080</v>
      </c>
      <c r="E1428" s="226" t="s">
        <v>189</v>
      </c>
    </row>
    <row r="1429" spans="1:5" x14ac:dyDescent="0.2">
      <c r="A1429" s="226" t="s">
        <v>1759</v>
      </c>
      <c r="B1429" s="227" t="s">
        <v>1797</v>
      </c>
      <c r="C1429" s="227" t="s">
        <v>1801</v>
      </c>
      <c r="D1429" s="226" t="s">
        <v>1080</v>
      </c>
      <c r="E1429" s="226" t="s">
        <v>189</v>
      </c>
    </row>
    <row r="1430" spans="1:5" x14ac:dyDescent="0.2">
      <c r="A1430" s="226" t="s">
        <v>1759</v>
      </c>
      <c r="B1430" s="227" t="s">
        <v>1797</v>
      </c>
      <c r="C1430" s="227" t="s">
        <v>1802</v>
      </c>
      <c r="D1430" s="226" t="s">
        <v>1080</v>
      </c>
      <c r="E1430" s="226" t="s">
        <v>189</v>
      </c>
    </row>
    <row r="1431" spans="1:5" x14ac:dyDescent="0.2">
      <c r="A1431" s="226" t="s">
        <v>1759</v>
      </c>
      <c r="B1431" s="227" t="s">
        <v>1797</v>
      </c>
      <c r="C1431" s="227" t="s">
        <v>1803</v>
      </c>
      <c r="D1431" s="226" t="s">
        <v>1080</v>
      </c>
      <c r="E1431" s="226" t="s">
        <v>189</v>
      </c>
    </row>
    <row r="1432" spans="1:5" x14ac:dyDescent="0.2">
      <c r="A1432" s="226" t="s">
        <v>1759</v>
      </c>
      <c r="B1432" s="227" t="s">
        <v>1797</v>
      </c>
      <c r="C1432" s="227" t="s">
        <v>1804</v>
      </c>
      <c r="D1432" s="226" t="s">
        <v>1080</v>
      </c>
      <c r="E1432" s="226" t="s">
        <v>189</v>
      </c>
    </row>
    <row r="1433" spans="1:5" x14ac:dyDescent="0.2">
      <c r="A1433" s="226" t="s">
        <v>1759</v>
      </c>
      <c r="B1433" s="227" t="s">
        <v>1797</v>
      </c>
      <c r="C1433" s="227" t="s">
        <v>1805</v>
      </c>
      <c r="D1433" s="226" t="s">
        <v>1080</v>
      </c>
      <c r="E1433" s="226" t="s">
        <v>189</v>
      </c>
    </row>
    <row r="1434" spans="1:5" x14ac:dyDescent="0.2">
      <c r="A1434" s="226" t="s">
        <v>1759</v>
      </c>
      <c r="B1434" s="227" t="s">
        <v>1797</v>
      </c>
      <c r="C1434" s="227" t="s">
        <v>1806</v>
      </c>
      <c r="D1434" s="226" t="s">
        <v>1080</v>
      </c>
      <c r="E1434" s="226" t="s">
        <v>189</v>
      </c>
    </row>
    <row r="1435" spans="1:5" x14ac:dyDescent="0.2">
      <c r="A1435" s="226" t="s">
        <v>1759</v>
      </c>
      <c r="B1435" s="227" t="s">
        <v>1797</v>
      </c>
      <c r="C1435" s="227" t="s">
        <v>1807</v>
      </c>
      <c r="D1435" s="226" t="s">
        <v>1080</v>
      </c>
      <c r="E1435" s="226" t="s">
        <v>189</v>
      </c>
    </row>
    <row r="1436" spans="1:5" x14ac:dyDescent="0.2">
      <c r="A1436" s="226" t="s">
        <v>1759</v>
      </c>
      <c r="B1436" s="226" t="s">
        <v>1797</v>
      </c>
      <c r="C1436" s="226" t="s">
        <v>1808</v>
      </c>
      <c r="D1436" s="226" t="s">
        <v>1080</v>
      </c>
      <c r="E1436" s="226" t="s">
        <v>189</v>
      </c>
    </row>
    <row r="1437" spans="1:5" x14ac:dyDescent="0.2">
      <c r="A1437" s="226" t="s">
        <v>1759</v>
      </c>
      <c r="B1437" s="227" t="s">
        <v>1797</v>
      </c>
      <c r="C1437" s="227" t="s">
        <v>1809</v>
      </c>
      <c r="D1437" s="226" t="s">
        <v>1080</v>
      </c>
      <c r="E1437" s="226" t="s">
        <v>189</v>
      </c>
    </row>
    <row r="1438" spans="1:5" x14ac:dyDescent="0.2">
      <c r="A1438" s="226" t="s">
        <v>1759</v>
      </c>
      <c r="B1438" s="227" t="s">
        <v>1810</v>
      </c>
      <c r="C1438" s="227" t="s">
        <v>1811</v>
      </c>
      <c r="D1438" s="226" t="s">
        <v>1080</v>
      </c>
      <c r="E1438" s="226" t="s">
        <v>1081</v>
      </c>
    </row>
    <row r="1439" spans="1:5" x14ac:dyDescent="0.2">
      <c r="A1439" s="226" t="s">
        <v>1759</v>
      </c>
      <c r="B1439" s="227" t="s">
        <v>1810</v>
      </c>
      <c r="C1439" s="227" t="s">
        <v>1812</v>
      </c>
      <c r="D1439" s="226" t="s">
        <v>1080</v>
      </c>
      <c r="E1439" s="226" t="s">
        <v>1081</v>
      </c>
    </row>
    <row r="1440" spans="1:5" x14ac:dyDescent="0.2">
      <c r="A1440" s="226" t="s">
        <v>1759</v>
      </c>
      <c r="B1440" s="227" t="s">
        <v>1810</v>
      </c>
      <c r="C1440" s="227" t="s">
        <v>1813</v>
      </c>
      <c r="D1440" s="226" t="s">
        <v>1080</v>
      </c>
      <c r="E1440" s="226" t="s">
        <v>1081</v>
      </c>
    </row>
    <row r="1441" spans="1:5" x14ac:dyDescent="0.2">
      <c r="A1441" s="226" t="s">
        <v>1759</v>
      </c>
      <c r="B1441" s="227" t="s">
        <v>1810</v>
      </c>
      <c r="C1441" s="227" t="s">
        <v>1814</v>
      </c>
      <c r="D1441" s="226" t="s">
        <v>1080</v>
      </c>
      <c r="E1441" s="226" t="s">
        <v>1081</v>
      </c>
    </row>
    <row r="1442" spans="1:5" x14ac:dyDescent="0.2">
      <c r="A1442" s="226" t="s">
        <v>1759</v>
      </c>
      <c r="B1442" s="227" t="s">
        <v>1810</v>
      </c>
      <c r="C1442" s="227" t="s">
        <v>1815</v>
      </c>
      <c r="D1442" s="226" t="s">
        <v>1080</v>
      </c>
      <c r="E1442" s="226" t="s">
        <v>1081</v>
      </c>
    </row>
    <row r="1443" spans="1:5" x14ac:dyDescent="0.2">
      <c r="A1443" s="226" t="s">
        <v>1759</v>
      </c>
      <c r="B1443" s="227" t="s">
        <v>1810</v>
      </c>
      <c r="C1443" s="227" t="s">
        <v>1816</v>
      </c>
      <c r="D1443" s="226" t="s">
        <v>1080</v>
      </c>
      <c r="E1443" s="226" t="s">
        <v>1081</v>
      </c>
    </row>
    <row r="1444" spans="1:5" x14ac:dyDescent="0.2">
      <c r="A1444" s="226" t="s">
        <v>1759</v>
      </c>
      <c r="B1444" s="227" t="s">
        <v>1810</v>
      </c>
      <c r="C1444" s="227" t="s">
        <v>1817</v>
      </c>
      <c r="D1444" s="226" t="s">
        <v>1080</v>
      </c>
      <c r="E1444" s="226" t="s">
        <v>1081</v>
      </c>
    </row>
    <row r="1445" spans="1:5" x14ac:dyDescent="0.2">
      <c r="A1445" s="226" t="s">
        <v>1759</v>
      </c>
      <c r="B1445" s="227" t="s">
        <v>1818</v>
      </c>
      <c r="C1445" s="227" t="s">
        <v>1819</v>
      </c>
      <c r="D1445" s="226" t="s">
        <v>1080</v>
      </c>
      <c r="E1445" s="226" t="s">
        <v>1081</v>
      </c>
    </row>
    <row r="1446" spans="1:5" x14ac:dyDescent="0.2">
      <c r="A1446" s="226" t="s">
        <v>1759</v>
      </c>
      <c r="B1446" s="227" t="s">
        <v>1818</v>
      </c>
      <c r="C1446" s="227" t="s">
        <v>1820</v>
      </c>
      <c r="D1446" s="226" t="s">
        <v>1080</v>
      </c>
      <c r="E1446" s="226" t="s">
        <v>1081</v>
      </c>
    </row>
    <row r="1447" spans="1:5" x14ac:dyDescent="0.2">
      <c r="A1447" s="226" t="s">
        <v>1759</v>
      </c>
      <c r="B1447" s="227" t="s">
        <v>1818</v>
      </c>
      <c r="C1447" s="227" t="s">
        <v>1821</v>
      </c>
      <c r="D1447" s="226" t="s">
        <v>1080</v>
      </c>
      <c r="E1447" s="226" t="s">
        <v>1081</v>
      </c>
    </row>
    <row r="1448" spans="1:5" x14ac:dyDescent="0.2">
      <c r="A1448" s="226" t="s">
        <v>1759</v>
      </c>
      <c r="B1448" s="227" t="s">
        <v>1818</v>
      </c>
      <c r="C1448" s="227" t="s">
        <v>1822</v>
      </c>
      <c r="D1448" s="226" t="s">
        <v>1080</v>
      </c>
      <c r="E1448" s="226" t="s">
        <v>1081</v>
      </c>
    </row>
    <row r="1449" spans="1:5" x14ac:dyDescent="0.2">
      <c r="A1449" s="226" t="s">
        <v>1759</v>
      </c>
      <c r="B1449" s="227" t="s">
        <v>1818</v>
      </c>
      <c r="C1449" s="227" t="s">
        <v>1823</v>
      </c>
      <c r="D1449" s="226" t="s">
        <v>1080</v>
      </c>
      <c r="E1449" s="226" t="s">
        <v>1081</v>
      </c>
    </row>
    <row r="1450" spans="1:5" x14ac:dyDescent="0.2">
      <c r="A1450" s="226" t="s">
        <v>1759</v>
      </c>
      <c r="B1450" s="227" t="s">
        <v>1818</v>
      </c>
      <c r="C1450" s="227" t="s">
        <v>1824</v>
      </c>
      <c r="D1450" s="226" t="s">
        <v>1080</v>
      </c>
      <c r="E1450" s="226" t="s">
        <v>1081</v>
      </c>
    </row>
    <row r="1451" spans="1:5" x14ac:dyDescent="0.2">
      <c r="A1451" s="226" t="s">
        <v>1759</v>
      </c>
      <c r="B1451" s="227" t="s">
        <v>1818</v>
      </c>
      <c r="C1451" s="227" t="s">
        <v>1825</v>
      </c>
      <c r="D1451" s="226" t="s">
        <v>1080</v>
      </c>
      <c r="E1451" s="226" t="s">
        <v>1081</v>
      </c>
    </row>
    <row r="1452" spans="1:5" x14ac:dyDescent="0.2">
      <c r="A1452" s="226" t="s">
        <v>1759</v>
      </c>
      <c r="B1452" s="227" t="s">
        <v>1818</v>
      </c>
      <c r="C1452" s="227" t="s">
        <v>1826</v>
      </c>
      <c r="D1452" s="226" t="s">
        <v>1080</v>
      </c>
      <c r="E1452" s="226" t="s">
        <v>1081</v>
      </c>
    </row>
    <row r="1453" spans="1:5" x14ac:dyDescent="0.2">
      <c r="A1453" s="226" t="s">
        <v>1759</v>
      </c>
      <c r="B1453" s="226" t="s">
        <v>1827</v>
      </c>
      <c r="C1453" s="226" t="s">
        <v>1828</v>
      </c>
      <c r="D1453" s="226" t="s">
        <v>1080</v>
      </c>
      <c r="E1453" s="226" t="s">
        <v>1081</v>
      </c>
    </row>
    <row r="1454" spans="1:5" x14ac:dyDescent="0.2">
      <c r="A1454" s="226" t="s">
        <v>1759</v>
      </c>
      <c r="B1454" s="227" t="s">
        <v>1827</v>
      </c>
      <c r="C1454" s="227" t="s">
        <v>1829</v>
      </c>
      <c r="D1454" s="226" t="s">
        <v>1080</v>
      </c>
      <c r="E1454" s="226" t="s">
        <v>1081</v>
      </c>
    </row>
    <row r="1455" spans="1:5" x14ac:dyDescent="0.2">
      <c r="A1455" s="226" t="s">
        <v>1759</v>
      </c>
      <c r="B1455" s="227" t="s">
        <v>1827</v>
      </c>
      <c r="C1455" s="227" t="s">
        <v>1830</v>
      </c>
      <c r="D1455" s="226" t="s">
        <v>1080</v>
      </c>
      <c r="E1455" s="226" t="s">
        <v>1081</v>
      </c>
    </row>
    <row r="1456" spans="1:5" x14ac:dyDescent="0.2">
      <c r="A1456" s="226" t="s">
        <v>1759</v>
      </c>
      <c r="B1456" s="227" t="s">
        <v>1827</v>
      </c>
      <c r="C1456" s="227" t="s">
        <v>1831</v>
      </c>
      <c r="D1456" s="226" t="s">
        <v>1080</v>
      </c>
      <c r="E1456" s="226" t="s">
        <v>1081</v>
      </c>
    </row>
    <row r="1457" spans="1:5" x14ac:dyDescent="0.2">
      <c r="A1457" s="226" t="s">
        <v>1759</v>
      </c>
      <c r="B1457" s="227" t="s">
        <v>1832</v>
      </c>
      <c r="C1457" s="227" t="s">
        <v>1833</v>
      </c>
      <c r="D1457" s="226" t="s">
        <v>1080</v>
      </c>
      <c r="E1457" s="226" t="s">
        <v>1081</v>
      </c>
    </row>
    <row r="1458" spans="1:5" x14ac:dyDescent="0.2">
      <c r="A1458" s="226" t="s">
        <v>1759</v>
      </c>
      <c r="B1458" s="227" t="s">
        <v>1832</v>
      </c>
      <c r="C1458" s="227" t="s">
        <v>1834</v>
      </c>
      <c r="D1458" s="226" t="s">
        <v>1080</v>
      </c>
      <c r="E1458" s="226" t="s">
        <v>1081</v>
      </c>
    </row>
    <row r="1459" spans="1:5" x14ac:dyDescent="0.2">
      <c r="A1459" s="226" t="s">
        <v>1835</v>
      </c>
      <c r="B1459" s="227" t="s">
        <v>276</v>
      </c>
      <c r="C1459" s="227" t="s">
        <v>1836</v>
      </c>
      <c r="D1459" s="226" t="s">
        <v>257</v>
      </c>
      <c r="E1459" s="226" t="s">
        <v>304</v>
      </c>
    </row>
    <row r="1460" spans="1:5" x14ac:dyDescent="0.2">
      <c r="A1460" s="226" t="s">
        <v>1835</v>
      </c>
      <c r="B1460" s="227" t="s">
        <v>276</v>
      </c>
      <c r="C1460" s="227" t="s">
        <v>1837</v>
      </c>
      <c r="D1460" s="226" t="s">
        <v>257</v>
      </c>
      <c r="E1460" s="226" t="s">
        <v>304</v>
      </c>
    </row>
    <row r="1461" spans="1:5" x14ac:dyDescent="0.2">
      <c r="A1461" s="226" t="s">
        <v>1835</v>
      </c>
      <c r="B1461" s="227" t="s">
        <v>276</v>
      </c>
      <c r="C1461" s="227" t="s">
        <v>1838</v>
      </c>
      <c r="D1461" s="226" t="s">
        <v>257</v>
      </c>
      <c r="E1461" s="226" t="s">
        <v>304</v>
      </c>
    </row>
    <row r="1462" spans="1:5" x14ac:dyDescent="0.2">
      <c r="A1462" s="226" t="s">
        <v>1835</v>
      </c>
      <c r="B1462" s="227" t="s">
        <v>277</v>
      </c>
      <c r="C1462" s="227" t="s">
        <v>1839</v>
      </c>
      <c r="D1462" s="226" t="s">
        <v>257</v>
      </c>
      <c r="E1462" s="226" t="s">
        <v>304</v>
      </c>
    </row>
    <row r="1463" spans="1:5" x14ac:dyDescent="0.2">
      <c r="A1463" s="226" t="s">
        <v>1835</v>
      </c>
      <c r="B1463" s="227" t="s">
        <v>277</v>
      </c>
      <c r="C1463" s="227" t="s">
        <v>1840</v>
      </c>
      <c r="D1463" s="226" t="s">
        <v>257</v>
      </c>
      <c r="E1463" s="226" t="s">
        <v>304</v>
      </c>
    </row>
    <row r="1464" spans="1:5" x14ac:dyDescent="0.2">
      <c r="A1464" s="226" t="s">
        <v>1841</v>
      </c>
      <c r="B1464" s="227" t="s">
        <v>278</v>
      </c>
      <c r="C1464" s="227" t="s">
        <v>1842</v>
      </c>
      <c r="D1464" s="226" t="s">
        <v>257</v>
      </c>
      <c r="E1464" s="226" t="s">
        <v>304</v>
      </c>
    </row>
  </sheetData>
  <autoFilter ref="A4:E1464" xr:uid="{00000000-0009-0000-0000-000004000000}"/>
  <mergeCells count="3">
    <mergeCell ref="D3:D4"/>
    <mergeCell ref="A3:C3"/>
    <mergeCell ref="E3:E4"/>
  </mergeCells>
  <phoneticPr fontId="17"/>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H100"/>
  <sheetViews>
    <sheetView workbookViewId="0"/>
  </sheetViews>
  <sheetFormatPr defaultColWidth="9" defaultRowHeight="10.8" x14ac:dyDescent="0.2"/>
  <cols>
    <col min="1" max="1" width="23.77734375" style="230" customWidth="1"/>
    <col min="2" max="7" width="20.44140625" style="231" customWidth="1"/>
    <col min="8" max="8" width="16.88671875" style="217" customWidth="1"/>
    <col min="9" max="16384" width="9" style="218"/>
  </cols>
  <sheetData>
    <row r="2" spans="1:7" ht="24.75" customHeight="1" x14ac:dyDescent="0.2">
      <c r="A2" s="228" t="s">
        <v>162</v>
      </c>
      <c r="B2" s="229" t="s">
        <v>1875</v>
      </c>
      <c r="C2" s="229"/>
      <c r="D2" s="229"/>
      <c r="E2" s="229"/>
      <c r="F2" s="229"/>
      <c r="G2" s="229"/>
    </row>
    <row r="3" spans="1:7" ht="24.75" customHeight="1" x14ac:dyDescent="0.2">
      <c r="A3" s="228" t="s">
        <v>197</v>
      </c>
      <c r="B3" s="229" t="s">
        <v>1876</v>
      </c>
      <c r="C3" s="229"/>
      <c r="D3" s="229"/>
      <c r="E3" s="229"/>
      <c r="F3" s="229"/>
      <c r="G3" s="229"/>
    </row>
    <row r="4" spans="1:7" ht="24.75" customHeight="1" x14ac:dyDescent="0.2">
      <c r="A4" s="228" t="s">
        <v>194</v>
      </c>
      <c r="B4" s="229" t="s">
        <v>168</v>
      </c>
      <c r="C4" s="229" t="s">
        <v>169</v>
      </c>
      <c r="D4" s="229" t="s">
        <v>170</v>
      </c>
      <c r="E4" s="229" t="s">
        <v>171</v>
      </c>
      <c r="F4" s="229" t="s">
        <v>172</v>
      </c>
      <c r="G4" s="229" t="s">
        <v>1872</v>
      </c>
    </row>
    <row r="5" spans="1:7" ht="24.75" customHeight="1" x14ac:dyDescent="0.2">
      <c r="A5" s="228" t="s">
        <v>174</v>
      </c>
      <c r="B5" s="229" t="s">
        <v>176</v>
      </c>
      <c r="C5" s="229" t="s">
        <v>177</v>
      </c>
      <c r="D5" s="229" t="s">
        <v>178</v>
      </c>
      <c r="E5" s="229" t="s">
        <v>1873</v>
      </c>
      <c r="F5" s="229"/>
      <c r="G5" s="229"/>
    </row>
    <row r="6" spans="1:7" ht="24.75" customHeight="1" x14ac:dyDescent="0.2">
      <c r="A6" s="228" t="s">
        <v>179</v>
      </c>
      <c r="B6" s="229" t="s">
        <v>1877</v>
      </c>
      <c r="C6" s="229"/>
      <c r="D6" s="229"/>
      <c r="E6" s="229"/>
      <c r="F6" s="229"/>
      <c r="G6" s="229"/>
    </row>
    <row r="7" spans="1:7" ht="24.75" customHeight="1" x14ac:dyDescent="0.2">
      <c r="A7" s="228" t="s">
        <v>180</v>
      </c>
      <c r="B7" s="229" t="s">
        <v>1878</v>
      </c>
      <c r="C7" s="229"/>
      <c r="D7" s="229"/>
      <c r="E7" s="229"/>
      <c r="F7" s="229"/>
      <c r="G7" s="229"/>
    </row>
    <row r="8" spans="1:7" ht="24.75" customHeight="1" x14ac:dyDescent="0.2">
      <c r="A8" s="228" t="s">
        <v>181</v>
      </c>
      <c r="B8" s="229" t="s">
        <v>1879</v>
      </c>
      <c r="C8" s="229"/>
      <c r="D8" s="229"/>
      <c r="E8" s="229"/>
      <c r="F8" s="229"/>
      <c r="G8" s="229"/>
    </row>
    <row r="9" spans="1:7" ht="24.75" customHeight="1" x14ac:dyDescent="0.2">
      <c r="A9" s="228" t="s">
        <v>182</v>
      </c>
      <c r="B9" s="229" t="s">
        <v>1880</v>
      </c>
      <c r="C9" s="229"/>
      <c r="D9" s="229"/>
      <c r="E9" s="229"/>
      <c r="F9" s="229"/>
      <c r="G9" s="229"/>
    </row>
    <row r="10" spans="1:7" ht="24.75" customHeight="1" x14ac:dyDescent="0.2">
      <c r="A10" s="228" t="s">
        <v>183</v>
      </c>
      <c r="B10" s="229" t="s">
        <v>1881</v>
      </c>
      <c r="C10" s="229"/>
      <c r="D10" s="229"/>
      <c r="E10" s="229"/>
      <c r="F10" s="229"/>
      <c r="G10" s="229"/>
    </row>
    <row r="11" spans="1:7" ht="24.75" customHeight="1" x14ac:dyDescent="0.2">
      <c r="A11" s="228" t="s">
        <v>199</v>
      </c>
      <c r="B11" s="229" t="s">
        <v>186</v>
      </c>
      <c r="C11" s="229" t="s">
        <v>187</v>
      </c>
      <c r="D11" s="229" t="s">
        <v>188</v>
      </c>
      <c r="E11" s="229" t="s">
        <v>189</v>
      </c>
      <c r="F11" s="229" t="s">
        <v>190</v>
      </c>
      <c r="G11" s="229" t="s">
        <v>1874</v>
      </c>
    </row>
    <row r="12" spans="1:7" ht="24.75" customHeight="1" x14ac:dyDescent="0.2">
      <c r="A12" s="228" t="s">
        <v>191</v>
      </c>
      <c r="B12" s="229" t="s">
        <v>1882</v>
      </c>
      <c r="C12" s="229"/>
      <c r="D12" s="229"/>
      <c r="E12" s="229"/>
      <c r="F12" s="229"/>
      <c r="G12" s="229"/>
    </row>
    <row r="13" spans="1:7" ht="24.75" customHeight="1" x14ac:dyDescent="0.2">
      <c r="A13" s="228" t="s">
        <v>192</v>
      </c>
      <c r="B13" s="229" t="s">
        <v>1883</v>
      </c>
      <c r="C13" s="229"/>
      <c r="D13" s="229"/>
      <c r="E13" s="229"/>
      <c r="F13" s="229"/>
      <c r="G13" s="229"/>
    </row>
    <row r="14" spans="1:7" ht="24.75" customHeight="1" x14ac:dyDescent="0.2">
      <c r="A14" s="228" t="s">
        <v>193</v>
      </c>
      <c r="B14" s="229" t="s">
        <v>1884</v>
      </c>
      <c r="C14" s="229"/>
      <c r="D14" s="229"/>
      <c r="E14" s="229"/>
      <c r="F14" s="229"/>
      <c r="G14" s="229"/>
    </row>
    <row r="15" spans="1:7" ht="24.75" customHeight="1" x14ac:dyDescent="0.2">
      <c r="A15" s="228" t="s">
        <v>1865</v>
      </c>
      <c r="B15" s="229" t="s">
        <v>1891</v>
      </c>
      <c r="C15" s="229"/>
      <c r="D15" s="229"/>
      <c r="E15" s="229"/>
      <c r="F15" s="229"/>
      <c r="G15" s="229"/>
    </row>
    <row r="16" spans="1:7" ht="24.75" customHeight="1" x14ac:dyDescent="0.2"/>
    <row r="17" ht="24.75" customHeight="1" x14ac:dyDescent="0.2"/>
    <row r="18" ht="24.75" customHeight="1" x14ac:dyDescent="0.2"/>
    <row r="19" ht="24.75" customHeight="1" x14ac:dyDescent="0.2"/>
    <row r="20" ht="24.75" customHeight="1" x14ac:dyDescent="0.2"/>
    <row r="21" ht="24.75" customHeight="1" x14ac:dyDescent="0.2"/>
    <row r="22" ht="24.75" customHeight="1" x14ac:dyDescent="0.2"/>
    <row r="23" ht="24.75" customHeight="1" x14ac:dyDescent="0.2"/>
    <row r="24" ht="24.75" customHeight="1" x14ac:dyDescent="0.2"/>
    <row r="25" ht="24.75" customHeight="1" x14ac:dyDescent="0.2"/>
    <row r="26" ht="24.75" customHeight="1" x14ac:dyDescent="0.2"/>
    <row r="27" ht="24.75" customHeight="1" x14ac:dyDescent="0.2"/>
    <row r="28" ht="24.75" customHeight="1" x14ac:dyDescent="0.2"/>
    <row r="29" ht="24.75" customHeight="1" x14ac:dyDescent="0.2"/>
    <row r="30" ht="24.75" customHeight="1" x14ac:dyDescent="0.2"/>
    <row r="31" ht="24.75" customHeight="1" x14ac:dyDescent="0.2"/>
    <row r="32" ht="24.75" customHeight="1" x14ac:dyDescent="0.2"/>
    <row r="33" ht="24.75" customHeight="1" x14ac:dyDescent="0.2"/>
    <row r="34" ht="24.75" customHeight="1" x14ac:dyDescent="0.2"/>
    <row r="35" ht="24.75" customHeight="1" x14ac:dyDescent="0.2"/>
    <row r="36" ht="24.75" customHeight="1" x14ac:dyDescent="0.2"/>
    <row r="37" ht="24.75" customHeight="1" x14ac:dyDescent="0.2"/>
    <row r="38" ht="24.75" customHeight="1" x14ac:dyDescent="0.2"/>
    <row r="39" ht="24.75" customHeight="1" x14ac:dyDescent="0.2"/>
    <row r="40" ht="24.75" customHeight="1" x14ac:dyDescent="0.2"/>
    <row r="41" ht="24.75" customHeight="1" x14ac:dyDescent="0.2"/>
    <row r="42" ht="24.75" customHeight="1" x14ac:dyDescent="0.2"/>
    <row r="43" ht="24.75" customHeight="1" x14ac:dyDescent="0.2"/>
    <row r="44" ht="24.75" customHeight="1" x14ac:dyDescent="0.2"/>
    <row r="45" ht="24.75" customHeight="1" x14ac:dyDescent="0.2"/>
    <row r="46" ht="24.75" customHeight="1" x14ac:dyDescent="0.2"/>
    <row r="47" ht="24.75" customHeight="1" x14ac:dyDescent="0.2"/>
    <row r="48" ht="24.75" customHeight="1" x14ac:dyDescent="0.2"/>
    <row r="49" ht="24.75" customHeight="1" x14ac:dyDescent="0.2"/>
    <row r="50" ht="24.75" customHeight="1" x14ac:dyDescent="0.2"/>
    <row r="51" ht="24.75" customHeight="1" x14ac:dyDescent="0.2"/>
    <row r="52" ht="24.75" customHeight="1" x14ac:dyDescent="0.2"/>
    <row r="53" ht="24.75" customHeight="1" x14ac:dyDescent="0.2"/>
    <row r="54" ht="24.75" customHeight="1" x14ac:dyDescent="0.2"/>
    <row r="55" ht="24.75" customHeight="1" x14ac:dyDescent="0.2"/>
    <row r="56" ht="24.75" customHeight="1" x14ac:dyDescent="0.2"/>
    <row r="57" ht="24.75" customHeight="1" x14ac:dyDescent="0.2"/>
    <row r="58" ht="24.75" customHeight="1" x14ac:dyDescent="0.2"/>
    <row r="59" ht="24.75" customHeight="1" x14ac:dyDescent="0.2"/>
    <row r="60" ht="24.75" customHeight="1" x14ac:dyDescent="0.2"/>
    <row r="61" ht="24.75" customHeight="1" x14ac:dyDescent="0.2"/>
    <row r="62" ht="24.75" customHeight="1" x14ac:dyDescent="0.2"/>
    <row r="63" ht="24.75" customHeight="1" x14ac:dyDescent="0.2"/>
    <row r="64" ht="24.75" customHeight="1" x14ac:dyDescent="0.2"/>
    <row r="65" ht="24.75" customHeight="1" x14ac:dyDescent="0.2"/>
    <row r="66" ht="24.75" customHeight="1" x14ac:dyDescent="0.2"/>
    <row r="67" ht="24.75" customHeight="1" x14ac:dyDescent="0.2"/>
    <row r="68" ht="24.75" customHeight="1" x14ac:dyDescent="0.2"/>
    <row r="69" ht="24.75" customHeight="1" x14ac:dyDescent="0.2"/>
    <row r="70" ht="24.75" customHeight="1" x14ac:dyDescent="0.2"/>
    <row r="71" ht="24.75" customHeight="1" x14ac:dyDescent="0.2"/>
    <row r="72" ht="24.75" customHeight="1" x14ac:dyDescent="0.2"/>
    <row r="73" ht="24.75" customHeight="1" x14ac:dyDescent="0.2"/>
    <row r="74" ht="24.75" customHeight="1" x14ac:dyDescent="0.2"/>
    <row r="75" ht="24.75" customHeight="1" x14ac:dyDescent="0.2"/>
    <row r="76" ht="24.75" customHeight="1" x14ac:dyDescent="0.2"/>
    <row r="77" ht="24.75" customHeight="1" x14ac:dyDescent="0.2"/>
    <row r="78" ht="24.75" customHeight="1" x14ac:dyDescent="0.2"/>
    <row r="79" ht="24.75" customHeight="1" x14ac:dyDescent="0.2"/>
    <row r="80" ht="24.75" customHeight="1" x14ac:dyDescent="0.2"/>
    <row r="81" ht="24.75" customHeight="1" x14ac:dyDescent="0.2"/>
    <row r="82" ht="24.75" customHeight="1" x14ac:dyDescent="0.2"/>
    <row r="83" ht="24.75" customHeight="1" x14ac:dyDescent="0.2"/>
    <row r="84" ht="24.75" customHeight="1" x14ac:dyDescent="0.2"/>
    <row r="85" ht="24.75" customHeight="1" x14ac:dyDescent="0.2"/>
    <row r="86" ht="24.75" customHeight="1" x14ac:dyDescent="0.2"/>
    <row r="87" ht="24.75" customHeight="1" x14ac:dyDescent="0.2"/>
    <row r="88" ht="24.75" customHeight="1" x14ac:dyDescent="0.2"/>
    <row r="89" ht="24.75" customHeight="1" x14ac:dyDescent="0.2"/>
    <row r="90" ht="24.75" customHeight="1" x14ac:dyDescent="0.2"/>
    <row r="91" ht="24.75" customHeight="1" x14ac:dyDescent="0.2"/>
    <row r="92" ht="24.75" customHeight="1" x14ac:dyDescent="0.2"/>
    <row r="93" ht="24.75" customHeight="1" x14ac:dyDescent="0.2"/>
    <row r="94" ht="24.75" customHeight="1" x14ac:dyDescent="0.2"/>
    <row r="95" ht="24.75" customHeight="1" x14ac:dyDescent="0.2"/>
    <row r="96" ht="24.75" customHeight="1" x14ac:dyDescent="0.2"/>
    <row r="97" ht="24.75" customHeight="1" x14ac:dyDescent="0.2"/>
    <row r="98" ht="24.75" customHeight="1" x14ac:dyDescent="0.2"/>
    <row r="99" ht="24.75" customHeight="1" x14ac:dyDescent="0.2"/>
    <row r="100" ht="24.75" customHeight="1" x14ac:dyDescent="0.2"/>
  </sheetData>
  <phoneticPr fontId="1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H27"/>
  <sheetViews>
    <sheetView zoomScale="85" zoomScaleNormal="85" workbookViewId="0">
      <selection activeCell="C34" sqref="C34"/>
    </sheetView>
  </sheetViews>
  <sheetFormatPr defaultRowHeight="13.2" x14ac:dyDescent="0.2"/>
  <cols>
    <col min="1" max="1" width="14.44140625" customWidth="1"/>
    <col min="2" max="2" width="15.88671875" customWidth="1"/>
    <col min="3" max="3" width="75" customWidth="1"/>
    <col min="4" max="4" width="13.44140625" customWidth="1"/>
    <col min="5" max="5" width="13.77734375" customWidth="1"/>
    <col min="7" max="7" width="6.6640625" customWidth="1"/>
    <col min="8" max="8" width="25.6640625" bestFit="1" customWidth="1"/>
    <col min="9" max="9" width="1" customWidth="1"/>
  </cols>
  <sheetData>
    <row r="1" spans="1:8" ht="13.8" thickBot="1" x14ac:dyDescent="0.25"/>
    <row r="2" spans="1:8" ht="13.8" thickBot="1" x14ac:dyDescent="0.25">
      <c r="A2" s="461" t="s">
        <v>135</v>
      </c>
      <c r="B2" s="462"/>
      <c r="C2" s="139" t="str">
        <f>IF(F22=1,"分析対象外",IF(SUM(F15:F20)=1,"中規模事業者",IF(SUM(F10:F13)=1,"小規模事業者","算出不可")))</f>
        <v>中規模事業者</v>
      </c>
    </row>
    <row r="4" spans="1:8" s="173" customFormat="1" ht="39.6" x14ac:dyDescent="0.2">
      <c r="A4" s="169" t="s">
        <v>154</v>
      </c>
      <c r="B4" s="221" t="s">
        <v>1861</v>
      </c>
      <c r="C4" s="170" t="s">
        <v>1862</v>
      </c>
      <c r="D4" s="171" t="s">
        <v>138</v>
      </c>
      <c r="E4" s="170" t="s">
        <v>139</v>
      </c>
      <c r="F4" s="172" t="s">
        <v>155</v>
      </c>
      <c r="H4" s="170" t="s">
        <v>1856</v>
      </c>
    </row>
    <row r="5" spans="1:8" x14ac:dyDescent="0.2">
      <c r="A5" s="165" t="s">
        <v>146</v>
      </c>
      <c r="B5" s="163" t="s">
        <v>235</v>
      </c>
      <c r="C5" s="166" t="s">
        <v>1921</v>
      </c>
      <c r="D5" s="167" t="s">
        <v>140</v>
      </c>
      <c r="E5" s="166" t="s">
        <v>143</v>
      </c>
      <c r="F5" s="168">
        <f>IF(AND(【入力】財務分析!D9="04_卸売業",OR(AND(0&lt;【入力】財務分析!$D$13,【入力】財務分析!$D$13&lt;=100000),AND(0&lt;【入力】財務分析!$D$12,0&lt;【入力】財務分析!$D$12&lt;=100))),1,0)</f>
        <v>0</v>
      </c>
      <c r="H5" s="163" t="s">
        <v>162</v>
      </c>
    </row>
    <row r="6" spans="1:8" x14ac:dyDescent="0.2">
      <c r="A6" s="157"/>
      <c r="B6" s="163" t="s">
        <v>237</v>
      </c>
      <c r="C6" s="163" t="s">
        <v>1858</v>
      </c>
      <c r="D6" s="158" t="s">
        <v>141</v>
      </c>
      <c r="E6" s="163" t="s">
        <v>144</v>
      </c>
      <c r="F6" s="159">
        <f>IF(AND(OR(【入力】財務分析!D9="05_小売業",【入力】財務分析!D9="06_飲食業"),OR(AND(0&lt;【入力】財務分析!$D$13,【入力】財務分析!$D$13&lt;=50000),AND(0&lt;【入力】財務分析!$D$12,【入力】財務分析!$D$12&lt;=50))),1,0)</f>
        <v>0</v>
      </c>
      <c r="H6" s="163" t="s">
        <v>197</v>
      </c>
    </row>
    <row r="7" spans="1:8" x14ac:dyDescent="0.2">
      <c r="A7" s="157"/>
      <c r="B7" s="163" t="s">
        <v>239</v>
      </c>
      <c r="C7" s="163" t="s">
        <v>1859</v>
      </c>
      <c r="D7" s="158" t="s">
        <v>141</v>
      </c>
      <c r="E7" s="163" t="s">
        <v>143</v>
      </c>
      <c r="F7" s="159">
        <f>IF(AND(OR(【入力】財務分析!D9="10_サービス業",【入力】財務分析!D9="11_医療業",【入力】財務分析!D9="12_保険衛生、廃棄物処理業",【入力】財務分析!D9="13_観光業"),OR(AND(0&lt;【入力】財務分析!$D$13,【入力】財務分析!$D$13&lt;=50000),AND(0&lt;【入力】財務分析!$D$12,【入力】財務分析!$D$12&lt;=100))),1,0)</f>
        <v>1</v>
      </c>
      <c r="H7" s="163" t="s">
        <v>194</v>
      </c>
    </row>
    <row r="8" spans="1:8" x14ac:dyDescent="0.2">
      <c r="A8" s="157"/>
      <c r="B8" s="163" t="s">
        <v>1860</v>
      </c>
      <c r="C8" s="163" t="s">
        <v>1889</v>
      </c>
      <c r="D8" s="158" t="s">
        <v>142</v>
      </c>
      <c r="E8" s="163" t="s">
        <v>145</v>
      </c>
      <c r="F8" s="159">
        <f>IF(AND(OR(【入力】財務分析!D9="01_農業",【入力】財務分析!D9="02_建設業",【入力】財務分析!D9="03_製造業",【入力】財務分析!D9="07_不動産業",【入力】財務分析!D9="08_運輸業",【入力】財務分析!D9="09_エネルギー",【入力】財務分析!D9="14_その他"),OR(AND(0&lt;【入力】財務分析!$D$13,【入力】財務分析!$D$13&lt;=300000),AND(0&lt;【入力】財務分析!$D$12,【入力】財務分析!$D$12&lt;=300))),1,0)</f>
        <v>0</v>
      </c>
      <c r="H8" s="163" t="s">
        <v>174</v>
      </c>
    </row>
    <row r="9" spans="1:8" x14ac:dyDescent="0.2">
      <c r="A9" s="160"/>
      <c r="B9" s="164"/>
      <c r="C9" s="164"/>
      <c r="D9" s="161"/>
      <c r="E9" s="164"/>
      <c r="F9" s="162"/>
      <c r="H9" s="163" t="s">
        <v>179</v>
      </c>
    </row>
    <row r="10" spans="1:8" x14ac:dyDescent="0.2">
      <c r="A10" s="165" t="s">
        <v>147</v>
      </c>
      <c r="B10" s="163" t="s">
        <v>235</v>
      </c>
      <c r="C10" s="166" t="s">
        <v>1921</v>
      </c>
      <c r="D10" s="167"/>
      <c r="E10" s="166" t="s">
        <v>148</v>
      </c>
      <c r="F10" s="168">
        <f>IF(AND(F5=1,0&lt;=【入力】財務分析!$D$12,【入力】財務分析!$D$12&lt;=5),1,0)</f>
        <v>0</v>
      </c>
      <c r="H10" s="163" t="s">
        <v>180</v>
      </c>
    </row>
    <row r="11" spans="1:8" x14ac:dyDescent="0.2">
      <c r="A11" s="157"/>
      <c r="B11" s="163" t="s">
        <v>237</v>
      </c>
      <c r="C11" s="163" t="s">
        <v>1858</v>
      </c>
      <c r="D11" s="158"/>
      <c r="E11" s="163" t="s">
        <v>148</v>
      </c>
      <c r="F11" s="159">
        <f>IF(AND(F6=1,0&lt;=【入力】財務分析!$D$12,【入力】財務分析!$D$12&lt;=5),1,0)</f>
        <v>0</v>
      </c>
      <c r="H11" s="163" t="s">
        <v>181</v>
      </c>
    </row>
    <row r="12" spans="1:8" x14ac:dyDescent="0.2">
      <c r="A12" s="157"/>
      <c r="B12" s="163" t="s">
        <v>239</v>
      </c>
      <c r="C12" s="163" t="s">
        <v>1859</v>
      </c>
      <c r="D12" s="158"/>
      <c r="E12" s="163" t="s">
        <v>148</v>
      </c>
      <c r="F12" s="159">
        <f>IF(AND(F7=1,0&lt;=【入力】財務分析!$D$12,【入力】財務分析!$D$12&lt;=5),1,0)</f>
        <v>0</v>
      </c>
      <c r="H12" s="163" t="s">
        <v>182</v>
      </c>
    </row>
    <row r="13" spans="1:8" x14ac:dyDescent="0.2">
      <c r="A13" s="157"/>
      <c r="B13" s="163" t="s">
        <v>1860</v>
      </c>
      <c r="C13" s="163" t="s">
        <v>1889</v>
      </c>
      <c r="D13" s="158"/>
      <c r="E13" s="163" t="s">
        <v>149</v>
      </c>
      <c r="F13" s="159">
        <f>IF(AND(F8=1,0&lt;=【入力】財務分析!$D$12,【入力】財務分析!$D$12&lt;=20),1,0)</f>
        <v>0</v>
      </c>
      <c r="H13" s="163" t="s">
        <v>183</v>
      </c>
    </row>
    <row r="14" spans="1:8" x14ac:dyDescent="0.2">
      <c r="A14" s="160"/>
      <c r="B14" s="164"/>
      <c r="C14" s="164"/>
      <c r="D14" s="161"/>
      <c r="E14" s="164"/>
      <c r="F14" s="162"/>
      <c r="H14" s="163" t="s">
        <v>199</v>
      </c>
    </row>
    <row r="15" spans="1:8" x14ac:dyDescent="0.2">
      <c r="A15" s="165" t="s">
        <v>150</v>
      </c>
      <c r="B15" s="163" t="s">
        <v>235</v>
      </c>
      <c r="C15" s="166" t="s">
        <v>1921</v>
      </c>
      <c r="D15" s="457" t="s">
        <v>151</v>
      </c>
      <c r="E15" s="458"/>
      <c r="F15" s="166">
        <f>IF(AND(F5=1,F10=0),1,IF(AND(F5=1,F10=1),0,0))</f>
        <v>0</v>
      </c>
      <c r="H15" s="163" t="s">
        <v>191</v>
      </c>
    </row>
    <row r="16" spans="1:8" x14ac:dyDescent="0.2">
      <c r="A16" s="157"/>
      <c r="B16" s="163" t="s">
        <v>237</v>
      </c>
      <c r="C16" s="163" t="s">
        <v>1858</v>
      </c>
      <c r="D16" s="459"/>
      <c r="E16" s="460"/>
      <c r="F16" s="163">
        <f>IF(AND(F6=1,F11=0),1,IF(AND(F6=1,F11=1),0,0))</f>
        <v>0</v>
      </c>
      <c r="H16" s="163" t="s">
        <v>225</v>
      </c>
    </row>
    <row r="17" spans="1:8" x14ac:dyDescent="0.2">
      <c r="A17" s="157"/>
      <c r="B17" s="163" t="s">
        <v>239</v>
      </c>
      <c r="C17" s="163" t="s">
        <v>1859</v>
      </c>
      <c r="D17" s="459"/>
      <c r="E17" s="460"/>
      <c r="F17" s="163">
        <f>IF(AND(F7=1,F12=0),1,IF(AND(F7=1,F12=1),0,0))</f>
        <v>1</v>
      </c>
      <c r="H17" s="163" t="s">
        <v>193</v>
      </c>
    </row>
    <row r="18" spans="1:8" x14ac:dyDescent="0.2">
      <c r="A18" s="157"/>
      <c r="B18" s="163" t="s">
        <v>1860</v>
      </c>
      <c r="C18" s="163" t="s">
        <v>1889</v>
      </c>
      <c r="D18" s="459"/>
      <c r="E18" s="460"/>
      <c r="F18" s="163">
        <f>IF(AND(F8=1,F13=0),1,IF(AND(F8=1,F13=1),0,0))</f>
        <v>0</v>
      </c>
      <c r="H18" s="220" t="s">
        <v>1855</v>
      </c>
    </row>
    <row r="19" spans="1:8" x14ac:dyDescent="0.2">
      <c r="A19" s="160"/>
      <c r="B19" s="164"/>
      <c r="C19" s="164"/>
      <c r="D19" s="160"/>
      <c r="E19" s="164"/>
      <c r="F19" s="164"/>
    </row>
    <row r="20" spans="1:8" x14ac:dyDescent="0.2">
      <c r="A20" s="165" t="s">
        <v>152</v>
      </c>
      <c r="B20" s="166"/>
      <c r="C20" s="166"/>
      <c r="D20" s="165"/>
      <c r="E20" s="166"/>
      <c r="F20" s="166">
        <f>IF(SUM(F5:F18)+F22=0,1,0)</f>
        <v>0</v>
      </c>
    </row>
    <row r="21" spans="1:8" x14ac:dyDescent="0.2">
      <c r="A21" s="160"/>
      <c r="B21" s="164"/>
      <c r="C21" s="164"/>
      <c r="D21" s="160"/>
      <c r="E21" s="164"/>
      <c r="F21" s="164"/>
    </row>
    <row r="22" spans="1:8" x14ac:dyDescent="0.2">
      <c r="A22" s="157" t="s">
        <v>1911</v>
      </c>
      <c r="B22" s="163"/>
      <c r="C22" s="163"/>
      <c r="D22" s="157"/>
      <c r="E22" s="163"/>
      <c r="F22" s="163">
        <f>IF(OR(【入力】財務分析!D9="エラー_日本標準分類を入力し直して下さい",【入力】財務分析!D9="",AND(OR(【入力】財務分析!$D$12=0,【入力】財務分析!$D$12=""),OR(【入力】財務分析!D13=0,【入力】財務分析!D13=""))),1,0)</f>
        <v>0</v>
      </c>
    </row>
    <row r="23" spans="1:8" x14ac:dyDescent="0.2">
      <c r="A23" s="160"/>
      <c r="B23" s="164"/>
      <c r="C23" s="164"/>
      <c r="D23" s="160"/>
      <c r="E23" s="164"/>
      <c r="F23" s="164"/>
    </row>
    <row r="25" spans="1:8" x14ac:dyDescent="0.2">
      <c r="B25" s="219"/>
      <c r="C25" s="219"/>
    </row>
    <row r="26" spans="1:8" x14ac:dyDescent="0.2">
      <c r="B26" s="219"/>
      <c r="C26" s="219"/>
    </row>
    <row r="27" spans="1:8" x14ac:dyDescent="0.2">
      <c r="B27" s="219"/>
      <c r="C27" s="219"/>
    </row>
  </sheetData>
  <mergeCells count="2">
    <mergeCell ref="D15:E18"/>
    <mergeCell ref="A2:B2"/>
  </mergeCells>
  <phoneticPr fontId="17"/>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J61"/>
  <sheetViews>
    <sheetView workbookViewId="0"/>
  </sheetViews>
  <sheetFormatPr defaultColWidth="9" defaultRowHeight="10.8" x14ac:dyDescent="0.2"/>
  <cols>
    <col min="1" max="2" width="15.6640625" style="143" customWidth="1"/>
    <col min="3" max="3" width="23.77734375" style="143" customWidth="1"/>
    <col min="4" max="4" width="15.6640625" style="143" customWidth="1"/>
    <col min="5" max="16384" width="9" style="143"/>
  </cols>
  <sheetData>
    <row r="1" spans="1:10" x14ac:dyDescent="0.2">
      <c r="A1" s="1" t="s">
        <v>156</v>
      </c>
      <c r="B1" s="2" t="s">
        <v>157</v>
      </c>
      <c r="C1" s="2" t="s">
        <v>158</v>
      </c>
      <c r="D1" s="141" t="s">
        <v>159</v>
      </c>
      <c r="E1" s="3" t="s">
        <v>160</v>
      </c>
      <c r="F1" s="3" t="s">
        <v>161</v>
      </c>
      <c r="G1" s="3" t="s">
        <v>216</v>
      </c>
      <c r="H1" s="3" t="s">
        <v>217</v>
      </c>
      <c r="I1" s="3" t="s">
        <v>218</v>
      </c>
      <c r="J1" s="3" t="s">
        <v>219</v>
      </c>
    </row>
    <row r="2" spans="1:10" x14ac:dyDescent="0.2">
      <c r="A2" s="5" t="s">
        <v>195</v>
      </c>
      <c r="B2" s="145" t="s">
        <v>162</v>
      </c>
      <c r="C2" s="142" t="s">
        <v>281</v>
      </c>
      <c r="D2" s="142" t="s">
        <v>163</v>
      </c>
      <c r="E2" s="13">
        <v>5.6966393408768003E-2</v>
      </c>
      <c r="F2" s="13">
        <v>8.2642304740767503E-2</v>
      </c>
      <c r="G2" s="14">
        <v>-4.82079707242654E-2</v>
      </c>
      <c r="H2" s="14">
        <v>3.2973139164208499E-2</v>
      </c>
      <c r="I2" s="13">
        <v>0.100087089856132</v>
      </c>
      <c r="J2" s="13">
        <v>0.183481795928428</v>
      </c>
    </row>
    <row r="3" spans="1:10" x14ac:dyDescent="0.2">
      <c r="A3" s="5" t="s">
        <v>195</v>
      </c>
      <c r="B3" s="145" t="s">
        <v>162</v>
      </c>
      <c r="C3" s="142" t="s">
        <v>281</v>
      </c>
      <c r="D3" s="142" t="s">
        <v>164</v>
      </c>
      <c r="E3" s="13">
        <v>5.2635521839788299E-2</v>
      </c>
      <c r="F3" s="13">
        <v>0.13447089544126001</v>
      </c>
      <c r="G3" s="14">
        <v>-7.4081706770388805E-2</v>
      </c>
      <c r="H3" s="14">
        <v>1.8699668986788799E-2</v>
      </c>
      <c r="I3" s="13">
        <v>9.4188133731060802E-2</v>
      </c>
      <c r="J3" s="13">
        <v>0.18291212566573201</v>
      </c>
    </row>
    <row r="4" spans="1:10" x14ac:dyDescent="0.2">
      <c r="A4" s="5" t="s">
        <v>195</v>
      </c>
      <c r="B4" s="145" t="s">
        <v>165</v>
      </c>
      <c r="C4" s="142" t="s">
        <v>374</v>
      </c>
      <c r="D4" s="142" t="s">
        <v>163</v>
      </c>
      <c r="E4" s="13">
        <v>5.22612827817307E-2</v>
      </c>
      <c r="F4" s="13">
        <v>0.106423047680219</v>
      </c>
      <c r="G4" s="14">
        <v>-7.14334068264426E-2</v>
      </c>
      <c r="H4" s="14">
        <v>9.6451102864862602E-3</v>
      </c>
      <c r="I4" s="13">
        <v>0.100969113548513</v>
      </c>
      <c r="J4" s="13">
        <v>0.20750594819961099</v>
      </c>
    </row>
    <row r="5" spans="1:10" x14ac:dyDescent="0.2">
      <c r="A5" s="5" t="s">
        <v>195</v>
      </c>
      <c r="B5" s="145" t="s">
        <v>165</v>
      </c>
      <c r="C5" s="142" t="s">
        <v>374</v>
      </c>
      <c r="D5" s="142" t="s">
        <v>164</v>
      </c>
      <c r="E5" s="13">
        <v>5.8757275750490501E-2</v>
      </c>
      <c r="F5" s="13">
        <v>0.15937989509852399</v>
      </c>
      <c r="G5" s="14">
        <v>-0.111816483119073</v>
      </c>
      <c r="H5" s="14">
        <v>1.27046807374903E-3</v>
      </c>
      <c r="I5" s="13">
        <v>0.12603316792269001</v>
      </c>
      <c r="J5" s="13">
        <v>0.29317177394187499</v>
      </c>
    </row>
    <row r="6" spans="1:10" x14ac:dyDescent="0.2">
      <c r="A6" s="5" t="s">
        <v>195</v>
      </c>
      <c r="B6" s="145" t="s">
        <v>166</v>
      </c>
      <c r="C6" s="142" t="s">
        <v>167</v>
      </c>
      <c r="D6" s="142" t="s">
        <v>163</v>
      </c>
      <c r="E6" s="13">
        <v>2.30621598993733E-2</v>
      </c>
      <c r="F6" s="13">
        <v>8.25681682481995E-2</v>
      </c>
      <c r="G6" s="14">
        <v>-6.9193914225018596E-2</v>
      </c>
      <c r="H6" s="14">
        <v>-6.2943595453206101E-3</v>
      </c>
      <c r="I6" s="13">
        <v>5.7304391164865097E-2</v>
      </c>
      <c r="J6" s="13">
        <v>0.13638838020677899</v>
      </c>
    </row>
    <row r="7" spans="1:10" x14ac:dyDescent="0.2">
      <c r="A7" s="5" t="s">
        <v>195</v>
      </c>
      <c r="B7" s="145" t="s">
        <v>166</v>
      </c>
      <c r="C7" s="142" t="s">
        <v>167</v>
      </c>
      <c r="D7" s="142" t="s">
        <v>164</v>
      </c>
      <c r="E7" s="13">
        <v>2.9154520423126801E-2</v>
      </c>
      <c r="F7" s="13">
        <v>0.120441790120748</v>
      </c>
      <c r="G7" s="14">
        <v>-9.3010392413663698E-2</v>
      </c>
      <c r="H7" s="14">
        <v>-1.01883071682647E-2</v>
      </c>
      <c r="I7" s="13">
        <v>7.43162680034537E-2</v>
      </c>
      <c r="J7" s="13">
        <v>0.19309800937038599</v>
      </c>
    </row>
    <row r="8" spans="1:10" x14ac:dyDescent="0.2">
      <c r="A8" s="5" t="s">
        <v>195</v>
      </c>
      <c r="B8" s="145" t="s">
        <v>166</v>
      </c>
      <c r="C8" s="142" t="s">
        <v>168</v>
      </c>
      <c r="D8" s="142" t="s">
        <v>163</v>
      </c>
      <c r="E8" s="13">
        <v>2.47253702392892E-2</v>
      </c>
      <c r="F8" s="13">
        <v>8.1392671649653706E-2</v>
      </c>
      <c r="G8" s="14">
        <v>-5.8327207439323701E-2</v>
      </c>
      <c r="H8" s="14">
        <v>4.0107640426814201E-4</v>
      </c>
      <c r="I8" s="13">
        <v>5.4101238175334701E-2</v>
      </c>
      <c r="J8" s="13">
        <v>0.127461707531006</v>
      </c>
    </row>
    <row r="9" spans="1:10" x14ac:dyDescent="0.2">
      <c r="A9" s="5" t="s">
        <v>195</v>
      </c>
      <c r="B9" s="145" t="s">
        <v>166</v>
      </c>
      <c r="C9" s="142" t="s">
        <v>168</v>
      </c>
      <c r="D9" s="142" t="s">
        <v>164</v>
      </c>
      <c r="E9" s="13">
        <v>2.59738962231656E-2</v>
      </c>
      <c r="F9" s="13">
        <v>0.119434103585298</v>
      </c>
      <c r="G9" s="14">
        <v>-7.4508969576028997E-2</v>
      </c>
      <c r="H9" s="14">
        <v>-7.5055059172566101E-3</v>
      </c>
      <c r="I9" s="13">
        <v>6.3240605145917797E-2</v>
      </c>
      <c r="J9" s="13">
        <v>0.198138436600587</v>
      </c>
    </row>
    <row r="10" spans="1:10" x14ac:dyDescent="0.2">
      <c r="A10" s="5" t="s">
        <v>195</v>
      </c>
      <c r="B10" s="145" t="s">
        <v>166</v>
      </c>
      <c r="C10" s="142" t="s">
        <v>169</v>
      </c>
      <c r="D10" s="142" t="s">
        <v>163</v>
      </c>
      <c r="E10" s="13">
        <v>1.21276898000388E-2</v>
      </c>
      <c r="F10" s="13">
        <v>7.3870048422444504E-2</v>
      </c>
      <c r="G10" s="14">
        <v>-6.1701638998218102E-2</v>
      </c>
      <c r="H10" s="14">
        <v>-1.09288518754493E-2</v>
      </c>
      <c r="I10" s="13">
        <v>3.9625541075277E-2</v>
      </c>
      <c r="J10" s="13">
        <v>8.8738645806009694E-2</v>
      </c>
    </row>
    <row r="11" spans="1:10" x14ac:dyDescent="0.2">
      <c r="A11" s="5" t="s">
        <v>195</v>
      </c>
      <c r="B11" s="145" t="s">
        <v>166</v>
      </c>
      <c r="C11" s="142" t="s">
        <v>169</v>
      </c>
      <c r="D11" s="142" t="s">
        <v>164</v>
      </c>
      <c r="E11" s="13">
        <v>1.17408387967416E-2</v>
      </c>
      <c r="F11" s="13">
        <v>9.3805250187167996E-2</v>
      </c>
      <c r="G11" s="14">
        <v>-8.2898060061758205E-2</v>
      </c>
      <c r="H11" s="14">
        <v>-2.8819205077723498E-2</v>
      </c>
      <c r="I11" s="13">
        <v>4.1457027976054703E-2</v>
      </c>
      <c r="J11" s="13">
        <v>0.12491077544998699</v>
      </c>
    </row>
    <row r="12" spans="1:10" x14ac:dyDescent="0.2">
      <c r="A12" s="5" t="s">
        <v>195</v>
      </c>
      <c r="B12" s="145" t="s">
        <v>166</v>
      </c>
      <c r="C12" s="142" t="s">
        <v>170</v>
      </c>
      <c r="D12" s="142" t="s">
        <v>163</v>
      </c>
      <c r="E12" s="13">
        <v>2.23022740662712E-3</v>
      </c>
      <c r="F12" s="13">
        <v>7.4466920184052196E-2</v>
      </c>
      <c r="G12" s="14">
        <v>-8.1769500246001103E-2</v>
      </c>
      <c r="H12" s="14">
        <v>-2.3885859344050801E-2</v>
      </c>
      <c r="I12" s="13">
        <v>3.2365063200794103E-2</v>
      </c>
      <c r="J12" s="13">
        <v>9.7715996782330797E-2</v>
      </c>
    </row>
    <row r="13" spans="1:10" x14ac:dyDescent="0.2">
      <c r="A13" s="5" t="s">
        <v>195</v>
      </c>
      <c r="B13" s="146" t="s">
        <v>166</v>
      </c>
      <c r="C13" s="144" t="s">
        <v>170</v>
      </c>
      <c r="D13" s="144" t="s">
        <v>164</v>
      </c>
      <c r="E13" s="13">
        <v>1.4226842672452099E-2</v>
      </c>
      <c r="F13" s="13">
        <v>9.2754791476127502E-2</v>
      </c>
      <c r="G13" s="14">
        <v>-0.11105437833996</v>
      </c>
      <c r="H13" s="14">
        <v>-3.2285173201089701E-2</v>
      </c>
      <c r="I13" s="13">
        <v>4.5715410533304003E-2</v>
      </c>
      <c r="J13" s="13">
        <v>0.138149149766158</v>
      </c>
    </row>
    <row r="14" spans="1:10" x14ac:dyDescent="0.2">
      <c r="A14" s="5" t="s">
        <v>195</v>
      </c>
      <c r="B14" s="144" t="s">
        <v>166</v>
      </c>
      <c r="C14" s="144" t="s">
        <v>171</v>
      </c>
      <c r="D14" s="144" t="s">
        <v>163</v>
      </c>
      <c r="E14" s="13">
        <v>3.2435115051534201E-2</v>
      </c>
      <c r="F14" s="13">
        <v>8.1426527590476097E-2</v>
      </c>
      <c r="G14" s="14">
        <v>-7.3442996909080904E-2</v>
      </c>
      <c r="H14" s="14">
        <v>-1.7655893701091099E-3</v>
      </c>
      <c r="I14" s="13">
        <v>6.3458230058568404E-2</v>
      </c>
      <c r="J14" s="13">
        <v>0.13861293822288101</v>
      </c>
    </row>
    <row r="15" spans="1:10" x14ac:dyDescent="0.2">
      <c r="A15" s="5" t="s">
        <v>195</v>
      </c>
      <c r="B15" s="144" t="s">
        <v>166</v>
      </c>
      <c r="C15" s="144" t="s">
        <v>171</v>
      </c>
      <c r="D15" s="144" t="s">
        <v>164</v>
      </c>
      <c r="E15" s="13">
        <v>3.9685610021152298E-2</v>
      </c>
      <c r="F15" s="13">
        <v>0.120563165684119</v>
      </c>
      <c r="G15" s="14">
        <v>-7.9400894975221306E-2</v>
      </c>
      <c r="H15" s="14">
        <v>-1.5517587567323099E-3</v>
      </c>
      <c r="I15" s="13">
        <v>8.6246760936880204E-2</v>
      </c>
      <c r="J15" s="13">
        <v>0.208927645782223</v>
      </c>
    </row>
    <row r="16" spans="1:10" x14ac:dyDescent="0.2">
      <c r="A16" s="5" t="s">
        <v>195</v>
      </c>
      <c r="B16" s="144" t="s">
        <v>166</v>
      </c>
      <c r="C16" s="144" t="s">
        <v>172</v>
      </c>
      <c r="D16" s="144" t="s">
        <v>163</v>
      </c>
      <c r="E16" s="13">
        <v>3.9863976332219997E-2</v>
      </c>
      <c r="F16" s="13">
        <v>9.0967514460707596E-2</v>
      </c>
      <c r="G16" s="14">
        <v>-6.7727699030621299E-2</v>
      </c>
      <c r="H16" s="14">
        <v>4.8826673618685701E-3</v>
      </c>
      <c r="I16" s="13">
        <v>8.1213577894108796E-2</v>
      </c>
      <c r="J16" s="13">
        <v>0.172852255870036</v>
      </c>
    </row>
    <row r="17" spans="1:10" x14ac:dyDescent="0.2">
      <c r="A17" s="5" t="s">
        <v>195</v>
      </c>
      <c r="B17" s="144" t="s">
        <v>166</v>
      </c>
      <c r="C17" s="144" t="s">
        <v>172</v>
      </c>
      <c r="D17" s="144" t="s">
        <v>164</v>
      </c>
      <c r="E17" s="13">
        <v>5.2257108834457798E-2</v>
      </c>
      <c r="F17" s="13">
        <v>0.134329233801428</v>
      </c>
      <c r="G17" s="14">
        <v>-8.6767907632988306E-2</v>
      </c>
      <c r="H17" s="14">
        <v>7.7435101719708303E-3</v>
      </c>
      <c r="I17" s="13">
        <v>0.107151495425334</v>
      </c>
      <c r="J17" s="13">
        <v>0.243573263787629</v>
      </c>
    </row>
    <row r="18" spans="1:10" x14ac:dyDescent="0.2">
      <c r="A18" s="5" t="s">
        <v>195</v>
      </c>
      <c r="B18" s="144" t="s">
        <v>173</v>
      </c>
      <c r="C18" s="144" t="s">
        <v>173</v>
      </c>
      <c r="D18" s="144" t="s">
        <v>163</v>
      </c>
      <c r="E18" s="13"/>
      <c r="F18" s="13"/>
      <c r="G18" s="14"/>
      <c r="H18" s="14"/>
      <c r="I18" s="13"/>
      <c r="J18" s="13"/>
    </row>
    <row r="19" spans="1:10" x14ac:dyDescent="0.2">
      <c r="A19" s="5" t="s">
        <v>195</v>
      </c>
      <c r="B19" s="144" t="s">
        <v>173</v>
      </c>
      <c r="C19" s="144" t="s">
        <v>173</v>
      </c>
      <c r="D19" s="144" t="s">
        <v>164</v>
      </c>
      <c r="E19" s="13"/>
      <c r="F19" s="13"/>
      <c r="G19" s="14"/>
      <c r="H19" s="14"/>
      <c r="I19" s="13"/>
      <c r="J19" s="13"/>
    </row>
    <row r="20" spans="1:10" x14ac:dyDescent="0.2">
      <c r="A20" s="5" t="s">
        <v>195</v>
      </c>
      <c r="B20" s="144" t="s">
        <v>174</v>
      </c>
      <c r="C20" s="144" t="s">
        <v>175</v>
      </c>
      <c r="D20" s="144" t="s">
        <v>163</v>
      </c>
      <c r="E20" s="13">
        <v>1.49675941695068E-2</v>
      </c>
      <c r="F20" s="13">
        <v>8.9860097792633001E-2</v>
      </c>
      <c r="G20" s="14">
        <v>-8.8707371154950004E-2</v>
      </c>
      <c r="H20" s="14">
        <v>-1.5527405253819499E-2</v>
      </c>
      <c r="I20" s="13">
        <v>4.6527182840526302E-2</v>
      </c>
      <c r="J20" s="13">
        <v>0.128156016059016</v>
      </c>
    </row>
    <row r="21" spans="1:10" x14ac:dyDescent="0.2">
      <c r="A21" s="5" t="s">
        <v>195</v>
      </c>
      <c r="B21" s="144" t="s">
        <v>174</v>
      </c>
      <c r="C21" s="144" t="s">
        <v>175</v>
      </c>
      <c r="D21" s="144" t="s">
        <v>164</v>
      </c>
      <c r="E21" s="13">
        <v>1.5602188734949399E-2</v>
      </c>
      <c r="F21" s="13">
        <v>0.159538363852924</v>
      </c>
      <c r="G21" s="14">
        <v>-0.123274082292679</v>
      </c>
      <c r="H21" s="14">
        <v>-2.67578448799561E-2</v>
      </c>
      <c r="I21" s="13">
        <v>6.8945860285978794E-2</v>
      </c>
      <c r="J21" s="13">
        <v>0.23823097350618699</v>
      </c>
    </row>
    <row r="22" spans="1:10" x14ac:dyDescent="0.2">
      <c r="A22" s="5" t="s">
        <v>195</v>
      </c>
      <c r="B22" s="144" t="s">
        <v>174</v>
      </c>
      <c r="C22" s="144" t="s">
        <v>176</v>
      </c>
      <c r="D22" s="144" t="s">
        <v>163</v>
      </c>
      <c r="E22" s="13">
        <v>1.0889241834056001E-2</v>
      </c>
      <c r="F22" s="13">
        <v>6.9887217228140605E-2</v>
      </c>
      <c r="G22" s="14">
        <v>-7.2627645741416294E-2</v>
      </c>
      <c r="H22" s="14">
        <v>-1.2278202584015E-2</v>
      </c>
      <c r="I22" s="13">
        <v>3.6370007578432E-2</v>
      </c>
      <c r="J22" s="13">
        <v>9.2179052019805405E-2</v>
      </c>
    </row>
    <row r="23" spans="1:10" x14ac:dyDescent="0.2">
      <c r="A23" s="5" t="s">
        <v>195</v>
      </c>
      <c r="B23" s="144" t="s">
        <v>174</v>
      </c>
      <c r="C23" s="144" t="s">
        <v>176</v>
      </c>
      <c r="D23" s="144" t="s">
        <v>164</v>
      </c>
      <c r="E23" s="13">
        <v>9.4117833181135496E-4</v>
      </c>
      <c r="F23" s="13">
        <v>0.15045149134445501</v>
      </c>
      <c r="G23" s="14">
        <v>-0.106779466412407</v>
      </c>
      <c r="H23" s="14">
        <v>-3.0132694921888602E-2</v>
      </c>
      <c r="I23" s="13">
        <v>3.4953403427907398E-2</v>
      </c>
      <c r="J23" s="13">
        <v>0.20795582606045099</v>
      </c>
    </row>
    <row r="24" spans="1:10" x14ac:dyDescent="0.2">
      <c r="A24" s="5" t="s">
        <v>195</v>
      </c>
      <c r="B24" s="144" t="s">
        <v>174</v>
      </c>
      <c r="C24" s="144" t="s">
        <v>177</v>
      </c>
      <c r="D24" s="144" t="s">
        <v>163</v>
      </c>
      <c r="E24" s="13">
        <v>1.1665271278439301E-2</v>
      </c>
      <c r="F24" s="13">
        <v>9.6268090156114303E-2</v>
      </c>
      <c r="G24" s="14">
        <v>-8.8158989131818299E-2</v>
      </c>
      <c r="H24" s="14">
        <v>-2.2281255314334201E-2</v>
      </c>
      <c r="I24" s="13">
        <v>4.18795670130227E-2</v>
      </c>
      <c r="J24" s="13">
        <v>0.145652161401115</v>
      </c>
    </row>
    <row r="25" spans="1:10" x14ac:dyDescent="0.2">
      <c r="A25" s="5" t="s">
        <v>195</v>
      </c>
      <c r="B25" s="144" t="s">
        <v>174</v>
      </c>
      <c r="C25" s="144" t="s">
        <v>177</v>
      </c>
      <c r="D25" s="144" t="s">
        <v>164</v>
      </c>
      <c r="E25" s="13">
        <v>9.6676649473269299E-3</v>
      </c>
      <c r="F25" s="13">
        <v>0.206281331754543</v>
      </c>
      <c r="G25" s="14">
        <v>-0.17086840783792601</v>
      </c>
      <c r="H25" s="14">
        <v>-3.8530594903963003E-2</v>
      </c>
      <c r="I25" s="13">
        <v>8.2581409084409599E-2</v>
      </c>
      <c r="J25" s="13">
        <v>0.28086518469095401</v>
      </c>
    </row>
    <row r="26" spans="1:10" x14ac:dyDescent="0.2">
      <c r="A26" s="5" t="s">
        <v>195</v>
      </c>
      <c r="B26" s="144" t="s">
        <v>174</v>
      </c>
      <c r="C26" s="144" t="s">
        <v>178</v>
      </c>
      <c r="D26" s="144" t="s">
        <v>163</v>
      </c>
      <c r="E26" s="13">
        <v>1.9051285255675E-2</v>
      </c>
      <c r="F26" s="13">
        <v>8.3998675956239499E-2</v>
      </c>
      <c r="G26" s="14">
        <v>-6.4710041786163894E-2</v>
      </c>
      <c r="H26" s="14">
        <v>-9.2563392457574098E-3</v>
      </c>
      <c r="I26" s="13">
        <v>5.1411362392496003E-2</v>
      </c>
      <c r="J26" s="13">
        <v>0.134947891302169</v>
      </c>
    </row>
    <row r="27" spans="1:10" x14ac:dyDescent="0.2">
      <c r="A27" s="5" t="s">
        <v>195</v>
      </c>
      <c r="B27" s="144" t="s">
        <v>174</v>
      </c>
      <c r="C27" s="144" t="s">
        <v>178</v>
      </c>
      <c r="D27" s="144" t="s">
        <v>164</v>
      </c>
      <c r="E27" s="13">
        <v>1.7979104794265899E-2</v>
      </c>
      <c r="F27" s="13">
        <v>0.14721594575722899</v>
      </c>
      <c r="G27" s="14">
        <v>-0.108849659090502</v>
      </c>
      <c r="H27" s="14">
        <v>-2.2047400077968699E-2</v>
      </c>
      <c r="I27" s="13">
        <v>6.7858593837621495E-2</v>
      </c>
      <c r="J27" s="13">
        <v>0.23722419746273099</v>
      </c>
    </row>
    <row r="28" spans="1:10" x14ac:dyDescent="0.2">
      <c r="A28" s="5" t="s">
        <v>195</v>
      </c>
      <c r="B28" s="144" t="s">
        <v>173</v>
      </c>
      <c r="C28" s="144" t="s">
        <v>173</v>
      </c>
      <c r="D28" s="144" t="s">
        <v>163</v>
      </c>
      <c r="E28" s="13"/>
      <c r="F28" s="13"/>
      <c r="G28" s="14"/>
      <c r="H28" s="14"/>
      <c r="I28" s="13"/>
      <c r="J28" s="13"/>
    </row>
    <row r="29" spans="1:10" x14ac:dyDescent="0.2">
      <c r="A29" s="5" t="s">
        <v>195</v>
      </c>
      <c r="B29" s="144" t="s">
        <v>173</v>
      </c>
      <c r="C29" s="144" t="s">
        <v>173</v>
      </c>
      <c r="D29" s="144" t="s">
        <v>164</v>
      </c>
      <c r="E29" s="13"/>
      <c r="F29" s="13"/>
      <c r="G29" s="14"/>
      <c r="H29" s="14"/>
      <c r="I29" s="13"/>
      <c r="J29" s="13"/>
    </row>
    <row r="30" spans="1:10" x14ac:dyDescent="0.2">
      <c r="A30" s="5" t="s">
        <v>195</v>
      </c>
      <c r="B30" s="144" t="s">
        <v>179</v>
      </c>
      <c r="C30" s="144" t="s">
        <v>1299</v>
      </c>
      <c r="D30" s="144" t="s">
        <v>163</v>
      </c>
      <c r="E30" s="13">
        <v>2.3965587086793201E-3</v>
      </c>
      <c r="F30" s="13">
        <v>0.10774505123330599</v>
      </c>
      <c r="G30" s="14">
        <v>-0.106904692899744</v>
      </c>
      <c r="H30" s="14">
        <v>-3.4798344168853301E-2</v>
      </c>
      <c r="I30" s="13">
        <v>4.2064492166699399E-2</v>
      </c>
      <c r="J30" s="13">
        <v>0.14379655850239001</v>
      </c>
    </row>
    <row r="31" spans="1:10" x14ac:dyDescent="0.2">
      <c r="A31" s="5" t="s">
        <v>195</v>
      </c>
      <c r="B31" s="144" t="s">
        <v>179</v>
      </c>
      <c r="C31" s="144" t="s">
        <v>1299</v>
      </c>
      <c r="D31" s="144" t="s">
        <v>164</v>
      </c>
      <c r="E31" s="13">
        <v>-1.10400786217165E-2</v>
      </c>
      <c r="F31" s="13">
        <v>0.14273458411437601</v>
      </c>
      <c r="G31" s="14">
        <v>-0.161154174028556</v>
      </c>
      <c r="H31" s="14">
        <v>-5.9723285438399498E-2</v>
      </c>
      <c r="I31" s="13">
        <v>3.1245747345384701E-2</v>
      </c>
      <c r="J31" s="13">
        <v>0.16996615892161701</v>
      </c>
    </row>
    <row r="32" spans="1:10" x14ac:dyDescent="0.2">
      <c r="A32" s="5" t="s">
        <v>195</v>
      </c>
      <c r="B32" s="144" t="s">
        <v>180</v>
      </c>
      <c r="C32" s="144" t="s">
        <v>1868</v>
      </c>
      <c r="D32" s="144" t="s">
        <v>163</v>
      </c>
      <c r="E32" s="13">
        <v>5.0420984094265597E-2</v>
      </c>
      <c r="F32" s="13">
        <v>0.13643428318561199</v>
      </c>
      <c r="G32" s="14">
        <v>-6.4857083740775701E-2</v>
      </c>
      <c r="H32" s="14">
        <v>1.15134210645361E-2</v>
      </c>
      <c r="I32" s="13">
        <v>0.10853070711950701</v>
      </c>
      <c r="J32" s="13">
        <v>0.27145902227035301</v>
      </c>
    </row>
    <row r="33" spans="1:10" x14ac:dyDescent="0.2">
      <c r="A33" s="5" t="s">
        <v>195</v>
      </c>
      <c r="B33" s="144" t="s">
        <v>180</v>
      </c>
      <c r="C33" s="144" t="s">
        <v>1868</v>
      </c>
      <c r="D33" s="144" t="s">
        <v>164</v>
      </c>
      <c r="E33" s="13">
        <v>4.5836908988569E-2</v>
      </c>
      <c r="F33" s="13">
        <v>0.113485691333796</v>
      </c>
      <c r="G33" s="14">
        <v>-0.172519721192506</v>
      </c>
      <c r="H33" s="14">
        <v>-8.6107429113074698E-4</v>
      </c>
      <c r="I33" s="13">
        <v>6.6895373862320903E-2</v>
      </c>
      <c r="J33" s="13">
        <v>0.13427277361086901</v>
      </c>
    </row>
    <row r="34" spans="1:10" x14ac:dyDescent="0.2">
      <c r="A34" s="5" t="s">
        <v>195</v>
      </c>
      <c r="B34" s="144" t="s">
        <v>181</v>
      </c>
      <c r="C34" s="144" t="s">
        <v>1482</v>
      </c>
      <c r="D34" s="144" t="s">
        <v>163</v>
      </c>
      <c r="E34" s="13">
        <v>6.1871507782634498E-2</v>
      </c>
      <c r="F34" s="13">
        <v>0.13504597423773601</v>
      </c>
      <c r="G34" s="14">
        <v>-6.8098304602546997E-2</v>
      </c>
      <c r="H34" s="14">
        <v>2.0067790815259199E-2</v>
      </c>
      <c r="I34" s="13">
        <v>0.11736004553761201</v>
      </c>
      <c r="J34" s="13">
        <v>0.28952270967386001</v>
      </c>
    </row>
    <row r="35" spans="1:10" x14ac:dyDescent="0.2">
      <c r="A35" s="5" t="s">
        <v>195</v>
      </c>
      <c r="B35" s="144" t="s">
        <v>181</v>
      </c>
      <c r="C35" s="144" t="s">
        <v>1482</v>
      </c>
      <c r="D35" s="144" t="s">
        <v>164</v>
      </c>
      <c r="E35" s="13">
        <v>7.6598501894950793E-2</v>
      </c>
      <c r="F35" s="13">
        <v>0.22650560168518999</v>
      </c>
      <c r="G35" s="14">
        <v>-0.10086490272880801</v>
      </c>
      <c r="H35" s="14">
        <v>1.20678685376469E-2</v>
      </c>
      <c r="I35" s="13">
        <v>0.18043263574495</v>
      </c>
      <c r="J35" s="13">
        <v>0.46011142154214701</v>
      </c>
    </row>
    <row r="36" spans="1:10" x14ac:dyDescent="0.2">
      <c r="A36" s="5" t="s">
        <v>195</v>
      </c>
      <c r="B36" s="144" t="s">
        <v>182</v>
      </c>
      <c r="C36" s="144" t="s">
        <v>1869</v>
      </c>
      <c r="D36" s="144" t="s">
        <v>163</v>
      </c>
      <c r="E36" s="13">
        <v>3.00766414948795E-2</v>
      </c>
      <c r="F36" s="13">
        <v>0.104337255089557</v>
      </c>
      <c r="G36" s="14">
        <v>-5.1001200812933099E-2</v>
      </c>
      <c r="H36" s="14">
        <v>3.9665998325189699E-3</v>
      </c>
      <c r="I36" s="13">
        <v>6.5760417545042998E-2</v>
      </c>
      <c r="J36" s="13">
        <v>0.18269604119493599</v>
      </c>
    </row>
    <row r="37" spans="1:10" x14ac:dyDescent="0.2">
      <c r="A37" s="5" t="s">
        <v>195</v>
      </c>
      <c r="B37" s="144" t="s">
        <v>182</v>
      </c>
      <c r="C37" s="144" t="s">
        <v>1124</v>
      </c>
      <c r="D37" s="144" t="s">
        <v>164</v>
      </c>
      <c r="E37" s="13">
        <v>2.7579819583491798E-2</v>
      </c>
      <c r="F37" s="13">
        <v>0.13704926759184699</v>
      </c>
      <c r="G37" s="14">
        <v>-8.5637844908112007E-2</v>
      </c>
      <c r="H37" s="14">
        <v>-1.04868979884038E-2</v>
      </c>
      <c r="I37" s="13">
        <v>7.4775631283722693E-2</v>
      </c>
      <c r="J37" s="13">
        <v>0.209266161687302</v>
      </c>
    </row>
    <row r="38" spans="1:10" x14ac:dyDescent="0.2">
      <c r="A38" s="5" t="s">
        <v>195</v>
      </c>
      <c r="B38" s="144" t="s">
        <v>183</v>
      </c>
      <c r="C38" s="144" t="s">
        <v>1050</v>
      </c>
      <c r="D38" s="144" t="s">
        <v>163</v>
      </c>
      <c r="E38" s="13">
        <v>-5.2159249470887903E-2</v>
      </c>
      <c r="F38" s="13">
        <v>0.121418961583233</v>
      </c>
      <c r="G38" s="14">
        <v>-0.10063141723260199</v>
      </c>
      <c r="H38" s="14">
        <v>-7.9256507469787602E-2</v>
      </c>
      <c r="I38" s="13">
        <v>-9.5915842801308105E-5</v>
      </c>
      <c r="J38" s="13">
        <v>0.12696157703376901</v>
      </c>
    </row>
    <row r="39" spans="1:10" x14ac:dyDescent="0.2">
      <c r="A39" s="5" t="s">
        <v>195</v>
      </c>
      <c r="B39" s="144" t="s">
        <v>183</v>
      </c>
      <c r="C39" s="144" t="s">
        <v>1050</v>
      </c>
      <c r="D39" s="144" t="s">
        <v>164</v>
      </c>
      <c r="E39" s="13">
        <v>-3.4191387301743701E-3</v>
      </c>
      <c r="F39" s="13">
        <v>0.31672863696825199</v>
      </c>
      <c r="G39" s="14">
        <v>-0.200101288516848</v>
      </c>
      <c r="H39" s="14">
        <v>-2.0436253636596499E-2</v>
      </c>
      <c r="I39" s="13">
        <v>0.27216545722533197</v>
      </c>
      <c r="J39" s="13">
        <v>0.75566646111528502</v>
      </c>
    </row>
    <row r="40" spans="1:10" x14ac:dyDescent="0.2">
      <c r="A40" s="5" t="s">
        <v>195</v>
      </c>
      <c r="B40" s="144" t="s">
        <v>184</v>
      </c>
      <c r="C40" s="144" t="s">
        <v>185</v>
      </c>
      <c r="D40" s="144" t="s">
        <v>163</v>
      </c>
      <c r="E40" s="13">
        <v>4.19591481378161E-2</v>
      </c>
      <c r="F40" s="13">
        <v>0.114390532998452</v>
      </c>
      <c r="G40" s="14">
        <v>-6.67848093061362E-2</v>
      </c>
      <c r="H40" s="14">
        <v>7.5180156706179096E-3</v>
      </c>
      <c r="I40" s="13">
        <v>8.6790145706939395E-2</v>
      </c>
      <c r="J40" s="13">
        <v>0.21243846000080599</v>
      </c>
    </row>
    <row r="41" spans="1:10" x14ac:dyDescent="0.2">
      <c r="A41" s="5" t="s">
        <v>195</v>
      </c>
      <c r="B41" s="144" t="s">
        <v>184</v>
      </c>
      <c r="C41" s="144" t="s">
        <v>185</v>
      </c>
      <c r="D41" s="144" t="s">
        <v>164</v>
      </c>
      <c r="E41" s="13">
        <v>3.4152741139533101E-2</v>
      </c>
      <c r="F41" s="13">
        <v>0.18933385911484801</v>
      </c>
      <c r="G41" s="14">
        <v>-0.13140638090329801</v>
      </c>
      <c r="H41" s="14">
        <v>-1.9803679245864299E-2</v>
      </c>
      <c r="I41" s="13">
        <v>0.11225150932293</v>
      </c>
      <c r="J41" s="13">
        <v>0.32939206924393799</v>
      </c>
    </row>
    <row r="42" spans="1:10" x14ac:dyDescent="0.2">
      <c r="A42" s="5" t="s">
        <v>195</v>
      </c>
      <c r="B42" s="144" t="s">
        <v>184</v>
      </c>
      <c r="C42" s="144" t="s">
        <v>186</v>
      </c>
      <c r="D42" s="144" t="s">
        <v>163</v>
      </c>
      <c r="E42" s="13">
        <v>4.3755960370338999E-2</v>
      </c>
      <c r="F42" s="13">
        <v>9.0376769379546404E-2</v>
      </c>
      <c r="G42" s="14">
        <v>-4.6768831378272299E-2</v>
      </c>
      <c r="H42" s="14">
        <v>1.31210606970045E-2</v>
      </c>
      <c r="I42" s="13">
        <v>7.9051714215737798E-2</v>
      </c>
      <c r="J42" s="13">
        <v>0.14923381755475401</v>
      </c>
    </row>
    <row r="43" spans="1:10" x14ac:dyDescent="0.2">
      <c r="A43" s="5" t="s">
        <v>195</v>
      </c>
      <c r="B43" s="144" t="s">
        <v>184</v>
      </c>
      <c r="C43" s="144" t="s">
        <v>186</v>
      </c>
      <c r="D43" s="144" t="s">
        <v>164</v>
      </c>
      <c r="E43" s="13">
        <v>1.64442666921743E-2</v>
      </c>
      <c r="F43" s="13">
        <v>0.122442988004485</v>
      </c>
      <c r="G43" s="14">
        <v>-0.123336069298714</v>
      </c>
      <c r="H43" s="14">
        <v>-3.9037397124644303E-2</v>
      </c>
      <c r="I43" s="13">
        <v>7.2948845975383106E-2</v>
      </c>
      <c r="J43" s="13">
        <v>0.19533922458049</v>
      </c>
    </row>
    <row r="44" spans="1:10" x14ac:dyDescent="0.2">
      <c r="A44" s="5" t="s">
        <v>195</v>
      </c>
      <c r="B44" s="144" t="s">
        <v>184</v>
      </c>
      <c r="C44" s="144" t="s">
        <v>187</v>
      </c>
      <c r="D44" s="144" t="s">
        <v>163</v>
      </c>
      <c r="E44" s="13">
        <v>-2.5467870435750902E-3</v>
      </c>
      <c r="F44" s="13">
        <v>9.9297189228828797E-2</v>
      </c>
      <c r="G44" s="14">
        <v>-0.116528604401029</v>
      </c>
      <c r="H44" s="14">
        <v>-3.53447292347197E-2</v>
      </c>
      <c r="I44" s="13">
        <v>2.6377416211142399E-2</v>
      </c>
      <c r="J44" s="13">
        <v>0.125622635393902</v>
      </c>
    </row>
    <row r="45" spans="1:10" x14ac:dyDescent="0.2">
      <c r="A45" s="5" t="s">
        <v>195</v>
      </c>
      <c r="B45" s="144" t="s">
        <v>184</v>
      </c>
      <c r="C45" s="144" t="s">
        <v>187</v>
      </c>
      <c r="D45" s="144" t="s">
        <v>164</v>
      </c>
      <c r="E45" s="13">
        <v>-1.11099110956288E-2</v>
      </c>
      <c r="F45" s="13">
        <v>0.13105487187269299</v>
      </c>
      <c r="G45" s="14">
        <v>-0.16465931562549299</v>
      </c>
      <c r="H45" s="14">
        <v>-6.65572092237003E-2</v>
      </c>
      <c r="I45" s="13">
        <v>6.4368235850487704E-2</v>
      </c>
      <c r="J45" s="13">
        <v>0.19372645505977401</v>
      </c>
    </row>
    <row r="46" spans="1:10" x14ac:dyDescent="0.2">
      <c r="A46" s="5" t="s">
        <v>195</v>
      </c>
      <c r="B46" s="144" t="s">
        <v>184</v>
      </c>
      <c r="C46" s="144" t="s">
        <v>188</v>
      </c>
      <c r="D46" s="144" t="s">
        <v>163</v>
      </c>
      <c r="E46" s="13">
        <v>5.47065796072028E-2</v>
      </c>
      <c r="F46" s="13">
        <v>0.1272283908348</v>
      </c>
      <c r="G46" s="14">
        <v>-6.5038602397614803E-2</v>
      </c>
      <c r="H46" s="14">
        <v>1.5155760410542399E-2</v>
      </c>
      <c r="I46" s="13">
        <v>0.111984637089661</v>
      </c>
      <c r="J46" s="13">
        <v>0.26455498563868002</v>
      </c>
    </row>
    <row r="47" spans="1:10" x14ac:dyDescent="0.2">
      <c r="A47" s="5" t="s">
        <v>195</v>
      </c>
      <c r="B47" s="144" t="s">
        <v>184</v>
      </c>
      <c r="C47" s="144" t="s">
        <v>188</v>
      </c>
      <c r="D47" s="144" t="s">
        <v>164</v>
      </c>
      <c r="E47" s="13">
        <v>5.6682187221704997E-2</v>
      </c>
      <c r="F47" s="13">
        <v>0.183807591379506</v>
      </c>
      <c r="G47" s="14">
        <v>-0.117968529078644</v>
      </c>
      <c r="H47" s="14">
        <v>-1.66395138362809E-2</v>
      </c>
      <c r="I47" s="13">
        <v>0.13866384180021299</v>
      </c>
      <c r="J47" s="13">
        <v>0.37589844335005601</v>
      </c>
    </row>
    <row r="48" spans="1:10" x14ac:dyDescent="0.2">
      <c r="A48" s="5" t="s">
        <v>195</v>
      </c>
      <c r="B48" s="144" t="s">
        <v>184</v>
      </c>
      <c r="C48" s="144" t="s">
        <v>189</v>
      </c>
      <c r="D48" s="144" t="s">
        <v>163</v>
      </c>
      <c r="E48" s="13">
        <v>4.2775672011688699E-2</v>
      </c>
      <c r="F48" s="13">
        <v>0.117140305254056</v>
      </c>
      <c r="G48" s="14">
        <v>-5.1911201279192902E-2</v>
      </c>
      <c r="H48" s="14">
        <v>1.07449125531171E-2</v>
      </c>
      <c r="I48" s="13">
        <v>8.7079844648848104E-2</v>
      </c>
      <c r="J48" s="13">
        <v>0.22072327976863301</v>
      </c>
    </row>
    <row r="49" spans="1:10" x14ac:dyDescent="0.2">
      <c r="A49" s="5" t="s">
        <v>195</v>
      </c>
      <c r="B49" s="144" t="s">
        <v>184</v>
      </c>
      <c r="C49" s="144" t="s">
        <v>189</v>
      </c>
      <c r="D49" s="144" t="s">
        <v>164</v>
      </c>
      <c r="E49" s="13">
        <v>4.2344744015894303E-2</v>
      </c>
      <c r="F49" s="13">
        <v>0.189614075390934</v>
      </c>
      <c r="G49" s="14">
        <v>-0.15017461631500001</v>
      </c>
      <c r="H49" s="14">
        <v>-8.2592240417371909E-3</v>
      </c>
      <c r="I49" s="13">
        <v>9.9346320528619705E-2</v>
      </c>
      <c r="J49" s="13">
        <v>0.30549093660265297</v>
      </c>
    </row>
    <row r="50" spans="1:10" x14ac:dyDescent="0.2">
      <c r="A50" s="5" t="s">
        <v>195</v>
      </c>
      <c r="B50" s="144" t="s">
        <v>184</v>
      </c>
      <c r="C50" s="144" t="s">
        <v>190</v>
      </c>
      <c r="D50" s="144" t="s">
        <v>163</v>
      </c>
      <c r="E50" s="13">
        <v>5.7743382177014503E-2</v>
      </c>
      <c r="F50" s="13">
        <v>0.113202917167589</v>
      </c>
      <c r="G50" s="14">
        <v>-5.1638904221464499E-2</v>
      </c>
      <c r="H50" s="14">
        <v>1.90262014928104E-2</v>
      </c>
      <c r="I50" s="13">
        <v>0.10343513766897799</v>
      </c>
      <c r="J50" s="13">
        <v>0.21243846000080599</v>
      </c>
    </row>
    <row r="51" spans="1:10" x14ac:dyDescent="0.2">
      <c r="A51" s="5" t="s">
        <v>195</v>
      </c>
      <c r="B51" s="144" t="s">
        <v>184</v>
      </c>
      <c r="C51" s="144" t="s">
        <v>190</v>
      </c>
      <c r="D51" s="144" t="s">
        <v>164</v>
      </c>
      <c r="E51" s="13">
        <v>7.3574904676479994E-2</v>
      </c>
      <c r="F51" s="13">
        <v>0.23710211903185599</v>
      </c>
      <c r="G51" s="14">
        <v>-0.12124902781685599</v>
      </c>
      <c r="H51" s="14">
        <v>-2.65435477393437E-3</v>
      </c>
      <c r="I51" s="13">
        <v>0.189237497222349</v>
      </c>
      <c r="J51" s="13">
        <v>0.46193228193630398</v>
      </c>
    </row>
    <row r="52" spans="1:10" x14ac:dyDescent="0.2">
      <c r="A52" s="5" t="s">
        <v>195</v>
      </c>
      <c r="B52" s="144" t="s">
        <v>173</v>
      </c>
      <c r="C52" s="144" t="s">
        <v>173</v>
      </c>
      <c r="D52" s="144" t="s">
        <v>163</v>
      </c>
      <c r="E52" s="13"/>
      <c r="F52" s="13"/>
      <c r="G52" s="14"/>
      <c r="H52" s="14"/>
      <c r="I52" s="13"/>
      <c r="J52" s="13"/>
    </row>
    <row r="53" spans="1:10" x14ac:dyDescent="0.2">
      <c r="A53" s="5" t="s">
        <v>195</v>
      </c>
      <c r="B53" s="144" t="s">
        <v>173</v>
      </c>
      <c r="C53" s="144" t="s">
        <v>173</v>
      </c>
      <c r="D53" s="144" t="s">
        <v>164</v>
      </c>
      <c r="E53" s="13"/>
      <c r="F53" s="13"/>
      <c r="G53" s="14"/>
      <c r="H53" s="14"/>
      <c r="I53" s="13"/>
      <c r="J53" s="13"/>
    </row>
    <row r="54" spans="1:10" x14ac:dyDescent="0.2">
      <c r="A54" s="5" t="s">
        <v>195</v>
      </c>
      <c r="B54" s="144" t="s">
        <v>191</v>
      </c>
      <c r="C54" s="144" t="s">
        <v>1703</v>
      </c>
      <c r="D54" s="144" t="s">
        <v>163</v>
      </c>
      <c r="E54" s="13">
        <v>2.3252964587164401E-2</v>
      </c>
      <c r="F54" s="13">
        <v>0.107618602306485</v>
      </c>
      <c r="G54" s="14">
        <v>-3.6367673173815701E-2</v>
      </c>
      <c r="H54" s="14">
        <v>4.9316986087374597E-3</v>
      </c>
      <c r="I54" s="13">
        <v>4.9902317018373499E-2</v>
      </c>
      <c r="J54" s="13">
        <v>0.22234314745665301</v>
      </c>
    </row>
    <row r="55" spans="1:10" x14ac:dyDescent="0.2">
      <c r="A55" s="5" t="s">
        <v>195</v>
      </c>
      <c r="B55" s="144" t="s">
        <v>191</v>
      </c>
      <c r="C55" s="144" t="s">
        <v>1703</v>
      </c>
      <c r="D55" s="144" t="s">
        <v>164</v>
      </c>
      <c r="E55" s="13">
        <v>9.94724072084157E-2</v>
      </c>
      <c r="F55" s="13">
        <v>0.15236477776958501</v>
      </c>
      <c r="G55" s="14">
        <v>-0.20910790128464701</v>
      </c>
      <c r="H55" s="14">
        <v>-8.9674260592180195E-4</v>
      </c>
      <c r="I55" s="13">
        <v>0.17581408659887601</v>
      </c>
      <c r="J55" s="13">
        <v>0.222663228950467</v>
      </c>
    </row>
    <row r="56" spans="1:10" x14ac:dyDescent="0.2">
      <c r="A56" s="5" t="s">
        <v>195</v>
      </c>
      <c r="B56" s="144" t="s">
        <v>192</v>
      </c>
      <c r="C56" s="144" t="s">
        <v>1718</v>
      </c>
      <c r="D56" s="144" t="s">
        <v>163</v>
      </c>
      <c r="E56" s="13">
        <v>3.0279230243263899E-2</v>
      </c>
      <c r="F56" s="13">
        <v>8.3546004965436696E-2</v>
      </c>
      <c r="G56" s="14">
        <v>-5.9104574777584802E-2</v>
      </c>
      <c r="H56" s="14">
        <v>4.2713357125413196E-3</v>
      </c>
      <c r="I56" s="13">
        <v>6.35595775108522E-2</v>
      </c>
      <c r="J56" s="13">
        <v>0.15342299992564901</v>
      </c>
    </row>
    <row r="57" spans="1:10" x14ac:dyDescent="0.2">
      <c r="A57" s="5" t="s">
        <v>195</v>
      </c>
      <c r="B57" s="144" t="s">
        <v>192</v>
      </c>
      <c r="C57" s="144" t="s">
        <v>1718</v>
      </c>
      <c r="D57" s="144" t="s">
        <v>164</v>
      </c>
      <c r="E57" s="13">
        <v>4.7570920212999399E-2</v>
      </c>
      <c r="F57" s="13">
        <v>0.14303054973004301</v>
      </c>
      <c r="G57" s="14">
        <v>-0.13632882280820099</v>
      </c>
      <c r="H57" s="14">
        <v>-1.6207170499368099E-3</v>
      </c>
      <c r="I57" s="13">
        <v>9.3846570756925901E-2</v>
      </c>
      <c r="J57" s="13">
        <v>0.31623165496698102</v>
      </c>
    </row>
    <row r="58" spans="1:10" x14ac:dyDescent="0.2">
      <c r="A58" s="5" t="s">
        <v>195</v>
      </c>
      <c r="B58" s="144" t="s">
        <v>193</v>
      </c>
      <c r="C58" s="144" t="s">
        <v>1918</v>
      </c>
      <c r="D58" s="144" t="s">
        <v>163</v>
      </c>
      <c r="E58" s="13">
        <v>4.0528448951591599E-2</v>
      </c>
      <c r="F58" s="13">
        <v>9.6989911806657905E-2</v>
      </c>
      <c r="G58" s="14">
        <v>-4.8317528587669502E-2</v>
      </c>
      <c r="H58" s="14">
        <v>9.2593887621139695E-3</v>
      </c>
      <c r="I58" s="13">
        <v>8.0839314230376005E-2</v>
      </c>
      <c r="J58" s="13">
        <v>0.19990863083709601</v>
      </c>
    </row>
    <row r="59" spans="1:10" x14ac:dyDescent="0.2">
      <c r="A59" s="5" t="s">
        <v>195</v>
      </c>
      <c r="B59" s="144" t="s">
        <v>193</v>
      </c>
      <c r="C59" s="144" t="s">
        <v>1918</v>
      </c>
      <c r="D59" s="144" t="s">
        <v>164</v>
      </c>
      <c r="E59" s="13">
        <v>4.8053778275796599E-2</v>
      </c>
      <c r="F59" s="13">
        <v>0.12587210417792499</v>
      </c>
      <c r="G59" s="14">
        <v>-9.6578080661076995E-2</v>
      </c>
      <c r="H59" s="14">
        <v>1.31818389441366E-2</v>
      </c>
      <c r="I59" s="13">
        <v>0.120513573433252</v>
      </c>
      <c r="J59" s="13">
        <v>0.239488649409517</v>
      </c>
    </row>
    <row r="60" spans="1:10" x14ac:dyDescent="0.2">
      <c r="A60" s="5" t="s">
        <v>195</v>
      </c>
      <c r="B60" s="144" t="s">
        <v>1865</v>
      </c>
      <c r="C60" s="144" t="s">
        <v>304</v>
      </c>
      <c r="D60" s="144" t="s">
        <v>163</v>
      </c>
      <c r="E60" s="13">
        <v>2.8787816734729001E-2</v>
      </c>
      <c r="F60" s="13">
        <v>0.104687729897034</v>
      </c>
      <c r="G60" s="14">
        <v>-8.0208209515597595E-2</v>
      </c>
      <c r="H60" s="14">
        <v>-5.1698419476740101E-3</v>
      </c>
      <c r="I60" s="13">
        <v>6.9544487805148603E-2</v>
      </c>
      <c r="J60" s="13">
        <v>0.179435656193316</v>
      </c>
    </row>
    <row r="61" spans="1:10" x14ac:dyDescent="0.2">
      <c r="A61" s="5" t="s">
        <v>195</v>
      </c>
      <c r="B61" s="144" t="s">
        <v>1865</v>
      </c>
      <c r="C61" s="144" t="s">
        <v>304</v>
      </c>
      <c r="D61" s="144" t="s">
        <v>164</v>
      </c>
      <c r="E61" s="13">
        <v>5.1193570202658301E-2</v>
      </c>
      <c r="F61" s="13">
        <v>0.16411829387527399</v>
      </c>
      <c r="G61" s="14">
        <v>-0.114900098426304</v>
      </c>
      <c r="H61" s="14">
        <v>-4.2539243993024401E-3</v>
      </c>
      <c r="I61" s="13">
        <v>0.118618831032006</v>
      </c>
      <c r="J61" s="13">
        <v>0.293931894281655</v>
      </c>
    </row>
  </sheetData>
  <phoneticPr fontId="1"/>
  <conditionalFormatting sqref="C2:H12">
    <cfRule type="cellIs" dxfId="28" priority="7" operator="lessThan">
      <formula>0</formula>
    </cfRule>
  </conditionalFormatting>
  <conditionalFormatting sqref="I13:J59">
    <cfRule type="cellIs" dxfId="27" priority="3" operator="lessThan">
      <formula>0</formula>
    </cfRule>
  </conditionalFormatting>
  <conditionalFormatting sqref="I2:J2">
    <cfRule type="cellIs" dxfId="26" priority="6" operator="lessThan">
      <formula>0</formula>
    </cfRule>
  </conditionalFormatting>
  <conditionalFormatting sqref="I3:J12">
    <cfRule type="cellIs" dxfId="25" priority="5" operator="lessThan">
      <formula>0</formula>
    </cfRule>
  </conditionalFormatting>
  <conditionalFormatting sqref="E13:H59">
    <cfRule type="cellIs" dxfId="24" priority="4" operator="lessThan">
      <formula>0</formula>
    </cfRule>
  </conditionalFormatting>
  <conditionalFormatting sqref="I60:J61">
    <cfRule type="cellIs" dxfId="23" priority="1" operator="lessThan">
      <formula>0</formula>
    </cfRule>
  </conditionalFormatting>
  <conditionalFormatting sqref="E60:H61">
    <cfRule type="cellIs" dxfId="22" priority="2" operator="lessThan">
      <formula>0</formula>
    </cfRule>
  </conditionalFormatting>
  <pageMargins left="0.7" right="0.7" top="0.75" bottom="0.75" header="0.3" footer="0.3"/>
  <pageSetup paperSize="9" scale="9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J61"/>
  <sheetViews>
    <sheetView workbookViewId="0"/>
  </sheetViews>
  <sheetFormatPr defaultColWidth="9" defaultRowHeight="10.8" x14ac:dyDescent="0.2"/>
  <cols>
    <col min="1" max="1" width="13" style="143" bestFit="1" customWidth="1"/>
    <col min="2" max="2" width="25.6640625" style="143" bestFit="1" customWidth="1"/>
    <col min="3" max="3" width="30.21875" style="143" bestFit="1" customWidth="1"/>
    <col min="4" max="4" width="13" style="143" bestFit="1" customWidth="1"/>
    <col min="5" max="16384" width="9" style="143"/>
  </cols>
  <sheetData>
    <row r="1" spans="1:10" x14ac:dyDescent="0.2">
      <c r="A1" s="1" t="s">
        <v>200</v>
      </c>
      <c r="B1" s="2" t="s">
        <v>201</v>
      </c>
      <c r="C1" s="2" t="s">
        <v>202</v>
      </c>
      <c r="D1" s="3" t="s">
        <v>203</v>
      </c>
      <c r="E1" s="3" t="s">
        <v>204</v>
      </c>
      <c r="F1" s="3" t="s">
        <v>15</v>
      </c>
      <c r="G1" s="3" t="s">
        <v>216</v>
      </c>
      <c r="H1" s="3" t="s">
        <v>217</v>
      </c>
      <c r="I1" s="3" t="s">
        <v>218</v>
      </c>
      <c r="J1" s="3" t="s">
        <v>219</v>
      </c>
    </row>
    <row r="2" spans="1:10" x14ac:dyDescent="0.2">
      <c r="A2" s="147" t="s">
        <v>205</v>
      </c>
      <c r="B2" s="145" t="s">
        <v>162</v>
      </c>
      <c r="C2" s="142" t="s">
        <v>281</v>
      </c>
      <c r="D2" s="148" t="s">
        <v>206</v>
      </c>
      <c r="E2" s="14">
        <v>2.0957404464174E-2</v>
      </c>
      <c r="F2" s="14">
        <v>4.6503853630251502E-2</v>
      </c>
      <c r="G2" s="14">
        <v>-3.2638357480310097E-2</v>
      </c>
      <c r="H2" s="14">
        <v>9.5593823234300206E-3</v>
      </c>
      <c r="I2" s="14">
        <v>4.4637317661283399E-2</v>
      </c>
      <c r="J2" s="14">
        <v>9.9115274242653595E-2</v>
      </c>
    </row>
    <row r="3" spans="1:10" x14ac:dyDescent="0.2">
      <c r="A3" s="147" t="s">
        <v>205</v>
      </c>
      <c r="B3" s="145" t="s">
        <v>162</v>
      </c>
      <c r="C3" s="142" t="s">
        <v>281</v>
      </c>
      <c r="D3" s="148" t="s">
        <v>207</v>
      </c>
      <c r="E3" s="14">
        <v>9.3448461278989592E-3</v>
      </c>
      <c r="F3" s="14">
        <v>7.0135666233448204E-2</v>
      </c>
      <c r="G3" s="14">
        <v>-0.119853605338198</v>
      </c>
      <c r="H3" s="14">
        <v>-1.8251706741118499E-2</v>
      </c>
      <c r="I3" s="14">
        <v>3.37159587041925E-2</v>
      </c>
      <c r="J3" s="14">
        <v>8.6091390611869906E-2</v>
      </c>
    </row>
    <row r="4" spans="1:10" x14ac:dyDescent="0.2">
      <c r="A4" s="147" t="s">
        <v>205</v>
      </c>
      <c r="B4" s="145" t="s">
        <v>196</v>
      </c>
      <c r="C4" s="142" t="s">
        <v>374</v>
      </c>
      <c r="D4" s="148" t="s">
        <v>206</v>
      </c>
      <c r="E4" s="14">
        <v>2.9372435432481098E-2</v>
      </c>
      <c r="F4" s="14">
        <v>3.3734826146138597E-2</v>
      </c>
      <c r="G4" s="14">
        <v>-5.7799958408107002E-3</v>
      </c>
      <c r="H4" s="14">
        <v>1.66592305593142E-2</v>
      </c>
      <c r="I4" s="14">
        <v>4.6015737191302503E-2</v>
      </c>
      <c r="J4" s="14">
        <v>8.26587920243783E-2</v>
      </c>
    </row>
    <row r="5" spans="1:10" x14ac:dyDescent="0.2">
      <c r="A5" s="147" t="s">
        <v>205</v>
      </c>
      <c r="B5" s="145" t="s">
        <v>196</v>
      </c>
      <c r="C5" s="142" t="s">
        <v>374</v>
      </c>
      <c r="D5" s="148" t="s">
        <v>207</v>
      </c>
      <c r="E5" s="14">
        <v>1.70725991679971E-2</v>
      </c>
      <c r="F5" s="14">
        <v>4.54649836081083E-2</v>
      </c>
      <c r="G5" s="14">
        <v>-4.5196568189491602E-2</v>
      </c>
      <c r="H5" s="14">
        <v>4.3509877918933701E-3</v>
      </c>
      <c r="I5" s="14">
        <v>3.37949539751203E-2</v>
      </c>
      <c r="J5" s="14">
        <v>7.3432410408137597E-2</v>
      </c>
    </row>
    <row r="6" spans="1:10" x14ac:dyDescent="0.2">
      <c r="A6" s="147" t="s">
        <v>205</v>
      </c>
      <c r="B6" s="145" t="s">
        <v>208</v>
      </c>
      <c r="C6" s="142" t="s">
        <v>167</v>
      </c>
      <c r="D6" s="148" t="s">
        <v>206</v>
      </c>
      <c r="E6" s="14">
        <v>2.5283699036281599E-2</v>
      </c>
      <c r="F6" s="14">
        <v>3.9589252291097103E-2</v>
      </c>
      <c r="G6" s="14">
        <v>-1.8951400268876602E-2</v>
      </c>
      <c r="H6" s="14">
        <v>1.1638869615893201E-2</v>
      </c>
      <c r="I6" s="14">
        <v>4.3559228859799598E-2</v>
      </c>
      <c r="J6" s="14">
        <v>8.7860980049663695E-2</v>
      </c>
    </row>
    <row r="7" spans="1:10" x14ac:dyDescent="0.2">
      <c r="A7" s="147" t="s">
        <v>205</v>
      </c>
      <c r="B7" s="145" t="s">
        <v>208</v>
      </c>
      <c r="C7" s="142" t="s">
        <v>167</v>
      </c>
      <c r="D7" s="148" t="s">
        <v>207</v>
      </c>
      <c r="E7" s="14">
        <v>1.9443619593782799E-2</v>
      </c>
      <c r="F7" s="14">
        <v>5.1336528521543703E-2</v>
      </c>
      <c r="G7" s="14">
        <v>-4.9901837806356403E-2</v>
      </c>
      <c r="H7" s="14">
        <v>3.6560731200045698E-3</v>
      </c>
      <c r="I7" s="14">
        <v>3.7388596294489103E-2</v>
      </c>
      <c r="J7" s="14">
        <v>8.3360490944300106E-2</v>
      </c>
    </row>
    <row r="8" spans="1:10" x14ac:dyDescent="0.2">
      <c r="A8" s="147" t="s">
        <v>205</v>
      </c>
      <c r="B8" s="145" t="s">
        <v>208</v>
      </c>
      <c r="C8" s="142" t="s">
        <v>168</v>
      </c>
      <c r="D8" s="148" t="s">
        <v>206</v>
      </c>
      <c r="E8" s="14">
        <v>1.5460363386540801E-2</v>
      </c>
      <c r="F8" s="14">
        <v>3.5056080963351798E-2</v>
      </c>
      <c r="G8" s="14">
        <v>-2.35927332982299E-2</v>
      </c>
      <c r="H8" s="14">
        <v>6.4033422777654203E-3</v>
      </c>
      <c r="I8" s="14">
        <v>2.7779170545550201E-2</v>
      </c>
      <c r="J8" s="14">
        <v>6.7398572517385E-2</v>
      </c>
    </row>
    <row r="9" spans="1:10" x14ac:dyDescent="0.2">
      <c r="A9" s="147" t="s">
        <v>205</v>
      </c>
      <c r="B9" s="145" t="s">
        <v>208</v>
      </c>
      <c r="C9" s="142" t="s">
        <v>168</v>
      </c>
      <c r="D9" s="148" t="s">
        <v>207</v>
      </c>
      <c r="E9" s="14">
        <v>1.18831804459521E-2</v>
      </c>
      <c r="F9" s="14">
        <v>4.5031140854338202E-2</v>
      </c>
      <c r="G9" s="14">
        <v>-5.22895817702635E-2</v>
      </c>
      <c r="H9" s="14">
        <v>-5.40683861244254E-4</v>
      </c>
      <c r="I9" s="14">
        <v>2.5186688616565998E-2</v>
      </c>
      <c r="J9" s="14">
        <v>5.6156724214278003E-2</v>
      </c>
    </row>
    <row r="10" spans="1:10" x14ac:dyDescent="0.2">
      <c r="A10" s="147" t="s">
        <v>205</v>
      </c>
      <c r="B10" s="145" t="s">
        <v>208</v>
      </c>
      <c r="C10" s="142" t="s">
        <v>169</v>
      </c>
      <c r="D10" s="148" t="s">
        <v>206</v>
      </c>
      <c r="E10" s="14">
        <v>3.21456930234452E-2</v>
      </c>
      <c r="F10" s="14">
        <v>4.5153175071106597E-2</v>
      </c>
      <c r="G10" s="14">
        <v>-1.83736604594977E-2</v>
      </c>
      <c r="H10" s="14">
        <v>1.60331555030182E-2</v>
      </c>
      <c r="I10" s="14">
        <v>5.1321270560884001E-2</v>
      </c>
      <c r="J10" s="14">
        <v>0.107475601047029</v>
      </c>
    </row>
    <row r="11" spans="1:10" ht="13.5" customHeight="1" x14ac:dyDescent="0.2">
      <c r="A11" s="147" t="s">
        <v>205</v>
      </c>
      <c r="B11" s="145" t="s">
        <v>208</v>
      </c>
      <c r="C11" s="142" t="s">
        <v>169</v>
      </c>
      <c r="D11" s="148" t="s">
        <v>207</v>
      </c>
      <c r="E11" s="14">
        <v>2.26580035287231E-2</v>
      </c>
      <c r="F11" s="14">
        <v>5.58300393709057E-2</v>
      </c>
      <c r="G11" s="14">
        <v>-4.1696117143364499E-2</v>
      </c>
      <c r="H11" s="14">
        <v>8.7184814362144397E-3</v>
      </c>
      <c r="I11" s="14">
        <v>4.0087459152869202E-2</v>
      </c>
      <c r="J11" s="14">
        <v>0.104596927140801</v>
      </c>
    </row>
    <row r="12" spans="1:10" x14ac:dyDescent="0.2">
      <c r="A12" s="147" t="s">
        <v>205</v>
      </c>
      <c r="B12" s="145" t="s">
        <v>208</v>
      </c>
      <c r="C12" s="142" t="s">
        <v>170</v>
      </c>
      <c r="D12" s="148" t="s">
        <v>206</v>
      </c>
      <c r="E12" s="14">
        <v>2.0945932532907701E-2</v>
      </c>
      <c r="F12" s="14">
        <v>3.3401699652426897E-2</v>
      </c>
      <c r="G12" s="14">
        <v>-1.6378458129464799E-2</v>
      </c>
      <c r="H12" s="14">
        <v>8.5391131591431302E-3</v>
      </c>
      <c r="I12" s="14">
        <v>3.48891872778017E-2</v>
      </c>
      <c r="J12" s="14">
        <v>7.0054166799991102E-2</v>
      </c>
    </row>
    <row r="13" spans="1:10" x14ac:dyDescent="0.2">
      <c r="A13" s="150" t="s">
        <v>205</v>
      </c>
      <c r="B13" s="150" t="s">
        <v>208</v>
      </c>
      <c r="C13" s="144" t="s">
        <v>170</v>
      </c>
      <c r="D13" s="146" t="s">
        <v>207</v>
      </c>
      <c r="E13" s="14">
        <v>1.38457639752269E-2</v>
      </c>
      <c r="F13" s="14">
        <v>4.7280964529758503E-2</v>
      </c>
      <c r="G13" s="14">
        <v>-3.21202954266313E-2</v>
      </c>
      <c r="H13" s="14">
        <v>1.84609009689695E-3</v>
      </c>
      <c r="I13" s="14">
        <v>2.7956852768656101E-2</v>
      </c>
      <c r="J13" s="14">
        <v>7.4623323294429805E-2</v>
      </c>
    </row>
    <row r="14" spans="1:10" x14ac:dyDescent="0.2">
      <c r="A14" s="150" t="s">
        <v>205</v>
      </c>
      <c r="B14" s="150" t="s">
        <v>208</v>
      </c>
      <c r="C14" s="144" t="s">
        <v>171</v>
      </c>
      <c r="D14" s="146" t="s">
        <v>206</v>
      </c>
      <c r="E14" s="14">
        <v>2.8981880828023599E-2</v>
      </c>
      <c r="F14" s="14">
        <v>4.0812066635794703E-2</v>
      </c>
      <c r="G14" s="14">
        <v>-1.95111385370242E-2</v>
      </c>
      <c r="H14" s="14">
        <v>1.3091476099615199E-2</v>
      </c>
      <c r="I14" s="14">
        <v>4.7725447353067302E-2</v>
      </c>
      <c r="J14" s="14">
        <v>9.3884008650861106E-2</v>
      </c>
    </row>
    <row r="15" spans="1:10" x14ac:dyDescent="0.2">
      <c r="A15" s="150" t="s">
        <v>205</v>
      </c>
      <c r="B15" s="150" t="s">
        <v>208</v>
      </c>
      <c r="C15" s="144" t="s">
        <v>171</v>
      </c>
      <c r="D15" s="146" t="s">
        <v>207</v>
      </c>
      <c r="E15" s="14">
        <v>2.2311104525242698E-2</v>
      </c>
      <c r="F15" s="14">
        <v>5.07062203621804E-2</v>
      </c>
      <c r="G15" s="14">
        <v>-3.8404054435758402E-2</v>
      </c>
      <c r="H15" s="14">
        <v>6.5776546549096001E-3</v>
      </c>
      <c r="I15" s="14">
        <v>4.4664941130722897E-2</v>
      </c>
      <c r="J15" s="14">
        <v>8.9288984584092401E-2</v>
      </c>
    </row>
    <row r="16" spans="1:10" x14ac:dyDescent="0.2">
      <c r="A16" s="150" t="s">
        <v>205</v>
      </c>
      <c r="B16" s="150" t="s">
        <v>208</v>
      </c>
      <c r="C16" s="144" t="s">
        <v>172</v>
      </c>
      <c r="D16" s="146" t="s">
        <v>206</v>
      </c>
      <c r="E16" s="14">
        <v>3.4311335558382901E-2</v>
      </c>
      <c r="F16" s="14">
        <v>4.1114520922476298E-2</v>
      </c>
      <c r="G16" s="14">
        <v>-1.2125616299972599E-2</v>
      </c>
      <c r="H16" s="14">
        <v>1.77970941137898E-2</v>
      </c>
      <c r="I16" s="14">
        <v>5.4243637992090303E-2</v>
      </c>
      <c r="J16" s="14">
        <v>9.7738072471203502E-2</v>
      </c>
    </row>
    <row r="17" spans="1:10" x14ac:dyDescent="0.2">
      <c r="A17" s="150" t="s">
        <v>205</v>
      </c>
      <c r="B17" s="150" t="s">
        <v>208</v>
      </c>
      <c r="C17" s="144" t="s">
        <v>172</v>
      </c>
      <c r="D17" s="146" t="s">
        <v>207</v>
      </c>
      <c r="E17" s="14">
        <v>2.78283939731435E-2</v>
      </c>
      <c r="F17" s="14">
        <v>5.5056671329869397E-2</v>
      </c>
      <c r="G17" s="14">
        <v>-5.0072270751403497E-2</v>
      </c>
      <c r="H17" s="14">
        <v>8.5979387940742901E-3</v>
      </c>
      <c r="I17" s="14">
        <v>4.81893845386955E-2</v>
      </c>
      <c r="J17" s="14">
        <v>9.7623970690275994E-2</v>
      </c>
    </row>
    <row r="18" spans="1:10" x14ac:dyDescent="0.2">
      <c r="A18" s="150" t="s">
        <v>205</v>
      </c>
      <c r="B18" s="150" t="s">
        <v>209</v>
      </c>
      <c r="C18" s="144" t="s">
        <v>173</v>
      </c>
      <c r="D18" s="146" t="s">
        <v>206</v>
      </c>
      <c r="E18" s="14"/>
      <c r="F18" s="14"/>
      <c r="G18" s="14"/>
      <c r="H18" s="14"/>
      <c r="I18" s="14"/>
      <c r="J18" s="14"/>
    </row>
    <row r="19" spans="1:10" x14ac:dyDescent="0.2">
      <c r="A19" s="150" t="s">
        <v>205</v>
      </c>
      <c r="B19" s="150" t="s">
        <v>209</v>
      </c>
      <c r="C19" s="144" t="s">
        <v>173</v>
      </c>
      <c r="D19" s="146" t="s">
        <v>207</v>
      </c>
      <c r="E19" s="14"/>
      <c r="F19" s="14"/>
      <c r="G19" s="14"/>
      <c r="H19" s="14"/>
      <c r="I19" s="14"/>
      <c r="J19" s="14"/>
    </row>
    <row r="20" spans="1:10" x14ac:dyDescent="0.2">
      <c r="A20" s="150" t="s">
        <v>205</v>
      </c>
      <c r="B20" s="150" t="s">
        <v>174</v>
      </c>
      <c r="C20" s="144" t="s">
        <v>175</v>
      </c>
      <c r="D20" s="146" t="s">
        <v>206</v>
      </c>
      <c r="E20" s="14">
        <v>1.3091726931810699E-2</v>
      </c>
      <c r="F20" s="14">
        <v>2.65282057994362E-2</v>
      </c>
      <c r="G20" s="14">
        <v>-1.21572155957949E-2</v>
      </c>
      <c r="H20" s="14">
        <v>5.9438537529150097E-3</v>
      </c>
      <c r="I20" s="14">
        <v>2.24858189018027E-2</v>
      </c>
      <c r="J20" s="14">
        <v>4.8992399790109303E-2</v>
      </c>
    </row>
    <row r="21" spans="1:10" x14ac:dyDescent="0.2">
      <c r="A21" s="150" t="s">
        <v>205</v>
      </c>
      <c r="B21" s="150" t="s">
        <v>174</v>
      </c>
      <c r="C21" s="144" t="s">
        <v>175</v>
      </c>
      <c r="D21" s="146" t="s">
        <v>207</v>
      </c>
      <c r="E21" s="14">
        <v>7.9147042225025804E-3</v>
      </c>
      <c r="F21" s="14">
        <v>3.5552130203661797E-2</v>
      </c>
      <c r="G21" s="14">
        <v>-3.8994121273234997E-2</v>
      </c>
      <c r="H21" s="14">
        <v>1.0335022471443999E-3</v>
      </c>
      <c r="I21" s="14">
        <v>1.6997336536593501E-2</v>
      </c>
      <c r="J21" s="14">
        <v>4.2926137528725997E-2</v>
      </c>
    </row>
    <row r="22" spans="1:10" x14ac:dyDescent="0.2">
      <c r="A22" s="150" t="s">
        <v>205</v>
      </c>
      <c r="B22" s="150" t="s">
        <v>174</v>
      </c>
      <c r="C22" s="144" t="s">
        <v>176</v>
      </c>
      <c r="D22" s="146" t="s">
        <v>206</v>
      </c>
      <c r="E22" s="14">
        <v>1.39059845864332E-2</v>
      </c>
      <c r="F22" s="14">
        <v>2.56971213691965E-2</v>
      </c>
      <c r="G22" s="14">
        <v>-6.5779497011741201E-3</v>
      </c>
      <c r="H22" s="14">
        <v>7.2017079754570302E-3</v>
      </c>
      <c r="I22" s="14">
        <v>2.1477346607749599E-2</v>
      </c>
      <c r="J22" s="14">
        <v>5.0972817245673499E-2</v>
      </c>
    </row>
    <row r="23" spans="1:10" x14ac:dyDescent="0.2">
      <c r="A23" s="150" t="s">
        <v>205</v>
      </c>
      <c r="B23" s="150" t="s">
        <v>174</v>
      </c>
      <c r="C23" s="144" t="s">
        <v>176</v>
      </c>
      <c r="D23" s="146" t="s">
        <v>207</v>
      </c>
      <c r="E23" s="14">
        <v>7.1228352329578198E-3</v>
      </c>
      <c r="F23" s="14">
        <v>3.41191798499976E-2</v>
      </c>
      <c r="G23" s="14">
        <v>-3.7881313994701099E-2</v>
      </c>
      <c r="H23" s="14">
        <v>-5.3736775660016402E-5</v>
      </c>
      <c r="I23" s="14">
        <v>1.5136014210613899E-2</v>
      </c>
      <c r="J23" s="14">
        <v>3.5976847090324497E-2</v>
      </c>
    </row>
    <row r="24" spans="1:10" x14ac:dyDescent="0.2">
      <c r="A24" s="150" t="s">
        <v>205</v>
      </c>
      <c r="B24" s="150" t="s">
        <v>174</v>
      </c>
      <c r="C24" s="144" t="s">
        <v>177</v>
      </c>
      <c r="D24" s="146" t="s">
        <v>206</v>
      </c>
      <c r="E24" s="14">
        <v>1.39134018459274E-2</v>
      </c>
      <c r="F24" s="14">
        <v>3.0289000113869199E-2</v>
      </c>
      <c r="G24" s="14">
        <v>-2.2149430013240299E-2</v>
      </c>
      <c r="H24" s="14">
        <v>5.9511677200574601E-3</v>
      </c>
      <c r="I24" s="14">
        <v>2.56893725987151E-2</v>
      </c>
      <c r="J24" s="14">
        <v>5.4381803451576803E-2</v>
      </c>
    </row>
    <row r="25" spans="1:10" x14ac:dyDescent="0.2">
      <c r="A25" s="150" t="s">
        <v>205</v>
      </c>
      <c r="B25" s="150" t="s">
        <v>174</v>
      </c>
      <c r="C25" s="144" t="s">
        <v>177</v>
      </c>
      <c r="D25" s="146" t="s">
        <v>207</v>
      </c>
      <c r="E25" s="14">
        <v>7.6550337709604998E-3</v>
      </c>
      <c r="F25" s="14">
        <v>3.8449850230539998E-2</v>
      </c>
      <c r="G25" s="14">
        <v>-5.4072299906046901E-2</v>
      </c>
      <c r="H25" s="14">
        <v>-2.06287034256476E-3</v>
      </c>
      <c r="I25" s="14">
        <v>1.7973804746472699E-2</v>
      </c>
      <c r="J25" s="14">
        <v>4.5338507636866102E-2</v>
      </c>
    </row>
    <row r="26" spans="1:10" x14ac:dyDescent="0.2">
      <c r="A26" s="150" t="s">
        <v>205</v>
      </c>
      <c r="B26" s="150" t="s">
        <v>174</v>
      </c>
      <c r="C26" s="144" t="s">
        <v>178</v>
      </c>
      <c r="D26" s="146" t="s">
        <v>206</v>
      </c>
      <c r="E26" s="14">
        <v>6.5692132726802299E-3</v>
      </c>
      <c r="F26" s="14">
        <v>2.07384933329493E-2</v>
      </c>
      <c r="G26" s="14">
        <v>-1.42015549494975E-2</v>
      </c>
      <c r="H26" s="14">
        <v>2.3104015669735199E-3</v>
      </c>
      <c r="I26" s="14">
        <v>1.27025547535066E-2</v>
      </c>
      <c r="J26" s="14">
        <v>3.1368089521090201E-2</v>
      </c>
    </row>
    <row r="27" spans="1:10" x14ac:dyDescent="0.2">
      <c r="A27" s="150" t="s">
        <v>205</v>
      </c>
      <c r="B27" s="150" t="s">
        <v>174</v>
      </c>
      <c r="C27" s="144" t="s">
        <v>178</v>
      </c>
      <c r="D27" s="146" t="s">
        <v>207</v>
      </c>
      <c r="E27" s="14">
        <v>6.64297731882785E-3</v>
      </c>
      <c r="F27" s="14">
        <v>3.2037797185305299E-2</v>
      </c>
      <c r="G27" s="14">
        <v>-3.8848880545603197E-2</v>
      </c>
      <c r="H27" s="14">
        <v>4.7322719953126201E-4</v>
      </c>
      <c r="I27" s="14">
        <v>1.3306359786665599E-2</v>
      </c>
      <c r="J27" s="14">
        <v>3.23893663584887E-2</v>
      </c>
    </row>
    <row r="28" spans="1:10" x14ac:dyDescent="0.2">
      <c r="A28" s="150" t="s">
        <v>205</v>
      </c>
      <c r="B28" s="150" t="s">
        <v>209</v>
      </c>
      <c r="C28" s="144" t="s">
        <v>173</v>
      </c>
      <c r="D28" s="146" t="s">
        <v>206</v>
      </c>
      <c r="E28" s="14"/>
      <c r="F28" s="14"/>
      <c r="G28" s="14"/>
      <c r="H28" s="14"/>
      <c r="I28" s="14"/>
      <c r="J28" s="14"/>
    </row>
    <row r="29" spans="1:10" x14ac:dyDescent="0.2">
      <c r="A29" s="150" t="s">
        <v>205</v>
      </c>
      <c r="B29" s="150" t="s">
        <v>209</v>
      </c>
      <c r="C29" s="144" t="s">
        <v>173</v>
      </c>
      <c r="D29" s="146" t="s">
        <v>207</v>
      </c>
      <c r="E29" s="14"/>
      <c r="F29" s="14"/>
      <c r="G29" s="14"/>
      <c r="H29" s="14"/>
      <c r="I29" s="14"/>
      <c r="J29" s="14"/>
    </row>
    <row r="30" spans="1:10" x14ac:dyDescent="0.2">
      <c r="A30" s="150" t="s">
        <v>205</v>
      </c>
      <c r="B30" s="150" t="s">
        <v>179</v>
      </c>
      <c r="C30" s="144" t="s">
        <v>1299</v>
      </c>
      <c r="D30" s="146" t="s">
        <v>206</v>
      </c>
      <c r="E30" s="14">
        <v>1.2162882761905599E-2</v>
      </c>
      <c r="F30" s="14">
        <v>2.9532935451460001E-2</v>
      </c>
      <c r="G30" s="14">
        <v>-1.7254523567707101E-2</v>
      </c>
      <c r="H30" s="14">
        <v>4.0426832607901803E-3</v>
      </c>
      <c r="I30" s="14">
        <v>2.3399607337684199E-2</v>
      </c>
      <c r="J30" s="14">
        <v>5.5160908418825497E-2</v>
      </c>
    </row>
    <row r="31" spans="1:10" x14ac:dyDescent="0.2">
      <c r="A31" s="150" t="s">
        <v>205</v>
      </c>
      <c r="B31" s="150" t="s">
        <v>179</v>
      </c>
      <c r="C31" s="144" t="s">
        <v>1299</v>
      </c>
      <c r="D31" s="146" t="s">
        <v>207</v>
      </c>
      <c r="E31" s="14">
        <v>4.4873420740653104E-3</v>
      </c>
      <c r="F31" s="14">
        <v>4.25768560202886E-2</v>
      </c>
      <c r="G31" s="14">
        <v>-6.1665986550695398E-2</v>
      </c>
      <c r="H31" s="14">
        <v>-7.49310009682886E-3</v>
      </c>
      <c r="I31" s="14">
        <v>1.53680801263762E-2</v>
      </c>
      <c r="J31" s="14">
        <v>4.40847074837128E-2</v>
      </c>
    </row>
    <row r="32" spans="1:10" x14ac:dyDescent="0.2">
      <c r="A32" s="150" t="s">
        <v>205</v>
      </c>
      <c r="B32" s="150" t="s">
        <v>180</v>
      </c>
      <c r="C32" s="144" t="s">
        <v>1868</v>
      </c>
      <c r="D32" s="146" t="s">
        <v>206</v>
      </c>
      <c r="E32" s="14">
        <v>1.9631322686265201E-2</v>
      </c>
      <c r="F32" s="14">
        <v>3.1337256125812403E-2</v>
      </c>
      <c r="G32" s="14">
        <v>-1.41826057985133E-2</v>
      </c>
      <c r="H32" s="14">
        <v>8.0868611971996705E-3</v>
      </c>
      <c r="I32" s="14">
        <v>3.2102188632633803E-2</v>
      </c>
      <c r="J32" s="14">
        <v>6.64876707596323E-2</v>
      </c>
    </row>
    <row r="33" spans="1:10" x14ac:dyDescent="0.2">
      <c r="A33" s="150" t="s">
        <v>205</v>
      </c>
      <c r="B33" s="150" t="s">
        <v>180</v>
      </c>
      <c r="C33" s="144" t="s">
        <v>1868</v>
      </c>
      <c r="D33" s="146" t="s">
        <v>207</v>
      </c>
      <c r="E33" s="14">
        <v>1.0455869916769899E-2</v>
      </c>
      <c r="F33" s="14">
        <v>5.8030960333262299E-2</v>
      </c>
      <c r="G33" s="14">
        <v>-6.9959751469201706E-2</v>
      </c>
      <c r="H33" s="14">
        <v>-7.4420077065142903E-3</v>
      </c>
      <c r="I33" s="14">
        <v>2.5127257668496598E-2</v>
      </c>
      <c r="J33" s="14">
        <v>6.1066042473042897E-2</v>
      </c>
    </row>
    <row r="34" spans="1:10" x14ac:dyDescent="0.2">
      <c r="A34" s="150" t="s">
        <v>205</v>
      </c>
      <c r="B34" s="150" t="s">
        <v>181</v>
      </c>
      <c r="C34" s="144" t="s">
        <v>1482</v>
      </c>
      <c r="D34" s="146" t="s">
        <v>206</v>
      </c>
      <c r="E34" s="14">
        <v>4.8014629522637402E-2</v>
      </c>
      <c r="F34" s="14">
        <v>3.9740867129502901E-2</v>
      </c>
      <c r="G34" s="14">
        <v>8.7393663224347301E-3</v>
      </c>
      <c r="H34" s="14">
        <v>3.1047791673395601E-2</v>
      </c>
      <c r="I34" s="14">
        <v>6.8759029517965406E-2</v>
      </c>
      <c r="J34" s="14">
        <v>0.11340177886168699</v>
      </c>
    </row>
    <row r="35" spans="1:10" x14ac:dyDescent="0.2">
      <c r="A35" s="150" t="s">
        <v>205</v>
      </c>
      <c r="B35" s="150" t="s">
        <v>181</v>
      </c>
      <c r="C35" s="144" t="s">
        <v>1482</v>
      </c>
      <c r="D35" s="146" t="s">
        <v>207</v>
      </c>
      <c r="E35" s="14">
        <v>3.9305552978956999E-2</v>
      </c>
      <c r="F35" s="14">
        <v>5.0004097530085397E-2</v>
      </c>
      <c r="G35" s="14">
        <v>-1.16513805952698E-2</v>
      </c>
      <c r="H35" s="14">
        <v>2.2784505034253302E-2</v>
      </c>
      <c r="I35" s="14">
        <v>6.0584811706127499E-2</v>
      </c>
      <c r="J35" s="14">
        <v>0.11438040081348901</v>
      </c>
    </row>
    <row r="36" spans="1:10" x14ac:dyDescent="0.2">
      <c r="A36" s="150" t="s">
        <v>205</v>
      </c>
      <c r="B36" s="150" t="s">
        <v>182</v>
      </c>
      <c r="C36" s="144" t="s">
        <v>1869</v>
      </c>
      <c r="D36" s="146" t="s">
        <v>206</v>
      </c>
      <c r="E36" s="14">
        <v>1.79265776868992E-2</v>
      </c>
      <c r="F36" s="14">
        <v>2.9489576005905301E-2</v>
      </c>
      <c r="G36" s="14">
        <v>-1.32552880371569E-2</v>
      </c>
      <c r="H36" s="14">
        <v>8.7615390060710695E-3</v>
      </c>
      <c r="I36" s="14">
        <v>3.2015632568833198E-2</v>
      </c>
      <c r="J36" s="14">
        <v>6.2219233309386203E-2</v>
      </c>
    </row>
    <row r="37" spans="1:10" x14ac:dyDescent="0.2">
      <c r="A37" s="150" t="s">
        <v>205</v>
      </c>
      <c r="B37" s="150" t="s">
        <v>182</v>
      </c>
      <c r="C37" s="144" t="s">
        <v>1124</v>
      </c>
      <c r="D37" s="146" t="s">
        <v>207</v>
      </c>
      <c r="E37" s="14">
        <v>8.9871641115298207E-3</v>
      </c>
      <c r="F37" s="14">
        <v>3.9563205722058403E-2</v>
      </c>
      <c r="G37" s="14">
        <v>-4.6157096085729203E-2</v>
      </c>
      <c r="H37" s="14">
        <v>-1.43144582313456E-3</v>
      </c>
      <c r="I37" s="14">
        <v>2.5573937122185201E-2</v>
      </c>
      <c r="J37" s="14">
        <v>5.6520959187953398E-2</v>
      </c>
    </row>
    <row r="38" spans="1:10" x14ac:dyDescent="0.2">
      <c r="A38" s="150" t="s">
        <v>205</v>
      </c>
      <c r="B38" s="150" t="s">
        <v>183</v>
      </c>
      <c r="C38" s="144" t="s">
        <v>1050</v>
      </c>
      <c r="D38" s="146" t="s">
        <v>206</v>
      </c>
      <c r="E38" s="14">
        <v>4.0688085315133599E-2</v>
      </c>
      <c r="F38" s="14">
        <v>4.3668249468085001E-2</v>
      </c>
      <c r="G38" s="14">
        <v>3.9934306698574699E-3</v>
      </c>
      <c r="H38" s="14">
        <v>2.6303660902799599E-2</v>
      </c>
      <c r="I38" s="14">
        <v>5.8133212265099002E-2</v>
      </c>
      <c r="J38" s="14">
        <v>0.121044351025382</v>
      </c>
    </row>
    <row r="39" spans="1:10" x14ac:dyDescent="0.2">
      <c r="A39" s="150" t="s">
        <v>205</v>
      </c>
      <c r="B39" s="150" t="s">
        <v>183</v>
      </c>
      <c r="C39" s="144" t="s">
        <v>1050</v>
      </c>
      <c r="D39" s="146" t="s">
        <v>207</v>
      </c>
      <c r="E39" s="14">
        <v>2.83471311870831E-2</v>
      </c>
      <c r="F39" s="14">
        <v>9.1517031361384907E-2</v>
      </c>
      <c r="G39" s="14">
        <v>-0.14807947990099399</v>
      </c>
      <c r="H39" s="14">
        <v>2.5399886916369998E-3</v>
      </c>
      <c r="I39" s="14">
        <v>4.4973127774978097E-2</v>
      </c>
      <c r="J39" s="14">
        <v>0.120274980200742</v>
      </c>
    </row>
    <row r="40" spans="1:10" x14ac:dyDescent="0.2">
      <c r="A40" s="150" t="s">
        <v>205</v>
      </c>
      <c r="B40" s="150" t="s">
        <v>198</v>
      </c>
      <c r="C40" s="144" t="s">
        <v>185</v>
      </c>
      <c r="D40" s="146" t="s">
        <v>206</v>
      </c>
      <c r="E40" s="14">
        <v>2.4896308860038699E-2</v>
      </c>
      <c r="F40" s="14">
        <v>3.8059891289427002E-2</v>
      </c>
      <c r="G40" s="14">
        <v>-1.4537907302815701E-2</v>
      </c>
      <c r="H40" s="14">
        <v>1.2290930555288701E-2</v>
      </c>
      <c r="I40" s="14">
        <v>4.3466906021366498E-2</v>
      </c>
      <c r="J40" s="14">
        <v>8.6582194579786997E-2</v>
      </c>
    </row>
    <row r="41" spans="1:10" x14ac:dyDescent="0.2">
      <c r="A41" s="150" t="s">
        <v>205</v>
      </c>
      <c r="B41" s="150" t="s">
        <v>198</v>
      </c>
      <c r="C41" s="144" t="s">
        <v>185</v>
      </c>
      <c r="D41" s="146" t="s">
        <v>207</v>
      </c>
      <c r="E41" s="14">
        <v>1.4100534241710099E-2</v>
      </c>
      <c r="F41" s="14">
        <v>5.3948536598545399E-2</v>
      </c>
      <c r="G41" s="14">
        <v>-6.2516700991633395E-2</v>
      </c>
      <c r="H41" s="14">
        <v>-1.459412708955E-3</v>
      </c>
      <c r="I41" s="14">
        <v>3.2814465039162098E-2</v>
      </c>
      <c r="J41" s="14">
        <v>8.7366522003508501E-2</v>
      </c>
    </row>
    <row r="42" spans="1:10" x14ac:dyDescent="0.2">
      <c r="A42" s="150" t="s">
        <v>205</v>
      </c>
      <c r="B42" s="150" t="s">
        <v>198</v>
      </c>
      <c r="C42" s="144" t="s">
        <v>186</v>
      </c>
      <c r="D42" s="146" t="s">
        <v>206</v>
      </c>
      <c r="E42" s="14">
        <v>3.4511133723182597E-2</v>
      </c>
      <c r="F42" s="14">
        <v>3.9117774974825402E-2</v>
      </c>
      <c r="G42" s="14">
        <v>-1.02457503799498E-2</v>
      </c>
      <c r="H42" s="14">
        <v>1.8726563365577799E-2</v>
      </c>
      <c r="I42" s="14">
        <v>5.49608300991445E-2</v>
      </c>
      <c r="J42" s="14">
        <v>9.8123746612142404E-2</v>
      </c>
    </row>
    <row r="43" spans="1:10" x14ac:dyDescent="0.2">
      <c r="A43" s="150" t="s">
        <v>205</v>
      </c>
      <c r="B43" s="150" t="s">
        <v>198</v>
      </c>
      <c r="C43" s="144" t="s">
        <v>186</v>
      </c>
      <c r="D43" s="146" t="s">
        <v>207</v>
      </c>
      <c r="E43" s="14">
        <v>1.5695343092616099E-2</v>
      </c>
      <c r="F43" s="14">
        <v>4.7734078233758699E-2</v>
      </c>
      <c r="G43" s="14">
        <v>-4.1073006754230298E-2</v>
      </c>
      <c r="H43" s="14">
        <v>3.2259748972048399E-3</v>
      </c>
      <c r="I43" s="14">
        <v>3.1538928893406801E-2</v>
      </c>
      <c r="J43" s="14">
        <v>9.1959808329831194E-2</v>
      </c>
    </row>
    <row r="44" spans="1:10" x14ac:dyDescent="0.2">
      <c r="A44" s="150" t="s">
        <v>205</v>
      </c>
      <c r="B44" s="150" t="s">
        <v>198</v>
      </c>
      <c r="C44" s="144" t="s">
        <v>187</v>
      </c>
      <c r="D44" s="146" t="s">
        <v>206</v>
      </c>
      <c r="E44" s="14">
        <v>1.8706175231557601E-2</v>
      </c>
      <c r="F44" s="14">
        <v>3.9737562615927299E-2</v>
      </c>
      <c r="G44" s="14">
        <v>-3.3285313837818201E-2</v>
      </c>
      <c r="H44" s="14">
        <v>7.2409197442878303E-3</v>
      </c>
      <c r="I44" s="14">
        <v>3.2869065348361599E-2</v>
      </c>
      <c r="J44" s="14">
        <v>7.4974803073719704E-2</v>
      </c>
    </row>
    <row r="45" spans="1:10" x14ac:dyDescent="0.2">
      <c r="A45" s="150" t="s">
        <v>205</v>
      </c>
      <c r="B45" s="150" t="s">
        <v>198</v>
      </c>
      <c r="C45" s="144" t="s">
        <v>187</v>
      </c>
      <c r="D45" s="146" t="s">
        <v>207</v>
      </c>
      <c r="E45" s="14">
        <v>7.0658612600806702E-3</v>
      </c>
      <c r="F45" s="14">
        <v>5.0426705045069298E-2</v>
      </c>
      <c r="G45" s="14">
        <v>-7.3838034560312002E-2</v>
      </c>
      <c r="H45" s="14">
        <v>-7.9842141679736592E-3</v>
      </c>
      <c r="I45" s="14">
        <v>2.1422809242964198E-2</v>
      </c>
      <c r="J45" s="14">
        <v>6.91332568586768E-2</v>
      </c>
    </row>
    <row r="46" spans="1:10" x14ac:dyDescent="0.2">
      <c r="A46" s="150" t="s">
        <v>205</v>
      </c>
      <c r="B46" s="150" t="s">
        <v>198</v>
      </c>
      <c r="C46" s="144" t="s">
        <v>188</v>
      </c>
      <c r="D46" s="146" t="s">
        <v>206</v>
      </c>
      <c r="E46" s="14">
        <v>2.27350627245449E-2</v>
      </c>
      <c r="F46" s="14">
        <v>3.40137874454935E-2</v>
      </c>
      <c r="G46" s="14">
        <v>-1.0805907243780199E-2</v>
      </c>
      <c r="H46" s="14">
        <v>1.15617152740419E-2</v>
      </c>
      <c r="I46" s="14">
        <v>3.97226037504399E-2</v>
      </c>
      <c r="J46" s="14">
        <v>7.8587976337196094E-2</v>
      </c>
    </row>
    <row r="47" spans="1:10" x14ac:dyDescent="0.2">
      <c r="A47" s="150" t="s">
        <v>205</v>
      </c>
      <c r="B47" s="150" t="s">
        <v>198</v>
      </c>
      <c r="C47" s="144" t="s">
        <v>188</v>
      </c>
      <c r="D47" s="146" t="s">
        <v>207</v>
      </c>
      <c r="E47" s="14">
        <v>1.4778763967262401E-2</v>
      </c>
      <c r="F47" s="14">
        <v>5.25976884408485E-2</v>
      </c>
      <c r="G47" s="14">
        <v>-6.1553345267661402E-2</v>
      </c>
      <c r="H47" s="14">
        <v>-2.3117842466586899E-3</v>
      </c>
      <c r="I47" s="14">
        <v>3.7444612632921898E-2</v>
      </c>
      <c r="J47" s="14">
        <v>8.9068551575681901E-2</v>
      </c>
    </row>
    <row r="48" spans="1:10" x14ac:dyDescent="0.2">
      <c r="A48" s="150" t="s">
        <v>205</v>
      </c>
      <c r="B48" s="150" t="s">
        <v>198</v>
      </c>
      <c r="C48" s="144" t="s">
        <v>189</v>
      </c>
      <c r="D48" s="146" t="s">
        <v>206</v>
      </c>
      <c r="E48" s="14">
        <v>2.26979274825326E-2</v>
      </c>
      <c r="F48" s="14">
        <v>3.5615108134399401E-2</v>
      </c>
      <c r="G48" s="14">
        <v>-1.09324239969147E-2</v>
      </c>
      <c r="H48" s="14">
        <v>1.10531035768206E-2</v>
      </c>
      <c r="I48" s="14">
        <v>3.7225794453302499E-2</v>
      </c>
      <c r="J48" s="14">
        <v>7.7110566652898602E-2</v>
      </c>
    </row>
    <row r="49" spans="1:10" x14ac:dyDescent="0.2">
      <c r="A49" s="150" t="s">
        <v>205</v>
      </c>
      <c r="B49" s="150" t="s">
        <v>198</v>
      </c>
      <c r="C49" s="144" t="s">
        <v>189</v>
      </c>
      <c r="D49" s="146" t="s">
        <v>207</v>
      </c>
      <c r="E49" s="14">
        <v>1.5026452977407E-2</v>
      </c>
      <c r="F49" s="14">
        <v>4.8847105767658897E-2</v>
      </c>
      <c r="G49" s="14">
        <v>-4.9402255057068398E-2</v>
      </c>
      <c r="H49" s="14">
        <v>2.9853376646105999E-3</v>
      </c>
      <c r="I49" s="14">
        <v>3.1678112314253999E-2</v>
      </c>
      <c r="J49" s="14">
        <v>8.3689759547432102E-2</v>
      </c>
    </row>
    <row r="50" spans="1:10" x14ac:dyDescent="0.2">
      <c r="A50" s="150" t="s">
        <v>205</v>
      </c>
      <c r="B50" s="150" t="s">
        <v>198</v>
      </c>
      <c r="C50" s="144" t="s">
        <v>190</v>
      </c>
      <c r="D50" s="146" t="s">
        <v>206</v>
      </c>
      <c r="E50" s="14">
        <v>3.7059453522717403E-2</v>
      </c>
      <c r="F50" s="14">
        <v>4.0111077316286999E-2</v>
      </c>
      <c r="G50" s="14">
        <v>-1.0256830585307099E-2</v>
      </c>
      <c r="H50" s="14">
        <v>1.8940351361898401E-2</v>
      </c>
      <c r="I50" s="14">
        <v>5.8025761667356297E-2</v>
      </c>
      <c r="J50" s="14">
        <v>9.7786449042972706E-2</v>
      </c>
    </row>
    <row r="51" spans="1:10" x14ac:dyDescent="0.2">
      <c r="A51" s="150" t="s">
        <v>205</v>
      </c>
      <c r="B51" s="150" t="s">
        <v>198</v>
      </c>
      <c r="C51" s="144" t="s">
        <v>190</v>
      </c>
      <c r="D51" s="146" t="s">
        <v>207</v>
      </c>
      <c r="E51" s="14">
        <v>1.6190988063331101E-2</v>
      </c>
      <c r="F51" s="14">
        <v>6.1282151572031797E-2</v>
      </c>
      <c r="G51" s="14">
        <v>-7.4875713253513596E-2</v>
      </c>
      <c r="H51" s="14">
        <v>-2.0872374996831699E-3</v>
      </c>
      <c r="I51" s="14">
        <v>3.7915329289188601E-2</v>
      </c>
      <c r="J51" s="14">
        <v>9.9093599667208002E-2</v>
      </c>
    </row>
    <row r="52" spans="1:10" x14ac:dyDescent="0.2">
      <c r="A52" s="150" t="s">
        <v>205</v>
      </c>
      <c r="B52" s="150" t="s">
        <v>209</v>
      </c>
      <c r="C52" s="144" t="s">
        <v>173</v>
      </c>
      <c r="D52" s="146" t="s">
        <v>206</v>
      </c>
      <c r="E52" s="14"/>
      <c r="F52" s="14"/>
      <c r="G52" s="14"/>
      <c r="H52" s="14"/>
      <c r="I52" s="14"/>
      <c r="J52" s="14"/>
    </row>
    <row r="53" spans="1:10" x14ac:dyDescent="0.2">
      <c r="A53" s="150" t="s">
        <v>205</v>
      </c>
      <c r="B53" s="150" t="s">
        <v>209</v>
      </c>
      <c r="C53" s="144" t="s">
        <v>173</v>
      </c>
      <c r="D53" s="146" t="s">
        <v>207</v>
      </c>
      <c r="E53" s="14"/>
      <c r="F53" s="14"/>
      <c r="G53" s="14"/>
      <c r="H53" s="14"/>
      <c r="I53" s="14"/>
      <c r="J53" s="14"/>
    </row>
    <row r="54" spans="1:10" x14ac:dyDescent="0.2">
      <c r="A54" s="150" t="s">
        <v>205</v>
      </c>
      <c r="B54" s="150" t="s">
        <v>191</v>
      </c>
      <c r="C54" s="144" t="s">
        <v>1703</v>
      </c>
      <c r="D54" s="146" t="s">
        <v>206</v>
      </c>
      <c r="E54" s="14">
        <v>1.8842384209175E-2</v>
      </c>
      <c r="F54" s="14">
        <v>4.10055264063676E-2</v>
      </c>
      <c r="G54" s="14">
        <v>-2.8110748937788602E-2</v>
      </c>
      <c r="H54" s="14">
        <v>6.4556547710245002E-3</v>
      </c>
      <c r="I54" s="14">
        <v>4.0913533598472301E-2</v>
      </c>
      <c r="J54" s="14">
        <v>8.4935176511447094E-2</v>
      </c>
    </row>
    <row r="55" spans="1:10" x14ac:dyDescent="0.2">
      <c r="A55" s="150" t="s">
        <v>205</v>
      </c>
      <c r="B55" s="150" t="s">
        <v>191</v>
      </c>
      <c r="C55" s="144" t="s">
        <v>1703</v>
      </c>
      <c r="D55" s="146" t="s">
        <v>207</v>
      </c>
      <c r="E55" s="14">
        <v>-3.3180494497033003E-2</v>
      </c>
      <c r="F55" s="14">
        <v>7.7053578433391903E-2</v>
      </c>
      <c r="G55" s="14">
        <v>-0.140191878523616</v>
      </c>
      <c r="H55" s="14">
        <v>-5.14519825129627E-2</v>
      </c>
      <c r="I55" s="14">
        <v>1.7145051187406599E-3</v>
      </c>
      <c r="J55" s="14">
        <v>7.1359311438181403E-2</v>
      </c>
    </row>
    <row r="56" spans="1:10" x14ac:dyDescent="0.2">
      <c r="A56" s="150" t="s">
        <v>205</v>
      </c>
      <c r="B56" s="150" t="s">
        <v>192</v>
      </c>
      <c r="C56" s="144" t="s">
        <v>1718</v>
      </c>
      <c r="D56" s="146" t="s">
        <v>206</v>
      </c>
      <c r="E56" s="14">
        <v>3.1567607352552103E-2</v>
      </c>
      <c r="F56" s="14">
        <v>4.3412895764054701E-2</v>
      </c>
      <c r="G56" s="14">
        <v>-1.6797112354411701E-2</v>
      </c>
      <c r="H56" s="14">
        <v>1.50305723058089E-2</v>
      </c>
      <c r="I56" s="14">
        <v>5.2588925717017697E-2</v>
      </c>
      <c r="J56" s="14">
        <v>0.105426378265043</v>
      </c>
    </row>
    <row r="57" spans="1:10" x14ac:dyDescent="0.2">
      <c r="A57" s="150" t="s">
        <v>205</v>
      </c>
      <c r="B57" s="150" t="s">
        <v>192</v>
      </c>
      <c r="C57" s="144" t="s">
        <v>1718</v>
      </c>
      <c r="D57" s="146" t="s">
        <v>207</v>
      </c>
      <c r="E57" s="14">
        <v>1.9253366891040201E-2</v>
      </c>
      <c r="F57" s="14">
        <v>5.11118139699034E-2</v>
      </c>
      <c r="G57" s="14">
        <v>-6.4818911474670199E-2</v>
      </c>
      <c r="H57" s="14">
        <v>-1.65397200743748E-3</v>
      </c>
      <c r="I57" s="14">
        <v>5.0684719602730098E-2</v>
      </c>
      <c r="J57" s="14">
        <v>9.6901519605916295E-2</v>
      </c>
    </row>
    <row r="58" spans="1:10" x14ac:dyDescent="0.2">
      <c r="A58" s="150" t="s">
        <v>205</v>
      </c>
      <c r="B58" s="150" t="s">
        <v>193</v>
      </c>
      <c r="C58" s="144" t="s">
        <v>1919</v>
      </c>
      <c r="D58" s="146" t="s">
        <v>206</v>
      </c>
      <c r="E58" s="14">
        <v>2.7270750661847299E-2</v>
      </c>
      <c r="F58" s="14">
        <v>4.5235215676030401E-2</v>
      </c>
      <c r="G58" s="14">
        <v>-2.5473913507086901E-2</v>
      </c>
      <c r="H58" s="14">
        <v>1.10674096943798E-2</v>
      </c>
      <c r="I58" s="14">
        <v>5.3607388306331299E-2</v>
      </c>
      <c r="J58" s="14">
        <v>9.7651607220329506E-2</v>
      </c>
    </row>
    <row r="59" spans="1:10" x14ac:dyDescent="0.2">
      <c r="A59" s="150" t="s">
        <v>205</v>
      </c>
      <c r="B59" s="150" t="s">
        <v>193</v>
      </c>
      <c r="C59" s="144" t="s">
        <v>1919</v>
      </c>
      <c r="D59" s="146" t="s">
        <v>207</v>
      </c>
      <c r="E59" s="14">
        <v>1.0529336935014901E-2</v>
      </c>
      <c r="F59" s="14">
        <v>3.7033473032728498E-2</v>
      </c>
      <c r="G59" s="14">
        <v>-2.7626833150785401E-2</v>
      </c>
      <c r="H59" s="14">
        <v>4.0802271093901502E-3</v>
      </c>
      <c r="I59" s="14">
        <v>3.2630684779929302E-2</v>
      </c>
      <c r="J59" s="14">
        <v>7.9146961515771094E-2</v>
      </c>
    </row>
    <row r="60" spans="1:10" x14ac:dyDescent="0.2">
      <c r="A60" s="150" t="s">
        <v>205</v>
      </c>
      <c r="B60" s="144" t="s">
        <v>1865</v>
      </c>
      <c r="C60" s="144" t="s">
        <v>304</v>
      </c>
      <c r="D60" s="146" t="s">
        <v>206</v>
      </c>
      <c r="E60" s="14">
        <v>1.9316002044270301E-2</v>
      </c>
      <c r="F60" s="14">
        <v>3.3401117377869799E-2</v>
      </c>
      <c r="G60" s="14">
        <v>-1.1724228328109E-2</v>
      </c>
      <c r="H60" s="14">
        <v>9.1527541526250505E-3</v>
      </c>
      <c r="I60" s="14">
        <v>3.3963376143480099E-2</v>
      </c>
      <c r="J60" s="14">
        <v>7.2830105183525201E-2</v>
      </c>
    </row>
    <row r="61" spans="1:10" x14ac:dyDescent="0.2">
      <c r="A61" s="150" t="s">
        <v>205</v>
      </c>
      <c r="B61" s="144" t="s">
        <v>1865</v>
      </c>
      <c r="C61" s="144" t="s">
        <v>304</v>
      </c>
      <c r="D61" s="146" t="s">
        <v>207</v>
      </c>
      <c r="E61" s="14">
        <v>1.5565115688548899E-2</v>
      </c>
      <c r="F61" s="14">
        <v>4.5717255560246403E-2</v>
      </c>
      <c r="G61" s="14">
        <v>-4.5808939977981397E-2</v>
      </c>
      <c r="H61" s="14">
        <v>3.6115728952388401E-3</v>
      </c>
      <c r="I61" s="14">
        <v>3.2138305438795402E-2</v>
      </c>
      <c r="J61" s="14">
        <v>7.2858747031098098E-2</v>
      </c>
    </row>
  </sheetData>
  <phoneticPr fontId="1"/>
  <conditionalFormatting sqref="D2:D12">
    <cfRule type="cellIs" priority="7" operator="lessThan">
      <formula>0</formula>
    </cfRule>
  </conditionalFormatting>
  <conditionalFormatting sqref="E2:J59">
    <cfRule type="cellIs" dxfId="21" priority="3" operator="lessThan">
      <formula>0</formula>
    </cfRule>
  </conditionalFormatting>
  <conditionalFormatting sqref="E60:J61">
    <cfRule type="cellIs" dxfId="20" priority="2" operator="lessThan">
      <formula>0</formula>
    </cfRule>
  </conditionalFormatting>
  <conditionalFormatting sqref="C2:C12">
    <cfRule type="cellIs" dxfId="19" priority="1" operator="lessThan">
      <formula>0</formula>
    </cfRule>
  </conditionalFormatting>
  <pageMargins left="0.7" right="0.7" top="0.75" bottom="0.75" header="0.3" footer="0.3"/>
  <pageSetup paperSize="9" scale="9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J64"/>
  <sheetViews>
    <sheetView workbookViewId="0"/>
  </sheetViews>
  <sheetFormatPr defaultColWidth="9" defaultRowHeight="10.8" x14ac:dyDescent="0.2"/>
  <cols>
    <col min="1" max="1" width="19.33203125" style="143" bestFit="1" customWidth="1"/>
    <col min="2" max="2" width="25.6640625" style="143" bestFit="1" customWidth="1"/>
    <col min="3" max="3" width="30.21875" style="143" bestFit="1" customWidth="1"/>
    <col min="4" max="4" width="13" style="143" bestFit="1" customWidth="1"/>
    <col min="5" max="16384" width="9" style="143"/>
  </cols>
  <sheetData>
    <row r="1" spans="1:10" x14ac:dyDescent="0.2">
      <c r="A1" s="1" t="s">
        <v>200</v>
      </c>
      <c r="B1" s="2" t="s">
        <v>201</v>
      </c>
      <c r="C1" s="2" t="s">
        <v>202</v>
      </c>
      <c r="D1" s="3" t="s">
        <v>203</v>
      </c>
      <c r="E1" s="3" t="s">
        <v>204</v>
      </c>
      <c r="F1" s="3" t="s">
        <v>15</v>
      </c>
      <c r="G1" s="3" t="s">
        <v>216</v>
      </c>
      <c r="H1" s="3" t="s">
        <v>217</v>
      </c>
      <c r="I1" s="3" t="s">
        <v>218</v>
      </c>
      <c r="J1" s="3" t="s">
        <v>219</v>
      </c>
    </row>
    <row r="2" spans="1:10" x14ac:dyDescent="0.2">
      <c r="A2" s="147" t="s">
        <v>210</v>
      </c>
      <c r="B2" s="145" t="s">
        <v>162</v>
      </c>
      <c r="C2" s="142" t="s">
        <v>281</v>
      </c>
      <c r="D2" s="149" t="s">
        <v>206</v>
      </c>
      <c r="E2" s="7">
        <v>561.19385393046105</v>
      </c>
      <c r="F2" s="7">
        <v>2593.4313571154898</v>
      </c>
      <c r="G2" s="7">
        <v>-542.30158730158701</v>
      </c>
      <c r="H2" s="7">
        <v>268.066666666667</v>
      </c>
      <c r="I2" s="7">
        <v>1716.70011947431</v>
      </c>
      <c r="J2" s="7">
        <v>6398.34514306448</v>
      </c>
    </row>
    <row r="3" spans="1:10" x14ac:dyDescent="0.2">
      <c r="A3" s="147" t="s">
        <v>210</v>
      </c>
      <c r="B3" s="145" t="s">
        <v>162</v>
      </c>
      <c r="C3" s="142" t="s">
        <v>281</v>
      </c>
      <c r="D3" s="149" t="s">
        <v>207</v>
      </c>
      <c r="E3" s="7">
        <v>306</v>
      </c>
      <c r="F3" s="7">
        <v>2804.9236556770302</v>
      </c>
      <c r="G3" s="7">
        <v>-2324.3333333333298</v>
      </c>
      <c r="H3" s="7">
        <v>-440.53703703703701</v>
      </c>
      <c r="I3" s="7">
        <v>1208.98039215686</v>
      </c>
      <c r="J3" s="7">
        <v>3761.7142857142899</v>
      </c>
    </row>
    <row r="4" spans="1:10" x14ac:dyDescent="0.2">
      <c r="A4" s="147" t="s">
        <v>210</v>
      </c>
      <c r="B4" s="145" t="s">
        <v>196</v>
      </c>
      <c r="C4" s="142" t="s">
        <v>374</v>
      </c>
      <c r="D4" s="149" t="s">
        <v>206</v>
      </c>
      <c r="E4" s="7">
        <v>1163.31902529128</v>
      </c>
      <c r="F4" s="7">
        <v>1921.11211164058</v>
      </c>
      <c r="G4" s="7">
        <v>-91.869144144144201</v>
      </c>
      <c r="H4" s="7">
        <v>568.30156907768799</v>
      </c>
      <c r="I4" s="7">
        <v>2019.9613526569999</v>
      </c>
      <c r="J4" s="7">
        <v>4345.5686367218304</v>
      </c>
    </row>
    <row r="5" spans="1:10" x14ac:dyDescent="0.2">
      <c r="A5" s="147" t="s">
        <v>210</v>
      </c>
      <c r="B5" s="145" t="s">
        <v>196</v>
      </c>
      <c r="C5" s="142" t="s">
        <v>374</v>
      </c>
      <c r="D5" s="149" t="s">
        <v>207</v>
      </c>
      <c r="E5" s="7">
        <v>603.88888888888903</v>
      </c>
      <c r="F5" s="7">
        <v>2197.3445821529299</v>
      </c>
      <c r="G5" s="7">
        <v>-895.9</v>
      </c>
      <c r="H5" s="7">
        <v>169.61904761904799</v>
      </c>
      <c r="I5" s="7">
        <v>1315.5789473684199</v>
      </c>
      <c r="J5" s="7">
        <v>3687.8333333333298</v>
      </c>
    </row>
    <row r="6" spans="1:10" x14ac:dyDescent="0.2">
      <c r="A6" s="147" t="s">
        <v>210</v>
      </c>
      <c r="B6" s="145" t="s">
        <v>208</v>
      </c>
      <c r="C6" s="142" t="s">
        <v>167</v>
      </c>
      <c r="D6" s="149" t="s">
        <v>206</v>
      </c>
      <c r="E6" s="7">
        <v>702.256666666667</v>
      </c>
      <c r="F6" s="7">
        <v>1608.2194951113199</v>
      </c>
      <c r="G6" s="7">
        <v>-387.47003203583301</v>
      </c>
      <c r="H6" s="7">
        <v>299.09090909090901</v>
      </c>
      <c r="I6" s="7">
        <v>1329.6831816649801</v>
      </c>
      <c r="J6" s="7">
        <v>3216.1011635663699</v>
      </c>
    </row>
    <row r="7" spans="1:10" x14ac:dyDescent="0.2">
      <c r="A7" s="147" t="s">
        <v>210</v>
      </c>
      <c r="B7" s="145" t="s">
        <v>208</v>
      </c>
      <c r="C7" s="142" t="s">
        <v>167</v>
      </c>
      <c r="D7" s="149" t="s">
        <v>207</v>
      </c>
      <c r="E7" s="7">
        <v>590.26666666666699</v>
      </c>
      <c r="F7" s="7">
        <v>2183.5803711133099</v>
      </c>
      <c r="G7" s="7">
        <v>-1105.2666666666701</v>
      </c>
      <c r="H7" s="7">
        <v>143.625</v>
      </c>
      <c r="I7" s="7">
        <v>1226.4666666666701</v>
      </c>
      <c r="J7" s="7">
        <v>3411.8787878787898</v>
      </c>
    </row>
    <row r="8" spans="1:10" x14ac:dyDescent="0.2">
      <c r="A8" s="147" t="s">
        <v>210</v>
      </c>
      <c r="B8" s="145" t="s">
        <v>208</v>
      </c>
      <c r="C8" s="142" t="s">
        <v>168</v>
      </c>
      <c r="D8" s="149" t="s">
        <v>206</v>
      </c>
      <c r="E8" s="7">
        <v>629.23087874584701</v>
      </c>
      <c r="F8" s="7">
        <v>1646.2149032474999</v>
      </c>
      <c r="G8" s="7">
        <v>-470.61346153846199</v>
      </c>
      <c r="H8" s="7">
        <v>261.339173340961</v>
      </c>
      <c r="I8" s="7">
        <v>1230.0734466225799</v>
      </c>
      <c r="J8" s="7">
        <v>3238.1695459725102</v>
      </c>
    </row>
    <row r="9" spans="1:10" x14ac:dyDescent="0.2">
      <c r="A9" s="147" t="s">
        <v>210</v>
      </c>
      <c r="B9" s="145" t="s">
        <v>208</v>
      </c>
      <c r="C9" s="142" t="s">
        <v>168</v>
      </c>
      <c r="D9" s="149" t="s">
        <v>207</v>
      </c>
      <c r="E9" s="7">
        <v>595.18660968661004</v>
      </c>
      <c r="F9" s="7">
        <v>2412.6862374019001</v>
      </c>
      <c r="G9" s="7">
        <v>-1320.6547619047601</v>
      </c>
      <c r="H9" s="7">
        <v>35.4444444444445</v>
      </c>
      <c r="I9" s="7">
        <v>1253.6666666666699</v>
      </c>
      <c r="J9" s="7">
        <v>3831.86666666667</v>
      </c>
    </row>
    <row r="10" spans="1:10" x14ac:dyDescent="0.2">
      <c r="A10" s="147" t="s">
        <v>210</v>
      </c>
      <c r="B10" s="145" t="s">
        <v>208</v>
      </c>
      <c r="C10" s="142" t="s">
        <v>169</v>
      </c>
      <c r="D10" s="149" t="s">
        <v>206</v>
      </c>
      <c r="E10" s="7">
        <v>1183.72706049095</v>
      </c>
      <c r="F10" s="7">
        <v>2179.0356228318901</v>
      </c>
      <c r="G10" s="7">
        <v>-394.85275613275599</v>
      </c>
      <c r="H10" s="7">
        <v>561.15740740740705</v>
      </c>
      <c r="I10" s="7">
        <v>2091.2952380952402</v>
      </c>
      <c r="J10" s="7">
        <v>4588.17347222222</v>
      </c>
    </row>
    <row r="11" spans="1:10" x14ac:dyDescent="0.2">
      <c r="A11" s="147" t="s">
        <v>210</v>
      </c>
      <c r="B11" s="145" t="s">
        <v>208</v>
      </c>
      <c r="C11" s="142" t="s">
        <v>169</v>
      </c>
      <c r="D11" s="149" t="s">
        <v>207</v>
      </c>
      <c r="E11" s="7">
        <v>774.63888888888903</v>
      </c>
      <c r="F11" s="7">
        <v>3185.9814154021401</v>
      </c>
      <c r="G11" s="7">
        <v>-1096.86666666667</v>
      </c>
      <c r="H11" s="7">
        <v>323.7</v>
      </c>
      <c r="I11" s="7">
        <v>1364.5333333333299</v>
      </c>
      <c r="J11" s="7">
        <v>5442.45</v>
      </c>
    </row>
    <row r="12" spans="1:10" x14ac:dyDescent="0.2">
      <c r="A12" s="147" t="s">
        <v>210</v>
      </c>
      <c r="B12" s="145" t="s">
        <v>208</v>
      </c>
      <c r="C12" s="142" t="s">
        <v>170</v>
      </c>
      <c r="D12" s="149" t="s">
        <v>206</v>
      </c>
      <c r="E12" s="7">
        <v>770.80125052543099</v>
      </c>
      <c r="F12" s="7">
        <v>1790.9973626413901</v>
      </c>
      <c r="G12" s="7">
        <v>-464.60416666666703</v>
      </c>
      <c r="H12" s="7">
        <v>313.091077441077</v>
      </c>
      <c r="I12" s="7">
        <v>1450.2668650793701</v>
      </c>
      <c r="J12" s="7">
        <v>3496.69677419355</v>
      </c>
    </row>
    <row r="13" spans="1:10" x14ac:dyDescent="0.2">
      <c r="A13" s="146" t="s">
        <v>210</v>
      </c>
      <c r="B13" s="146" t="s">
        <v>208</v>
      </c>
      <c r="C13" s="144" t="s">
        <v>170</v>
      </c>
      <c r="D13" s="146" t="s">
        <v>207</v>
      </c>
      <c r="E13" s="7">
        <v>489.972222222222</v>
      </c>
      <c r="F13" s="7">
        <v>2668.7919627275401</v>
      </c>
      <c r="G13" s="7">
        <v>-1085.0370370370399</v>
      </c>
      <c r="H13" s="7">
        <v>74.720238095238102</v>
      </c>
      <c r="I13" s="7">
        <v>1221.8280423280401</v>
      </c>
      <c r="J13" s="7">
        <v>3862.2777777777801</v>
      </c>
    </row>
    <row r="14" spans="1:10" x14ac:dyDescent="0.2">
      <c r="A14" s="146" t="s">
        <v>210</v>
      </c>
      <c r="B14" s="146" t="s">
        <v>208</v>
      </c>
      <c r="C14" s="144" t="s">
        <v>171</v>
      </c>
      <c r="D14" s="146" t="s">
        <v>206</v>
      </c>
      <c r="E14" s="7">
        <v>669.78249475891005</v>
      </c>
      <c r="F14" s="7">
        <v>1453.12483736268</v>
      </c>
      <c r="G14" s="7">
        <v>-364.39473684210498</v>
      </c>
      <c r="H14" s="7">
        <v>276.84920634920599</v>
      </c>
      <c r="I14" s="7">
        <v>1264.6978070175401</v>
      </c>
      <c r="J14" s="7">
        <v>2999.1119281045799</v>
      </c>
    </row>
    <row r="15" spans="1:10" x14ac:dyDescent="0.2">
      <c r="A15" s="146" t="s">
        <v>210</v>
      </c>
      <c r="B15" s="146" t="s">
        <v>208</v>
      </c>
      <c r="C15" s="144" t="s">
        <v>171</v>
      </c>
      <c r="D15" s="146" t="s">
        <v>207</v>
      </c>
      <c r="E15" s="7">
        <v>551.89444444444405</v>
      </c>
      <c r="F15" s="7">
        <v>1926.91987993573</v>
      </c>
      <c r="G15" s="7">
        <v>-717.67427248677302</v>
      </c>
      <c r="H15" s="7">
        <v>181.555555555556</v>
      </c>
      <c r="I15" s="7">
        <v>1177.5833333333301</v>
      </c>
      <c r="J15" s="7">
        <v>3005.1388888888901</v>
      </c>
    </row>
    <row r="16" spans="1:10" x14ac:dyDescent="0.2">
      <c r="A16" s="146" t="s">
        <v>210</v>
      </c>
      <c r="B16" s="146" t="s">
        <v>208</v>
      </c>
      <c r="C16" s="144" t="s">
        <v>172</v>
      </c>
      <c r="D16" s="146" t="s">
        <v>206</v>
      </c>
      <c r="E16" s="7">
        <v>837.73617783010695</v>
      </c>
      <c r="F16" s="7">
        <v>1674.3213645774699</v>
      </c>
      <c r="G16" s="7">
        <v>-264.59892473118299</v>
      </c>
      <c r="H16" s="7">
        <v>391.25757575757598</v>
      </c>
      <c r="I16" s="7">
        <v>1508.70077061813</v>
      </c>
      <c r="J16" s="7">
        <v>3438.71419843597</v>
      </c>
    </row>
    <row r="17" spans="1:10" x14ac:dyDescent="0.2">
      <c r="A17" s="146" t="s">
        <v>210</v>
      </c>
      <c r="B17" s="146" t="s">
        <v>208</v>
      </c>
      <c r="C17" s="144" t="s">
        <v>172</v>
      </c>
      <c r="D17" s="146" t="s">
        <v>207</v>
      </c>
      <c r="E17" s="7">
        <v>751.87222222222204</v>
      </c>
      <c r="F17" s="7">
        <v>2157.00790762426</v>
      </c>
      <c r="G17" s="7">
        <v>-1118.3461538461499</v>
      </c>
      <c r="H17" s="7">
        <v>238.23333333333301</v>
      </c>
      <c r="I17" s="7">
        <v>1412.88333333333</v>
      </c>
      <c r="J17" s="7">
        <v>3666.0740740740698</v>
      </c>
    </row>
    <row r="18" spans="1:10" x14ac:dyDescent="0.2">
      <c r="A18" s="146" t="s">
        <v>210</v>
      </c>
      <c r="B18" s="146" t="s">
        <v>209</v>
      </c>
      <c r="C18" s="144" t="s">
        <v>173</v>
      </c>
      <c r="D18" s="146" t="s">
        <v>206</v>
      </c>
      <c r="E18" s="7"/>
      <c r="F18" s="7"/>
      <c r="G18" s="7"/>
      <c r="H18" s="7"/>
      <c r="I18" s="7"/>
      <c r="J18" s="7"/>
    </row>
    <row r="19" spans="1:10" x14ac:dyDescent="0.2">
      <c r="A19" s="146" t="s">
        <v>210</v>
      </c>
      <c r="B19" s="146" t="s">
        <v>209</v>
      </c>
      <c r="C19" s="144" t="s">
        <v>173</v>
      </c>
      <c r="D19" s="146" t="s">
        <v>207</v>
      </c>
      <c r="E19" s="7"/>
      <c r="F19" s="7"/>
      <c r="G19" s="7"/>
      <c r="H19" s="7"/>
      <c r="I19" s="7"/>
      <c r="J19" s="7"/>
    </row>
    <row r="20" spans="1:10" x14ac:dyDescent="0.2">
      <c r="A20" s="146" t="s">
        <v>210</v>
      </c>
      <c r="B20" s="146" t="s">
        <v>174</v>
      </c>
      <c r="C20" s="144" t="s">
        <v>175</v>
      </c>
      <c r="D20" s="146" t="s">
        <v>206</v>
      </c>
      <c r="E20" s="7">
        <v>902.02277964598602</v>
      </c>
      <c r="F20" s="7">
        <v>1997.2744703094099</v>
      </c>
      <c r="G20" s="7">
        <v>-401.97181372548999</v>
      </c>
      <c r="H20" s="7">
        <v>409.6</v>
      </c>
      <c r="I20" s="7">
        <v>1636.5128676470599</v>
      </c>
      <c r="J20" s="7">
        <v>4076.0535714285702</v>
      </c>
    </row>
    <row r="21" spans="1:10" x14ac:dyDescent="0.2">
      <c r="A21" s="146" t="s">
        <v>210</v>
      </c>
      <c r="B21" s="146" t="s">
        <v>174</v>
      </c>
      <c r="C21" s="144" t="s">
        <v>175</v>
      </c>
      <c r="D21" s="146" t="s">
        <v>207</v>
      </c>
      <c r="E21" s="7">
        <v>837.7</v>
      </c>
      <c r="F21" s="7">
        <v>3178.6079421290801</v>
      </c>
      <c r="G21" s="7">
        <v>-1549.94444444444</v>
      </c>
      <c r="H21" s="7">
        <v>190.92222222222199</v>
      </c>
      <c r="I21" s="7">
        <v>1916</v>
      </c>
      <c r="J21" s="7">
        <v>5803</v>
      </c>
    </row>
    <row r="22" spans="1:10" x14ac:dyDescent="0.2">
      <c r="A22" s="146" t="s">
        <v>210</v>
      </c>
      <c r="B22" s="146" t="s">
        <v>174</v>
      </c>
      <c r="C22" s="144" t="s">
        <v>176</v>
      </c>
      <c r="D22" s="146" t="s">
        <v>206</v>
      </c>
      <c r="E22" s="7">
        <v>1154.53875968992</v>
      </c>
      <c r="F22" s="7">
        <v>2248.3853576894498</v>
      </c>
      <c r="G22" s="7">
        <v>-314.15873015873001</v>
      </c>
      <c r="H22" s="7">
        <v>519.70580808080797</v>
      </c>
      <c r="I22" s="7">
        <v>1947.5919473480501</v>
      </c>
      <c r="J22" s="7">
        <v>5009.00952380952</v>
      </c>
    </row>
    <row r="23" spans="1:10" x14ac:dyDescent="0.2">
      <c r="A23" s="146" t="s">
        <v>210</v>
      </c>
      <c r="B23" s="146" t="s">
        <v>174</v>
      </c>
      <c r="C23" s="144" t="s">
        <v>176</v>
      </c>
      <c r="D23" s="146" t="s">
        <v>207</v>
      </c>
      <c r="E23" s="7">
        <v>898.5</v>
      </c>
      <c r="F23" s="7">
        <v>3568.2372780406799</v>
      </c>
      <c r="G23" s="7">
        <v>-1686.9166666666699</v>
      </c>
      <c r="H23" s="7">
        <v>77.6666666666667</v>
      </c>
      <c r="I23" s="7">
        <v>2114.25</v>
      </c>
      <c r="J23" s="7">
        <v>5969.8333333333303</v>
      </c>
    </row>
    <row r="24" spans="1:10" x14ac:dyDescent="0.2">
      <c r="A24" s="146" t="s">
        <v>210</v>
      </c>
      <c r="B24" s="146" t="s">
        <v>174</v>
      </c>
      <c r="C24" s="144" t="s">
        <v>177</v>
      </c>
      <c r="D24" s="146" t="s">
        <v>206</v>
      </c>
      <c r="E24" s="7">
        <v>925.93428153717605</v>
      </c>
      <c r="F24" s="7">
        <v>2125.9116363841899</v>
      </c>
      <c r="G24" s="7">
        <v>-630.22222222222194</v>
      </c>
      <c r="H24" s="7">
        <v>348.43240740740703</v>
      </c>
      <c r="I24" s="7">
        <v>1720.8333333333301</v>
      </c>
      <c r="J24" s="7">
        <v>4622.9166666666697</v>
      </c>
    </row>
    <row r="25" spans="1:10" x14ac:dyDescent="0.2">
      <c r="A25" s="146" t="s">
        <v>210</v>
      </c>
      <c r="B25" s="146" t="s">
        <v>174</v>
      </c>
      <c r="C25" s="144" t="s">
        <v>177</v>
      </c>
      <c r="D25" s="146" t="s">
        <v>207</v>
      </c>
      <c r="E25" s="7">
        <v>634.66666666666697</v>
      </c>
      <c r="F25" s="7">
        <v>2786.9607766269501</v>
      </c>
      <c r="G25" s="7">
        <v>-1779</v>
      </c>
      <c r="H25" s="7">
        <v>100.5</v>
      </c>
      <c r="I25" s="7">
        <v>1857.9111111111099</v>
      </c>
      <c r="J25" s="7">
        <v>5183.6666666666697</v>
      </c>
    </row>
    <row r="26" spans="1:10" x14ac:dyDescent="0.2">
      <c r="A26" s="146" t="s">
        <v>210</v>
      </c>
      <c r="B26" s="146" t="s">
        <v>174</v>
      </c>
      <c r="C26" s="144" t="s">
        <v>178</v>
      </c>
      <c r="D26" s="146" t="s">
        <v>206</v>
      </c>
      <c r="E26" s="7">
        <v>625.53635265700495</v>
      </c>
      <c r="F26" s="7">
        <v>1866.3034526786601</v>
      </c>
      <c r="G26" s="7">
        <v>-635.827272727273</v>
      </c>
      <c r="H26" s="7">
        <v>237.30303030303</v>
      </c>
      <c r="I26" s="7">
        <v>1218.53538757824</v>
      </c>
      <c r="J26" s="7">
        <v>3309.98273553324</v>
      </c>
    </row>
    <row r="27" spans="1:10" x14ac:dyDescent="0.2">
      <c r="A27" s="146" t="s">
        <v>210</v>
      </c>
      <c r="B27" s="146" t="s">
        <v>174</v>
      </c>
      <c r="C27" s="144" t="s">
        <v>178</v>
      </c>
      <c r="D27" s="146" t="s">
        <v>207</v>
      </c>
      <c r="E27" s="7">
        <v>887.23333333333301</v>
      </c>
      <c r="F27" s="7">
        <v>3262.7801671621401</v>
      </c>
      <c r="G27" s="7">
        <v>-1485.55555555556</v>
      </c>
      <c r="H27" s="7">
        <v>210</v>
      </c>
      <c r="I27" s="7">
        <v>2117.88333333333</v>
      </c>
      <c r="J27" s="7">
        <v>6483.5</v>
      </c>
    </row>
    <row r="28" spans="1:10" x14ac:dyDescent="0.2">
      <c r="A28" s="146" t="s">
        <v>210</v>
      </c>
      <c r="B28" s="146" t="s">
        <v>209</v>
      </c>
      <c r="C28" s="144" t="s">
        <v>173</v>
      </c>
      <c r="D28" s="146" t="s">
        <v>206</v>
      </c>
      <c r="E28" s="7"/>
      <c r="F28" s="7"/>
      <c r="G28" s="7"/>
      <c r="H28" s="7"/>
      <c r="I28" s="7"/>
      <c r="J28" s="7"/>
    </row>
    <row r="29" spans="1:10" x14ac:dyDescent="0.2">
      <c r="A29" s="146" t="s">
        <v>210</v>
      </c>
      <c r="B29" s="146" t="s">
        <v>209</v>
      </c>
      <c r="C29" s="144" t="s">
        <v>173</v>
      </c>
      <c r="D29" s="146" t="s">
        <v>207</v>
      </c>
      <c r="E29" s="7"/>
      <c r="F29" s="7"/>
      <c r="G29" s="7"/>
      <c r="H29" s="7"/>
      <c r="I29" s="7"/>
      <c r="J29" s="7"/>
    </row>
    <row r="30" spans="1:10" x14ac:dyDescent="0.2">
      <c r="A30" s="146" t="s">
        <v>210</v>
      </c>
      <c r="B30" s="146" t="s">
        <v>179</v>
      </c>
      <c r="C30" s="144" t="s">
        <v>1299</v>
      </c>
      <c r="D30" s="146" t="s">
        <v>206</v>
      </c>
      <c r="E30" s="7">
        <v>526.87572633219997</v>
      </c>
      <c r="F30" s="7">
        <v>1627.19071455834</v>
      </c>
      <c r="G30" s="7">
        <v>-519.28571428571399</v>
      </c>
      <c r="H30" s="7">
        <v>181.06964126977101</v>
      </c>
      <c r="I30" s="7">
        <v>1095.3053542673099</v>
      </c>
      <c r="J30" s="7">
        <v>2856.5238095238101</v>
      </c>
    </row>
    <row r="31" spans="1:10" x14ac:dyDescent="0.2">
      <c r="A31" s="146" t="s">
        <v>210</v>
      </c>
      <c r="B31" s="146" t="s">
        <v>179</v>
      </c>
      <c r="C31" s="144" t="s">
        <v>1299</v>
      </c>
      <c r="D31" s="146" t="s">
        <v>207</v>
      </c>
      <c r="E31" s="7">
        <v>321.16666666666703</v>
      </c>
      <c r="F31" s="7">
        <v>2538.61367923542</v>
      </c>
      <c r="G31" s="7">
        <v>-2017.3333333333301</v>
      </c>
      <c r="H31" s="7">
        <v>-247</v>
      </c>
      <c r="I31" s="7">
        <v>1047</v>
      </c>
      <c r="J31" s="7">
        <v>3690</v>
      </c>
    </row>
    <row r="32" spans="1:10" x14ac:dyDescent="0.2">
      <c r="A32" s="146" t="s">
        <v>210</v>
      </c>
      <c r="B32" s="146" t="s">
        <v>180</v>
      </c>
      <c r="C32" s="144" t="s">
        <v>1868</v>
      </c>
      <c r="D32" s="146" t="s">
        <v>206</v>
      </c>
      <c r="E32" s="7">
        <v>528.32380952380902</v>
      </c>
      <c r="F32" s="7">
        <v>1164.60692785999</v>
      </c>
      <c r="G32" s="7">
        <v>-336.358256528418</v>
      </c>
      <c r="H32" s="7">
        <v>202.73449275362299</v>
      </c>
      <c r="I32" s="7">
        <v>920.52499999999998</v>
      </c>
      <c r="J32" s="7">
        <v>2284.4020833333302</v>
      </c>
    </row>
    <row r="33" spans="1:10" x14ac:dyDescent="0.2">
      <c r="A33" s="146" t="s">
        <v>210</v>
      </c>
      <c r="B33" s="146" t="s">
        <v>180</v>
      </c>
      <c r="C33" s="144" t="s">
        <v>1868</v>
      </c>
      <c r="D33" s="146" t="s">
        <v>207</v>
      </c>
      <c r="E33" s="7">
        <v>460.53333333333302</v>
      </c>
      <c r="F33" s="7">
        <v>2923.7660958584802</v>
      </c>
      <c r="G33" s="7">
        <v>-3040.1666666666702</v>
      </c>
      <c r="H33" s="7">
        <v>-109</v>
      </c>
      <c r="I33" s="7">
        <v>1631.6666666666699</v>
      </c>
      <c r="J33" s="7">
        <v>3773</v>
      </c>
    </row>
    <row r="34" spans="1:10" x14ac:dyDescent="0.2">
      <c r="A34" s="146" t="s">
        <v>210</v>
      </c>
      <c r="B34" s="146" t="s">
        <v>181</v>
      </c>
      <c r="C34" s="144" t="s">
        <v>1482</v>
      </c>
      <c r="D34" s="146" t="s">
        <v>206</v>
      </c>
      <c r="E34" s="7">
        <v>2208.0458333333299</v>
      </c>
      <c r="F34" s="7">
        <v>3041.2745856603101</v>
      </c>
      <c r="G34" s="7">
        <v>205.29976689976701</v>
      </c>
      <c r="H34" s="7">
        <v>1189.0384615384601</v>
      </c>
      <c r="I34" s="7">
        <v>3949.5814814814798</v>
      </c>
      <c r="J34" s="7">
        <v>8253.0413179413208</v>
      </c>
    </row>
    <row r="35" spans="1:10" x14ac:dyDescent="0.2">
      <c r="A35" s="146" t="s">
        <v>210</v>
      </c>
      <c r="B35" s="146" t="s">
        <v>181</v>
      </c>
      <c r="C35" s="144" t="s">
        <v>1482</v>
      </c>
      <c r="D35" s="146" t="s">
        <v>207</v>
      </c>
      <c r="E35" s="7">
        <v>3033</v>
      </c>
      <c r="F35" s="7">
        <v>4927.5481396524001</v>
      </c>
      <c r="G35" s="7">
        <v>-175.82352941176501</v>
      </c>
      <c r="H35" s="7">
        <v>1411.8333333333301</v>
      </c>
      <c r="I35" s="7">
        <v>5827.5555555555602</v>
      </c>
      <c r="J35" s="7">
        <v>12632.1111111111</v>
      </c>
    </row>
    <row r="36" spans="1:10" x14ac:dyDescent="0.2">
      <c r="A36" s="146" t="s">
        <v>210</v>
      </c>
      <c r="B36" s="146" t="s">
        <v>182</v>
      </c>
      <c r="C36" s="144" t="s">
        <v>1869</v>
      </c>
      <c r="D36" s="146" t="s">
        <v>206</v>
      </c>
      <c r="E36" s="7">
        <v>290.14903508771903</v>
      </c>
      <c r="F36" s="7">
        <v>949.45776636776702</v>
      </c>
      <c r="G36" s="7">
        <v>-186.49382716049399</v>
      </c>
      <c r="H36" s="7">
        <v>120.578679549114</v>
      </c>
      <c r="I36" s="7">
        <v>524.79012345678996</v>
      </c>
      <c r="J36" s="7">
        <v>1274.7516339869301</v>
      </c>
    </row>
    <row r="37" spans="1:10" x14ac:dyDescent="0.2">
      <c r="A37" s="146" t="s">
        <v>210</v>
      </c>
      <c r="B37" s="146" t="s">
        <v>182</v>
      </c>
      <c r="C37" s="144" t="s">
        <v>1124</v>
      </c>
      <c r="D37" s="146" t="s">
        <v>207</v>
      </c>
      <c r="E37" s="7">
        <v>200.498148148148</v>
      </c>
      <c r="F37" s="7">
        <v>1596.0507210901201</v>
      </c>
      <c r="G37" s="7">
        <v>-634.53439153439103</v>
      </c>
      <c r="H37" s="7">
        <v>-4.5999999999999996</v>
      </c>
      <c r="I37" s="7">
        <v>597.72222222222194</v>
      </c>
      <c r="J37" s="7">
        <v>1661.62222222222</v>
      </c>
    </row>
    <row r="38" spans="1:10" x14ac:dyDescent="0.2">
      <c r="A38" s="146" t="s">
        <v>210</v>
      </c>
      <c r="B38" s="146" t="s">
        <v>183</v>
      </c>
      <c r="C38" s="144" t="s">
        <v>1050</v>
      </c>
      <c r="D38" s="146" t="s">
        <v>206</v>
      </c>
      <c r="E38" s="7">
        <v>3107.6150017411501</v>
      </c>
      <c r="F38" s="7">
        <v>2990.7730084916402</v>
      </c>
      <c r="G38" s="7">
        <v>407.34512471655302</v>
      </c>
      <c r="H38" s="7">
        <v>2090.625</v>
      </c>
      <c r="I38" s="7">
        <v>5482.1790514444401</v>
      </c>
      <c r="J38" s="7">
        <v>8744.27599670788</v>
      </c>
    </row>
    <row r="39" spans="1:10" x14ac:dyDescent="0.2">
      <c r="A39" s="146" t="s">
        <v>210</v>
      </c>
      <c r="B39" s="146" t="s">
        <v>183</v>
      </c>
      <c r="C39" s="144" t="s">
        <v>1050</v>
      </c>
      <c r="D39" s="146" t="s">
        <v>207</v>
      </c>
      <c r="E39" s="7">
        <v>2148.1857142857102</v>
      </c>
      <c r="F39" s="7">
        <v>2699.3118210891098</v>
      </c>
      <c r="G39" s="7">
        <v>-4110.4333333333298</v>
      </c>
      <c r="H39" s="7">
        <v>1349.40021929825</v>
      </c>
      <c r="I39" s="7">
        <v>3299.7777777777801</v>
      </c>
      <c r="J39" s="7">
        <v>4493.6666666666697</v>
      </c>
    </row>
    <row r="40" spans="1:10" x14ac:dyDescent="0.2">
      <c r="A40" s="146" t="s">
        <v>210</v>
      </c>
      <c r="B40" s="146" t="s">
        <v>198</v>
      </c>
      <c r="C40" s="144" t="s">
        <v>185</v>
      </c>
      <c r="D40" s="146" t="s">
        <v>206</v>
      </c>
      <c r="E40" s="7">
        <v>487.11666666666702</v>
      </c>
      <c r="F40" s="7">
        <v>1660.6757170015101</v>
      </c>
      <c r="G40" s="7">
        <v>-257.40821256038703</v>
      </c>
      <c r="H40" s="7">
        <v>197.333333333333</v>
      </c>
      <c r="I40" s="7">
        <v>971.77641025641003</v>
      </c>
      <c r="J40" s="7">
        <v>2945.6836284862902</v>
      </c>
    </row>
    <row r="41" spans="1:10" x14ac:dyDescent="0.2">
      <c r="A41" s="146" t="s">
        <v>210</v>
      </c>
      <c r="B41" s="146" t="s">
        <v>198</v>
      </c>
      <c r="C41" s="144" t="s">
        <v>185</v>
      </c>
      <c r="D41" s="146" t="s">
        <v>207</v>
      </c>
      <c r="E41" s="7">
        <v>483.5</v>
      </c>
      <c r="F41" s="7">
        <v>2751.2179526969198</v>
      </c>
      <c r="G41" s="7">
        <v>-1484.44444444444</v>
      </c>
      <c r="H41" s="7">
        <v>54.3333333333333</v>
      </c>
      <c r="I41" s="7">
        <v>1274.2777777777801</v>
      </c>
      <c r="J41" s="7">
        <v>4373.9333333333298</v>
      </c>
    </row>
    <row r="42" spans="1:10" x14ac:dyDescent="0.2">
      <c r="A42" s="146" t="s">
        <v>210</v>
      </c>
      <c r="B42" s="146" t="s">
        <v>198</v>
      </c>
      <c r="C42" s="144" t="s">
        <v>186</v>
      </c>
      <c r="D42" s="146" t="s">
        <v>206</v>
      </c>
      <c r="E42" s="7">
        <v>1131.5193912191701</v>
      </c>
      <c r="F42" s="7">
        <v>2299.1109099669202</v>
      </c>
      <c r="G42" s="7">
        <v>-154.69230769230799</v>
      </c>
      <c r="H42" s="7">
        <v>529.15287157287196</v>
      </c>
      <c r="I42" s="7">
        <v>2171.9419618227998</v>
      </c>
      <c r="J42" s="7">
        <v>5377.4444444444398</v>
      </c>
    </row>
    <row r="43" spans="1:10" x14ac:dyDescent="0.2">
      <c r="A43" s="146" t="s">
        <v>210</v>
      </c>
      <c r="B43" s="146" t="s">
        <v>198</v>
      </c>
      <c r="C43" s="144" t="s">
        <v>186</v>
      </c>
      <c r="D43" s="146" t="s">
        <v>207</v>
      </c>
      <c r="E43" s="7">
        <v>858.47222222222194</v>
      </c>
      <c r="F43" s="7">
        <v>3070.7393563647101</v>
      </c>
      <c r="G43" s="7">
        <v>-1403.25</v>
      </c>
      <c r="H43" s="7">
        <v>232.666666666667</v>
      </c>
      <c r="I43" s="7">
        <v>2270.8333333333298</v>
      </c>
      <c r="J43" s="7">
        <v>5585.5</v>
      </c>
    </row>
    <row r="44" spans="1:10" x14ac:dyDescent="0.2">
      <c r="A44" s="146" t="s">
        <v>210</v>
      </c>
      <c r="B44" s="146" t="s">
        <v>198</v>
      </c>
      <c r="C44" s="144" t="s">
        <v>187</v>
      </c>
      <c r="D44" s="146" t="s">
        <v>206</v>
      </c>
      <c r="E44" s="7">
        <v>738.34320987654303</v>
      </c>
      <c r="F44" s="7">
        <v>2493.1851309506901</v>
      </c>
      <c r="G44" s="7">
        <v>-751.92898550724601</v>
      </c>
      <c r="H44" s="7">
        <v>186.44</v>
      </c>
      <c r="I44" s="7">
        <v>1648.00866466246</v>
      </c>
      <c r="J44" s="7">
        <v>5237.09382716049</v>
      </c>
    </row>
    <row r="45" spans="1:10" x14ac:dyDescent="0.2">
      <c r="A45" s="146" t="s">
        <v>210</v>
      </c>
      <c r="B45" s="146" t="s">
        <v>198</v>
      </c>
      <c r="C45" s="144" t="s">
        <v>187</v>
      </c>
      <c r="D45" s="146" t="s">
        <v>207</v>
      </c>
      <c r="E45" s="7">
        <v>872.66666666666697</v>
      </c>
      <c r="F45" s="7">
        <v>2601.0240820353902</v>
      </c>
      <c r="G45" s="7">
        <v>-1170.5999999999999</v>
      </c>
      <c r="H45" s="7">
        <v>-72.2222222222222</v>
      </c>
      <c r="I45" s="7">
        <v>2079.0333333333301</v>
      </c>
      <c r="J45" s="7">
        <v>4866.6333333333296</v>
      </c>
    </row>
    <row r="46" spans="1:10" x14ac:dyDescent="0.2">
      <c r="A46" s="146" t="s">
        <v>210</v>
      </c>
      <c r="B46" s="146" t="s">
        <v>198</v>
      </c>
      <c r="C46" s="144" t="s">
        <v>188</v>
      </c>
      <c r="D46" s="146" t="s">
        <v>206</v>
      </c>
      <c r="E46" s="7">
        <v>354.68916666666701</v>
      </c>
      <c r="F46" s="7">
        <v>1152.4668149432</v>
      </c>
      <c r="G46" s="7">
        <v>-218.35</v>
      </c>
      <c r="H46" s="7">
        <v>141.72121212121201</v>
      </c>
      <c r="I46" s="7">
        <v>667.31587301587297</v>
      </c>
      <c r="J46" s="7">
        <v>1735.31845238095</v>
      </c>
    </row>
    <row r="47" spans="1:10" x14ac:dyDescent="0.2">
      <c r="A47" s="146" t="s">
        <v>210</v>
      </c>
      <c r="B47" s="146" t="s">
        <v>198</v>
      </c>
      <c r="C47" s="144" t="s">
        <v>188</v>
      </c>
      <c r="D47" s="146" t="s">
        <v>207</v>
      </c>
      <c r="E47" s="7">
        <v>486.625</v>
      </c>
      <c r="F47" s="7">
        <v>2626.9642090818402</v>
      </c>
      <c r="G47" s="7">
        <v>-1516.5</v>
      </c>
      <c r="H47" s="7">
        <v>60.2</v>
      </c>
      <c r="I47" s="7">
        <v>1134.44444444444</v>
      </c>
      <c r="J47" s="7">
        <v>4133</v>
      </c>
    </row>
    <row r="48" spans="1:10" x14ac:dyDescent="0.2">
      <c r="A48" s="146" t="s">
        <v>210</v>
      </c>
      <c r="B48" s="146" t="s">
        <v>198</v>
      </c>
      <c r="C48" s="144" t="s">
        <v>189</v>
      </c>
      <c r="D48" s="146" t="s">
        <v>206</v>
      </c>
      <c r="E48" s="7">
        <v>457.38417291868001</v>
      </c>
      <c r="F48" s="7">
        <v>1408.19248737154</v>
      </c>
      <c r="G48" s="7">
        <v>-180.593939393939</v>
      </c>
      <c r="H48" s="7">
        <v>190.10606060606099</v>
      </c>
      <c r="I48" s="7">
        <v>881.34888888888895</v>
      </c>
      <c r="J48" s="7">
        <v>2539.81048433048</v>
      </c>
    </row>
    <row r="49" spans="1:10" x14ac:dyDescent="0.2">
      <c r="A49" s="146" t="s">
        <v>210</v>
      </c>
      <c r="B49" s="146" t="s">
        <v>198</v>
      </c>
      <c r="C49" s="144" t="s">
        <v>189</v>
      </c>
      <c r="D49" s="146" t="s">
        <v>207</v>
      </c>
      <c r="E49" s="7">
        <v>605.08333333333303</v>
      </c>
      <c r="F49" s="7">
        <v>2891.00761072675</v>
      </c>
      <c r="G49" s="7">
        <v>-1539.5</v>
      </c>
      <c r="H49" s="7">
        <v>161</v>
      </c>
      <c r="I49" s="7">
        <v>1444.6111111111099</v>
      </c>
      <c r="J49" s="7">
        <v>4690.5</v>
      </c>
    </row>
    <row r="50" spans="1:10" x14ac:dyDescent="0.2">
      <c r="A50" s="146" t="s">
        <v>210</v>
      </c>
      <c r="B50" s="146" t="s">
        <v>198</v>
      </c>
      <c r="C50" s="144" t="s">
        <v>190</v>
      </c>
      <c r="D50" s="146" t="s">
        <v>206</v>
      </c>
      <c r="E50" s="7">
        <v>624.77777777777806</v>
      </c>
      <c r="F50" s="7">
        <v>1542.84563392009</v>
      </c>
      <c r="G50" s="7">
        <v>-203.62777777777799</v>
      </c>
      <c r="H50" s="7">
        <v>305.17113095238102</v>
      </c>
      <c r="I50" s="7">
        <v>1136.6671171171199</v>
      </c>
      <c r="J50" s="7">
        <v>3010</v>
      </c>
    </row>
    <row r="51" spans="1:10" x14ac:dyDescent="0.2">
      <c r="A51" s="146" t="s">
        <v>210</v>
      </c>
      <c r="B51" s="146" t="s">
        <v>198</v>
      </c>
      <c r="C51" s="144" t="s">
        <v>190</v>
      </c>
      <c r="D51" s="146" t="s">
        <v>207</v>
      </c>
      <c r="E51" s="7">
        <v>440.8</v>
      </c>
      <c r="F51" s="7">
        <v>2538.2885658581899</v>
      </c>
      <c r="G51" s="7">
        <v>-1284.7777777777801</v>
      </c>
      <c r="H51" s="7">
        <v>28</v>
      </c>
      <c r="I51" s="7">
        <v>1153.6666666666699</v>
      </c>
      <c r="J51" s="7">
        <v>3968.4166666666702</v>
      </c>
    </row>
    <row r="52" spans="1:10" x14ac:dyDescent="0.2">
      <c r="A52" s="146" t="s">
        <v>210</v>
      </c>
      <c r="B52" s="146" t="s">
        <v>209</v>
      </c>
      <c r="C52" s="144" t="s">
        <v>173</v>
      </c>
      <c r="D52" s="146" t="s">
        <v>206</v>
      </c>
      <c r="E52" s="7"/>
      <c r="F52" s="7"/>
      <c r="G52" s="7"/>
      <c r="H52" s="7"/>
      <c r="I52" s="7"/>
      <c r="J52" s="7"/>
    </row>
    <row r="53" spans="1:10" x14ac:dyDescent="0.2">
      <c r="A53" s="146" t="s">
        <v>210</v>
      </c>
      <c r="B53" s="146" t="s">
        <v>209</v>
      </c>
      <c r="C53" s="144" t="s">
        <v>173</v>
      </c>
      <c r="D53" s="146" t="s">
        <v>207</v>
      </c>
      <c r="E53" s="7"/>
      <c r="F53" s="7"/>
      <c r="G53" s="7"/>
      <c r="H53" s="7"/>
      <c r="I53" s="7"/>
      <c r="J53" s="7"/>
    </row>
    <row r="54" spans="1:10" x14ac:dyDescent="0.2">
      <c r="A54" s="146" t="s">
        <v>210</v>
      </c>
      <c r="B54" s="146" t="s">
        <v>191</v>
      </c>
      <c r="C54" s="144" t="s">
        <v>1703</v>
      </c>
      <c r="D54" s="146" t="s">
        <v>206</v>
      </c>
      <c r="E54" s="7">
        <v>193.141623107969</v>
      </c>
      <c r="F54" s="7">
        <v>903.87377054540104</v>
      </c>
      <c r="G54" s="7">
        <v>-449.73808333333301</v>
      </c>
      <c r="H54" s="7">
        <v>50.610190321538099</v>
      </c>
      <c r="I54" s="7">
        <v>432.47500000000002</v>
      </c>
      <c r="J54" s="7">
        <v>1158.13333333333</v>
      </c>
    </row>
    <row r="55" spans="1:10" x14ac:dyDescent="0.2">
      <c r="A55" s="146" t="s">
        <v>210</v>
      </c>
      <c r="B55" s="146" t="s">
        <v>191</v>
      </c>
      <c r="C55" s="144" t="s">
        <v>1703</v>
      </c>
      <c r="D55" s="146" t="s">
        <v>207</v>
      </c>
      <c r="E55" s="7">
        <v>-3.9916666666666401</v>
      </c>
      <c r="F55" s="7">
        <v>4137.5795892557198</v>
      </c>
      <c r="G55" s="7">
        <v>-1313.25</v>
      </c>
      <c r="H55" s="7">
        <v>-525</v>
      </c>
      <c r="I55" s="7">
        <v>310.66666666666703</v>
      </c>
      <c r="J55" s="7">
        <v>11377.6</v>
      </c>
    </row>
    <row r="56" spans="1:10" x14ac:dyDescent="0.2">
      <c r="A56" s="146" t="s">
        <v>210</v>
      </c>
      <c r="B56" s="146" t="s">
        <v>192</v>
      </c>
      <c r="C56" s="144" t="s">
        <v>1718</v>
      </c>
      <c r="D56" s="146" t="s">
        <v>206</v>
      </c>
      <c r="E56" s="7">
        <v>712.89463470725605</v>
      </c>
      <c r="F56" s="7">
        <v>1872.5043797886001</v>
      </c>
      <c r="G56" s="7">
        <v>-216.936170212766</v>
      </c>
      <c r="H56" s="7">
        <v>331.74287056612599</v>
      </c>
      <c r="I56" s="7">
        <v>1378.32</v>
      </c>
      <c r="J56" s="7">
        <v>4139.9567727153399</v>
      </c>
    </row>
    <row r="57" spans="1:10" x14ac:dyDescent="0.2">
      <c r="A57" s="146" t="s">
        <v>210</v>
      </c>
      <c r="B57" s="146" t="s">
        <v>192</v>
      </c>
      <c r="C57" s="144" t="s">
        <v>1718</v>
      </c>
      <c r="D57" s="146" t="s">
        <v>207</v>
      </c>
      <c r="E57" s="7">
        <v>847.16666666666697</v>
      </c>
      <c r="F57" s="7">
        <v>2903.88702151501</v>
      </c>
      <c r="G57" s="7">
        <v>-1793.93333333333</v>
      </c>
      <c r="H57" s="7">
        <v>-78.4166666666667</v>
      </c>
      <c r="I57" s="7">
        <v>2144.7222222222199</v>
      </c>
      <c r="J57" s="7">
        <v>4808.3523809523804</v>
      </c>
    </row>
    <row r="58" spans="1:10" x14ac:dyDescent="0.2">
      <c r="A58" s="146" t="s">
        <v>210</v>
      </c>
      <c r="B58" s="146" t="s">
        <v>193</v>
      </c>
      <c r="C58" s="144" t="s">
        <v>1919</v>
      </c>
      <c r="D58" s="146" t="s">
        <v>206</v>
      </c>
      <c r="E58" s="7">
        <v>647.62271022883897</v>
      </c>
      <c r="F58" s="7">
        <v>2141.5066579096801</v>
      </c>
      <c r="G58" s="7">
        <v>-732.21911421911398</v>
      </c>
      <c r="H58" s="7">
        <v>239.208308126638</v>
      </c>
      <c r="I58" s="7">
        <v>1455.2697054334601</v>
      </c>
      <c r="J58" s="7">
        <v>3617.2214149801098</v>
      </c>
    </row>
    <row r="59" spans="1:10" x14ac:dyDescent="0.2">
      <c r="A59" s="146" t="s">
        <v>210</v>
      </c>
      <c r="B59" s="146" t="s">
        <v>193</v>
      </c>
      <c r="C59" s="144" t="s">
        <v>1918</v>
      </c>
      <c r="D59" s="146" t="s">
        <v>207</v>
      </c>
      <c r="E59" s="7">
        <v>587.33333333333303</v>
      </c>
      <c r="F59" s="7">
        <v>1673.7203573879201</v>
      </c>
      <c r="G59" s="7">
        <v>-656.13333333333298</v>
      </c>
      <c r="H59" s="7">
        <v>243.11666666666699</v>
      </c>
      <c r="I59" s="7">
        <v>1112.5333333333299</v>
      </c>
      <c r="J59" s="7">
        <v>3594.3</v>
      </c>
    </row>
    <row r="60" spans="1:10" x14ac:dyDescent="0.2">
      <c r="A60" s="146" t="s">
        <v>210</v>
      </c>
      <c r="B60" s="144" t="s">
        <v>1865</v>
      </c>
      <c r="C60" s="144" t="s">
        <v>304</v>
      </c>
      <c r="D60" s="146" t="s">
        <v>206</v>
      </c>
      <c r="E60" s="7">
        <v>773.62777777777796</v>
      </c>
      <c r="F60" s="7">
        <v>1905.7925608611099</v>
      </c>
      <c r="G60" s="7">
        <v>-285.57134463276799</v>
      </c>
      <c r="H60" s="7">
        <v>328.88333333333298</v>
      </c>
      <c r="I60" s="7">
        <v>1495.1954656862699</v>
      </c>
      <c r="J60" s="7">
        <v>3861.82716049383</v>
      </c>
    </row>
    <row r="61" spans="1:10" x14ac:dyDescent="0.2">
      <c r="A61" s="146" t="s">
        <v>210</v>
      </c>
      <c r="B61" s="144" t="s">
        <v>1865</v>
      </c>
      <c r="C61" s="144" t="s">
        <v>304</v>
      </c>
      <c r="D61" s="146" t="s">
        <v>207</v>
      </c>
      <c r="E61" s="7">
        <v>629.63690476190504</v>
      </c>
      <c r="F61" s="7">
        <v>2550.87116561925</v>
      </c>
      <c r="G61" s="7">
        <v>-1013.64814814815</v>
      </c>
      <c r="H61" s="7">
        <v>166.44861111111101</v>
      </c>
      <c r="I61" s="7">
        <v>1410.18518518519</v>
      </c>
      <c r="J61" s="7">
        <v>4244.0666666666702</v>
      </c>
    </row>
    <row r="64" spans="1:10" x14ac:dyDescent="0.2">
      <c r="A64" s="143" t="s">
        <v>227</v>
      </c>
    </row>
  </sheetData>
  <phoneticPr fontId="1"/>
  <conditionalFormatting sqref="D2:H12 E2:J59">
    <cfRule type="cellIs" dxfId="18" priority="3" operator="lessThan">
      <formula>0</formula>
    </cfRule>
  </conditionalFormatting>
  <conditionalFormatting sqref="E60:J61">
    <cfRule type="cellIs" dxfId="17" priority="2" operator="lessThan">
      <formula>0</formula>
    </cfRule>
  </conditionalFormatting>
  <conditionalFormatting sqref="C2:C12">
    <cfRule type="cellIs" dxfId="16" priority="1" operator="lessThan">
      <formula>0</formula>
    </cfRule>
  </conditionalFormatting>
  <pageMargins left="0.7" right="0.7" top="0.75" bottom="0.75" header="0.3" footer="0.3"/>
  <pageSetup paperSize="9" scale="9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pageSetUpPr fitToPage="1"/>
  </sheetPr>
  <dimension ref="A1:J68"/>
  <sheetViews>
    <sheetView workbookViewId="0"/>
  </sheetViews>
  <sheetFormatPr defaultColWidth="9" defaultRowHeight="10.8" x14ac:dyDescent="0.2"/>
  <cols>
    <col min="1" max="1" width="19.88671875" style="143" bestFit="1" customWidth="1"/>
    <col min="2" max="2" width="20.44140625" style="143" bestFit="1" customWidth="1"/>
    <col min="3" max="3" width="24" style="143" bestFit="1" customWidth="1"/>
    <col min="4" max="4" width="10.44140625" style="143" bestFit="1" customWidth="1"/>
    <col min="5" max="16384" width="9" style="143"/>
  </cols>
  <sheetData>
    <row r="1" spans="1:10" x14ac:dyDescent="0.2">
      <c r="A1" s="1" t="s">
        <v>200</v>
      </c>
      <c r="B1" s="2" t="s">
        <v>201</v>
      </c>
      <c r="C1" s="2" t="s">
        <v>202</v>
      </c>
      <c r="D1" s="3" t="s">
        <v>203</v>
      </c>
      <c r="E1" s="3" t="s">
        <v>204</v>
      </c>
      <c r="F1" s="3" t="s">
        <v>15</v>
      </c>
      <c r="G1" s="3" t="s">
        <v>216</v>
      </c>
      <c r="H1" s="3" t="s">
        <v>217</v>
      </c>
      <c r="I1" s="3" t="s">
        <v>218</v>
      </c>
      <c r="J1" s="3" t="s">
        <v>219</v>
      </c>
    </row>
    <row r="2" spans="1:10" x14ac:dyDescent="0.2">
      <c r="A2" s="147" t="s">
        <v>211</v>
      </c>
      <c r="B2" s="145" t="s">
        <v>162</v>
      </c>
      <c r="C2" s="142" t="s">
        <v>281</v>
      </c>
      <c r="D2" s="154" t="s">
        <v>206</v>
      </c>
      <c r="E2" s="9">
        <v>6.6139424294985503</v>
      </c>
      <c r="F2" s="9">
        <v>14.568260262264101</v>
      </c>
      <c r="G2" s="8">
        <v>24.0704643911014</v>
      </c>
      <c r="H2" s="10">
        <v>9.7338605519899897</v>
      </c>
      <c r="I2" s="9">
        <v>3.3978059550194999</v>
      </c>
      <c r="J2" s="9">
        <v>0.448957637395281</v>
      </c>
    </row>
    <row r="3" spans="1:10" x14ac:dyDescent="0.2">
      <c r="A3" s="147" t="s">
        <v>211</v>
      </c>
      <c r="B3" s="145" t="s">
        <v>162</v>
      </c>
      <c r="C3" s="142" t="s">
        <v>281</v>
      </c>
      <c r="D3" s="154" t="s">
        <v>207</v>
      </c>
      <c r="E3" s="9">
        <v>8.2086235194960704</v>
      </c>
      <c r="F3" s="9">
        <v>33.236326046909703</v>
      </c>
      <c r="G3" s="8">
        <v>48.042452830188701</v>
      </c>
      <c r="H3" s="10">
        <v>12.2246056520181</v>
      </c>
      <c r="I3" s="9">
        <v>5.1234407787362999</v>
      </c>
      <c r="J3" s="9">
        <v>1.25092821782178</v>
      </c>
    </row>
    <row r="4" spans="1:10" x14ac:dyDescent="0.2">
      <c r="A4" s="147" t="s">
        <v>211</v>
      </c>
      <c r="B4" s="145" t="s">
        <v>196</v>
      </c>
      <c r="C4" s="142" t="s">
        <v>374</v>
      </c>
      <c r="D4" s="154" t="s">
        <v>206</v>
      </c>
      <c r="E4" s="9">
        <v>5.09043109303735</v>
      </c>
      <c r="F4" s="9">
        <v>18.0383502754845</v>
      </c>
      <c r="G4" s="8">
        <v>24.091768785635299</v>
      </c>
      <c r="H4" s="10">
        <v>8.9507404410988798</v>
      </c>
      <c r="I4" s="9">
        <v>2.61435980177481</v>
      </c>
      <c r="J4" s="9">
        <v>0.54884222586463105</v>
      </c>
    </row>
    <row r="5" spans="1:10" x14ac:dyDescent="0.2">
      <c r="A5" s="147" t="s">
        <v>211</v>
      </c>
      <c r="B5" s="145" t="s">
        <v>196</v>
      </c>
      <c r="C5" s="142" t="s">
        <v>374</v>
      </c>
      <c r="D5" s="154" t="s">
        <v>207</v>
      </c>
      <c r="E5" s="9">
        <v>6.2290953513253902</v>
      </c>
      <c r="F5" s="9">
        <v>24.447083520391001</v>
      </c>
      <c r="G5" s="8">
        <v>32.265546218487401</v>
      </c>
      <c r="H5" s="10">
        <v>11.561716738197401</v>
      </c>
      <c r="I5" s="9">
        <v>3.1236442516268998</v>
      </c>
      <c r="J5" s="9">
        <v>0.64700608445113705</v>
      </c>
    </row>
    <row r="6" spans="1:10" x14ac:dyDescent="0.2">
      <c r="A6" s="147" t="s">
        <v>211</v>
      </c>
      <c r="B6" s="145" t="s">
        <v>208</v>
      </c>
      <c r="C6" s="142" t="s">
        <v>167</v>
      </c>
      <c r="D6" s="154" t="s">
        <v>206</v>
      </c>
      <c r="E6" s="9">
        <v>8.8675931937621701</v>
      </c>
      <c r="F6" s="9">
        <v>23.952191481868599</v>
      </c>
      <c r="G6" s="8">
        <v>40.924902551892302</v>
      </c>
      <c r="H6" s="10">
        <v>16.2457068681558</v>
      </c>
      <c r="I6" s="9">
        <v>4.7301258487832696</v>
      </c>
      <c r="J6" s="9">
        <v>0.92072049216718499</v>
      </c>
    </row>
    <row r="7" spans="1:10" ht="13.5" customHeight="1" x14ac:dyDescent="0.2">
      <c r="A7" s="147" t="s">
        <v>211</v>
      </c>
      <c r="B7" s="145" t="s">
        <v>208</v>
      </c>
      <c r="C7" s="142" t="s">
        <v>167</v>
      </c>
      <c r="D7" s="154" t="s">
        <v>207</v>
      </c>
      <c r="E7" s="9">
        <v>8.7519174252741792</v>
      </c>
      <c r="F7" s="9">
        <v>27.727898195398598</v>
      </c>
      <c r="G7" s="8">
        <v>40.9823405175704</v>
      </c>
      <c r="H7" s="10">
        <v>15.816724093712001</v>
      </c>
      <c r="I7" s="9">
        <v>4.6578872029773803</v>
      </c>
      <c r="J7" s="9">
        <v>0.99162312585188594</v>
      </c>
    </row>
    <row r="8" spans="1:10" x14ac:dyDescent="0.2">
      <c r="A8" s="147" t="s">
        <v>211</v>
      </c>
      <c r="B8" s="145" t="s">
        <v>208</v>
      </c>
      <c r="C8" s="142" t="s">
        <v>168</v>
      </c>
      <c r="D8" s="154" t="s">
        <v>206</v>
      </c>
      <c r="E8" s="9">
        <v>10.6820728944252</v>
      </c>
      <c r="F8" s="9">
        <v>25.250243523310601</v>
      </c>
      <c r="G8" s="8">
        <v>45.045325995566799</v>
      </c>
      <c r="H8" s="10">
        <v>19.907724919700399</v>
      </c>
      <c r="I8" s="9">
        <v>5.6901341510157204</v>
      </c>
      <c r="J8" s="9">
        <v>1.2815548710667299</v>
      </c>
    </row>
    <row r="9" spans="1:10" x14ac:dyDescent="0.2">
      <c r="A9" s="147" t="s">
        <v>211</v>
      </c>
      <c r="B9" s="145" t="s">
        <v>208</v>
      </c>
      <c r="C9" s="142" t="s">
        <v>168</v>
      </c>
      <c r="D9" s="154" t="s">
        <v>207</v>
      </c>
      <c r="E9" s="9">
        <v>11.410509474820399</v>
      </c>
      <c r="F9" s="9">
        <v>28.129570732951901</v>
      </c>
      <c r="G9" s="8">
        <v>49.768856983221298</v>
      </c>
      <c r="H9" s="10">
        <v>20.733310184948799</v>
      </c>
      <c r="I9" s="9">
        <v>6.2756183745582996</v>
      </c>
      <c r="J9" s="9">
        <v>1.3764819056344499</v>
      </c>
    </row>
    <row r="10" spans="1:10" x14ac:dyDescent="0.2">
      <c r="A10" s="147" t="s">
        <v>211</v>
      </c>
      <c r="B10" s="145" t="s">
        <v>208</v>
      </c>
      <c r="C10" s="142" t="s">
        <v>169</v>
      </c>
      <c r="D10" s="154" t="s">
        <v>206</v>
      </c>
      <c r="E10" s="9">
        <v>6.91472135625256</v>
      </c>
      <c r="F10" s="9">
        <v>15.909870764820401</v>
      </c>
      <c r="G10" s="8">
        <v>33.461799145887902</v>
      </c>
      <c r="H10" s="10">
        <v>14.395308270676701</v>
      </c>
      <c r="I10" s="9">
        <v>3.5772921497346699</v>
      </c>
      <c r="J10" s="9">
        <v>0.56201888483368601</v>
      </c>
    </row>
    <row r="11" spans="1:10" x14ac:dyDescent="0.2">
      <c r="A11" s="147" t="s">
        <v>211</v>
      </c>
      <c r="B11" s="145" t="s">
        <v>208</v>
      </c>
      <c r="C11" s="142" t="s">
        <v>169</v>
      </c>
      <c r="D11" s="154" t="s">
        <v>207</v>
      </c>
      <c r="E11" s="9">
        <v>8.7570242874445707</v>
      </c>
      <c r="F11" s="9">
        <v>23.516091474239801</v>
      </c>
      <c r="G11" s="8">
        <v>27.289496157130699</v>
      </c>
      <c r="H11" s="10">
        <v>12.790192878096899</v>
      </c>
      <c r="I11" s="9">
        <v>3.9163351252741299</v>
      </c>
      <c r="J11" s="9">
        <v>0.83558638813415897</v>
      </c>
    </row>
    <row r="12" spans="1:10" x14ac:dyDescent="0.2">
      <c r="A12" s="147" t="s">
        <v>211</v>
      </c>
      <c r="B12" s="145" t="s">
        <v>208</v>
      </c>
      <c r="C12" s="142" t="s">
        <v>170</v>
      </c>
      <c r="D12" s="154" t="s">
        <v>206</v>
      </c>
      <c r="E12" s="9">
        <v>10.994249908249801</v>
      </c>
      <c r="F12" s="9">
        <v>27.982093524918898</v>
      </c>
      <c r="G12" s="8">
        <v>46.757228647686802</v>
      </c>
      <c r="H12" s="10">
        <v>17.685446466962901</v>
      </c>
      <c r="I12" s="9">
        <v>5.2323720079593397</v>
      </c>
      <c r="J12" s="9">
        <v>0.90628978481580602</v>
      </c>
    </row>
    <row r="13" spans="1:10" x14ac:dyDescent="0.2">
      <c r="A13" s="150" t="s">
        <v>211</v>
      </c>
      <c r="B13" s="150" t="s">
        <v>208</v>
      </c>
      <c r="C13" s="144" t="s">
        <v>170</v>
      </c>
      <c r="D13" s="150" t="s">
        <v>207</v>
      </c>
      <c r="E13" s="9">
        <v>12.0978936599953</v>
      </c>
      <c r="F13" s="9">
        <v>27.496654669506501</v>
      </c>
      <c r="G13" s="8">
        <v>57.830287984111202</v>
      </c>
      <c r="H13" s="10">
        <v>17.9757142857143</v>
      </c>
      <c r="I13" s="9">
        <v>5.4853946681708701</v>
      </c>
      <c r="J13" s="9">
        <v>1.2886933607947699</v>
      </c>
    </row>
    <row r="14" spans="1:10" x14ac:dyDescent="0.2">
      <c r="A14" s="150" t="s">
        <v>211</v>
      </c>
      <c r="B14" s="150" t="s">
        <v>208</v>
      </c>
      <c r="C14" s="144" t="s">
        <v>171</v>
      </c>
      <c r="D14" s="150" t="s">
        <v>206</v>
      </c>
      <c r="E14" s="9">
        <v>8.1075927815831896</v>
      </c>
      <c r="F14" s="9">
        <v>26.7549857622842</v>
      </c>
      <c r="G14" s="8">
        <v>42.2141270026897</v>
      </c>
      <c r="H14" s="10">
        <v>15.274664489462699</v>
      </c>
      <c r="I14" s="9">
        <v>4.18013648508364</v>
      </c>
      <c r="J14" s="9">
        <v>0.92019680241546797</v>
      </c>
    </row>
    <row r="15" spans="1:10" x14ac:dyDescent="0.2">
      <c r="A15" s="150" t="s">
        <v>211</v>
      </c>
      <c r="B15" s="150" t="s">
        <v>208</v>
      </c>
      <c r="C15" s="144" t="s">
        <v>171</v>
      </c>
      <c r="D15" s="150" t="s">
        <v>207</v>
      </c>
      <c r="E15" s="9">
        <v>7.3365015794223796</v>
      </c>
      <c r="F15" s="9">
        <v>27.239404220944401</v>
      </c>
      <c r="G15" s="8">
        <v>38.767522047609603</v>
      </c>
      <c r="H15" s="10">
        <v>13.4719888903943</v>
      </c>
      <c r="I15" s="9">
        <v>3.9940514854193001</v>
      </c>
      <c r="J15" s="9">
        <v>1.0173665511838801</v>
      </c>
    </row>
    <row r="16" spans="1:10" x14ac:dyDescent="0.2">
      <c r="A16" s="150" t="s">
        <v>211</v>
      </c>
      <c r="B16" s="150" t="s">
        <v>208</v>
      </c>
      <c r="C16" s="144" t="s">
        <v>172</v>
      </c>
      <c r="D16" s="150" t="s">
        <v>206</v>
      </c>
      <c r="E16" s="9">
        <v>7.5139270561028297</v>
      </c>
      <c r="F16" s="9">
        <v>21.8524026719119</v>
      </c>
      <c r="G16" s="8">
        <v>35.476750455373399</v>
      </c>
      <c r="H16" s="10">
        <v>13.808383092209301</v>
      </c>
      <c r="I16" s="9">
        <v>4.2097771626485398</v>
      </c>
      <c r="J16" s="9">
        <v>0.82871386087386401</v>
      </c>
    </row>
    <row r="17" spans="1:10" x14ac:dyDescent="0.2">
      <c r="A17" s="150" t="s">
        <v>211</v>
      </c>
      <c r="B17" s="150" t="s">
        <v>208</v>
      </c>
      <c r="C17" s="144" t="s">
        <v>172</v>
      </c>
      <c r="D17" s="150" t="s">
        <v>207</v>
      </c>
      <c r="E17" s="9">
        <v>7.7100255375236797</v>
      </c>
      <c r="F17" s="9">
        <v>28.039469532298199</v>
      </c>
      <c r="G17" s="8">
        <v>36.487689766380903</v>
      </c>
      <c r="H17" s="10">
        <v>13.941508833359901</v>
      </c>
      <c r="I17" s="9">
        <v>3.8135004115979099</v>
      </c>
      <c r="J17" s="9">
        <v>0.74577766666911804</v>
      </c>
    </row>
    <row r="18" spans="1:10" x14ac:dyDescent="0.2">
      <c r="A18" s="150" t="s">
        <v>211</v>
      </c>
      <c r="B18" s="150" t="s">
        <v>209</v>
      </c>
      <c r="C18" s="144" t="s">
        <v>173</v>
      </c>
      <c r="D18" s="150" t="s">
        <v>206</v>
      </c>
      <c r="E18" s="9"/>
      <c r="F18" s="9"/>
      <c r="G18" s="8"/>
      <c r="H18" s="10"/>
      <c r="I18" s="9"/>
      <c r="J18" s="9"/>
    </row>
    <row r="19" spans="1:10" x14ac:dyDescent="0.2">
      <c r="A19" s="150" t="s">
        <v>211</v>
      </c>
      <c r="B19" s="150" t="s">
        <v>209</v>
      </c>
      <c r="C19" s="144" t="s">
        <v>173</v>
      </c>
      <c r="D19" s="150" t="s">
        <v>207</v>
      </c>
      <c r="E19" s="9"/>
      <c r="F19" s="9"/>
      <c r="G19" s="8"/>
      <c r="H19" s="10"/>
      <c r="I19" s="9"/>
      <c r="J19" s="9"/>
    </row>
    <row r="20" spans="1:10" x14ac:dyDescent="0.2">
      <c r="A20" s="150" t="s">
        <v>211</v>
      </c>
      <c r="B20" s="150" t="s">
        <v>174</v>
      </c>
      <c r="C20" s="144" t="s">
        <v>175</v>
      </c>
      <c r="D20" s="150" t="s">
        <v>206</v>
      </c>
      <c r="E20" s="9">
        <v>7.9774728472987402</v>
      </c>
      <c r="F20" s="9">
        <v>21.348349442423402</v>
      </c>
      <c r="G20" s="8">
        <v>32.401918918918902</v>
      </c>
      <c r="H20" s="10">
        <v>13.7672589056837</v>
      </c>
      <c r="I20" s="9">
        <v>4.3066073976511898</v>
      </c>
      <c r="J20" s="9">
        <v>0.89070176166950399</v>
      </c>
    </row>
    <row r="21" spans="1:10" x14ac:dyDescent="0.2">
      <c r="A21" s="150" t="s">
        <v>211</v>
      </c>
      <c r="B21" s="150" t="s">
        <v>174</v>
      </c>
      <c r="C21" s="144" t="s">
        <v>175</v>
      </c>
      <c r="D21" s="150" t="s">
        <v>207</v>
      </c>
      <c r="E21" s="9">
        <v>8.7428329958399402</v>
      </c>
      <c r="F21" s="9">
        <v>26.235361324836301</v>
      </c>
      <c r="G21" s="8">
        <v>38.919868095630697</v>
      </c>
      <c r="H21" s="10">
        <v>15.0950949017877</v>
      </c>
      <c r="I21" s="9">
        <v>4.3482778790902499</v>
      </c>
      <c r="J21" s="9">
        <v>0.81443503333934097</v>
      </c>
    </row>
    <row r="22" spans="1:10" x14ac:dyDescent="0.2">
      <c r="A22" s="150" t="s">
        <v>211</v>
      </c>
      <c r="B22" s="150" t="s">
        <v>174</v>
      </c>
      <c r="C22" s="144" t="s">
        <v>176</v>
      </c>
      <c r="D22" s="150" t="s">
        <v>206</v>
      </c>
      <c r="E22" s="9">
        <v>7.1801542356342098</v>
      </c>
      <c r="F22" s="9">
        <v>25.633567543245501</v>
      </c>
      <c r="G22" s="8">
        <v>33.497590214705802</v>
      </c>
      <c r="H22" s="10">
        <v>11.7256963967153</v>
      </c>
      <c r="I22" s="9">
        <v>3.7849444624106598</v>
      </c>
      <c r="J22" s="9">
        <v>0.89530784181137002</v>
      </c>
    </row>
    <row r="23" spans="1:10" x14ac:dyDescent="0.2">
      <c r="A23" s="150" t="s">
        <v>211</v>
      </c>
      <c r="B23" s="150" t="s">
        <v>174</v>
      </c>
      <c r="C23" s="144" t="s">
        <v>176</v>
      </c>
      <c r="D23" s="150" t="s">
        <v>207</v>
      </c>
      <c r="E23" s="9">
        <v>9.6625210945272695</v>
      </c>
      <c r="F23" s="9">
        <v>28.401975157727701</v>
      </c>
      <c r="G23" s="8">
        <v>56.800515630035399</v>
      </c>
      <c r="H23" s="10">
        <v>17.083154761904801</v>
      </c>
      <c r="I23" s="9">
        <v>3.40568219359101</v>
      </c>
      <c r="J23" s="9">
        <v>0.70984925762212403</v>
      </c>
    </row>
    <row r="24" spans="1:10" x14ac:dyDescent="0.2">
      <c r="A24" s="150" t="s">
        <v>211</v>
      </c>
      <c r="B24" s="150" t="s">
        <v>174</v>
      </c>
      <c r="C24" s="144" t="s">
        <v>177</v>
      </c>
      <c r="D24" s="150" t="s">
        <v>206</v>
      </c>
      <c r="E24" s="9">
        <v>10.5463529741307</v>
      </c>
      <c r="F24" s="9">
        <v>21.171548643068999</v>
      </c>
      <c r="G24" s="8">
        <v>40.629129981066697</v>
      </c>
      <c r="H24" s="10">
        <v>18.173963915385599</v>
      </c>
      <c r="I24" s="9">
        <v>5.3830011285088597</v>
      </c>
      <c r="J24" s="9">
        <v>1.4271683932058601</v>
      </c>
    </row>
    <row r="25" spans="1:10" x14ac:dyDescent="0.2">
      <c r="A25" s="150" t="s">
        <v>211</v>
      </c>
      <c r="B25" s="150" t="s">
        <v>174</v>
      </c>
      <c r="C25" s="144" t="s">
        <v>177</v>
      </c>
      <c r="D25" s="150" t="s">
        <v>207</v>
      </c>
      <c r="E25" s="9">
        <v>9.2530062030638192</v>
      </c>
      <c r="F25" s="9">
        <v>28.239941089229099</v>
      </c>
      <c r="G25" s="8">
        <v>38.919868095630697</v>
      </c>
      <c r="H25" s="10">
        <v>16.865518655186602</v>
      </c>
      <c r="I25" s="9">
        <v>5.0368749170977596</v>
      </c>
      <c r="J25" s="9">
        <v>1.5535188004015901</v>
      </c>
    </row>
    <row r="26" spans="1:10" x14ac:dyDescent="0.2">
      <c r="A26" s="150" t="s">
        <v>211</v>
      </c>
      <c r="B26" s="150" t="s">
        <v>174</v>
      </c>
      <c r="C26" s="144" t="s">
        <v>178</v>
      </c>
      <c r="D26" s="150" t="s">
        <v>206</v>
      </c>
      <c r="E26" s="9">
        <v>10.070951641485699</v>
      </c>
      <c r="F26" s="9">
        <v>23.656821245838</v>
      </c>
      <c r="G26" s="8">
        <v>35.190924285475504</v>
      </c>
      <c r="H26" s="10">
        <v>16.521074424036499</v>
      </c>
      <c r="I26" s="9">
        <v>5.9227513518611703</v>
      </c>
      <c r="J26" s="9">
        <v>1.0184834280775199</v>
      </c>
    </row>
    <row r="27" spans="1:10" x14ac:dyDescent="0.2">
      <c r="A27" s="150" t="s">
        <v>211</v>
      </c>
      <c r="B27" s="150" t="s">
        <v>174</v>
      </c>
      <c r="C27" s="144" t="s">
        <v>178</v>
      </c>
      <c r="D27" s="150" t="s">
        <v>207</v>
      </c>
      <c r="E27" s="9">
        <v>9.2315912882716304</v>
      </c>
      <c r="F27" s="9">
        <v>24.647343309976598</v>
      </c>
      <c r="G27" s="8">
        <v>36.843324558104499</v>
      </c>
      <c r="H27" s="10">
        <v>14.915557595227201</v>
      </c>
      <c r="I27" s="9">
        <v>5.0413533834586497</v>
      </c>
      <c r="J27" s="9">
        <v>1.08295625942685</v>
      </c>
    </row>
    <row r="28" spans="1:10" x14ac:dyDescent="0.2">
      <c r="A28" s="150" t="s">
        <v>211</v>
      </c>
      <c r="B28" s="150" t="s">
        <v>209</v>
      </c>
      <c r="C28" s="144" t="s">
        <v>173</v>
      </c>
      <c r="D28" s="150" t="s">
        <v>206</v>
      </c>
      <c r="E28" s="9"/>
      <c r="F28" s="9"/>
      <c r="G28" s="8"/>
      <c r="H28" s="10"/>
      <c r="I28" s="9"/>
      <c r="J28" s="9"/>
    </row>
    <row r="29" spans="1:10" x14ac:dyDescent="0.2">
      <c r="A29" s="150" t="s">
        <v>211</v>
      </c>
      <c r="B29" s="150" t="s">
        <v>209</v>
      </c>
      <c r="C29" s="144" t="s">
        <v>173</v>
      </c>
      <c r="D29" s="150" t="s">
        <v>207</v>
      </c>
      <c r="E29" s="9"/>
      <c r="F29" s="9"/>
      <c r="G29" s="8"/>
      <c r="H29" s="10"/>
      <c r="I29" s="9"/>
      <c r="J29" s="9"/>
    </row>
    <row r="30" spans="1:10" x14ac:dyDescent="0.2">
      <c r="A30" s="150" t="s">
        <v>211</v>
      </c>
      <c r="B30" s="150" t="s">
        <v>179</v>
      </c>
      <c r="C30" s="144" t="s">
        <v>1299</v>
      </c>
      <c r="D30" s="150" t="s">
        <v>206</v>
      </c>
      <c r="E30" s="9">
        <v>7.8849434256451296</v>
      </c>
      <c r="F30" s="9">
        <v>18.777130487934699</v>
      </c>
      <c r="G30" s="8">
        <v>28.116790352504601</v>
      </c>
      <c r="H30" s="10">
        <v>12.9358246542599</v>
      </c>
      <c r="I30" s="9">
        <v>4.3992744683575999</v>
      </c>
      <c r="J30" s="9">
        <v>0.98991375640045098</v>
      </c>
    </row>
    <row r="31" spans="1:10" x14ac:dyDescent="0.2">
      <c r="A31" s="150" t="s">
        <v>211</v>
      </c>
      <c r="B31" s="150" t="s">
        <v>179</v>
      </c>
      <c r="C31" s="144" t="s">
        <v>1299</v>
      </c>
      <c r="D31" s="150" t="s">
        <v>207</v>
      </c>
      <c r="E31" s="9">
        <v>9.1263026260942102</v>
      </c>
      <c r="F31" s="9">
        <v>32.1811047645201</v>
      </c>
      <c r="G31" s="8">
        <v>52.186428237806098</v>
      </c>
      <c r="H31" s="10">
        <v>16.857114772146399</v>
      </c>
      <c r="I31" s="9">
        <v>4.9573675496688701</v>
      </c>
      <c r="J31" s="9">
        <v>1.08519198193111</v>
      </c>
    </row>
    <row r="32" spans="1:10" x14ac:dyDescent="0.2">
      <c r="A32" s="150" t="s">
        <v>211</v>
      </c>
      <c r="B32" s="150" t="s">
        <v>180</v>
      </c>
      <c r="C32" s="144" t="s">
        <v>1868</v>
      </c>
      <c r="D32" s="150" t="s">
        <v>206</v>
      </c>
      <c r="E32" s="9">
        <v>4.4103165818896999</v>
      </c>
      <c r="F32" s="9">
        <v>14.030147871537601</v>
      </c>
      <c r="G32" s="8">
        <v>17.583347584960102</v>
      </c>
      <c r="H32" s="10">
        <v>6.8839795052921398</v>
      </c>
      <c r="I32" s="9">
        <v>2.67704812436499</v>
      </c>
      <c r="J32" s="9">
        <v>0.78451330122876906</v>
      </c>
    </row>
    <row r="33" spans="1:10" x14ac:dyDescent="0.2">
      <c r="A33" s="150" t="s">
        <v>211</v>
      </c>
      <c r="B33" s="150" t="s">
        <v>180</v>
      </c>
      <c r="C33" s="144" t="s">
        <v>1868</v>
      </c>
      <c r="D33" s="150" t="s">
        <v>207</v>
      </c>
      <c r="E33" s="9">
        <v>6.8380448065173098</v>
      </c>
      <c r="F33" s="9">
        <v>18.5236422353737</v>
      </c>
      <c r="G33" s="8">
        <v>30.9348746336698</v>
      </c>
      <c r="H33" s="10">
        <v>9.5442552677655002</v>
      </c>
      <c r="I33" s="9">
        <v>2.9517283386630102</v>
      </c>
      <c r="J33" s="9">
        <v>0.75660373515814305</v>
      </c>
    </row>
    <row r="34" spans="1:10" x14ac:dyDescent="0.2">
      <c r="A34" s="150" t="s">
        <v>211</v>
      </c>
      <c r="B34" s="150" t="s">
        <v>181</v>
      </c>
      <c r="C34" s="144" t="s">
        <v>1482</v>
      </c>
      <c r="D34" s="150" t="s">
        <v>206</v>
      </c>
      <c r="E34" s="9">
        <v>7.0809624918418201</v>
      </c>
      <c r="F34" s="9">
        <v>9.0638031215038595</v>
      </c>
      <c r="G34" s="8">
        <v>19.564589847480999</v>
      </c>
      <c r="H34" s="10">
        <v>10.228071423950301</v>
      </c>
      <c r="I34" s="9">
        <v>4.1002176349219503</v>
      </c>
      <c r="J34" s="9">
        <v>0.89425372626196498</v>
      </c>
    </row>
    <row r="35" spans="1:10" x14ac:dyDescent="0.2">
      <c r="A35" s="150" t="s">
        <v>211</v>
      </c>
      <c r="B35" s="150" t="s">
        <v>181</v>
      </c>
      <c r="C35" s="144" t="s">
        <v>1482</v>
      </c>
      <c r="D35" s="150" t="s">
        <v>207</v>
      </c>
      <c r="E35" s="9">
        <v>10.574621115526501</v>
      </c>
      <c r="F35" s="9">
        <v>18.3831686801309</v>
      </c>
      <c r="G35" s="8">
        <v>31.7866313593324</v>
      </c>
      <c r="H35" s="10">
        <v>15.4251824394764</v>
      </c>
      <c r="I35" s="9">
        <v>6.6894608784735601</v>
      </c>
      <c r="J35" s="9">
        <v>1.9528394714647199</v>
      </c>
    </row>
    <row r="36" spans="1:10" x14ac:dyDescent="0.2">
      <c r="A36" s="150" t="s">
        <v>211</v>
      </c>
      <c r="B36" s="150" t="s">
        <v>182</v>
      </c>
      <c r="C36" s="144" t="s">
        <v>1869</v>
      </c>
      <c r="D36" s="150" t="s">
        <v>206</v>
      </c>
      <c r="E36" s="9">
        <v>7.6224047919270301</v>
      </c>
      <c r="F36" s="9">
        <v>19.9746926850097</v>
      </c>
      <c r="G36" s="8">
        <v>28.2839897856535</v>
      </c>
      <c r="H36" s="10">
        <v>12.813531421730399</v>
      </c>
      <c r="I36" s="9">
        <v>4.2193255106591101</v>
      </c>
      <c r="J36" s="9">
        <v>0.80416185271247398</v>
      </c>
    </row>
    <row r="37" spans="1:10" x14ac:dyDescent="0.2">
      <c r="A37" s="150" t="s">
        <v>211</v>
      </c>
      <c r="B37" s="150" t="s">
        <v>182</v>
      </c>
      <c r="C37" s="144" t="s">
        <v>1124</v>
      </c>
      <c r="D37" s="150" t="s">
        <v>207</v>
      </c>
      <c r="E37" s="9">
        <v>6.0060406892515603</v>
      </c>
      <c r="F37" s="9">
        <v>30.6281166274082</v>
      </c>
      <c r="G37" s="8">
        <v>26.4340527577938</v>
      </c>
      <c r="H37" s="10">
        <v>10.4038081107814</v>
      </c>
      <c r="I37" s="9">
        <v>2.8932337954734</v>
      </c>
      <c r="J37" s="9">
        <v>0.74757549717652805</v>
      </c>
    </row>
    <row r="38" spans="1:10" x14ac:dyDescent="0.2">
      <c r="A38" s="150" t="s">
        <v>211</v>
      </c>
      <c r="B38" s="150" t="s">
        <v>183</v>
      </c>
      <c r="C38" s="144" t="s">
        <v>1050</v>
      </c>
      <c r="D38" s="150" t="s">
        <v>206</v>
      </c>
      <c r="E38" s="9">
        <v>3.81628355664109</v>
      </c>
      <c r="F38" s="9">
        <v>6.3760873082489899</v>
      </c>
      <c r="G38" s="8">
        <v>19.106392380204198</v>
      </c>
      <c r="H38" s="10">
        <v>5.724325497153</v>
      </c>
      <c r="I38" s="9">
        <v>1.9652540456229299</v>
      </c>
      <c r="J38" s="9">
        <v>0.208511836630875</v>
      </c>
    </row>
    <row r="39" spans="1:10" x14ac:dyDescent="0.2">
      <c r="A39" s="150" t="s">
        <v>211</v>
      </c>
      <c r="B39" s="150" t="s">
        <v>183</v>
      </c>
      <c r="C39" s="144" t="s">
        <v>1050</v>
      </c>
      <c r="D39" s="150" t="s">
        <v>207</v>
      </c>
      <c r="E39" s="9">
        <v>8.9912438433273394</v>
      </c>
      <c r="F39" s="9">
        <v>8.2008206910558208</v>
      </c>
      <c r="G39" s="8">
        <v>24.640155220765699</v>
      </c>
      <c r="H39" s="10">
        <v>17.711432850723899</v>
      </c>
      <c r="I39" s="9">
        <v>8.0177580949615201</v>
      </c>
      <c r="J39" s="9">
        <v>1.2678323269788501</v>
      </c>
    </row>
    <row r="40" spans="1:10" x14ac:dyDescent="0.2">
      <c r="A40" s="150" t="s">
        <v>211</v>
      </c>
      <c r="B40" s="150" t="s">
        <v>198</v>
      </c>
      <c r="C40" s="144" t="s">
        <v>185</v>
      </c>
      <c r="D40" s="150" t="s">
        <v>206</v>
      </c>
      <c r="E40" s="9">
        <v>5.2157100745621596</v>
      </c>
      <c r="F40" s="9">
        <v>19.688029076254701</v>
      </c>
      <c r="G40" s="8">
        <v>23.337948595528001</v>
      </c>
      <c r="H40" s="10">
        <v>9.5135936512089305</v>
      </c>
      <c r="I40" s="9">
        <v>2.7056547810948501</v>
      </c>
      <c r="J40" s="9">
        <v>0.60581299712389702</v>
      </c>
    </row>
    <row r="41" spans="1:10" x14ac:dyDescent="0.2">
      <c r="A41" s="150" t="s">
        <v>211</v>
      </c>
      <c r="B41" s="150" t="s">
        <v>198</v>
      </c>
      <c r="C41" s="144" t="s">
        <v>185</v>
      </c>
      <c r="D41" s="150" t="s">
        <v>207</v>
      </c>
      <c r="E41" s="9">
        <v>5.6721786397574903</v>
      </c>
      <c r="F41" s="9">
        <v>28.021555921889099</v>
      </c>
      <c r="G41" s="8">
        <v>36.937503878855601</v>
      </c>
      <c r="H41" s="10">
        <v>10.8107227488152</v>
      </c>
      <c r="I41" s="9">
        <v>2.9942420159718202</v>
      </c>
      <c r="J41" s="9">
        <v>0.61822229289235198</v>
      </c>
    </row>
    <row r="42" spans="1:10" x14ac:dyDescent="0.2">
      <c r="A42" s="150" t="s">
        <v>211</v>
      </c>
      <c r="B42" s="150" t="s">
        <v>198</v>
      </c>
      <c r="C42" s="144" t="s">
        <v>186</v>
      </c>
      <c r="D42" s="150" t="s">
        <v>206</v>
      </c>
      <c r="E42" s="9">
        <v>4.0820206359091999</v>
      </c>
      <c r="F42" s="9">
        <v>19.149148004517102</v>
      </c>
      <c r="G42" s="8">
        <v>24.018323337294198</v>
      </c>
      <c r="H42" s="10">
        <v>8.2398748355438602</v>
      </c>
      <c r="I42" s="9">
        <v>2.3854300163457598</v>
      </c>
      <c r="J42" s="9">
        <v>0.620629482416859</v>
      </c>
    </row>
    <row r="43" spans="1:10" x14ac:dyDescent="0.2">
      <c r="A43" s="150" t="s">
        <v>211</v>
      </c>
      <c r="B43" s="150" t="s">
        <v>198</v>
      </c>
      <c r="C43" s="144" t="s">
        <v>186</v>
      </c>
      <c r="D43" s="150" t="s">
        <v>207</v>
      </c>
      <c r="E43" s="9">
        <v>4.3492779783393498</v>
      </c>
      <c r="F43" s="9">
        <v>19.603939638464801</v>
      </c>
      <c r="G43" s="8">
        <v>18.793442459327299</v>
      </c>
      <c r="H43" s="10">
        <v>5.2647393048128297</v>
      </c>
      <c r="I43" s="9">
        <v>1.94354449576067</v>
      </c>
      <c r="J43" s="9">
        <v>0.42352350917431197</v>
      </c>
    </row>
    <row r="44" spans="1:10" x14ac:dyDescent="0.2">
      <c r="A44" s="150" t="s">
        <v>211</v>
      </c>
      <c r="B44" s="150" t="s">
        <v>198</v>
      </c>
      <c r="C44" s="144" t="s">
        <v>187</v>
      </c>
      <c r="D44" s="150" t="s">
        <v>206</v>
      </c>
      <c r="E44" s="9">
        <v>4.4092147355123403</v>
      </c>
      <c r="F44" s="9">
        <v>17.825793249008601</v>
      </c>
      <c r="G44" s="8">
        <v>20.442027539413299</v>
      </c>
      <c r="H44" s="10">
        <v>8.0028880094127697</v>
      </c>
      <c r="I44" s="9">
        <v>2.0941688026363998</v>
      </c>
      <c r="J44" s="9">
        <v>0.66074806091281701</v>
      </c>
    </row>
    <row r="45" spans="1:10" x14ac:dyDescent="0.2">
      <c r="A45" s="150" t="s">
        <v>211</v>
      </c>
      <c r="B45" s="150" t="s">
        <v>198</v>
      </c>
      <c r="C45" s="144" t="s">
        <v>187</v>
      </c>
      <c r="D45" s="150" t="s">
        <v>207</v>
      </c>
      <c r="E45" s="9">
        <v>5.9269121043336499</v>
      </c>
      <c r="F45" s="9">
        <v>64.198269596924803</v>
      </c>
      <c r="G45" s="8">
        <v>34.699890762795398</v>
      </c>
      <c r="H45" s="10">
        <v>11.3053629515494</v>
      </c>
      <c r="I45" s="9">
        <v>3.9188890019848301</v>
      </c>
      <c r="J45" s="9">
        <v>0.74515179206010695</v>
      </c>
    </row>
    <row r="46" spans="1:10" x14ac:dyDescent="0.2">
      <c r="A46" s="150" t="s">
        <v>211</v>
      </c>
      <c r="B46" s="150" t="s">
        <v>198</v>
      </c>
      <c r="C46" s="144" t="s">
        <v>188</v>
      </c>
      <c r="D46" s="150" t="s">
        <v>206</v>
      </c>
      <c r="E46" s="9">
        <v>5.0219375262789301</v>
      </c>
      <c r="F46" s="9">
        <v>16.0517779869371</v>
      </c>
      <c r="G46" s="8">
        <v>21.5409873188406</v>
      </c>
      <c r="H46" s="10">
        <v>9.0581609502202092</v>
      </c>
      <c r="I46" s="9">
        <v>2.5430986752373399</v>
      </c>
      <c r="J46" s="9">
        <v>0.54526574552852403</v>
      </c>
    </row>
    <row r="47" spans="1:10" x14ac:dyDescent="0.2">
      <c r="A47" s="150" t="s">
        <v>211</v>
      </c>
      <c r="B47" s="150" t="s">
        <v>198</v>
      </c>
      <c r="C47" s="144" t="s">
        <v>188</v>
      </c>
      <c r="D47" s="150" t="s">
        <v>207</v>
      </c>
      <c r="E47" s="9">
        <v>4.4566499885228401</v>
      </c>
      <c r="F47" s="9">
        <v>22.6036287600738</v>
      </c>
      <c r="G47" s="8">
        <v>36.558890577507597</v>
      </c>
      <c r="H47" s="10">
        <v>8.5797391433229606</v>
      </c>
      <c r="I47" s="9">
        <v>2.1536196744024898</v>
      </c>
      <c r="J47" s="9">
        <v>0.29908972691807501</v>
      </c>
    </row>
    <row r="48" spans="1:10" x14ac:dyDescent="0.2">
      <c r="A48" s="150" t="s">
        <v>211</v>
      </c>
      <c r="B48" s="150" t="s">
        <v>198</v>
      </c>
      <c r="C48" s="144" t="s">
        <v>189</v>
      </c>
      <c r="D48" s="150" t="s">
        <v>206</v>
      </c>
      <c r="E48" s="9">
        <v>5.0935207696943303</v>
      </c>
      <c r="F48" s="9">
        <v>21.9046399639927</v>
      </c>
      <c r="G48" s="8">
        <v>21.997016746898101</v>
      </c>
      <c r="H48" s="10">
        <v>9.4003006012024102</v>
      </c>
      <c r="I48" s="9">
        <v>2.6841681093665999</v>
      </c>
      <c r="J48" s="9">
        <v>0.50008223770546301</v>
      </c>
    </row>
    <row r="49" spans="1:10" x14ac:dyDescent="0.2">
      <c r="A49" s="150" t="s">
        <v>211</v>
      </c>
      <c r="B49" s="150" t="s">
        <v>198</v>
      </c>
      <c r="C49" s="144" t="s">
        <v>189</v>
      </c>
      <c r="D49" s="150" t="s">
        <v>207</v>
      </c>
      <c r="E49" s="9">
        <v>6.2082058148431498</v>
      </c>
      <c r="F49" s="9">
        <v>29.410281144709799</v>
      </c>
      <c r="G49" s="8">
        <v>42.633564656436299</v>
      </c>
      <c r="H49" s="10">
        <v>10.1630597014925</v>
      </c>
      <c r="I49" s="9">
        <v>3.4019995705541302</v>
      </c>
      <c r="J49" s="9">
        <v>1.0624046324191101</v>
      </c>
    </row>
    <row r="50" spans="1:10" x14ac:dyDescent="0.2">
      <c r="A50" s="150" t="s">
        <v>211</v>
      </c>
      <c r="B50" s="150" t="s">
        <v>198</v>
      </c>
      <c r="C50" s="144" t="s">
        <v>190</v>
      </c>
      <c r="D50" s="150" t="s">
        <v>206</v>
      </c>
      <c r="E50" s="9">
        <v>4.3839994302226204</v>
      </c>
      <c r="F50" s="9">
        <v>20.598651243094601</v>
      </c>
      <c r="G50" s="8">
        <v>22.114578625934499</v>
      </c>
      <c r="H50" s="10">
        <v>9.1323488359108893</v>
      </c>
      <c r="I50" s="9">
        <v>2.1674767709272298</v>
      </c>
      <c r="J50" s="9">
        <v>0.47187338723550598</v>
      </c>
    </row>
    <row r="51" spans="1:10" x14ac:dyDescent="0.2">
      <c r="A51" s="150" t="s">
        <v>211</v>
      </c>
      <c r="B51" s="150" t="s">
        <v>198</v>
      </c>
      <c r="C51" s="144" t="s">
        <v>190</v>
      </c>
      <c r="D51" s="150" t="s">
        <v>207</v>
      </c>
      <c r="E51" s="9">
        <v>6.2656540607563498</v>
      </c>
      <c r="F51" s="9">
        <v>24.211076655799001</v>
      </c>
      <c r="G51" s="8">
        <v>33.4068219633943</v>
      </c>
      <c r="H51" s="10">
        <v>10.588235294117601</v>
      </c>
      <c r="I51" s="9">
        <v>2.9850639911068</v>
      </c>
      <c r="J51" s="9">
        <v>0.64969686903081103</v>
      </c>
    </row>
    <row r="52" spans="1:10" x14ac:dyDescent="0.2">
      <c r="A52" s="150" t="s">
        <v>211</v>
      </c>
      <c r="B52" s="150" t="s">
        <v>209</v>
      </c>
      <c r="C52" s="144" t="s">
        <v>173</v>
      </c>
      <c r="D52" s="150" t="s">
        <v>206</v>
      </c>
      <c r="E52" s="9"/>
      <c r="F52" s="9"/>
      <c r="G52" s="8"/>
      <c r="H52" s="10"/>
      <c r="I52" s="9"/>
      <c r="J52" s="9"/>
    </row>
    <row r="53" spans="1:10" x14ac:dyDescent="0.2">
      <c r="A53" s="150" t="s">
        <v>211</v>
      </c>
      <c r="B53" s="150" t="s">
        <v>209</v>
      </c>
      <c r="C53" s="144" t="s">
        <v>173</v>
      </c>
      <c r="D53" s="150" t="s">
        <v>207</v>
      </c>
      <c r="E53" s="9"/>
      <c r="F53" s="9"/>
      <c r="G53" s="8"/>
      <c r="H53" s="10"/>
      <c r="I53" s="9"/>
      <c r="J53" s="9"/>
    </row>
    <row r="54" spans="1:10" x14ac:dyDescent="0.2">
      <c r="A54" s="150" t="s">
        <v>211</v>
      </c>
      <c r="B54" s="150" t="s">
        <v>191</v>
      </c>
      <c r="C54" s="144" t="s">
        <v>1703</v>
      </c>
      <c r="D54" s="150" t="s">
        <v>206</v>
      </c>
      <c r="E54" s="9">
        <v>7.9306095664672096</v>
      </c>
      <c r="F54" s="9">
        <v>27.394306834905201</v>
      </c>
      <c r="G54" s="8">
        <v>28.2992318472546</v>
      </c>
      <c r="H54" s="10">
        <v>11.4169764045077</v>
      </c>
      <c r="I54" s="9">
        <v>4.6321881399254901</v>
      </c>
      <c r="J54" s="9">
        <v>1.13574832450495</v>
      </c>
    </row>
    <row r="55" spans="1:10" x14ac:dyDescent="0.2">
      <c r="A55" s="150" t="s">
        <v>211</v>
      </c>
      <c r="B55" s="150" t="s">
        <v>191</v>
      </c>
      <c r="C55" s="144" t="s">
        <v>1703</v>
      </c>
      <c r="D55" s="150" t="s">
        <v>207</v>
      </c>
      <c r="E55" s="9">
        <v>3.4759790679926801</v>
      </c>
      <c r="F55" s="9">
        <v>31.8460450755179</v>
      </c>
      <c r="G55" s="8">
        <v>94.228811188811207</v>
      </c>
      <c r="H55" s="10">
        <v>17.909297083899201</v>
      </c>
      <c r="I55" s="9">
        <v>1.83272466310502</v>
      </c>
      <c r="J55" s="9">
        <v>0.14349755581086199</v>
      </c>
    </row>
    <row r="56" spans="1:10" x14ac:dyDescent="0.2">
      <c r="A56" s="150" t="s">
        <v>211</v>
      </c>
      <c r="B56" s="150" t="s">
        <v>192</v>
      </c>
      <c r="C56" s="144" t="s">
        <v>1718</v>
      </c>
      <c r="D56" s="150" t="s">
        <v>206</v>
      </c>
      <c r="E56" s="9">
        <v>5.7228337874659401</v>
      </c>
      <c r="F56" s="9">
        <v>16.3229127158321</v>
      </c>
      <c r="G56" s="8">
        <v>23.9309368291235</v>
      </c>
      <c r="H56" s="10">
        <v>10.0363572834103</v>
      </c>
      <c r="I56" s="9">
        <v>2.9704447140746999</v>
      </c>
      <c r="J56" s="9">
        <v>0.86192483822155697</v>
      </c>
    </row>
    <row r="57" spans="1:10" x14ac:dyDescent="0.2">
      <c r="A57" s="150" t="s">
        <v>211</v>
      </c>
      <c r="B57" s="150" t="s">
        <v>192</v>
      </c>
      <c r="C57" s="144" t="s">
        <v>1718</v>
      </c>
      <c r="D57" s="150" t="s">
        <v>207</v>
      </c>
      <c r="E57" s="9">
        <v>4.2630253031393597</v>
      </c>
      <c r="F57" s="9">
        <v>19.086683990612599</v>
      </c>
      <c r="G57" s="8">
        <v>36.235042735042697</v>
      </c>
      <c r="H57" s="10">
        <v>6.4043414275202402</v>
      </c>
      <c r="I57" s="9">
        <v>2.4723768736616698</v>
      </c>
      <c r="J57" s="9">
        <v>0.66612315698178703</v>
      </c>
    </row>
    <row r="58" spans="1:10" x14ac:dyDescent="0.2">
      <c r="A58" s="150" t="s">
        <v>211</v>
      </c>
      <c r="B58" s="150" t="s">
        <v>193</v>
      </c>
      <c r="C58" s="144" t="s">
        <v>1919</v>
      </c>
      <c r="D58" s="150" t="s">
        <v>206</v>
      </c>
      <c r="E58" s="9">
        <v>6.3975939571621296</v>
      </c>
      <c r="F58" s="9">
        <v>9.5164581056080007</v>
      </c>
      <c r="G58" s="8">
        <v>18.214092606593798</v>
      </c>
      <c r="H58" s="10">
        <v>9.3995024472868103</v>
      </c>
      <c r="I58" s="9">
        <v>3.3955709812502399</v>
      </c>
      <c r="J58" s="9">
        <v>0.84330484330484301</v>
      </c>
    </row>
    <row r="59" spans="1:10" x14ac:dyDescent="0.2">
      <c r="A59" s="150" t="s">
        <v>228</v>
      </c>
      <c r="B59" s="150" t="s">
        <v>193</v>
      </c>
      <c r="C59" s="144" t="s">
        <v>1919</v>
      </c>
      <c r="D59" s="150" t="s">
        <v>207</v>
      </c>
      <c r="E59" s="9">
        <v>4.5729874542603204</v>
      </c>
      <c r="F59" s="9">
        <v>20.205440870438899</v>
      </c>
      <c r="G59" s="8">
        <v>47.403289846851997</v>
      </c>
      <c r="H59" s="10">
        <v>12.1089607902429</v>
      </c>
      <c r="I59" s="9">
        <v>2.9950439391505901</v>
      </c>
      <c r="J59" s="9">
        <v>0.69901217370832103</v>
      </c>
    </row>
    <row r="60" spans="1:10" x14ac:dyDescent="0.2">
      <c r="A60" s="150" t="s">
        <v>211</v>
      </c>
      <c r="B60" s="144" t="s">
        <v>1865</v>
      </c>
      <c r="C60" s="144" t="s">
        <v>304</v>
      </c>
      <c r="D60" s="150" t="s">
        <v>206</v>
      </c>
      <c r="E60" s="9">
        <v>6.5908652132494998</v>
      </c>
      <c r="F60" s="9">
        <v>19.689188914075</v>
      </c>
      <c r="G60" s="8">
        <v>28.091689426453399</v>
      </c>
      <c r="H60" s="10">
        <v>11.5106918540538</v>
      </c>
      <c r="I60" s="9">
        <v>3.4648284764785302</v>
      </c>
      <c r="J60" s="9">
        <v>0.73562941360777001</v>
      </c>
    </row>
    <row r="61" spans="1:10" x14ac:dyDescent="0.2">
      <c r="A61" s="150" t="s">
        <v>228</v>
      </c>
      <c r="B61" s="144" t="s">
        <v>1865</v>
      </c>
      <c r="C61" s="144" t="s">
        <v>304</v>
      </c>
      <c r="D61" s="150" t="s">
        <v>207</v>
      </c>
      <c r="E61" s="9">
        <v>6.7508699789698197</v>
      </c>
      <c r="F61" s="9">
        <v>24.759745173995999</v>
      </c>
      <c r="G61" s="8">
        <v>33.258724025313697</v>
      </c>
      <c r="H61" s="10">
        <v>12.3480201089604</v>
      </c>
      <c r="I61" s="9">
        <v>3.41801324503311</v>
      </c>
      <c r="J61" s="9">
        <v>0.70500992642765403</v>
      </c>
    </row>
    <row r="64" spans="1:10" x14ac:dyDescent="0.2">
      <c r="A64" s="143" t="s">
        <v>229</v>
      </c>
    </row>
    <row r="65" spans="1:1" x14ac:dyDescent="0.2">
      <c r="A65" s="143" t="s">
        <v>230</v>
      </c>
    </row>
    <row r="66" spans="1:1" x14ac:dyDescent="0.2">
      <c r="A66" s="143" t="s">
        <v>1867</v>
      </c>
    </row>
    <row r="67" spans="1:1" x14ac:dyDescent="0.2">
      <c r="A67" s="143" t="s">
        <v>1866</v>
      </c>
    </row>
    <row r="68" spans="1:1" x14ac:dyDescent="0.2">
      <c r="A68" s="143" t="s">
        <v>250</v>
      </c>
    </row>
  </sheetData>
  <phoneticPr fontId="1"/>
  <conditionalFormatting sqref="D2:H2 D3:D12">
    <cfRule type="cellIs" dxfId="15" priority="7" operator="lessThan">
      <formula>0</formula>
    </cfRule>
  </conditionalFormatting>
  <conditionalFormatting sqref="I3:J59">
    <cfRule type="cellIs" dxfId="14" priority="4" operator="lessThan">
      <formula>0</formula>
    </cfRule>
  </conditionalFormatting>
  <conditionalFormatting sqref="I2:J2">
    <cfRule type="cellIs" dxfId="13" priority="6" operator="lessThan">
      <formula>0</formula>
    </cfRule>
  </conditionalFormatting>
  <conditionalFormatting sqref="E3:H59">
    <cfRule type="cellIs" dxfId="12" priority="5" operator="lessThan">
      <formula>0</formula>
    </cfRule>
  </conditionalFormatting>
  <conditionalFormatting sqref="I60:J61">
    <cfRule type="cellIs" dxfId="11" priority="2" operator="lessThan">
      <formula>0</formula>
    </cfRule>
  </conditionalFormatting>
  <conditionalFormatting sqref="E60:H61">
    <cfRule type="cellIs" dxfId="10" priority="3" operator="lessThan">
      <formula>0</formula>
    </cfRule>
  </conditionalFormatting>
  <conditionalFormatting sqref="C2:C12">
    <cfRule type="cellIs" dxfId="9" priority="1" operator="lessThan">
      <formula>0</formula>
    </cfRule>
  </conditionalFormatting>
  <pageMargins left="0.7" right="0.7" top="0.75" bottom="0.75" header="0.3" footer="0.3"/>
  <pageSetup paperSize="9" scale="9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J61"/>
  <sheetViews>
    <sheetView workbookViewId="0"/>
  </sheetViews>
  <sheetFormatPr defaultColWidth="9" defaultRowHeight="10.8" x14ac:dyDescent="0.2"/>
  <cols>
    <col min="1" max="1" width="18.88671875" style="143" bestFit="1" customWidth="1"/>
    <col min="2" max="2" width="20.44140625" style="143" bestFit="1" customWidth="1"/>
    <col min="3" max="3" width="24" style="143" bestFit="1" customWidth="1"/>
    <col min="4" max="4" width="10.44140625" style="143" bestFit="1" customWidth="1"/>
    <col min="5" max="16384" width="9" style="143"/>
  </cols>
  <sheetData>
    <row r="1" spans="1:10" x14ac:dyDescent="0.2">
      <c r="A1" s="1" t="s">
        <v>200</v>
      </c>
      <c r="B1" s="2" t="s">
        <v>201</v>
      </c>
      <c r="C1" s="2" t="s">
        <v>202</v>
      </c>
      <c r="D1" s="3" t="s">
        <v>203</v>
      </c>
      <c r="E1" s="3" t="s">
        <v>204</v>
      </c>
      <c r="F1" s="3" t="s">
        <v>15</v>
      </c>
      <c r="G1" s="3" t="s">
        <v>216</v>
      </c>
      <c r="H1" s="3" t="s">
        <v>217</v>
      </c>
      <c r="I1" s="3" t="s">
        <v>218</v>
      </c>
      <c r="J1" s="3" t="s">
        <v>219</v>
      </c>
    </row>
    <row r="2" spans="1:10" x14ac:dyDescent="0.2">
      <c r="A2" s="147" t="s">
        <v>212</v>
      </c>
      <c r="B2" s="145" t="s">
        <v>162</v>
      </c>
      <c r="C2" s="142" t="s">
        <v>281</v>
      </c>
      <c r="D2" s="155" t="s">
        <v>206</v>
      </c>
      <c r="E2" s="15">
        <v>1.0333444186320999</v>
      </c>
      <c r="F2" s="15">
        <v>1.3624759631435599</v>
      </c>
      <c r="G2" s="15">
        <v>3.3313279274996899</v>
      </c>
      <c r="H2" s="15">
        <v>1.6350241479143699</v>
      </c>
      <c r="I2" s="15">
        <v>0.63303632430894796</v>
      </c>
      <c r="J2" s="15">
        <v>-0.22883872338540101</v>
      </c>
    </row>
    <row r="3" spans="1:10" x14ac:dyDescent="0.2">
      <c r="A3" s="147" t="s">
        <v>212</v>
      </c>
      <c r="B3" s="145" t="s">
        <v>162</v>
      </c>
      <c r="C3" s="142" t="s">
        <v>281</v>
      </c>
      <c r="D3" s="155" t="s">
        <v>207</v>
      </c>
      <c r="E3" s="15">
        <v>1.27112225451057</v>
      </c>
      <c r="F3" s="15">
        <v>2.7766351091892298</v>
      </c>
      <c r="G3" s="15">
        <v>7.9215904781254096</v>
      </c>
      <c r="H3" s="15">
        <v>2.3062576871620801</v>
      </c>
      <c r="I3" s="15">
        <v>0.72156684011486305</v>
      </c>
      <c r="J3" s="15">
        <v>4.0177422802872703E-2</v>
      </c>
    </row>
    <row r="4" spans="1:10" x14ac:dyDescent="0.2">
      <c r="A4" s="147" t="s">
        <v>212</v>
      </c>
      <c r="B4" s="145" t="s">
        <v>196</v>
      </c>
      <c r="C4" s="142" t="s">
        <v>374</v>
      </c>
      <c r="D4" s="155" t="s">
        <v>206</v>
      </c>
      <c r="E4" s="15">
        <v>1.0344995054615</v>
      </c>
      <c r="F4" s="15">
        <v>1.3982989828191901</v>
      </c>
      <c r="G4" s="15">
        <v>3.4099328909675299</v>
      </c>
      <c r="H4" s="15">
        <v>1.7109996066142401</v>
      </c>
      <c r="I4" s="15">
        <v>0.493431095944173</v>
      </c>
      <c r="J4" s="15">
        <v>-0.29647584216572997</v>
      </c>
    </row>
    <row r="5" spans="1:10" x14ac:dyDescent="0.2">
      <c r="A5" s="147" t="s">
        <v>212</v>
      </c>
      <c r="B5" s="145" t="s">
        <v>196</v>
      </c>
      <c r="C5" s="142" t="s">
        <v>374</v>
      </c>
      <c r="D5" s="155" t="s">
        <v>207</v>
      </c>
      <c r="E5" s="15">
        <v>0.735217626204275</v>
      </c>
      <c r="F5" s="15">
        <v>1.3911275118119</v>
      </c>
      <c r="G5" s="15">
        <v>3.0032459449148199</v>
      </c>
      <c r="H5" s="15">
        <v>1.3257930003365599</v>
      </c>
      <c r="I5" s="15">
        <v>0.34756692187339799</v>
      </c>
      <c r="J5" s="15">
        <v>-8.3733533278883596E-2</v>
      </c>
    </row>
    <row r="6" spans="1:10" x14ac:dyDescent="0.2">
      <c r="A6" s="147" t="s">
        <v>212</v>
      </c>
      <c r="B6" s="145" t="s">
        <v>208</v>
      </c>
      <c r="C6" s="142" t="s">
        <v>167</v>
      </c>
      <c r="D6" s="155" t="s">
        <v>206</v>
      </c>
      <c r="E6" s="15">
        <v>2.0197533164850401</v>
      </c>
      <c r="F6" s="15">
        <v>1.58515700785327</v>
      </c>
      <c r="G6" s="15">
        <v>4.5099313546282103</v>
      </c>
      <c r="H6" s="15">
        <v>2.81071686408885</v>
      </c>
      <c r="I6" s="15">
        <v>1.3122871785522801</v>
      </c>
      <c r="J6" s="15">
        <v>0.219869969732467</v>
      </c>
    </row>
    <row r="7" spans="1:10" x14ac:dyDescent="0.2">
      <c r="A7" s="147" t="s">
        <v>212</v>
      </c>
      <c r="B7" s="145" t="s">
        <v>208</v>
      </c>
      <c r="C7" s="142" t="s">
        <v>167</v>
      </c>
      <c r="D7" s="155" t="s">
        <v>207</v>
      </c>
      <c r="E7" s="15">
        <v>1.7490428886884199</v>
      </c>
      <c r="F7" s="15">
        <v>1.7576876536066799</v>
      </c>
      <c r="G7" s="15">
        <v>4.4887406481625902</v>
      </c>
      <c r="H7" s="15">
        <v>2.5656769711533198</v>
      </c>
      <c r="I7" s="15">
        <v>1.1185426007652901</v>
      </c>
      <c r="J7" s="15">
        <v>0.15504797566645201</v>
      </c>
    </row>
    <row r="8" spans="1:10" x14ac:dyDescent="0.2">
      <c r="A8" s="147" t="s">
        <v>212</v>
      </c>
      <c r="B8" s="145" t="s">
        <v>208</v>
      </c>
      <c r="C8" s="142" t="s">
        <v>168</v>
      </c>
      <c r="D8" s="155" t="s">
        <v>206</v>
      </c>
      <c r="E8" s="15">
        <v>1.57519168592574</v>
      </c>
      <c r="F8" s="15">
        <v>1.6242149608846099</v>
      </c>
      <c r="G8" s="15">
        <v>4.6532856173709698</v>
      </c>
      <c r="H8" s="15">
        <v>2.4031885326635001</v>
      </c>
      <c r="I8" s="15">
        <v>1.0580271336503899</v>
      </c>
      <c r="J8" s="15">
        <v>0.32547398547305401</v>
      </c>
    </row>
    <row r="9" spans="1:10" x14ac:dyDescent="0.2">
      <c r="A9" s="147" t="s">
        <v>212</v>
      </c>
      <c r="B9" s="145" t="s">
        <v>208</v>
      </c>
      <c r="C9" s="142" t="s">
        <v>168</v>
      </c>
      <c r="D9" s="155" t="s">
        <v>207</v>
      </c>
      <c r="E9" s="15">
        <v>1.55556190177447</v>
      </c>
      <c r="F9" s="15">
        <v>1.93340786981322</v>
      </c>
      <c r="G9" s="15">
        <v>5.1651019554053699</v>
      </c>
      <c r="H9" s="15">
        <v>2.4471314400244299</v>
      </c>
      <c r="I9" s="15">
        <v>1.0461313456319701</v>
      </c>
      <c r="J9" s="15">
        <v>0.27917379517269197</v>
      </c>
    </row>
    <row r="10" spans="1:10" x14ac:dyDescent="0.2">
      <c r="A10" s="147" t="s">
        <v>212</v>
      </c>
      <c r="B10" s="145" t="s">
        <v>208</v>
      </c>
      <c r="C10" s="142" t="s">
        <v>169</v>
      </c>
      <c r="D10" s="155" t="s">
        <v>206</v>
      </c>
      <c r="E10" s="15">
        <v>2.3182313013757998</v>
      </c>
      <c r="F10" s="15">
        <v>1.5363474526282099</v>
      </c>
      <c r="G10" s="15">
        <v>4.7360861704423796</v>
      </c>
      <c r="H10" s="15">
        <v>3.04965769598408</v>
      </c>
      <c r="I10" s="15">
        <v>1.6296913649834199</v>
      </c>
      <c r="J10" s="15">
        <v>0.53295168574294904</v>
      </c>
    </row>
    <row r="11" spans="1:10" x14ac:dyDescent="0.2">
      <c r="A11" s="147" t="s">
        <v>212</v>
      </c>
      <c r="B11" s="145" t="s">
        <v>208</v>
      </c>
      <c r="C11" s="142" t="s">
        <v>169</v>
      </c>
      <c r="D11" s="155" t="s">
        <v>207</v>
      </c>
      <c r="E11" s="15">
        <v>1.9286078622238101</v>
      </c>
      <c r="F11" s="15">
        <v>1.6840105954303399</v>
      </c>
      <c r="G11" s="15">
        <v>4.4295909809463696</v>
      </c>
      <c r="H11" s="15">
        <v>2.8271196423290399</v>
      </c>
      <c r="I11" s="15">
        <v>1.34946569471819</v>
      </c>
      <c r="J11" s="15">
        <v>0.41861878667991298</v>
      </c>
    </row>
    <row r="12" spans="1:10" x14ac:dyDescent="0.2">
      <c r="A12" s="147" t="s">
        <v>212</v>
      </c>
      <c r="B12" s="145" t="s">
        <v>208</v>
      </c>
      <c r="C12" s="142" t="s">
        <v>170</v>
      </c>
      <c r="D12" s="155" t="s">
        <v>206</v>
      </c>
      <c r="E12" s="15">
        <v>2.1391262531739699</v>
      </c>
      <c r="F12" s="15">
        <v>1.5361586322974301</v>
      </c>
      <c r="G12" s="15">
        <v>4.5354587231580004</v>
      </c>
      <c r="H12" s="15">
        <v>2.8462057626262198</v>
      </c>
      <c r="I12" s="15">
        <v>1.4213702443415299</v>
      </c>
      <c r="J12" s="15">
        <v>0.26075566227038999</v>
      </c>
    </row>
    <row r="13" spans="1:10" x14ac:dyDescent="0.2">
      <c r="A13" s="150" t="s">
        <v>212</v>
      </c>
      <c r="B13" s="150" t="s">
        <v>208</v>
      </c>
      <c r="C13" s="144" t="s">
        <v>170</v>
      </c>
      <c r="D13" s="150" t="s">
        <v>207</v>
      </c>
      <c r="E13" s="15">
        <v>1.81379939797143</v>
      </c>
      <c r="F13" s="15">
        <v>1.3796562065670499</v>
      </c>
      <c r="G13" s="15">
        <v>4.1337097856928899</v>
      </c>
      <c r="H13" s="15">
        <v>2.4786565128899398</v>
      </c>
      <c r="I13" s="15">
        <v>1.20409316922539</v>
      </c>
      <c r="J13" s="15">
        <v>0.38493525803126499</v>
      </c>
    </row>
    <row r="14" spans="1:10" x14ac:dyDescent="0.2">
      <c r="A14" s="150" t="s">
        <v>212</v>
      </c>
      <c r="B14" s="150" t="s">
        <v>208</v>
      </c>
      <c r="C14" s="144" t="s">
        <v>171</v>
      </c>
      <c r="D14" s="150" t="s">
        <v>206</v>
      </c>
      <c r="E14" s="15">
        <v>1.86207381803983</v>
      </c>
      <c r="F14" s="15">
        <v>1.48209087712848</v>
      </c>
      <c r="G14" s="15">
        <v>4.1835193629513201</v>
      </c>
      <c r="H14" s="15">
        <v>2.5959093168999199</v>
      </c>
      <c r="I14" s="15">
        <v>1.2507831876306701</v>
      </c>
      <c r="J14" s="15">
        <v>0.118652542791805</v>
      </c>
    </row>
    <row r="15" spans="1:10" x14ac:dyDescent="0.2">
      <c r="A15" s="150" t="s">
        <v>212</v>
      </c>
      <c r="B15" s="150" t="s">
        <v>208</v>
      </c>
      <c r="C15" s="144" t="s">
        <v>171</v>
      </c>
      <c r="D15" s="150" t="s">
        <v>207</v>
      </c>
      <c r="E15" s="15">
        <v>1.56733371726633</v>
      </c>
      <c r="F15" s="15">
        <v>1.49119778425074</v>
      </c>
      <c r="G15" s="15">
        <v>3.9923103587740099</v>
      </c>
      <c r="H15" s="15">
        <v>2.1881020358667702</v>
      </c>
      <c r="I15" s="15">
        <v>0.98451727593774097</v>
      </c>
      <c r="J15" s="15">
        <v>7.9895122007734298E-2</v>
      </c>
    </row>
    <row r="16" spans="1:10" x14ac:dyDescent="0.2">
      <c r="A16" s="150" t="s">
        <v>212</v>
      </c>
      <c r="B16" s="150" t="s">
        <v>208</v>
      </c>
      <c r="C16" s="144" t="s">
        <v>172</v>
      </c>
      <c r="D16" s="150" t="s">
        <v>206</v>
      </c>
      <c r="E16" s="15">
        <v>2.46311660259745</v>
      </c>
      <c r="F16" s="15">
        <v>1.58536724267423</v>
      </c>
      <c r="G16" s="15">
        <v>4.8256050663815104</v>
      </c>
      <c r="H16" s="15">
        <v>3.2928634496387699</v>
      </c>
      <c r="I16" s="15">
        <v>1.70603561710358</v>
      </c>
      <c r="J16" s="15">
        <v>0.45591892471170697</v>
      </c>
    </row>
    <row r="17" spans="1:10" x14ac:dyDescent="0.2">
      <c r="A17" s="150" t="s">
        <v>212</v>
      </c>
      <c r="B17" s="150" t="s">
        <v>208</v>
      </c>
      <c r="C17" s="144" t="s">
        <v>172</v>
      </c>
      <c r="D17" s="150" t="s">
        <v>207</v>
      </c>
      <c r="E17" s="15">
        <v>2.00069668309014</v>
      </c>
      <c r="F17" s="15">
        <v>1.72279975267619</v>
      </c>
      <c r="G17" s="15">
        <v>4.7184817300401196</v>
      </c>
      <c r="H17" s="15">
        <v>2.8711978552614599</v>
      </c>
      <c r="I17" s="15">
        <v>1.3844351610896399</v>
      </c>
      <c r="J17" s="15">
        <v>0.274760719693741</v>
      </c>
    </row>
    <row r="18" spans="1:10" x14ac:dyDescent="0.2">
      <c r="A18" s="150" t="s">
        <v>212</v>
      </c>
      <c r="B18" s="150" t="s">
        <v>209</v>
      </c>
      <c r="C18" s="144" t="s">
        <v>173</v>
      </c>
      <c r="D18" s="150" t="s">
        <v>206</v>
      </c>
      <c r="E18" s="15"/>
      <c r="F18" s="15"/>
      <c r="G18" s="15"/>
      <c r="H18" s="15"/>
      <c r="I18" s="15"/>
      <c r="J18" s="15"/>
    </row>
    <row r="19" spans="1:10" x14ac:dyDescent="0.2">
      <c r="A19" s="150" t="s">
        <v>212</v>
      </c>
      <c r="B19" s="150" t="s">
        <v>209</v>
      </c>
      <c r="C19" s="144" t="s">
        <v>173</v>
      </c>
      <c r="D19" s="150" t="s">
        <v>207</v>
      </c>
      <c r="E19" s="15"/>
      <c r="F19" s="15"/>
      <c r="G19" s="15"/>
      <c r="H19" s="15"/>
      <c r="I19" s="15"/>
      <c r="J19" s="15"/>
    </row>
    <row r="20" spans="1:10" x14ac:dyDescent="0.2">
      <c r="A20" s="150" t="s">
        <v>212</v>
      </c>
      <c r="B20" s="150" t="s">
        <v>174</v>
      </c>
      <c r="C20" s="144" t="s">
        <v>175</v>
      </c>
      <c r="D20" s="150" t="s">
        <v>206</v>
      </c>
      <c r="E20" s="15">
        <v>0.91360347698878697</v>
      </c>
      <c r="F20" s="15">
        <v>1.4376757279216801</v>
      </c>
      <c r="G20" s="15">
        <v>3.2718375532592399</v>
      </c>
      <c r="H20" s="15">
        <v>1.56719857805856</v>
      </c>
      <c r="I20" s="15">
        <v>0.39978346785595498</v>
      </c>
      <c r="J20" s="15">
        <v>-0.44003886906123502</v>
      </c>
    </row>
    <row r="21" spans="1:10" x14ac:dyDescent="0.2">
      <c r="A21" s="150" t="s">
        <v>212</v>
      </c>
      <c r="B21" s="150" t="s">
        <v>174</v>
      </c>
      <c r="C21" s="144" t="s">
        <v>175</v>
      </c>
      <c r="D21" s="150" t="s">
        <v>207</v>
      </c>
      <c r="E21" s="15">
        <v>0.86894239970856801</v>
      </c>
      <c r="F21" s="15">
        <v>1.5911415055582601</v>
      </c>
      <c r="G21" s="15">
        <v>3.40218433170083</v>
      </c>
      <c r="H21" s="15">
        <v>1.52961171295325</v>
      </c>
      <c r="I21" s="15">
        <v>0.38240098876602002</v>
      </c>
      <c r="J21" s="15">
        <v>-0.33292975994246599</v>
      </c>
    </row>
    <row r="22" spans="1:10" x14ac:dyDescent="0.2">
      <c r="A22" s="150" t="s">
        <v>212</v>
      </c>
      <c r="B22" s="150" t="s">
        <v>174</v>
      </c>
      <c r="C22" s="144" t="s">
        <v>176</v>
      </c>
      <c r="D22" s="150" t="s">
        <v>206</v>
      </c>
      <c r="E22" s="15">
        <v>0.69492440282192303</v>
      </c>
      <c r="F22" s="15">
        <v>1.27352409584588</v>
      </c>
      <c r="G22" s="15">
        <v>2.5049242748932499</v>
      </c>
      <c r="H22" s="15">
        <v>1.21359856227342</v>
      </c>
      <c r="I22" s="15">
        <v>0.246135456718058</v>
      </c>
      <c r="J22" s="15">
        <v>-0.67226080540651101</v>
      </c>
    </row>
    <row r="23" spans="1:10" x14ac:dyDescent="0.2">
      <c r="A23" s="150" t="s">
        <v>212</v>
      </c>
      <c r="B23" s="150" t="s">
        <v>174</v>
      </c>
      <c r="C23" s="144" t="s">
        <v>176</v>
      </c>
      <c r="D23" s="150" t="s">
        <v>207</v>
      </c>
      <c r="E23" s="15">
        <v>0.77300280728260096</v>
      </c>
      <c r="F23" s="15">
        <v>1.2128735010193299</v>
      </c>
      <c r="G23" s="15">
        <v>2.7478047024030898</v>
      </c>
      <c r="H23" s="15">
        <v>1.2878295371735999</v>
      </c>
      <c r="I23" s="15">
        <v>0.34483774840401299</v>
      </c>
      <c r="J23" s="15">
        <v>-0.354583107375953</v>
      </c>
    </row>
    <row r="24" spans="1:10" x14ac:dyDescent="0.2">
      <c r="A24" s="150" t="s">
        <v>212</v>
      </c>
      <c r="B24" s="150" t="s">
        <v>174</v>
      </c>
      <c r="C24" s="144" t="s">
        <v>177</v>
      </c>
      <c r="D24" s="150" t="s">
        <v>206</v>
      </c>
      <c r="E24" s="15">
        <v>2.2738184824323802</v>
      </c>
      <c r="F24" s="15">
        <v>1.74907049099874</v>
      </c>
      <c r="G24" s="15">
        <v>4.9376940793573496</v>
      </c>
      <c r="H24" s="15">
        <v>3.2200398428923398</v>
      </c>
      <c r="I24" s="15">
        <v>1.4249055037318801</v>
      </c>
      <c r="J24" s="15">
        <v>8.7597905460407605E-2</v>
      </c>
    </row>
    <row r="25" spans="1:10" x14ac:dyDescent="0.2">
      <c r="A25" s="150" t="s">
        <v>212</v>
      </c>
      <c r="B25" s="150" t="s">
        <v>174</v>
      </c>
      <c r="C25" s="144" t="s">
        <v>177</v>
      </c>
      <c r="D25" s="150" t="s">
        <v>207</v>
      </c>
      <c r="E25" s="15">
        <v>1.62728234519251</v>
      </c>
      <c r="F25" s="15">
        <v>2.33431493919579</v>
      </c>
      <c r="G25" s="15">
        <v>6.5563035070475797</v>
      </c>
      <c r="H25" s="15">
        <v>2.65368753390177</v>
      </c>
      <c r="I25" s="15">
        <v>1.06313537613937</v>
      </c>
      <c r="J25" s="15">
        <v>0.14840019448084699</v>
      </c>
    </row>
    <row r="26" spans="1:10" x14ac:dyDescent="0.2">
      <c r="A26" s="150" t="s">
        <v>212</v>
      </c>
      <c r="B26" s="150" t="s">
        <v>174</v>
      </c>
      <c r="C26" s="144" t="s">
        <v>178</v>
      </c>
      <c r="D26" s="150" t="s">
        <v>206</v>
      </c>
      <c r="E26" s="15">
        <v>0.65356588762399503</v>
      </c>
      <c r="F26" s="15">
        <v>1.18564796610182</v>
      </c>
      <c r="G26" s="15">
        <v>2.6869428636627299</v>
      </c>
      <c r="H26" s="15">
        <v>1.1443175073003899</v>
      </c>
      <c r="I26" s="15">
        <v>0.33221190110163601</v>
      </c>
      <c r="J26" s="15">
        <v>-0.15166709264900399</v>
      </c>
    </row>
    <row r="27" spans="1:10" x14ac:dyDescent="0.2">
      <c r="A27" s="150" t="s">
        <v>212</v>
      </c>
      <c r="B27" s="150" t="s">
        <v>174</v>
      </c>
      <c r="C27" s="144" t="s">
        <v>178</v>
      </c>
      <c r="D27" s="150" t="s">
        <v>207</v>
      </c>
      <c r="E27" s="15">
        <v>0.666367174702716</v>
      </c>
      <c r="F27" s="15">
        <v>1.4058582743344601</v>
      </c>
      <c r="G27" s="15">
        <v>3.2433232385633102</v>
      </c>
      <c r="H27" s="15">
        <v>1.1979955813037699</v>
      </c>
      <c r="I27" s="15">
        <v>0.32239435566342101</v>
      </c>
      <c r="J27" s="15">
        <v>-0.205341325857754</v>
      </c>
    </row>
    <row r="28" spans="1:10" x14ac:dyDescent="0.2">
      <c r="A28" s="150" t="s">
        <v>212</v>
      </c>
      <c r="B28" s="150" t="s">
        <v>209</v>
      </c>
      <c r="C28" s="144" t="s">
        <v>173</v>
      </c>
      <c r="D28" s="150" t="s">
        <v>206</v>
      </c>
      <c r="E28" s="15"/>
      <c r="F28" s="15"/>
      <c r="G28" s="15"/>
      <c r="H28" s="15"/>
      <c r="I28" s="15"/>
      <c r="J28" s="15"/>
    </row>
    <row r="29" spans="1:10" x14ac:dyDescent="0.2">
      <c r="A29" s="150" t="s">
        <v>212</v>
      </c>
      <c r="B29" s="150" t="s">
        <v>209</v>
      </c>
      <c r="C29" s="144" t="s">
        <v>173</v>
      </c>
      <c r="D29" s="150" t="s">
        <v>207</v>
      </c>
      <c r="E29" s="15"/>
      <c r="F29" s="15"/>
      <c r="G29" s="15"/>
      <c r="H29" s="15"/>
      <c r="I29" s="15"/>
      <c r="J29" s="15"/>
    </row>
    <row r="30" spans="1:10" x14ac:dyDescent="0.2">
      <c r="A30" s="150" t="s">
        <v>212</v>
      </c>
      <c r="B30" s="150" t="s">
        <v>179</v>
      </c>
      <c r="C30" s="144" t="s">
        <v>1299</v>
      </c>
      <c r="D30" s="150" t="s">
        <v>206</v>
      </c>
      <c r="E30" s="15">
        <v>0.67229400987088705</v>
      </c>
      <c r="F30" s="15">
        <v>1.22820209362467</v>
      </c>
      <c r="G30" s="15">
        <v>2.5595107212483601</v>
      </c>
      <c r="H30" s="15">
        <v>1.1399882894451201</v>
      </c>
      <c r="I30" s="15">
        <v>0.28889759532320602</v>
      </c>
      <c r="J30" s="15">
        <v>-0.41183111709054898</v>
      </c>
    </row>
    <row r="31" spans="1:10" x14ac:dyDescent="0.2">
      <c r="A31" s="150" t="s">
        <v>212</v>
      </c>
      <c r="B31" s="150" t="s">
        <v>179</v>
      </c>
      <c r="C31" s="144" t="s">
        <v>1299</v>
      </c>
      <c r="D31" s="150" t="s">
        <v>207</v>
      </c>
      <c r="E31" s="15">
        <v>0.83227201004298501</v>
      </c>
      <c r="F31" s="15">
        <v>1.6656485578778499</v>
      </c>
      <c r="G31" s="15">
        <v>3.6110068545058098</v>
      </c>
      <c r="H31" s="15">
        <v>1.4787534658933099</v>
      </c>
      <c r="I31" s="15">
        <v>0.375518437415509</v>
      </c>
      <c r="J31" s="15">
        <v>-0.21847299087048699</v>
      </c>
    </row>
    <row r="32" spans="1:10" x14ac:dyDescent="0.2">
      <c r="A32" s="150" t="s">
        <v>212</v>
      </c>
      <c r="B32" s="150" t="s">
        <v>180</v>
      </c>
      <c r="C32" s="144" t="s">
        <v>1868</v>
      </c>
      <c r="D32" s="150" t="s">
        <v>206</v>
      </c>
      <c r="E32" s="15">
        <v>-7.3933162920928497E-2</v>
      </c>
      <c r="F32" s="15">
        <v>0.47171383619229101</v>
      </c>
      <c r="G32" s="15">
        <v>0.53327132555991197</v>
      </c>
      <c r="H32" s="15">
        <v>0.113099488733628</v>
      </c>
      <c r="I32" s="15">
        <v>-0.204968040894212</v>
      </c>
      <c r="J32" s="15">
        <v>-0.44354920227031802</v>
      </c>
    </row>
    <row r="33" spans="1:10" x14ac:dyDescent="0.2">
      <c r="A33" s="150" t="s">
        <v>212</v>
      </c>
      <c r="B33" s="150" t="s">
        <v>180</v>
      </c>
      <c r="C33" s="144" t="s">
        <v>1868</v>
      </c>
      <c r="D33" s="150" t="s">
        <v>207</v>
      </c>
      <c r="E33" s="15">
        <v>-0.117700198943269</v>
      </c>
      <c r="F33" s="15">
        <v>0.61968917695095005</v>
      </c>
      <c r="G33" s="15">
        <v>1.05652007159649</v>
      </c>
      <c r="H33" s="15">
        <v>7.6534768624441904E-2</v>
      </c>
      <c r="I33" s="15">
        <v>-0.25704682882540297</v>
      </c>
      <c r="J33" s="15">
        <v>-0.53392944846815105</v>
      </c>
    </row>
    <row r="34" spans="1:10" x14ac:dyDescent="0.2">
      <c r="A34" s="150" t="s">
        <v>212</v>
      </c>
      <c r="B34" s="150" t="s">
        <v>181</v>
      </c>
      <c r="C34" s="144" t="s">
        <v>1482</v>
      </c>
      <c r="D34" s="150" t="s">
        <v>206</v>
      </c>
      <c r="E34" s="15">
        <v>1.16724175138386</v>
      </c>
      <c r="F34" s="15">
        <v>2.25684995107801</v>
      </c>
      <c r="G34" s="15">
        <v>5.7131590214776899</v>
      </c>
      <c r="H34" s="15">
        <v>3.1173289581183399</v>
      </c>
      <c r="I34" s="15">
        <v>0.33238915255817902</v>
      </c>
      <c r="J34" s="15">
        <v>2.2772506534965201E-3</v>
      </c>
    </row>
    <row r="35" spans="1:10" x14ac:dyDescent="0.2">
      <c r="A35" s="150" t="s">
        <v>212</v>
      </c>
      <c r="B35" s="150" t="s">
        <v>181</v>
      </c>
      <c r="C35" s="144" t="s">
        <v>1482</v>
      </c>
      <c r="D35" s="150" t="s">
        <v>207</v>
      </c>
      <c r="E35" s="15">
        <v>3.0416883768155198</v>
      </c>
      <c r="F35" s="15">
        <v>2.7992707432174599</v>
      </c>
      <c r="G35" s="15">
        <v>7.5028437536942301</v>
      </c>
      <c r="H35" s="15">
        <v>4.8624590656435798</v>
      </c>
      <c r="I35" s="15">
        <v>1.09737469679836</v>
      </c>
      <c r="J35" s="15">
        <v>1.8133764996377099E-2</v>
      </c>
    </row>
    <row r="36" spans="1:10" x14ac:dyDescent="0.2">
      <c r="A36" s="150" t="s">
        <v>212</v>
      </c>
      <c r="B36" s="150" t="s">
        <v>182</v>
      </c>
      <c r="C36" s="144" t="s">
        <v>1869</v>
      </c>
      <c r="D36" s="150" t="s">
        <v>206</v>
      </c>
      <c r="E36" s="15">
        <v>0.85398290911112995</v>
      </c>
      <c r="F36" s="15">
        <v>0.84645197831686003</v>
      </c>
      <c r="G36" s="15">
        <v>1.8876250713784499</v>
      </c>
      <c r="H36" s="15">
        <v>1.30731414199014</v>
      </c>
      <c r="I36" s="15">
        <v>0.320664446510318</v>
      </c>
      <c r="J36" s="15">
        <v>-0.25425679890762798</v>
      </c>
    </row>
    <row r="37" spans="1:10" x14ac:dyDescent="0.2">
      <c r="A37" s="150" t="s">
        <v>212</v>
      </c>
      <c r="B37" s="150" t="s">
        <v>182</v>
      </c>
      <c r="C37" s="144" t="s">
        <v>1124</v>
      </c>
      <c r="D37" s="150" t="s">
        <v>207</v>
      </c>
      <c r="E37" s="15">
        <v>1.1149564393948199</v>
      </c>
      <c r="F37" s="15">
        <v>1.0861305734858999</v>
      </c>
      <c r="G37" s="15">
        <v>2.3248400419131801</v>
      </c>
      <c r="H37" s="15">
        <v>1.51786917740803</v>
      </c>
      <c r="I37" s="15">
        <v>0.69966941588048204</v>
      </c>
      <c r="J37" s="15">
        <v>-2.9498220407278002E-2</v>
      </c>
    </row>
    <row r="38" spans="1:10" x14ac:dyDescent="0.2">
      <c r="A38" s="150" t="s">
        <v>212</v>
      </c>
      <c r="B38" s="150" t="s">
        <v>183</v>
      </c>
      <c r="C38" s="144" t="s">
        <v>1050</v>
      </c>
      <c r="D38" s="150" t="s">
        <v>206</v>
      </c>
      <c r="E38" s="15">
        <v>0.66517941994031904</v>
      </c>
      <c r="F38" s="15">
        <v>0.86387730622750902</v>
      </c>
      <c r="G38" s="15">
        <v>2.1400102979481899</v>
      </c>
      <c r="H38" s="15">
        <v>1.1563899114029399</v>
      </c>
      <c r="I38" s="15">
        <v>0.359142840922477</v>
      </c>
      <c r="J38" s="15">
        <v>-0.15003624261828599</v>
      </c>
    </row>
    <row r="39" spans="1:10" x14ac:dyDescent="0.2">
      <c r="A39" s="150" t="s">
        <v>212</v>
      </c>
      <c r="B39" s="150" t="s">
        <v>183</v>
      </c>
      <c r="C39" s="144" t="s">
        <v>1050</v>
      </c>
      <c r="D39" s="150" t="s">
        <v>207</v>
      </c>
      <c r="E39" s="15">
        <v>1.47374977594218</v>
      </c>
      <c r="F39" s="15">
        <v>1.3659757396951799</v>
      </c>
      <c r="G39" s="15">
        <v>4.1398295831991501</v>
      </c>
      <c r="H39" s="15">
        <v>1.88947933788295</v>
      </c>
      <c r="I39" s="15">
        <v>0.82222046199141896</v>
      </c>
      <c r="J39" s="15">
        <v>0.14296615925428199</v>
      </c>
    </row>
    <row r="40" spans="1:10" x14ac:dyDescent="0.2">
      <c r="A40" s="150" t="s">
        <v>212</v>
      </c>
      <c r="B40" s="150" t="s">
        <v>198</v>
      </c>
      <c r="C40" s="144" t="s">
        <v>185</v>
      </c>
      <c r="D40" s="150" t="s">
        <v>206</v>
      </c>
      <c r="E40" s="15">
        <v>1.1179618402381899</v>
      </c>
      <c r="F40" s="15">
        <v>1.1512904692220001</v>
      </c>
      <c r="G40" s="15">
        <v>2.7791423414331402</v>
      </c>
      <c r="H40" s="15">
        <v>1.5763316590763501</v>
      </c>
      <c r="I40" s="15">
        <v>0.63154546023421698</v>
      </c>
      <c r="J40" s="15">
        <v>-4.0062882936820803E-2</v>
      </c>
    </row>
    <row r="41" spans="1:10" x14ac:dyDescent="0.2">
      <c r="A41" s="150" t="s">
        <v>212</v>
      </c>
      <c r="B41" s="150" t="s">
        <v>198</v>
      </c>
      <c r="C41" s="144" t="s">
        <v>185</v>
      </c>
      <c r="D41" s="150" t="s">
        <v>207</v>
      </c>
      <c r="E41" s="15">
        <v>0.980539771796055</v>
      </c>
      <c r="F41" s="15">
        <v>1.3586199300616899</v>
      </c>
      <c r="G41" s="15">
        <v>2.9977753562859699</v>
      </c>
      <c r="H41" s="15">
        <v>1.4181024036469101</v>
      </c>
      <c r="I41" s="15">
        <v>0.49567099425489902</v>
      </c>
      <c r="J41" s="15">
        <v>-0.13994018135126801</v>
      </c>
    </row>
    <row r="42" spans="1:10" x14ac:dyDescent="0.2">
      <c r="A42" s="150" t="s">
        <v>212</v>
      </c>
      <c r="B42" s="150" t="s">
        <v>198</v>
      </c>
      <c r="C42" s="144" t="s">
        <v>186</v>
      </c>
      <c r="D42" s="150" t="s">
        <v>206</v>
      </c>
      <c r="E42" s="15">
        <v>1.0889378303541499</v>
      </c>
      <c r="F42" s="15">
        <v>1.2336813520998999</v>
      </c>
      <c r="G42" s="15">
        <v>2.8237753793507099</v>
      </c>
      <c r="H42" s="15">
        <v>1.60833194617149</v>
      </c>
      <c r="I42" s="15">
        <v>0.66663183195904196</v>
      </c>
      <c r="J42" s="15">
        <v>-0.21053636651707</v>
      </c>
    </row>
    <row r="43" spans="1:10" x14ac:dyDescent="0.2">
      <c r="A43" s="150" t="s">
        <v>212</v>
      </c>
      <c r="B43" s="150" t="s">
        <v>198</v>
      </c>
      <c r="C43" s="144" t="s">
        <v>186</v>
      </c>
      <c r="D43" s="150" t="s">
        <v>207</v>
      </c>
      <c r="E43" s="15">
        <v>0.84629567276159601</v>
      </c>
      <c r="F43" s="15">
        <v>1.1500659348456299</v>
      </c>
      <c r="G43" s="15">
        <v>2.90219061436671</v>
      </c>
      <c r="H43" s="15">
        <v>1.3724675193092299</v>
      </c>
      <c r="I43" s="15">
        <v>0.37372082652641198</v>
      </c>
      <c r="J43" s="15">
        <v>-5.67015487079639E-2</v>
      </c>
    </row>
    <row r="44" spans="1:10" x14ac:dyDescent="0.2">
      <c r="A44" s="150" t="s">
        <v>212</v>
      </c>
      <c r="B44" s="150" t="s">
        <v>198</v>
      </c>
      <c r="C44" s="144" t="s">
        <v>187</v>
      </c>
      <c r="D44" s="150" t="s">
        <v>206</v>
      </c>
      <c r="E44" s="15">
        <v>0.196709827080878</v>
      </c>
      <c r="F44" s="15">
        <v>1.03378116740601</v>
      </c>
      <c r="G44" s="15">
        <v>2.0260335836684602</v>
      </c>
      <c r="H44" s="15">
        <v>0.64189426984784004</v>
      </c>
      <c r="I44" s="15">
        <v>4.0901269054589101E-2</v>
      </c>
      <c r="J44" s="15">
        <v>-0.256132129059845</v>
      </c>
    </row>
    <row r="45" spans="1:10" x14ac:dyDescent="0.2">
      <c r="A45" s="150" t="s">
        <v>212</v>
      </c>
      <c r="B45" s="150" t="s">
        <v>198</v>
      </c>
      <c r="C45" s="144" t="s">
        <v>187</v>
      </c>
      <c r="D45" s="150" t="s">
        <v>207</v>
      </c>
      <c r="E45" s="15">
        <v>0.32859445904054402</v>
      </c>
      <c r="F45" s="15">
        <v>1.4133425351220701</v>
      </c>
      <c r="G45" s="15">
        <v>3.3151152110394899</v>
      </c>
      <c r="H45" s="15">
        <v>1.0468241951927599</v>
      </c>
      <c r="I45" s="15">
        <v>2.1560061172469398E-2</v>
      </c>
      <c r="J45" s="15">
        <v>-0.52377781591934602</v>
      </c>
    </row>
    <row r="46" spans="1:10" x14ac:dyDescent="0.2">
      <c r="A46" s="150" t="s">
        <v>212</v>
      </c>
      <c r="B46" s="150" t="s">
        <v>198</v>
      </c>
      <c r="C46" s="144" t="s">
        <v>188</v>
      </c>
      <c r="D46" s="150" t="s">
        <v>206</v>
      </c>
      <c r="E46" s="15">
        <v>1.4056457372222599</v>
      </c>
      <c r="F46" s="15">
        <v>1.1448052995261899</v>
      </c>
      <c r="G46" s="15">
        <v>3.07531602511833</v>
      </c>
      <c r="H46" s="15">
        <v>1.8588149858763701</v>
      </c>
      <c r="I46" s="15">
        <v>1.0060025281660401</v>
      </c>
      <c r="J46" s="15">
        <v>0.175990122188526</v>
      </c>
    </row>
    <row r="47" spans="1:10" x14ac:dyDescent="0.2">
      <c r="A47" s="150" t="s">
        <v>212</v>
      </c>
      <c r="B47" s="150" t="s">
        <v>198</v>
      </c>
      <c r="C47" s="144" t="s">
        <v>188</v>
      </c>
      <c r="D47" s="150" t="s">
        <v>207</v>
      </c>
      <c r="E47" s="15">
        <v>1.1562548739249401</v>
      </c>
      <c r="F47" s="15">
        <v>1.3407067805627799</v>
      </c>
      <c r="G47" s="15">
        <v>3.2590683872500099</v>
      </c>
      <c r="H47" s="15">
        <v>1.5724892951418801</v>
      </c>
      <c r="I47" s="15">
        <v>0.83282284217597402</v>
      </c>
      <c r="J47" s="15">
        <v>1.17504763642314E-2</v>
      </c>
    </row>
    <row r="48" spans="1:10" x14ac:dyDescent="0.2">
      <c r="A48" s="150" t="s">
        <v>212</v>
      </c>
      <c r="B48" s="150" t="s">
        <v>198</v>
      </c>
      <c r="C48" s="144" t="s">
        <v>189</v>
      </c>
      <c r="D48" s="150" t="s">
        <v>206</v>
      </c>
      <c r="E48" s="15">
        <v>1.1303302769386201</v>
      </c>
      <c r="F48" s="15">
        <v>0.92332692872264599</v>
      </c>
      <c r="G48" s="15">
        <v>2.2994362339726</v>
      </c>
      <c r="H48" s="15">
        <v>1.4410482966553699</v>
      </c>
      <c r="I48" s="15">
        <v>0.77619619013368701</v>
      </c>
      <c r="J48" s="15">
        <v>1.4675092902965901E-2</v>
      </c>
    </row>
    <row r="49" spans="1:10" x14ac:dyDescent="0.2">
      <c r="A49" s="150" t="s">
        <v>212</v>
      </c>
      <c r="B49" s="150" t="s">
        <v>198</v>
      </c>
      <c r="C49" s="144" t="s">
        <v>189</v>
      </c>
      <c r="D49" s="150" t="s">
        <v>207</v>
      </c>
      <c r="E49" s="15">
        <v>1.0185777303972501</v>
      </c>
      <c r="F49" s="15">
        <v>1.3296675460721099</v>
      </c>
      <c r="G49" s="15">
        <v>2.4378298103734499</v>
      </c>
      <c r="H49" s="15">
        <v>1.38805786297945</v>
      </c>
      <c r="I49" s="15">
        <v>0.52809967853431605</v>
      </c>
      <c r="J49" s="15">
        <v>-0.106952222062353</v>
      </c>
    </row>
    <row r="50" spans="1:10" x14ac:dyDescent="0.2">
      <c r="A50" s="150" t="s">
        <v>212</v>
      </c>
      <c r="B50" s="150" t="s">
        <v>198</v>
      </c>
      <c r="C50" s="144" t="s">
        <v>190</v>
      </c>
      <c r="D50" s="150" t="s">
        <v>206</v>
      </c>
      <c r="E50" s="15">
        <v>1.13160265029318</v>
      </c>
      <c r="F50" s="15">
        <v>1.3356321147866901</v>
      </c>
      <c r="G50" s="15">
        <v>3.44098673441118</v>
      </c>
      <c r="H50" s="15">
        <v>1.7475936498753399</v>
      </c>
      <c r="I50" s="15">
        <v>0.57369319995741896</v>
      </c>
      <c r="J50" s="15">
        <v>-2.0345951198454799E-2</v>
      </c>
    </row>
    <row r="51" spans="1:10" x14ac:dyDescent="0.2">
      <c r="A51" s="150" t="s">
        <v>212</v>
      </c>
      <c r="B51" s="150" t="s">
        <v>198</v>
      </c>
      <c r="C51" s="144" t="s">
        <v>190</v>
      </c>
      <c r="D51" s="150" t="s">
        <v>207</v>
      </c>
      <c r="E51" s="15">
        <v>0.94296563035088499</v>
      </c>
      <c r="F51" s="15">
        <v>1.3950735820501801</v>
      </c>
      <c r="G51" s="15">
        <v>3.2352951329518</v>
      </c>
      <c r="H51" s="15">
        <v>1.5778421982083499</v>
      </c>
      <c r="I51" s="15">
        <v>0.45262255381136302</v>
      </c>
      <c r="J51" s="15">
        <v>-0.176620926261638</v>
      </c>
    </row>
    <row r="52" spans="1:10" x14ac:dyDescent="0.2">
      <c r="A52" s="150" t="s">
        <v>212</v>
      </c>
      <c r="B52" s="150" t="s">
        <v>209</v>
      </c>
      <c r="C52" s="144" t="s">
        <v>173</v>
      </c>
      <c r="D52" s="150" t="s">
        <v>206</v>
      </c>
      <c r="E52" s="15"/>
      <c r="F52" s="15"/>
      <c r="G52" s="15"/>
      <c r="H52" s="15"/>
      <c r="I52" s="15"/>
      <c r="J52" s="15"/>
    </row>
    <row r="53" spans="1:10" x14ac:dyDescent="0.2">
      <c r="A53" s="150" t="s">
        <v>212</v>
      </c>
      <c r="B53" s="150" t="s">
        <v>209</v>
      </c>
      <c r="C53" s="144" t="s">
        <v>173</v>
      </c>
      <c r="D53" s="150" t="s">
        <v>207</v>
      </c>
      <c r="E53" s="15"/>
      <c r="F53" s="15"/>
      <c r="G53" s="15"/>
      <c r="H53" s="15"/>
      <c r="I53" s="15"/>
      <c r="J53" s="15"/>
    </row>
    <row r="54" spans="1:10" x14ac:dyDescent="0.2">
      <c r="A54" s="150" t="s">
        <v>212</v>
      </c>
      <c r="B54" s="150" t="s">
        <v>191</v>
      </c>
      <c r="C54" s="144" t="s">
        <v>1703</v>
      </c>
      <c r="D54" s="150" t="s">
        <v>206</v>
      </c>
      <c r="E54" s="15">
        <v>0.180139779620729</v>
      </c>
      <c r="F54" s="15">
        <v>1.0802684365133299</v>
      </c>
      <c r="G54" s="15">
        <v>2.28561023431504</v>
      </c>
      <c r="H54" s="15">
        <v>1.1670029051892901</v>
      </c>
      <c r="I54" s="15">
        <v>-8.8129191601198906E-2</v>
      </c>
      <c r="J54" s="15">
        <v>-0.47415537537222002</v>
      </c>
    </row>
    <row r="55" spans="1:10" x14ac:dyDescent="0.2">
      <c r="A55" s="150" t="s">
        <v>212</v>
      </c>
      <c r="B55" s="150" t="s">
        <v>191</v>
      </c>
      <c r="C55" s="144" t="s">
        <v>1703</v>
      </c>
      <c r="D55" s="150" t="s">
        <v>207</v>
      </c>
      <c r="E55" s="15">
        <v>0.87530842730728398</v>
      </c>
      <c r="F55" s="15">
        <v>1.53918069119796</v>
      </c>
      <c r="G55" s="15">
        <v>3.2218423876023099</v>
      </c>
      <c r="H55" s="15">
        <v>1.6758996204112999</v>
      </c>
      <c r="I55" s="15">
        <v>0.485640109023805</v>
      </c>
      <c r="J55" s="15">
        <v>-0.24844584939528599</v>
      </c>
    </row>
    <row r="56" spans="1:10" x14ac:dyDescent="0.2">
      <c r="A56" s="150" t="s">
        <v>212</v>
      </c>
      <c r="B56" s="150" t="s">
        <v>192</v>
      </c>
      <c r="C56" s="144" t="s">
        <v>1718</v>
      </c>
      <c r="D56" s="150" t="s">
        <v>206</v>
      </c>
      <c r="E56" s="15">
        <v>1.1205877294025299</v>
      </c>
      <c r="F56" s="15">
        <v>0.80139742202667796</v>
      </c>
      <c r="G56" s="15">
        <v>2.1015411935147399</v>
      </c>
      <c r="H56" s="15">
        <v>1.45004236956495</v>
      </c>
      <c r="I56" s="15">
        <v>0.77021078829478296</v>
      </c>
      <c r="J56" s="15">
        <v>9.2485384416518504E-2</v>
      </c>
    </row>
    <row r="57" spans="1:10" x14ac:dyDescent="0.2">
      <c r="A57" s="150" t="s">
        <v>212</v>
      </c>
      <c r="B57" s="150" t="s">
        <v>192</v>
      </c>
      <c r="C57" s="144" t="s">
        <v>1718</v>
      </c>
      <c r="D57" s="150" t="s">
        <v>207</v>
      </c>
      <c r="E57" s="15">
        <v>1.02407642054986</v>
      </c>
      <c r="F57" s="15">
        <v>0.88598163466160496</v>
      </c>
      <c r="G57" s="15">
        <v>2.5338393361907698</v>
      </c>
      <c r="H57" s="15">
        <v>1.3248337548033</v>
      </c>
      <c r="I57" s="15">
        <v>0.77882158549215996</v>
      </c>
      <c r="J57" s="15">
        <v>1.114534580171E-2</v>
      </c>
    </row>
    <row r="58" spans="1:10" x14ac:dyDescent="0.2">
      <c r="A58" s="150" t="s">
        <v>212</v>
      </c>
      <c r="B58" s="150" t="s">
        <v>193</v>
      </c>
      <c r="C58" s="144" t="s">
        <v>1919</v>
      </c>
      <c r="D58" s="150" t="s">
        <v>206</v>
      </c>
      <c r="E58" s="15">
        <v>0.36060016942539702</v>
      </c>
      <c r="F58" s="15">
        <v>0.62523556924725399</v>
      </c>
      <c r="G58" s="15">
        <v>1.50701327245476</v>
      </c>
      <c r="H58" s="15">
        <v>0.76105211082683299</v>
      </c>
      <c r="I58" s="15">
        <v>0.154185817132452</v>
      </c>
      <c r="J58" s="15">
        <v>-0.25425679890762798</v>
      </c>
    </row>
    <row r="59" spans="1:10" x14ac:dyDescent="0.2">
      <c r="A59" s="150" t="s">
        <v>212</v>
      </c>
      <c r="B59" s="150" t="s">
        <v>193</v>
      </c>
      <c r="C59" s="144" t="s">
        <v>1920</v>
      </c>
      <c r="D59" s="150" t="s">
        <v>207</v>
      </c>
      <c r="E59" s="15">
        <v>0.56256702639259404</v>
      </c>
      <c r="F59" s="15">
        <v>0.86466438750751196</v>
      </c>
      <c r="G59" s="15">
        <v>1.6161540513305299</v>
      </c>
      <c r="H59" s="15">
        <v>0.92034270865750401</v>
      </c>
      <c r="I59" s="15">
        <v>0.20718521605759599</v>
      </c>
      <c r="J59" s="15">
        <v>-0.191520484191218</v>
      </c>
    </row>
    <row r="60" spans="1:10" x14ac:dyDescent="0.2">
      <c r="A60" s="150" t="s">
        <v>212</v>
      </c>
      <c r="B60" s="144" t="s">
        <v>1865</v>
      </c>
      <c r="C60" s="144" t="s">
        <v>304</v>
      </c>
      <c r="D60" s="150" t="s">
        <v>206</v>
      </c>
      <c r="E60" s="15">
        <v>0.94524966865768201</v>
      </c>
      <c r="F60" s="15">
        <v>1.34605769296989</v>
      </c>
      <c r="G60" s="15">
        <v>3.0729024830157701</v>
      </c>
      <c r="H60" s="15">
        <v>1.52849225044587</v>
      </c>
      <c r="I60" s="15">
        <v>0.42563434957604601</v>
      </c>
      <c r="J60" s="15">
        <v>-0.31558834846672701</v>
      </c>
    </row>
    <row r="61" spans="1:10" x14ac:dyDescent="0.2">
      <c r="A61" s="150" t="s">
        <v>212</v>
      </c>
      <c r="B61" s="144" t="s">
        <v>1865</v>
      </c>
      <c r="C61" s="144" t="s">
        <v>304</v>
      </c>
      <c r="D61" s="150" t="s">
        <v>207</v>
      </c>
      <c r="E61" s="15">
        <v>0.79051330117742202</v>
      </c>
      <c r="F61" s="15">
        <v>1.5459226112064099</v>
      </c>
      <c r="G61" s="15">
        <v>3.3180084839664601</v>
      </c>
      <c r="H61" s="15">
        <v>1.41480539545576</v>
      </c>
      <c r="I61" s="15">
        <v>0.36730500217344503</v>
      </c>
      <c r="J61" s="15">
        <v>-0.115157457902026</v>
      </c>
    </row>
  </sheetData>
  <phoneticPr fontId="1"/>
  <conditionalFormatting sqref="D2:H12 E2:J59">
    <cfRule type="cellIs" dxfId="8" priority="6" operator="lessThan">
      <formula>0</formula>
    </cfRule>
  </conditionalFormatting>
  <conditionalFormatting sqref="E13:J59">
    <cfRule type="cellIs" dxfId="7" priority="4" operator="lessThan">
      <formula>0</formula>
    </cfRule>
  </conditionalFormatting>
  <conditionalFormatting sqref="I2:J12">
    <cfRule type="cellIs" dxfId="6" priority="5" operator="lessThan">
      <formula>0</formula>
    </cfRule>
  </conditionalFormatting>
  <conditionalFormatting sqref="E60:J61">
    <cfRule type="cellIs" dxfId="5" priority="3" operator="lessThan">
      <formula>0</formula>
    </cfRule>
  </conditionalFormatting>
  <conditionalFormatting sqref="E60:J61">
    <cfRule type="cellIs" dxfId="4" priority="2" operator="lessThan">
      <formula>0</formula>
    </cfRule>
  </conditionalFormatting>
  <conditionalFormatting sqref="C2:C12">
    <cfRule type="cellIs" dxfId="3" priority="1" operator="lessThan">
      <formula>0</formula>
    </cfRule>
  </conditionalFormatting>
  <pageMargins left="0.7" right="0.7" top="0.75" bottom="0.75" header="0.3" footer="0.3"/>
  <pageSetup paperSize="9" scale="9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pageSetUpPr fitToPage="1"/>
  </sheetPr>
  <dimension ref="A1:J61"/>
  <sheetViews>
    <sheetView workbookViewId="0"/>
  </sheetViews>
  <sheetFormatPr defaultColWidth="9" defaultRowHeight="10.8" x14ac:dyDescent="0.2"/>
  <cols>
    <col min="1" max="1" width="12.21875" style="143" bestFit="1" customWidth="1"/>
    <col min="2" max="2" width="20.44140625" style="143" bestFit="1" customWidth="1"/>
    <col min="3" max="3" width="24" style="143" bestFit="1" customWidth="1"/>
    <col min="4" max="4" width="10.44140625" style="143" bestFit="1" customWidth="1"/>
    <col min="5" max="16384" width="9" style="143"/>
  </cols>
  <sheetData>
    <row r="1" spans="1:10" x14ac:dyDescent="0.2">
      <c r="A1" s="1" t="s">
        <v>200</v>
      </c>
      <c r="B1" s="2" t="s">
        <v>201</v>
      </c>
      <c r="C1" s="2" t="s">
        <v>202</v>
      </c>
      <c r="D1" s="3" t="s">
        <v>203</v>
      </c>
      <c r="E1" s="3" t="s">
        <v>204</v>
      </c>
      <c r="F1" s="3" t="s">
        <v>15</v>
      </c>
      <c r="G1" s="3" t="s">
        <v>216</v>
      </c>
      <c r="H1" s="3" t="s">
        <v>217</v>
      </c>
      <c r="I1" s="3" t="s">
        <v>218</v>
      </c>
      <c r="J1" s="3" t="s">
        <v>219</v>
      </c>
    </row>
    <row r="2" spans="1:10" x14ac:dyDescent="0.2">
      <c r="A2" s="147" t="s">
        <v>213</v>
      </c>
      <c r="B2" s="145" t="s">
        <v>162</v>
      </c>
      <c r="C2" s="142" t="s">
        <v>281</v>
      </c>
      <c r="D2" s="156" t="s">
        <v>206</v>
      </c>
      <c r="E2" s="6">
        <v>0.21166931980350001</v>
      </c>
      <c r="F2" s="6">
        <v>0.23573528977206301</v>
      </c>
      <c r="G2" s="6">
        <v>8.3879206573112697E-3</v>
      </c>
      <c r="H2" s="6">
        <v>0.105398107338058</v>
      </c>
      <c r="I2" s="6">
        <v>0.326595792264538</v>
      </c>
      <c r="J2" s="6">
        <v>0.60890398276191404</v>
      </c>
    </row>
    <row r="3" spans="1:10" x14ac:dyDescent="0.2">
      <c r="A3" s="147" t="s">
        <v>213</v>
      </c>
      <c r="B3" s="145" t="s">
        <v>162</v>
      </c>
      <c r="C3" s="142" t="s">
        <v>281</v>
      </c>
      <c r="D3" s="156" t="s">
        <v>207</v>
      </c>
      <c r="E3" s="6">
        <v>0.16793226876859399</v>
      </c>
      <c r="F3" s="6">
        <v>0.396668015437801</v>
      </c>
      <c r="G3" s="6">
        <v>-0.30425462124216501</v>
      </c>
      <c r="H3" s="6">
        <v>5.9826378936944598E-2</v>
      </c>
      <c r="I3" s="6">
        <v>0.28145263031405099</v>
      </c>
      <c r="J3" s="6">
        <v>0.62622074160125696</v>
      </c>
    </row>
    <row r="4" spans="1:10" x14ac:dyDescent="0.2">
      <c r="A4" s="147" t="s">
        <v>213</v>
      </c>
      <c r="B4" s="145" t="s">
        <v>196</v>
      </c>
      <c r="C4" s="142" t="s">
        <v>374</v>
      </c>
      <c r="D4" s="156" t="s">
        <v>206</v>
      </c>
      <c r="E4" s="6">
        <v>0.334728697930884</v>
      </c>
      <c r="F4" s="6">
        <v>0.22942339147605401</v>
      </c>
      <c r="G4" s="6">
        <v>6.0160523075125802E-2</v>
      </c>
      <c r="H4" s="6">
        <v>0.21936040157255501</v>
      </c>
      <c r="I4" s="6">
        <v>0.47551094814372602</v>
      </c>
      <c r="J4" s="6">
        <v>0.69536086798159802</v>
      </c>
    </row>
    <row r="5" spans="1:10" x14ac:dyDescent="0.2">
      <c r="A5" s="147" t="s">
        <v>213</v>
      </c>
      <c r="B5" s="145" t="s">
        <v>196</v>
      </c>
      <c r="C5" s="142" t="s">
        <v>374</v>
      </c>
      <c r="D5" s="156" t="s">
        <v>207</v>
      </c>
      <c r="E5" s="6">
        <v>0.23951134331058799</v>
      </c>
      <c r="F5" s="6">
        <v>0.43826362328284302</v>
      </c>
      <c r="G5" s="6">
        <v>-0.41500615710086602</v>
      </c>
      <c r="H5" s="6">
        <v>0.10217811967004101</v>
      </c>
      <c r="I5" s="6">
        <v>0.40637648156575501</v>
      </c>
      <c r="J5" s="6">
        <v>0.69640805589464105</v>
      </c>
    </row>
    <row r="6" spans="1:10" x14ac:dyDescent="0.2">
      <c r="A6" s="147" t="s">
        <v>213</v>
      </c>
      <c r="B6" s="145" t="s">
        <v>208</v>
      </c>
      <c r="C6" s="142" t="s">
        <v>167</v>
      </c>
      <c r="D6" s="156" t="s">
        <v>206</v>
      </c>
      <c r="E6" s="6">
        <v>0.30390555203771502</v>
      </c>
      <c r="F6" s="6">
        <v>0.25052076219864999</v>
      </c>
      <c r="G6" s="6">
        <v>2.0437050843081901E-2</v>
      </c>
      <c r="H6" s="6">
        <v>0.18433948761226401</v>
      </c>
      <c r="I6" s="6">
        <v>0.45918177932395998</v>
      </c>
      <c r="J6" s="6">
        <v>0.70440531815416196</v>
      </c>
    </row>
    <row r="7" spans="1:10" x14ac:dyDescent="0.2">
      <c r="A7" s="147" t="s">
        <v>213</v>
      </c>
      <c r="B7" s="145" t="s">
        <v>208</v>
      </c>
      <c r="C7" s="142" t="s">
        <v>167</v>
      </c>
      <c r="D7" s="156" t="s">
        <v>207</v>
      </c>
      <c r="E7" s="6">
        <v>0.21442810223803799</v>
      </c>
      <c r="F7" s="6">
        <v>0.415897642834478</v>
      </c>
      <c r="G7" s="6">
        <v>-0.35887293616717902</v>
      </c>
      <c r="H7" s="6">
        <v>8.6573632864914998E-2</v>
      </c>
      <c r="I7" s="6">
        <v>0.39454815815584099</v>
      </c>
      <c r="J7" s="6">
        <v>0.70524775669348405</v>
      </c>
    </row>
    <row r="8" spans="1:10" x14ac:dyDescent="0.2">
      <c r="A8" s="147" t="s">
        <v>213</v>
      </c>
      <c r="B8" s="145" t="s">
        <v>208</v>
      </c>
      <c r="C8" s="142" t="s">
        <v>168</v>
      </c>
      <c r="D8" s="156" t="s">
        <v>206</v>
      </c>
      <c r="E8" s="6">
        <v>0.236012998068129</v>
      </c>
      <c r="F8" s="6">
        <v>0.24729932884194</v>
      </c>
      <c r="G8" s="6">
        <v>-4.4847871405457804E-3</v>
      </c>
      <c r="H8" s="6">
        <v>0.13037680318834399</v>
      </c>
      <c r="I8" s="6">
        <v>0.374886122242785</v>
      </c>
      <c r="J8" s="6">
        <v>0.663466281734439</v>
      </c>
    </row>
    <row r="9" spans="1:10" x14ac:dyDescent="0.2">
      <c r="A9" s="147" t="s">
        <v>213</v>
      </c>
      <c r="B9" s="145" t="s">
        <v>208</v>
      </c>
      <c r="C9" s="142" t="s">
        <v>168</v>
      </c>
      <c r="D9" s="156" t="s">
        <v>207</v>
      </c>
      <c r="E9" s="6">
        <v>0.166216247346061</v>
      </c>
      <c r="F9" s="6">
        <v>0.406256282108163</v>
      </c>
      <c r="G9" s="6">
        <v>-0.389145936877481</v>
      </c>
      <c r="H9" s="6">
        <v>5.4153788083734097E-2</v>
      </c>
      <c r="I9" s="6">
        <v>0.33331099785026302</v>
      </c>
      <c r="J9" s="6">
        <v>0.71899787160353501</v>
      </c>
    </row>
    <row r="10" spans="1:10" x14ac:dyDescent="0.2">
      <c r="A10" s="147" t="s">
        <v>213</v>
      </c>
      <c r="B10" s="145" t="s">
        <v>208</v>
      </c>
      <c r="C10" s="142" t="s">
        <v>169</v>
      </c>
      <c r="D10" s="156" t="s">
        <v>206</v>
      </c>
      <c r="E10" s="6">
        <v>0.42455133381191501</v>
      </c>
      <c r="F10" s="6">
        <v>0.24304758677806501</v>
      </c>
      <c r="G10" s="6">
        <v>6.6943053384562703E-2</v>
      </c>
      <c r="H10" s="6">
        <v>0.27272939337790297</v>
      </c>
      <c r="I10" s="6">
        <v>0.56066663166622899</v>
      </c>
      <c r="J10" s="6">
        <v>0.76298143311550104</v>
      </c>
    </row>
    <row r="11" spans="1:10" x14ac:dyDescent="0.2">
      <c r="A11" s="147" t="s">
        <v>213</v>
      </c>
      <c r="B11" s="145" t="s">
        <v>208</v>
      </c>
      <c r="C11" s="142" t="s">
        <v>169</v>
      </c>
      <c r="D11" s="156" t="s">
        <v>207</v>
      </c>
      <c r="E11" s="6">
        <v>0.32458107015420001</v>
      </c>
      <c r="F11" s="6">
        <v>0.39541277179923701</v>
      </c>
      <c r="G11" s="6">
        <v>-0.12900875424854899</v>
      </c>
      <c r="H11" s="6">
        <v>0.167568362358926</v>
      </c>
      <c r="I11" s="6">
        <v>0.49762576803352598</v>
      </c>
      <c r="J11" s="6">
        <v>0.762220206969772</v>
      </c>
    </row>
    <row r="12" spans="1:10" x14ac:dyDescent="0.2">
      <c r="A12" s="147" t="s">
        <v>213</v>
      </c>
      <c r="B12" s="145" t="s">
        <v>208</v>
      </c>
      <c r="C12" s="142" t="s">
        <v>170</v>
      </c>
      <c r="D12" s="156" t="s">
        <v>206</v>
      </c>
      <c r="E12" s="6">
        <v>0.31083856361399598</v>
      </c>
      <c r="F12" s="6">
        <v>0.25235075398082901</v>
      </c>
      <c r="G12" s="6">
        <v>6.2199154669691503E-3</v>
      </c>
      <c r="H12" s="6">
        <v>0.195143040255327</v>
      </c>
      <c r="I12" s="6">
        <v>0.46713999389855199</v>
      </c>
      <c r="J12" s="6">
        <v>0.69404250542269397</v>
      </c>
    </row>
    <row r="13" spans="1:10" x14ac:dyDescent="0.2">
      <c r="A13" s="150" t="s">
        <v>213</v>
      </c>
      <c r="B13" s="150" t="s">
        <v>208</v>
      </c>
      <c r="C13" s="144" t="s">
        <v>170</v>
      </c>
      <c r="D13" s="150" t="s">
        <v>207</v>
      </c>
      <c r="E13" s="6">
        <v>0.29944739343119398</v>
      </c>
      <c r="F13" s="6">
        <v>0.36347707720747302</v>
      </c>
      <c r="G13" s="6">
        <v>-0.159572935261688</v>
      </c>
      <c r="H13" s="6">
        <v>0.13762193747363599</v>
      </c>
      <c r="I13" s="6">
        <v>0.41793165479290101</v>
      </c>
      <c r="J13" s="6">
        <v>0.74144664313546704</v>
      </c>
    </row>
    <row r="14" spans="1:10" x14ac:dyDescent="0.2">
      <c r="A14" s="150" t="s">
        <v>213</v>
      </c>
      <c r="B14" s="150" t="s">
        <v>208</v>
      </c>
      <c r="C14" s="144" t="s">
        <v>171</v>
      </c>
      <c r="D14" s="150" t="s">
        <v>206</v>
      </c>
      <c r="E14" s="6">
        <v>0.28441499107054902</v>
      </c>
      <c r="F14" s="6">
        <v>0.25098841850982301</v>
      </c>
      <c r="G14" s="6">
        <v>-2.17073757513167E-3</v>
      </c>
      <c r="H14" s="6">
        <v>0.17738724189809901</v>
      </c>
      <c r="I14" s="6">
        <v>0.43523155340942399</v>
      </c>
      <c r="J14" s="6">
        <v>0.683999017134716</v>
      </c>
    </row>
    <row r="15" spans="1:10" x14ac:dyDescent="0.2">
      <c r="A15" s="150" t="s">
        <v>213</v>
      </c>
      <c r="B15" s="150" t="s">
        <v>208</v>
      </c>
      <c r="C15" s="144" t="s">
        <v>171</v>
      </c>
      <c r="D15" s="150" t="s">
        <v>207</v>
      </c>
      <c r="E15" s="6">
        <v>0.21135764254136699</v>
      </c>
      <c r="F15" s="6">
        <v>0.40856901137913498</v>
      </c>
      <c r="G15" s="6">
        <v>-0.28817743849703897</v>
      </c>
      <c r="H15" s="6">
        <v>8.28430196563959E-2</v>
      </c>
      <c r="I15" s="6">
        <v>0.389774789861492</v>
      </c>
      <c r="J15" s="6">
        <v>0.67265303271295096</v>
      </c>
    </row>
    <row r="16" spans="1:10" x14ac:dyDescent="0.2">
      <c r="A16" s="150" t="s">
        <v>213</v>
      </c>
      <c r="B16" s="150" t="s">
        <v>208</v>
      </c>
      <c r="C16" s="144" t="s">
        <v>172</v>
      </c>
      <c r="D16" s="150" t="s">
        <v>206</v>
      </c>
      <c r="E16" s="6">
        <v>0.32944677851740201</v>
      </c>
      <c r="F16" s="6">
        <v>0.243999478299425</v>
      </c>
      <c r="G16" s="6">
        <v>4.3075446743154097E-2</v>
      </c>
      <c r="H16" s="6">
        <v>0.21159740522568099</v>
      </c>
      <c r="I16" s="6">
        <v>0.48422182864109897</v>
      </c>
      <c r="J16" s="6">
        <v>0.71247743261172503</v>
      </c>
    </row>
    <row r="17" spans="1:10" x14ac:dyDescent="0.2">
      <c r="A17" s="150" t="s">
        <v>213</v>
      </c>
      <c r="B17" s="150" t="s">
        <v>208</v>
      </c>
      <c r="C17" s="144" t="s">
        <v>172</v>
      </c>
      <c r="D17" s="150" t="s">
        <v>207</v>
      </c>
      <c r="E17" s="6">
        <v>0.21442810223803799</v>
      </c>
      <c r="F17" s="6">
        <v>0.43175006118883702</v>
      </c>
      <c r="G17" s="6">
        <v>-0.39297059475980001</v>
      </c>
      <c r="H17" s="6">
        <v>9.2848120937210801E-2</v>
      </c>
      <c r="I17" s="6">
        <v>0.38751676225793802</v>
      </c>
      <c r="J17" s="6">
        <v>0.70524775669348405</v>
      </c>
    </row>
    <row r="18" spans="1:10" x14ac:dyDescent="0.2">
      <c r="A18" s="150" t="s">
        <v>213</v>
      </c>
      <c r="B18" s="150" t="s">
        <v>209</v>
      </c>
      <c r="C18" s="144" t="s">
        <v>173</v>
      </c>
      <c r="D18" s="150" t="s">
        <v>206</v>
      </c>
      <c r="E18" s="6"/>
      <c r="F18" s="6"/>
      <c r="G18" s="6"/>
      <c r="H18" s="6"/>
      <c r="I18" s="6"/>
      <c r="J18" s="6"/>
    </row>
    <row r="19" spans="1:10" x14ac:dyDescent="0.2">
      <c r="A19" s="150" t="s">
        <v>213</v>
      </c>
      <c r="B19" s="150" t="s">
        <v>209</v>
      </c>
      <c r="C19" s="144" t="s">
        <v>173</v>
      </c>
      <c r="D19" s="150" t="s">
        <v>207</v>
      </c>
      <c r="E19" s="6"/>
      <c r="F19" s="6"/>
      <c r="G19" s="6"/>
      <c r="H19" s="6"/>
      <c r="I19" s="6"/>
      <c r="J19" s="6"/>
    </row>
    <row r="20" spans="1:10" x14ac:dyDescent="0.2">
      <c r="A20" s="150" t="s">
        <v>213</v>
      </c>
      <c r="B20" s="150" t="s">
        <v>174</v>
      </c>
      <c r="C20" s="144" t="s">
        <v>175</v>
      </c>
      <c r="D20" s="150" t="s">
        <v>206</v>
      </c>
      <c r="E20" s="6">
        <v>0.267474718837312</v>
      </c>
      <c r="F20" s="6">
        <v>0.22474868512482801</v>
      </c>
      <c r="G20" s="6">
        <v>3.2191073496835199E-2</v>
      </c>
      <c r="H20" s="6">
        <v>0.169098747905429</v>
      </c>
      <c r="I20" s="6">
        <v>0.39024645603811497</v>
      </c>
      <c r="J20" s="6">
        <v>0.63801892826531503</v>
      </c>
    </row>
    <row r="21" spans="1:10" x14ac:dyDescent="0.2">
      <c r="A21" s="150" t="s">
        <v>213</v>
      </c>
      <c r="B21" s="150" t="s">
        <v>174</v>
      </c>
      <c r="C21" s="144" t="s">
        <v>175</v>
      </c>
      <c r="D21" s="150" t="s">
        <v>207</v>
      </c>
      <c r="E21" s="6">
        <v>0.19894139110165299</v>
      </c>
      <c r="F21" s="6">
        <v>0.37344645487811701</v>
      </c>
      <c r="G21" s="6">
        <v>-0.28618938814376499</v>
      </c>
      <c r="H21" s="6">
        <v>9.3603474078411797E-2</v>
      </c>
      <c r="I21" s="6">
        <v>0.33167808153017198</v>
      </c>
      <c r="J21" s="6">
        <v>0.63901382266203999</v>
      </c>
    </row>
    <row r="22" spans="1:10" x14ac:dyDescent="0.2">
      <c r="A22" s="150" t="s">
        <v>213</v>
      </c>
      <c r="B22" s="150" t="s">
        <v>174</v>
      </c>
      <c r="C22" s="144" t="s">
        <v>176</v>
      </c>
      <c r="D22" s="150" t="s">
        <v>206</v>
      </c>
      <c r="E22" s="6">
        <v>0.27855767123457498</v>
      </c>
      <c r="F22" s="6">
        <v>0.217153075531303</v>
      </c>
      <c r="G22" s="6">
        <v>6.2688271088271394E-2</v>
      </c>
      <c r="H22" s="6">
        <v>0.19240358738956001</v>
      </c>
      <c r="I22" s="6">
        <v>0.40515619808167003</v>
      </c>
      <c r="J22" s="6">
        <v>0.678922621749104</v>
      </c>
    </row>
    <row r="23" spans="1:10" x14ac:dyDescent="0.2">
      <c r="A23" s="150" t="s">
        <v>213</v>
      </c>
      <c r="B23" s="150" t="s">
        <v>174</v>
      </c>
      <c r="C23" s="144" t="s">
        <v>176</v>
      </c>
      <c r="D23" s="150" t="s">
        <v>207</v>
      </c>
      <c r="E23" s="6">
        <v>0.215926401991898</v>
      </c>
      <c r="F23" s="6">
        <v>0.33325910180232199</v>
      </c>
      <c r="G23" s="6">
        <v>-0.13850648834932699</v>
      </c>
      <c r="H23" s="6">
        <v>0.113316953169951</v>
      </c>
      <c r="I23" s="6">
        <v>0.33822398827344602</v>
      </c>
      <c r="J23" s="6">
        <v>0.68430457470318695</v>
      </c>
    </row>
    <row r="24" spans="1:10" x14ac:dyDescent="0.2">
      <c r="A24" s="150" t="s">
        <v>213</v>
      </c>
      <c r="B24" s="150" t="s">
        <v>174</v>
      </c>
      <c r="C24" s="144" t="s">
        <v>177</v>
      </c>
      <c r="D24" s="150" t="s">
        <v>206</v>
      </c>
      <c r="E24" s="6">
        <v>0.28356913986704402</v>
      </c>
      <c r="F24" s="6">
        <v>0.228874117885047</v>
      </c>
      <c r="G24" s="6">
        <v>4.2741366171173897E-2</v>
      </c>
      <c r="H24" s="6">
        <v>0.17279661237975799</v>
      </c>
      <c r="I24" s="6">
        <v>0.40875001867285998</v>
      </c>
      <c r="J24" s="6">
        <v>0.668573953443937</v>
      </c>
    </row>
    <row r="25" spans="1:10" x14ac:dyDescent="0.2">
      <c r="A25" s="150" t="s">
        <v>213</v>
      </c>
      <c r="B25" s="150" t="s">
        <v>174</v>
      </c>
      <c r="C25" s="144" t="s">
        <v>177</v>
      </c>
      <c r="D25" s="150" t="s">
        <v>207</v>
      </c>
      <c r="E25" s="6">
        <v>0.160045916305358</v>
      </c>
      <c r="F25" s="6">
        <v>0.36493341640140597</v>
      </c>
      <c r="G25" s="6">
        <v>-0.48841087366326502</v>
      </c>
      <c r="H25" s="6">
        <v>8.77944261694934E-2</v>
      </c>
      <c r="I25" s="6">
        <v>0.27178684893548399</v>
      </c>
      <c r="J25" s="6">
        <v>0.67544226672167895</v>
      </c>
    </row>
    <row r="26" spans="1:10" x14ac:dyDescent="0.2">
      <c r="A26" s="150" t="s">
        <v>213</v>
      </c>
      <c r="B26" s="150" t="s">
        <v>174</v>
      </c>
      <c r="C26" s="144" t="s">
        <v>178</v>
      </c>
      <c r="D26" s="150" t="s">
        <v>206</v>
      </c>
      <c r="E26" s="6">
        <v>0.21642192194991</v>
      </c>
      <c r="F26" s="6">
        <v>0.232363180564573</v>
      </c>
      <c r="G26" s="6">
        <v>-7.7223733267565899E-3</v>
      </c>
      <c r="H26" s="6">
        <v>0.12933313506647301</v>
      </c>
      <c r="I26" s="6">
        <v>0.34541997657280299</v>
      </c>
      <c r="J26" s="6">
        <v>0.61194957884762802</v>
      </c>
    </row>
    <row r="27" spans="1:10" x14ac:dyDescent="0.2">
      <c r="A27" s="150" t="s">
        <v>213</v>
      </c>
      <c r="B27" s="150" t="s">
        <v>174</v>
      </c>
      <c r="C27" s="144" t="s">
        <v>178</v>
      </c>
      <c r="D27" s="150" t="s">
        <v>207</v>
      </c>
      <c r="E27" s="6">
        <v>0.15626242980577301</v>
      </c>
      <c r="F27" s="6">
        <v>0.39984289869150902</v>
      </c>
      <c r="G27" s="6">
        <v>-0.41256971770790302</v>
      </c>
      <c r="H27" s="6">
        <v>6.6295304541953107E-2</v>
      </c>
      <c r="I27" s="6">
        <v>0.27110649260720698</v>
      </c>
      <c r="J27" s="6">
        <v>0.54902956663195501</v>
      </c>
    </row>
    <row r="28" spans="1:10" x14ac:dyDescent="0.2">
      <c r="A28" s="150" t="s">
        <v>213</v>
      </c>
      <c r="B28" s="150" t="s">
        <v>209</v>
      </c>
      <c r="C28" s="144" t="s">
        <v>173</v>
      </c>
      <c r="D28" s="150" t="s">
        <v>206</v>
      </c>
      <c r="E28" s="6"/>
      <c r="F28" s="6"/>
      <c r="G28" s="6"/>
      <c r="H28" s="6"/>
      <c r="I28" s="6"/>
      <c r="J28" s="6"/>
    </row>
    <row r="29" spans="1:10" x14ac:dyDescent="0.2">
      <c r="A29" s="150" t="s">
        <v>213</v>
      </c>
      <c r="B29" s="150" t="s">
        <v>209</v>
      </c>
      <c r="C29" s="144" t="s">
        <v>173</v>
      </c>
      <c r="D29" s="150" t="s">
        <v>207</v>
      </c>
      <c r="E29" s="6"/>
      <c r="F29" s="6"/>
      <c r="G29" s="6"/>
      <c r="H29" s="6"/>
      <c r="I29" s="6"/>
      <c r="J29" s="6"/>
    </row>
    <row r="30" spans="1:10" x14ac:dyDescent="0.2">
      <c r="A30" s="150" t="s">
        <v>213</v>
      </c>
      <c r="B30" s="150" t="s">
        <v>179</v>
      </c>
      <c r="C30" s="144" t="s">
        <v>1299</v>
      </c>
      <c r="D30" s="150" t="s">
        <v>206</v>
      </c>
      <c r="E30" s="6">
        <v>0.248736756124843</v>
      </c>
      <c r="F30" s="6">
        <v>0.25110872296252701</v>
      </c>
      <c r="G30" s="6">
        <v>-1.0235980867161199E-2</v>
      </c>
      <c r="H30" s="6">
        <v>0.13389728630214601</v>
      </c>
      <c r="I30" s="6">
        <v>0.38503268948379499</v>
      </c>
      <c r="J30" s="6">
        <v>0.68861703247648198</v>
      </c>
    </row>
    <row r="31" spans="1:10" x14ac:dyDescent="0.2">
      <c r="A31" s="150" t="s">
        <v>213</v>
      </c>
      <c r="B31" s="150" t="s">
        <v>179</v>
      </c>
      <c r="C31" s="144" t="s">
        <v>1299</v>
      </c>
      <c r="D31" s="150" t="s">
        <v>207</v>
      </c>
      <c r="E31" s="6">
        <v>0.118966699574152</v>
      </c>
      <c r="F31" s="6">
        <v>0.46643218721643398</v>
      </c>
      <c r="G31" s="6">
        <v>-0.66204653982872297</v>
      </c>
      <c r="H31" s="6">
        <v>4.67367575460259E-3</v>
      </c>
      <c r="I31" s="6">
        <v>0.25311401280075801</v>
      </c>
      <c r="J31" s="6">
        <v>0.59419835664300102</v>
      </c>
    </row>
    <row r="32" spans="1:10" x14ac:dyDescent="0.2">
      <c r="A32" s="150" t="s">
        <v>213</v>
      </c>
      <c r="B32" s="150" t="s">
        <v>180</v>
      </c>
      <c r="C32" s="144" t="s">
        <v>1868</v>
      </c>
      <c r="D32" s="150" t="s">
        <v>206</v>
      </c>
      <c r="E32" s="6">
        <v>0.169797262073237</v>
      </c>
      <c r="F32" s="6">
        <v>0.22882419629627099</v>
      </c>
      <c r="G32" s="6">
        <v>-0.13331832204014801</v>
      </c>
      <c r="H32" s="6">
        <v>8.6088676628946204E-2</v>
      </c>
      <c r="I32" s="6">
        <v>0.280390278301692</v>
      </c>
      <c r="J32" s="6">
        <v>0.52993241826998405</v>
      </c>
    </row>
    <row r="33" spans="1:10" x14ac:dyDescent="0.2">
      <c r="A33" s="150" t="s">
        <v>213</v>
      </c>
      <c r="B33" s="150" t="s">
        <v>180</v>
      </c>
      <c r="C33" s="144" t="s">
        <v>1868</v>
      </c>
      <c r="D33" s="150" t="s">
        <v>207</v>
      </c>
      <c r="E33" s="6">
        <v>6.2989733142486695E-2</v>
      </c>
      <c r="F33" s="6">
        <v>0.57425608812157003</v>
      </c>
      <c r="G33" s="6">
        <v>-1.06967354498095</v>
      </c>
      <c r="H33" s="6">
        <v>-7.1802288561243099E-2</v>
      </c>
      <c r="I33" s="6">
        <v>0.13354449965182599</v>
      </c>
      <c r="J33" s="6">
        <v>0.47507746173174997</v>
      </c>
    </row>
    <row r="34" spans="1:10" x14ac:dyDescent="0.2">
      <c r="A34" s="150" t="s">
        <v>213</v>
      </c>
      <c r="B34" s="150" t="s">
        <v>181</v>
      </c>
      <c r="C34" s="144" t="s">
        <v>1482</v>
      </c>
      <c r="D34" s="150" t="s">
        <v>206</v>
      </c>
      <c r="E34" s="6">
        <v>0.26429733778641001</v>
      </c>
      <c r="F34" s="6">
        <v>0.18421494675925201</v>
      </c>
      <c r="G34" s="6">
        <v>6.7034089031189098E-2</v>
      </c>
      <c r="H34" s="6">
        <v>0.18172208099975901</v>
      </c>
      <c r="I34" s="6">
        <v>0.364251549246351</v>
      </c>
      <c r="J34" s="6">
        <v>0.580031614778861</v>
      </c>
    </row>
    <row r="35" spans="1:10" x14ac:dyDescent="0.2">
      <c r="A35" s="150" t="s">
        <v>213</v>
      </c>
      <c r="B35" s="150" t="s">
        <v>181</v>
      </c>
      <c r="C35" s="144" t="s">
        <v>1482</v>
      </c>
      <c r="D35" s="150" t="s">
        <v>207</v>
      </c>
      <c r="E35" s="6">
        <v>0.161699643853773</v>
      </c>
      <c r="F35" s="6">
        <v>0.24981687338837499</v>
      </c>
      <c r="G35" s="6">
        <v>-7.1258259167722203E-3</v>
      </c>
      <c r="H35" s="6">
        <v>9.35144196420018E-2</v>
      </c>
      <c r="I35" s="6">
        <v>0.25681532893328202</v>
      </c>
      <c r="J35" s="6">
        <v>0.53583428737944905</v>
      </c>
    </row>
    <row r="36" spans="1:10" x14ac:dyDescent="0.2">
      <c r="A36" s="150" t="s">
        <v>213</v>
      </c>
      <c r="B36" s="150" t="s">
        <v>182</v>
      </c>
      <c r="C36" s="144" t="s">
        <v>1869</v>
      </c>
      <c r="D36" s="150" t="s">
        <v>206</v>
      </c>
      <c r="E36" s="6">
        <v>0.14606163145648801</v>
      </c>
      <c r="F36" s="6">
        <v>0.219321709679552</v>
      </c>
      <c r="G36" s="6">
        <v>-5.6355714272568101E-2</v>
      </c>
      <c r="H36" s="6">
        <v>7.0939891189792895E-2</v>
      </c>
      <c r="I36" s="6">
        <v>0.26257633209272702</v>
      </c>
      <c r="J36" s="6">
        <v>0.52958004710317597</v>
      </c>
    </row>
    <row r="37" spans="1:10" x14ac:dyDescent="0.2">
      <c r="A37" s="150" t="s">
        <v>213</v>
      </c>
      <c r="B37" s="150" t="s">
        <v>182</v>
      </c>
      <c r="C37" s="144" t="s">
        <v>1124</v>
      </c>
      <c r="D37" s="150" t="s">
        <v>207</v>
      </c>
      <c r="E37" s="6">
        <v>9.1902958400376905E-2</v>
      </c>
      <c r="F37" s="6">
        <v>0.44118928002843699</v>
      </c>
      <c r="G37" s="6">
        <v>-0.50390322257911901</v>
      </c>
      <c r="H37" s="6">
        <v>4.9421043043137902E-5</v>
      </c>
      <c r="I37" s="6">
        <v>0.21408408253150599</v>
      </c>
      <c r="J37" s="6">
        <v>0.55499576325385702</v>
      </c>
    </row>
    <row r="38" spans="1:10" x14ac:dyDescent="0.2">
      <c r="A38" s="150" t="s">
        <v>213</v>
      </c>
      <c r="B38" s="150" t="s">
        <v>183</v>
      </c>
      <c r="C38" s="144" t="s">
        <v>1050</v>
      </c>
      <c r="D38" s="150" t="s">
        <v>206</v>
      </c>
      <c r="E38" s="6">
        <v>0.41704715997217801</v>
      </c>
      <c r="F38" s="6">
        <v>0.22371131857784701</v>
      </c>
      <c r="G38" s="6">
        <v>0.100180184745013</v>
      </c>
      <c r="H38" s="6">
        <v>0.27425190929585602</v>
      </c>
      <c r="I38" s="6">
        <v>0.49435034304098502</v>
      </c>
      <c r="J38" s="6">
        <v>0.76842936849958499</v>
      </c>
    </row>
    <row r="39" spans="1:10" x14ac:dyDescent="0.2">
      <c r="A39" s="150" t="s">
        <v>213</v>
      </c>
      <c r="B39" s="150" t="s">
        <v>183</v>
      </c>
      <c r="C39" s="144" t="s">
        <v>1050</v>
      </c>
      <c r="D39" s="150" t="s">
        <v>207</v>
      </c>
      <c r="E39" s="6">
        <v>4.7225778115207097E-2</v>
      </c>
      <c r="F39" s="6">
        <v>0.20554705700418899</v>
      </c>
      <c r="G39" s="6">
        <v>-0.25055490548967502</v>
      </c>
      <c r="H39" s="6">
        <v>-2.2294408557774698E-3</v>
      </c>
      <c r="I39" s="6">
        <v>0.136391653626137</v>
      </c>
      <c r="J39" s="6">
        <v>0.35015050129535502</v>
      </c>
    </row>
    <row r="40" spans="1:10" x14ac:dyDescent="0.2">
      <c r="A40" s="150" t="s">
        <v>213</v>
      </c>
      <c r="B40" s="150" t="s">
        <v>198</v>
      </c>
      <c r="C40" s="144" t="s">
        <v>185</v>
      </c>
      <c r="D40" s="150" t="s">
        <v>206</v>
      </c>
      <c r="E40" s="6">
        <v>0.30248534345685502</v>
      </c>
      <c r="F40" s="6">
        <v>0.24976669595936399</v>
      </c>
      <c r="G40" s="6">
        <v>1.6238256491418801E-2</v>
      </c>
      <c r="H40" s="6">
        <v>0.18325940893989101</v>
      </c>
      <c r="I40" s="6">
        <v>0.44671893244453698</v>
      </c>
      <c r="J40" s="6">
        <v>0.70392558697407404</v>
      </c>
    </row>
    <row r="41" spans="1:10" x14ac:dyDescent="0.2">
      <c r="A41" s="150" t="s">
        <v>213</v>
      </c>
      <c r="B41" s="150" t="s">
        <v>198</v>
      </c>
      <c r="C41" s="144" t="s">
        <v>185</v>
      </c>
      <c r="D41" s="150" t="s">
        <v>207</v>
      </c>
      <c r="E41" s="6">
        <v>0.206708829437104</v>
      </c>
      <c r="F41" s="6">
        <v>0.46858477935443199</v>
      </c>
      <c r="G41" s="6">
        <v>-0.56152823798722395</v>
      </c>
      <c r="H41" s="6">
        <v>7.7551909981210906E-2</v>
      </c>
      <c r="I41" s="6">
        <v>0.37343266684065202</v>
      </c>
      <c r="J41" s="6">
        <v>0.69652349678972203</v>
      </c>
    </row>
    <row r="42" spans="1:10" x14ac:dyDescent="0.2">
      <c r="A42" s="150" t="s">
        <v>213</v>
      </c>
      <c r="B42" s="150" t="s">
        <v>198</v>
      </c>
      <c r="C42" s="144" t="s">
        <v>186</v>
      </c>
      <c r="D42" s="150" t="s">
        <v>206</v>
      </c>
      <c r="E42" s="6">
        <v>0.23854015722670699</v>
      </c>
      <c r="F42" s="6">
        <v>0.236203816295705</v>
      </c>
      <c r="G42" s="6">
        <v>3.0636961200551399E-2</v>
      </c>
      <c r="H42" s="6">
        <v>0.140336928885826</v>
      </c>
      <c r="I42" s="6">
        <v>0.37953918909157602</v>
      </c>
      <c r="J42" s="6">
        <v>0.65251574067904405</v>
      </c>
    </row>
    <row r="43" spans="1:10" x14ac:dyDescent="0.2">
      <c r="A43" s="150" t="s">
        <v>213</v>
      </c>
      <c r="B43" s="150" t="s">
        <v>198</v>
      </c>
      <c r="C43" s="144" t="s">
        <v>186</v>
      </c>
      <c r="D43" s="150" t="s">
        <v>207</v>
      </c>
      <c r="E43" s="6">
        <v>0.25241989076225801</v>
      </c>
      <c r="F43" s="6">
        <v>0.37834116061133199</v>
      </c>
      <c r="G43" s="6">
        <v>-0.17691277229379901</v>
      </c>
      <c r="H43" s="6">
        <v>0.122574267932116</v>
      </c>
      <c r="I43" s="6">
        <v>0.38534918385941302</v>
      </c>
      <c r="J43" s="6">
        <v>0.74934979370670096</v>
      </c>
    </row>
    <row r="44" spans="1:10" x14ac:dyDescent="0.2">
      <c r="A44" s="150" t="s">
        <v>213</v>
      </c>
      <c r="B44" s="150" t="s">
        <v>198</v>
      </c>
      <c r="C44" s="144" t="s">
        <v>187</v>
      </c>
      <c r="D44" s="150" t="s">
        <v>206</v>
      </c>
      <c r="E44" s="6">
        <v>0.26218611641937101</v>
      </c>
      <c r="F44" s="6">
        <v>0.27184804496048098</v>
      </c>
      <c r="G44" s="6">
        <v>-2.9707524537577999E-2</v>
      </c>
      <c r="H44" s="6">
        <v>0.148686838413574</v>
      </c>
      <c r="I44" s="6">
        <v>0.43595247028109702</v>
      </c>
      <c r="J44" s="6">
        <v>0.72068218822102403</v>
      </c>
    </row>
    <row r="45" spans="1:10" x14ac:dyDescent="0.2">
      <c r="A45" s="150" t="s">
        <v>213</v>
      </c>
      <c r="B45" s="150" t="s">
        <v>198</v>
      </c>
      <c r="C45" s="144" t="s">
        <v>187</v>
      </c>
      <c r="D45" s="150" t="s">
        <v>207</v>
      </c>
      <c r="E45" s="6">
        <v>0.139700097206648</v>
      </c>
      <c r="F45" s="6">
        <v>0.43620244457264201</v>
      </c>
      <c r="G45" s="6">
        <v>-0.341645881243692</v>
      </c>
      <c r="H45" s="6">
        <v>5.2431104656062898E-2</v>
      </c>
      <c r="I45" s="6">
        <v>0.28377760156890602</v>
      </c>
      <c r="J45" s="6">
        <v>0.62202480450482101</v>
      </c>
    </row>
    <row r="46" spans="1:10" x14ac:dyDescent="0.2">
      <c r="A46" s="150" t="s">
        <v>213</v>
      </c>
      <c r="B46" s="150" t="s">
        <v>198</v>
      </c>
      <c r="C46" s="144" t="s">
        <v>188</v>
      </c>
      <c r="D46" s="150" t="s">
        <v>206</v>
      </c>
      <c r="E46" s="6">
        <v>0.31172080474397601</v>
      </c>
      <c r="F46" s="6">
        <v>0.23675232665757401</v>
      </c>
      <c r="G46" s="6">
        <v>3.5787209311208802E-2</v>
      </c>
      <c r="H46" s="6">
        <v>0.19991544092937999</v>
      </c>
      <c r="I46" s="6">
        <v>0.43503860310533998</v>
      </c>
      <c r="J46" s="6">
        <v>0.68212309692775996</v>
      </c>
    </row>
    <row r="47" spans="1:10" x14ac:dyDescent="0.2">
      <c r="A47" s="150" t="s">
        <v>213</v>
      </c>
      <c r="B47" s="150" t="s">
        <v>198</v>
      </c>
      <c r="C47" s="144" t="s">
        <v>188</v>
      </c>
      <c r="D47" s="150" t="s">
        <v>207</v>
      </c>
      <c r="E47" s="6">
        <v>0.268304387364177</v>
      </c>
      <c r="F47" s="6">
        <v>0.46067228103664098</v>
      </c>
      <c r="G47" s="6">
        <v>-0.57043867891592404</v>
      </c>
      <c r="H47" s="6">
        <v>0.104867696632496</v>
      </c>
      <c r="I47" s="6">
        <v>0.43132332978544202</v>
      </c>
      <c r="J47" s="6">
        <v>0.69949994906911395</v>
      </c>
    </row>
    <row r="48" spans="1:10" x14ac:dyDescent="0.2">
      <c r="A48" s="150" t="s">
        <v>213</v>
      </c>
      <c r="B48" s="150" t="s">
        <v>198</v>
      </c>
      <c r="C48" s="144" t="s">
        <v>189</v>
      </c>
      <c r="D48" s="150" t="s">
        <v>206</v>
      </c>
      <c r="E48" s="6">
        <v>0.31279059957232302</v>
      </c>
      <c r="F48" s="6">
        <v>0.246173445959676</v>
      </c>
      <c r="G48" s="6">
        <v>2.8378435363672801E-2</v>
      </c>
      <c r="H48" s="6">
        <v>0.20077565676770601</v>
      </c>
      <c r="I48" s="6">
        <v>0.46287230585206002</v>
      </c>
      <c r="J48" s="6">
        <v>0.70986550344174604</v>
      </c>
    </row>
    <row r="49" spans="1:10" x14ac:dyDescent="0.2">
      <c r="A49" s="150" t="s">
        <v>213</v>
      </c>
      <c r="B49" s="150" t="s">
        <v>198</v>
      </c>
      <c r="C49" s="144" t="s">
        <v>189</v>
      </c>
      <c r="D49" s="150" t="s">
        <v>207</v>
      </c>
      <c r="E49" s="6">
        <v>0.204042610969043</v>
      </c>
      <c r="F49" s="6">
        <v>0.45132567174317501</v>
      </c>
      <c r="G49" s="6">
        <v>-0.40393924020831601</v>
      </c>
      <c r="H49" s="6">
        <v>7.1895321792997402E-2</v>
      </c>
      <c r="I49" s="6">
        <v>0.36629521936006998</v>
      </c>
      <c r="J49" s="6">
        <v>0.68583468233490097</v>
      </c>
    </row>
    <row r="50" spans="1:10" x14ac:dyDescent="0.2">
      <c r="A50" s="150" t="s">
        <v>213</v>
      </c>
      <c r="B50" s="150" t="s">
        <v>198</v>
      </c>
      <c r="C50" s="144" t="s">
        <v>190</v>
      </c>
      <c r="D50" s="150" t="s">
        <v>206</v>
      </c>
      <c r="E50" s="6">
        <v>0.37551351706903202</v>
      </c>
      <c r="F50" s="6">
        <v>0.247889940014412</v>
      </c>
      <c r="G50" s="6">
        <v>6.2899761766512796E-2</v>
      </c>
      <c r="H50" s="6">
        <v>0.24260172856839601</v>
      </c>
      <c r="I50" s="6">
        <v>0.53422607569997804</v>
      </c>
      <c r="J50" s="6">
        <v>0.745793264901083</v>
      </c>
    </row>
    <row r="51" spans="1:10" x14ac:dyDescent="0.2">
      <c r="A51" s="150" t="s">
        <v>213</v>
      </c>
      <c r="B51" s="150" t="s">
        <v>198</v>
      </c>
      <c r="C51" s="144" t="s">
        <v>190</v>
      </c>
      <c r="D51" s="150" t="s">
        <v>207</v>
      </c>
      <c r="E51" s="6">
        <v>0.208874240271123</v>
      </c>
      <c r="F51" s="6">
        <v>0.53358380945611406</v>
      </c>
      <c r="G51" s="6">
        <v>-0.80479701579266805</v>
      </c>
      <c r="H51" s="6">
        <v>7.1824568557357304E-2</v>
      </c>
      <c r="I51" s="6">
        <v>0.385678333438918</v>
      </c>
      <c r="J51" s="6">
        <v>0.70756371615981795</v>
      </c>
    </row>
    <row r="52" spans="1:10" x14ac:dyDescent="0.2">
      <c r="A52" s="150" t="s">
        <v>213</v>
      </c>
      <c r="B52" s="150" t="s">
        <v>209</v>
      </c>
      <c r="C52" s="144" t="s">
        <v>173</v>
      </c>
      <c r="D52" s="150" t="s">
        <v>206</v>
      </c>
      <c r="E52" s="6"/>
      <c r="F52" s="6"/>
      <c r="G52" s="6"/>
      <c r="H52" s="6"/>
      <c r="I52" s="6"/>
      <c r="J52" s="6"/>
    </row>
    <row r="53" spans="1:10" x14ac:dyDescent="0.2">
      <c r="A53" s="150" t="s">
        <v>213</v>
      </c>
      <c r="B53" s="150" t="s">
        <v>209</v>
      </c>
      <c r="C53" s="144" t="s">
        <v>173</v>
      </c>
      <c r="D53" s="150" t="s">
        <v>207</v>
      </c>
      <c r="E53" s="6"/>
      <c r="F53" s="6"/>
      <c r="G53" s="6"/>
      <c r="H53" s="6"/>
      <c r="I53" s="6"/>
      <c r="J53" s="6"/>
    </row>
    <row r="54" spans="1:10" x14ac:dyDescent="0.2">
      <c r="A54" s="150" t="s">
        <v>213</v>
      </c>
      <c r="B54" s="150" t="s">
        <v>191</v>
      </c>
      <c r="C54" s="144" t="s">
        <v>1703</v>
      </c>
      <c r="D54" s="150" t="s">
        <v>206</v>
      </c>
      <c r="E54" s="6">
        <v>0.18710155254619701</v>
      </c>
      <c r="F54" s="6">
        <v>0.25180063175404799</v>
      </c>
      <c r="G54" s="6">
        <v>-9.2938047448581307E-2</v>
      </c>
      <c r="H54" s="6">
        <v>0.12045242370564201</v>
      </c>
      <c r="I54" s="6">
        <v>0.27068457117295702</v>
      </c>
      <c r="J54" s="6">
        <v>0.66651477338432497</v>
      </c>
    </row>
    <row r="55" spans="1:10" x14ac:dyDescent="0.2">
      <c r="A55" s="150" t="s">
        <v>213</v>
      </c>
      <c r="B55" s="150" t="s">
        <v>191</v>
      </c>
      <c r="C55" s="144" t="s">
        <v>1703</v>
      </c>
      <c r="D55" s="150" t="s">
        <v>207</v>
      </c>
      <c r="E55" s="6">
        <v>7.0375624041865203E-2</v>
      </c>
      <c r="F55" s="6">
        <v>0.33261200836305799</v>
      </c>
      <c r="G55" s="6">
        <v>-0.253284930452361</v>
      </c>
      <c r="H55" s="6">
        <v>-2.8040604729411701E-2</v>
      </c>
      <c r="I55" s="6">
        <v>0.119284897133989</v>
      </c>
      <c r="J55" s="6">
        <v>0.87854447000495295</v>
      </c>
    </row>
    <row r="56" spans="1:10" x14ac:dyDescent="0.2">
      <c r="A56" s="150" t="s">
        <v>213</v>
      </c>
      <c r="B56" s="150" t="s">
        <v>192</v>
      </c>
      <c r="C56" s="144" t="s">
        <v>1718</v>
      </c>
      <c r="D56" s="150" t="s">
        <v>206</v>
      </c>
      <c r="E56" s="6">
        <v>0.30539186797939</v>
      </c>
      <c r="F56" s="6">
        <v>0.26184889752558199</v>
      </c>
      <c r="G56" s="6">
        <v>8.1935622228448707E-3</v>
      </c>
      <c r="H56" s="6">
        <v>0.16891405194699799</v>
      </c>
      <c r="I56" s="6">
        <v>0.46065707916017001</v>
      </c>
      <c r="J56" s="6">
        <v>0.716945628603329</v>
      </c>
    </row>
    <row r="57" spans="1:10" x14ac:dyDescent="0.2">
      <c r="A57" s="150" t="s">
        <v>213</v>
      </c>
      <c r="B57" s="150" t="s">
        <v>192</v>
      </c>
      <c r="C57" s="144" t="s">
        <v>1718</v>
      </c>
      <c r="D57" s="150" t="s">
        <v>207</v>
      </c>
      <c r="E57" s="6">
        <v>0.350161642002357</v>
      </c>
      <c r="F57" s="6">
        <v>0.41389877443906498</v>
      </c>
      <c r="G57" s="6">
        <v>-0.15061214271847501</v>
      </c>
      <c r="H57" s="6">
        <v>0.22588991327097299</v>
      </c>
      <c r="I57" s="6">
        <v>0.51170744868919704</v>
      </c>
      <c r="J57" s="6">
        <v>0.692126572673467</v>
      </c>
    </row>
    <row r="58" spans="1:10" x14ac:dyDescent="0.2">
      <c r="A58" s="150" t="s">
        <v>213</v>
      </c>
      <c r="B58" s="150" t="s">
        <v>193</v>
      </c>
      <c r="C58" s="144" t="s">
        <v>1918</v>
      </c>
      <c r="D58" s="150" t="s">
        <v>206</v>
      </c>
      <c r="E58" s="6">
        <v>0.21545636727859199</v>
      </c>
      <c r="F58" s="6">
        <v>0.23132847236412499</v>
      </c>
      <c r="G58" s="6">
        <v>-6.3430224082037204E-2</v>
      </c>
      <c r="H58" s="6">
        <v>0.120480112610359</v>
      </c>
      <c r="I58" s="6">
        <v>0.36511425934619501</v>
      </c>
      <c r="J58" s="6">
        <v>0.56181488028201299</v>
      </c>
    </row>
    <row r="59" spans="1:10" x14ac:dyDescent="0.2">
      <c r="A59" s="150" t="s">
        <v>213</v>
      </c>
      <c r="B59" s="150" t="s">
        <v>193</v>
      </c>
      <c r="C59" s="144" t="s">
        <v>1918</v>
      </c>
      <c r="D59" s="150" t="s">
        <v>207</v>
      </c>
      <c r="E59" s="6">
        <v>0.149050664927392</v>
      </c>
      <c r="F59" s="6">
        <v>0.47848058864158699</v>
      </c>
      <c r="G59" s="6">
        <v>-0.56152823798722395</v>
      </c>
      <c r="H59" s="6">
        <v>2.9925283234237501E-2</v>
      </c>
      <c r="I59" s="6">
        <v>0.25972724384069701</v>
      </c>
      <c r="J59" s="6">
        <v>0.54461628635916004</v>
      </c>
    </row>
    <row r="60" spans="1:10" x14ac:dyDescent="0.2">
      <c r="A60" s="150" t="s">
        <v>213</v>
      </c>
      <c r="B60" s="144" t="s">
        <v>1865</v>
      </c>
      <c r="C60" s="144" t="s">
        <v>304</v>
      </c>
      <c r="D60" s="150" t="s">
        <v>206</v>
      </c>
      <c r="E60" s="6">
        <v>0.28150613385918999</v>
      </c>
      <c r="F60" s="6">
        <v>0.23662068012241999</v>
      </c>
      <c r="G60" s="6">
        <v>2.5217040464931902E-2</v>
      </c>
      <c r="H60" s="6">
        <v>0.17193673777985599</v>
      </c>
      <c r="I60" s="6">
        <v>0.418794988686852</v>
      </c>
      <c r="J60" s="6">
        <v>0.66936376411363696</v>
      </c>
    </row>
    <row r="61" spans="1:10" x14ac:dyDescent="0.2">
      <c r="A61" s="150" t="s">
        <v>213</v>
      </c>
      <c r="B61" s="144" t="s">
        <v>1865</v>
      </c>
      <c r="C61" s="144" t="s">
        <v>304</v>
      </c>
      <c r="D61" s="150" t="s">
        <v>207</v>
      </c>
      <c r="E61" s="6">
        <v>0.22252955217835699</v>
      </c>
      <c r="F61" s="6">
        <v>0.42820896982678402</v>
      </c>
      <c r="G61" s="6">
        <v>-0.39813607165729697</v>
      </c>
      <c r="H61" s="6">
        <v>9.4514406831893702E-2</v>
      </c>
      <c r="I61" s="6">
        <v>0.385695605435175</v>
      </c>
      <c r="J61" s="6">
        <v>0.68574199322345397</v>
      </c>
    </row>
  </sheetData>
  <phoneticPr fontId="1"/>
  <conditionalFormatting sqref="D2:H12 E2:J59">
    <cfRule type="cellIs" dxfId="2" priority="3" operator="lessThan">
      <formula>0</formula>
    </cfRule>
  </conditionalFormatting>
  <conditionalFormatting sqref="E60:J61">
    <cfRule type="cellIs" dxfId="1" priority="2" operator="lessThan">
      <formula>0</formula>
    </cfRule>
  </conditionalFormatting>
  <conditionalFormatting sqref="C2:C12">
    <cfRule type="cellIs" dxfId="0" priority="1" operator="lessThan">
      <formula>0</formula>
    </cfRule>
  </conditionalFormatting>
  <pageMargins left="0.7" right="0.7" top="0.75" bottom="0.75" header="0.3" footer="0.3"/>
  <pageSetup paperSize="9" scale="9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2</vt:i4>
      </vt:variant>
    </vt:vector>
  </HeadingPairs>
  <TitlesOfParts>
    <vt:vector size="15" baseType="lpstr">
      <vt:lpstr>財務分析シート ver3</vt:lpstr>
      <vt:lpstr>【入力】財務分析</vt:lpstr>
      <vt:lpstr>【入力】商流・業務フロー</vt:lpstr>
      <vt:lpstr>【入力】4つの視点</vt:lpstr>
      <vt:lpstr>【参照】業種</vt:lpstr>
      <vt:lpstr>【参照】業種区分</vt:lpstr>
      <vt:lpstr>【参照】企業規模</vt:lpstr>
      <vt:lpstr>【参照】売上増加率基準値</vt:lpstr>
      <vt:lpstr>【参照】営業利益率基準値</vt:lpstr>
      <vt:lpstr>【参照】労働生産性基準値</vt:lpstr>
      <vt:lpstr>【参照】EBITDA基準値</vt:lpstr>
      <vt:lpstr>【参照】営業運転資本回転期間基準値</vt:lpstr>
      <vt:lpstr>【参照】自己資本比率基準値</vt:lpstr>
      <vt:lpstr>【入力】財務分析!Print_Area</vt:lpstr>
      <vt:lpstr>'財務分析シート ver3'!Print_Area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2006-09-13T11:12:02Z</dcterms:created>
  <dcterms:modified xsi:type="dcterms:W3CDTF">2023-09-15T05:14:10Z</dcterms:modified>
</cp:coreProperties>
</file>