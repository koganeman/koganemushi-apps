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ab\Documents\koganemushi_app\docs\okaneno-blockpuzzle\"/>
    </mc:Choice>
  </mc:AlternateContent>
  <xr:revisionPtr revIDLastSave="0" documentId="8_{24439CEC-C772-451D-8C12-66455ECE3A8A}" xr6:coauthVersionLast="47" xr6:coauthVersionMax="47" xr10:uidLastSave="{00000000-0000-0000-0000-000000000000}"/>
  <bookViews>
    <workbookView xWindow="14303" yWindow="-98" windowWidth="19394" windowHeight="11475" activeTab="2" xr2:uid="{A8253494-F16A-4C60-9FA2-6B0E3475E389}"/>
  </bookViews>
  <sheets>
    <sheet name="HOME" sheetId="1" r:id="rId1"/>
    <sheet name="data" sheetId="2" r:id="rId2"/>
    <sheet name="パズル" sheetId="3" r:id="rId3"/>
  </sheets>
  <functionGroups builtInGroupCount="19"/>
  <definedNames>
    <definedName name="_xlnm.Print_Area" localSheetId="2">パズル!$B$1:$Q$41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1" l="1"/>
  <c r="F20" i="1"/>
  <c r="D20" i="1"/>
  <c r="E20" i="1"/>
  <c r="C20" i="1"/>
  <c r="M27" i="3"/>
  <c r="M25" i="3" l="1"/>
  <c r="O29" i="3"/>
  <c r="P14" i="3"/>
  <c r="P20" i="3" l="1"/>
  <c r="D1" i="3" l="1"/>
  <c r="O7" i="3"/>
  <c r="M5" i="3"/>
  <c r="J7" i="3"/>
  <c r="H5" i="3"/>
  <c r="C5" i="3"/>
  <c r="E7" i="3"/>
  <c r="N15" i="3"/>
  <c r="L7" i="3"/>
  <c r="Q27" i="3" s="1"/>
  <c r="I15" i="3"/>
  <c r="G7" i="3"/>
  <c r="D15" i="3"/>
  <c r="B7" i="3"/>
  <c r="P16" i="3" l="1"/>
  <c r="Q18" i="3" s="1"/>
  <c r="H7" i="3"/>
  <c r="C7" i="3"/>
  <c r="D7" i="3" s="1"/>
  <c r="M7" i="3"/>
  <c r="N7" i="3" l="1"/>
  <c r="O11" i="3" s="1"/>
  <c r="M12" i="3"/>
  <c r="O9" i="3"/>
  <c r="M20" i="3" l="1"/>
  <c r="B3" i="3"/>
  <c r="G3" i="3"/>
  <c r="L3" i="3"/>
  <c r="C12" i="3" l="1"/>
  <c r="J9" i="3"/>
  <c r="I7" i="3"/>
  <c r="H20" i="3" s="1"/>
  <c r="E9" i="3"/>
  <c r="E11" i="3"/>
  <c r="J11" i="3" l="1"/>
  <c r="H12" i="3"/>
  <c r="N27" i="3" l="1"/>
  <c r="M40" i="3" s="1"/>
  <c r="N35" i="3" l="1"/>
  <c r="P34" i="3"/>
  <c r="Q33" i="3" l="1"/>
  <c r="P36" i="3"/>
  <c r="Q38" i="3" s="1"/>
</calcChain>
</file>

<file path=xl/sharedStrings.xml><?xml version="1.0" encoding="utf-8"?>
<sst xmlns="http://schemas.openxmlformats.org/spreadsheetml/2006/main" count="77" uniqueCount="55">
  <si>
    <t>売上高</t>
    <rPh sb="0" eb="3">
      <t>ウリアゲダカ</t>
    </rPh>
    <phoneticPr fontId="1"/>
  </si>
  <si>
    <t>変動費</t>
    <rPh sb="0" eb="3">
      <t>ヘンドウヒ</t>
    </rPh>
    <phoneticPr fontId="1"/>
  </si>
  <si>
    <t>粗利益</t>
    <rPh sb="0" eb="3">
      <t>アラリエキ</t>
    </rPh>
    <phoneticPr fontId="1"/>
  </si>
  <si>
    <t>固定費</t>
    <rPh sb="0" eb="3">
      <t>コテイヒ</t>
    </rPh>
    <phoneticPr fontId="1"/>
  </si>
  <si>
    <t>人件費</t>
    <rPh sb="0" eb="3">
      <t>ジンケンヒ</t>
    </rPh>
    <phoneticPr fontId="1"/>
  </si>
  <si>
    <t>その他</t>
    <rPh sb="2" eb="3">
      <t>タ</t>
    </rPh>
    <phoneticPr fontId="1"/>
  </si>
  <si>
    <t>売上高合計</t>
  </si>
  <si>
    <t>役員報酬</t>
  </si>
  <si>
    <t>給料手当</t>
  </si>
  <si>
    <t>法定福利費</t>
  </si>
  <si>
    <t>労務費</t>
    <rPh sb="0" eb="3">
      <t>ロウムヒ</t>
    </rPh>
    <phoneticPr fontId="1"/>
  </si>
  <si>
    <t>固定製造経費</t>
    <rPh sb="0" eb="2">
      <t>コテイ</t>
    </rPh>
    <rPh sb="2" eb="4">
      <t>セイゾウ</t>
    </rPh>
    <rPh sb="4" eb="6">
      <t>ケイヒ</t>
    </rPh>
    <phoneticPr fontId="1"/>
  </si>
  <si>
    <t>3カ年損益推移</t>
    <rPh sb="2" eb="3">
      <t>ネン</t>
    </rPh>
    <rPh sb="3" eb="5">
      <t>ソンエキ</t>
    </rPh>
    <rPh sb="5" eb="7">
      <t>スイイ</t>
    </rPh>
    <phoneticPr fontId="1"/>
  </si>
  <si>
    <t>計画</t>
    <rPh sb="0" eb="2">
      <t>ケイカク</t>
    </rPh>
    <phoneticPr fontId="1"/>
  </si>
  <si>
    <t>会社名</t>
    <rPh sb="0" eb="3">
      <t>カイシャメイ</t>
    </rPh>
    <phoneticPr fontId="1"/>
  </si>
  <si>
    <t>法人税等</t>
    <rPh sb="0" eb="4">
      <t>ホウジンゼイトウ</t>
    </rPh>
    <phoneticPr fontId="1"/>
  </si>
  <si>
    <t>減価償却費</t>
    <rPh sb="0" eb="5">
      <t>ゲンカショウキャクヒ</t>
    </rPh>
    <phoneticPr fontId="1"/>
  </si>
  <si>
    <t>借入金返済</t>
    <rPh sb="0" eb="3">
      <t>カリイレキン</t>
    </rPh>
    <rPh sb="3" eb="5">
      <t>ヘンサイ</t>
    </rPh>
    <phoneticPr fontId="1"/>
  </si>
  <si>
    <t>税引後利益</t>
    <rPh sb="0" eb="2">
      <t>ゼイビ</t>
    </rPh>
    <rPh sb="2" eb="3">
      <t>ゴ</t>
    </rPh>
    <rPh sb="3" eb="5">
      <t>リエキ</t>
    </rPh>
    <phoneticPr fontId="1"/>
  </si>
  <si>
    <t>増加キャッシュ</t>
    <rPh sb="0" eb="2">
      <t>ゾウカ</t>
    </rPh>
    <phoneticPr fontId="1"/>
  </si>
  <si>
    <t>注：お金のブロックパズルは、西順一郎先生が考案したSTRAC図表をもとに和仁達也先生が改良を加えたものです。</t>
    <rPh sb="0" eb="1">
      <t>チュウ</t>
    </rPh>
    <rPh sb="3" eb="4">
      <t>カネ</t>
    </rPh>
    <rPh sb="14" eb="15">
      <t>ニシ</t>
    </rPh>
    <rPh sb="15" eb="18">
      <t>ジュンイチロウ</t>
    </rPh>
    <rPh sb="18" eb="20">
      <t>センセイ</t>
    </rPh>
    <rPh sb="21" eb="23">
      <t>コウアン</t>
    </rPh>
    <rPh sb="30" eb="32">
      <t>ズヒョウ</t>
    </rPh>
    <rPh sb="36" eb="38">
      <t>ワニ</t>
    </rPh>
    <rPh sb="38" eb="40">
      <t>タツヤ</t>
    </rPh>
    <rPh sb="40" eb="42">
      <t>センセイ</t>
    </rPh>
    <rPh sb="43" eb="45">
      <t>カイリョウ</t>
    </rPh>
    <rPh sb="46" eb="47">
      <t>クワ</t>
    </rPh>
    <phoneticPr fontId="1"/>
  </si>
  <si>
    <t>売上高</t>
  </si>
  <si>
    <t>減価償却費</t>
  </si>
  <si>
    <t>法人税等</t>
  </si>
  <si>
    <t>法人税等</t>
    <rPh sb="0" eb="4">
      <t>ホウジンゼイトウ</t>
    </rPh>
    <phoneticPr fontId="1"/>
  </si>
  <si>
    <t>変動費</t>
  </si>
  <si>
    <t>粗利益</t>
  </si>
  <si>
    <t>固定費</t>
  </si>
  <si>
    <t>人件費</t>
  </si>
  <si>
    <t>その他</t>
  </si>
  <si>
    <t>税引後利益</t>
  </si>
  <si>
    <t>借入金返済</t>
  </si>
  <si>
    <t>増加キャッシュ</t>
  </si>
  <si>
    <t>均等割</t>
    <rPh sb="0" eb="3">
      <t>キントウワリ</t>
    </rPh>
    <phoneticPr fontId="1"/>
  </si>
  <si>
    <t>繰越欠損金</t>
    <rPh sb="0" eb="5">
      <t>クリコシケッソンキン</t>
    </rPh>
    <phoneticPr fontId="1"/>
  </si>
  <si>
    <t>目標増加キャッシュ</t>
    <rPh sb="0" eb="2">
      <t>モクヒョウ</t>
    </rPh>
    <rPh sb="2" eb="4">
      <t>ゾウカ</t>
    </rPh>
    <phoneticPr fontId="1"/>
  </si>
  <si>
    <t>投資利回り※</t>
    <rPh sb="0" eb="2">
      <t>トウシ</t>
    </rPh>
    <rPh sb="2" eb="4">
      <t>リマワ</t>
    </rPh>
    <phoneticPr fontId="1"/>
  </si>
  <si>
    <t>※固定費の投資利回り＝　粗利益÷固定費　固定費の投資がどれだけの粗利益を生んでいるか？その固定費は投資なのか？浪費なのか？</t>
    <rPh sb="1" eb="4">
      <t>コテイヒ</t>
    </rPh>
    <rPh sb="5" eb="7">
      <t>トウシ</t>
    </rPh>
    <rPh sb="7" eb="9">
      <t>リマワ</t>
    </rPh>
    <rPh sb="12" eb="15">
      <t>アラリエキ</t>
    </rPh>
    <rPh sb="16" eb="19">
      <t>コテイヒ</t>
    </rPh>
    <rPh sb="20" eb="23">
      <t>コテイヒ</t>
    </rPh>
    <rPh sb="24" eb="26">
      <t>トウシ</t>
    </rPh>
    <rPh sb="32" eb="35">
      <t>アラリエキ</t>
    </rPh>
    <rPh sb="36" eb="37">
      <t>ウ</t>
    </rPh>
    <rPh sb="45" eb="48">
      <t>コテイヒ</t>
    </rPh>
    <rPh sb="49" eb="51">
      <t>トウシ</t>
    </rPh>
    <rPh sb="55" eb="57">
      <t>ロウヒ</t>
    </rPh>
    <phoneticPr fontId="1"/>
  </si>
  <si>
    <t>売上原価</t>
    <rPh sb="0" eb="2">
      <t>ウリアゲ</t>
    </rPh>
    <rPh sb="2" eb="4">
      <t>ゲンカ</t>
    </rPh>
    <phoneticPr fontId="1"/>
  </si>
  <si>
    <t>販売管理費計</t>
    <phoneticPr fontId="1"/>
  </si>
  <si>
    <t>弥生パズラー</t>
    <rPh sb="0" eb="2">
      <t>ヤヨイ</t>
    </rPh>
    <phoneticPr fontId="1"/>
  </si>
  <si>
    <t>役員賞与</t>
  </si>
  <si>
    <t>雑給</t>
  </si>
  <si>
    <t>賞与</t>
  </si>
  <si>
    <t>退職金</t>
  </si>
  <si>
    <t>ver.1.2</t>
    <phoneticPr fontId="1"/>
  </si>
  <si>
    <t>法人所得額</t>
    <rPh sb="0" eb="2">
      <t>ホウジン</t>
    </rPh>
    <rPh sb="2" eb="5">
      <t>ショトクガク</t>
    </rPh>
    <phoneticPr fontId="1"/>
  </si>
  <si>
    <t>合計税率</t>
    <rPh sb="0" eb="2">
      <t>ゴウケイ</t>
    </rPh>
    <rPh sb="2" eb="4">
      <t>ゼイリツ</t>
    </rPh>
    <phoneticPr fontId="1"/>
  </si>
  <si>
    <t>400万円以下</t>
    <rPh sb="3" eb="4">
      <t>マン</t>
    </rPh>
    <rPh sb="4" eb="7">
      <t>エンイカ</t>
    </rPh>
    <phoneticPr fontId="1"/>
  </si>
  <si>
    <t>８００万円以下</t>
    <rPh sb="3" eb="5">
      <t>マンエン</t>
    </rPh>
    <rPh sb="5" eb="7">
      <t>イカ</t>
    </rPh>
    <phoneticPr fontId="1"/>
  </si>
  <si>
    <t>８００万円超</t>
    <rPh sb="3" eb="5">
      <t>マンエン</t>
    </rPh>
    <rPh sb="5" eb="6">
      <t>チョウ</t>
    </rPh>
    <phoneticPr fontId="1"/>
  </si>
  <si>
    <t>法人税率</t>
    <rPh sb="0" eb="4">
      <t>ホウジンゼイリツ</t>
    </rPh>
    <phoneticPr fontId="1"/>
  </si>
  <si>
    <t>売上増加必要額</t>
    <rPh sb="0" eb="2">
      <t>ウリアゲ</t>
    </rPh>
    <rPh sb="2" eb="4">
      <t>ゾウカ</t>
    </rPh>
    <rPh sb="4" eb="6">
      <t>ヒツヨウ</t>
    </rPh>
    <rPh sb="6" eb="7">
      <t>ガク</t>
    </rPh>
    <phoneticPr fontId="1"/>
  </si>
  <si>
    <t>税引前当期純損益金額</t>
  </si>
  <si>
    <t>税引前当期利益</t>
    <rPh sb="0" eb="7">
      <t>ゼイビキマエトウキリエキ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</si>
</sst>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#,##0,;[Red]\-#,##0,"/>
    <numFmt numFmtId="178" formatCode="0.000%"/>
  </numFmts>
  <fonts count="2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2"/>
      <color theme="1"/>
      <name val="メイリオ"/>
      <family val="2"/>
      <charset val="128"/>
    </font>
    <font>
      <b/>
      <sz val="12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0"/>
      <name val="メイリオ"/>
      <family val="3"/>
      <charset val="128"/>
    </font>
    <font>
      <sz val="9"/>
      <color theme="1"/>
      <name val="メイリオ"/>
      <family val="2"/>
      <charset val="128"/>
    </font>
    <font>
      <sz val="12"/>
      <color theme="1"/>
      <name val="メイリオ"/>
      <family val="3"/>
      <charset val="128"/>
    </font>
    <font>
      <b/>
      <sz val="12"/>
      <color theme="1"/>
      <name val="メイリオ"/>
      <family val="3"/>
      <charset val="128"/>
    </font>
    <font>
      <sz val="10"/>
      <color rgb="FF000000"/>
      <name val="メイリオ"/>
      <family val="3"/>
      <charset val="128"/>
    </font>
    <font>
      <sz val="10"/>
      <color theme="1"/>
      <name val="メイリオ"/>
      <family val="2"/>
      <charset val="128"/>
    </font>
    <font>
      <sz val="10"/>
      <color theme="1"/>
      <name val="メイリオ"/>
      <family val="3"/>
      <charset val="128"/>
    </font>
    <font>
      <sz val="9"/>
      <color rgb="FF000000"/>
      <name val="Meiryo UI"/>
      <family val="3"/>
      <charset val="128"/>
    </font>
    <font>
      <b/>
      <sz val="14"/>
      <color theme="1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u/>
      <sz val="10"/>
      <color theme="1"/>
      <name val="メイリオ"/>
      <family val="3"/>
      <charset val="128"/>
    </font>
    <font>
      <sz val="10"/>
      <color rgb="FFFF0000"/>
      <name val="メイリオ"/>
      <family val="3"/>
      <charset val="128"/>
    </font>
    <font>
      <b/>
      <sz val="11"/>
      <color theme="1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E5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8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38" fontId="3" fillId="2" borderId="1" xfId="1" applyFont="1" applyFill="1" applyBorder="1" applyProtection="1">
      <alignment vertical="center"/>
    </xf>
    <xf numFmtId="38" fontId="4" fillId="2" borderId="2" xfId="1" applyFont="1" applyFill="1" applyBorder="1" applyProtection="1">
      <alignment vertical="center"/>
    </xf>
    <xf numFmtId="38" fontId="5" fillId="2" borderId="3" xfId="1" applyFont="1" applyFill="1" applyBorder="1" applyProtection="1">
      <alignment vertical="center"/>
    </xf>
    <xf numFmtId="0" fontId="6" fillId="0" borderId="0" xfId="2">
      <alignment vertical="center"/>
    </xf>
    <xf numFmtId="38" fontId="3" fillId="2" borderId="2" xfId="1" applyFont="1" applyFill="1" applyBorder="1" applyProtection="1">
      <alignment vertical="center"/>
    </xf>
    <xf numFmtId="0" fontId="0" fillId="0" borderId="0" xfId="0" applyAlignment="1">
      <alignment vertical="center" shrinkToFit="1"/>
    </xf>
    <xf numFmtId="177" fontId="0" fillId="0" borderId="0" xfId="0" applyNumberFormat="1">
      <alignment vertical="center"/>
    </xf>
    <xf numFmtId="0" fontId="7" fillId="0" borderId="0" xfId="2" applyFont="1" applyAlignment="1">
      <alignment vertical="center" shrinkToFit="1"/>
    </xf>
    <xf numFmtId="38" fontId="7" fillId="3" borderId="4" xfId="1" applyFont="1" applyFill="1" applyBorder="1" applyAlignment="1" applyProtection="1">
      <alignment vertical="center" shrinkToFit="1"/>
    </xf>
    <xf numFmtId="38" fontId="7" fillId="3" borderId="5" xfId="1" applyFont="1" applyFill="1" applyBorder="1" applyAlignment="1" applyProtection="1">
      <alignment vertical="center" shrinkToFit="1"/>
    </xf>
    <xf numFmtId="176" fontId="7" fillId="3" borderId="5" xfId="3" applyNumberFormat="1" applyFont="1" applyFill="1" applyBorder="1" applyAlignment="1" applyProtection="1">
      <alignment vertical="center" shrinkToFit="1"/>
    </xf>
    <xf numFmtId="38" fontId="7" fillId="3" borderId="10" xfId="1" applyFont="1" applyFill="1" applyBorder="1" applyAlignment="1" applyProtection="1">
      <alignment vertical="center" shrinkToFit="1"/>
    </xf>
    <xf numFmtId="38" fontId="8" fillId="4" borderId="1" xfId="1" applyFont="1" applyFill="1" applyBorder="1" applyAlignment="1" applyProtection="1">
      <alignment horizontal="center" vertical="center" shrinkToFit="1"/>
    </xf>
    <xf numFmtId="38" fontId="8" fillId="4" borderId="3" xfId="1" applyFont="1" applyFill="1" applyBorder="1" applyAlignment="1" applyProtection="1">
      <alignment horizontal="center" vertical="center" shrinkToFit="1"/>
    </xf>
    <xf numFmtId="38" fontId="7" fillId="4" borderId="11" xfId="1" applyFont="1" applyFill="1" applyBorder="1" applyAlignment="1" applyProtection="1">
      <alignment horizontal="centerContinuous" vertical="center" shrinkToFit="1"/>
    </xf>
    <xf numFmtId="38" fontId="7" fillId="4" borderId="9" xfId="1" applyFont="1" applyFill="1" applyBorder="1" applyAlignment="1" applyProtection="1">
      <alignment horizontal="centerContinuous" vertical="center" shrinkToFit="1"/>
    </xf>
    <xf numFmtId="38" fontId="7" fillId="4" borderId="11" xfId="1" applyFont="1" applyFill="1" applyBorder="1" applyAlignment="1" applyProtection="1">
      <alignment vertical="center" shrinkToFit="1"/>
    </xf>
    <xf numFmtId="38" fontId="7" fillId="4" borderId="9" xfId="1" applyFont="1" applyFill="1" applyBorder="1" applyAlignment="1" applyProtection="1">
      <alignment vertical="center" shrinkToFit="1"/>
    </xf>
    <xf numFmtId="38" fontId="7" fillId="4" borderId="6" xfId="1" applyFont="1" applyFill="1" applyBorder="1" applyAlignment="1" applyProtection="1">
      <alignment vertical="center" shrinkToFit="1"/>
    </xf>
    <xf numFmtId="38" fontId="7" fillId="4" borderId="8" xfId="1" applyFont="1" applyFill="1" applyBorder="1" applyAlignment="1" applyProtection="1">
      <alignment vertical="center" shrinkToFit="1"/>
    </xf>
    <xf numFmtId="38" fontId="7" fillId="0" borderId="12" xfId="1" applyFont="1" applyFill="1" applyBorder="1" applyAlignment="1" applyProtection="1">
      <alignment vertical="center" shrinkToFit="1"/>
    </xf>
    <xf numFmtId="38" fontId="7" fillId="0" borderId="13" xfId="1" applyFont="1" applyFill="1" applyBorder="1" applyAlignment="1" applyProtection="1">
      <alignment vertical="center" shrinkToFit="1"/>
      <protection locked="0"/>
    </xf>
    <xf numFmtId="38" fontId="7" fillId="0" borderId="14" xfId="1" applyFont="1" applyFill="1" applyBorder="1" applyAlignment="1" applyProtection="1">
      <alignment vertical="center" shrinkToFit="1"/>
    </xf>
    <xf numFmtId="38" fontId="7" fillId="0" borderId="15" xfId="1" applyFont="1" applyFill="1" applyBorder="1" applyAlignment="1" applyProtection="1">
      <alignment vertical="center" shrinkToFit="1"/>
      <protection locked="0"/>
    </xf>
    <xf numFmtId="0" fontId="0" fillId="0" borderId="0" xfId="0" applyProtection="1">
      <alignment vertical="center"/>
      <protection locked="0"/>
    </xf>
    <xf numFmtId="0" fontId="13" fillId="0" borderId="0" xfId="0" applyFont="1">
      <alignment vertical="center"/>
    </xf>
    <xf numFmtId="0" fontId="11" fillId="0" borderId="26" xfId="0" applyFont="1" applyBorder="1" applyProtection="1">
      <alignment vertical="center"/>
      <protection locked="0"/>
    </xf>
    <xf numFmtId="0" fontId="11" fillId="0" borderId="19" xfId="0" applyFont="1" applyBorder="1" applyProtection="1">
      <alignment vertical="center"/>
      <protection locked="0"/>
    </xf>
    <xf numFmtId="0" fontId="11" fillId="0" borderId="27" xfId="0" applyFont="1" applyBorder="1" applyProtection="1">
      <alignment vertical="center"/>
      <protection locked="0"/>
    </xf>
    <xf numFmtId="0" fontId="11" fillId="0" borderId="0" xfId="0" applyFont="1">
      <alignment vertical="center"/>
    </xf>
    <xf numFmtId="0" fontId="11" fillId="0" borderId="22" xfId="0" applyFont="1" applyBorder="1">
      <alignment vertical="center"/>
    </xf>
    <xf numFmtId="0" fontId="11" fillId="0" borderId="19" xfId="0" applyFont="1" applyBorder="1">
      <alignment vertical="center"/>
    </xf>
    <xf numFmtId="0" fontId="11" fillId="0" borderId="28" xfId="0" applyFont="1" applyBorder="1">
      <alignment vertical="center"/>
    </xf>
    <xf numFmtId="0" fontId="11" fillId="0" borderId="29" xfId="0" applyFont="1" applyBorder="1">
      <alignment vertical="center"/>
    </xf>
    <xf numFmtId="0" fontId="11" fillId="0" borderId="27" xfId="0" applyFont="1" applyBorder="1">
      <alignment vertical="center"/>
    </xf>
    <xf numFmtId="0" fontId="14" fillId="0" borderId="0" xfId="0" applyFont="1">
      <alignment vertical="center"/>
    </xf>
    <xf numFmtId="0" fontId="0" fillId="0" borderId="30" xfId="0" applyBorder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38" fontId="11" fillId="0" borderId="20" xfId="5" applyFont="1" applyBorder="1" applyAlignment="1" applyProtection="1">
      <alignment vertical="center" shrinkToFit="1"/>
      <protection locked="0"/>
    </xf>
    <xf numFmtId="38" fontId="11" fillId="0" borderId="21" xfId="5" applyFont="1" applyBorder="1" applyAlignment="1" applyProtection="1">
      <alignment vertical="center" shrinkToFit="1"/>
      <protection locked="0"/>
    </xf>
    <xf numFmtId="38" fontId="11" fillId="0" borderId="16" xfId="5" applyFont="1" applyBorder="1" applyAlignment="1" applyProtection="1">
      <alignment vertical="center" shrinkToFit="1"/>
      <protection locked="0"/>
    </xf>
    <xf numFmtId="38" fontId="11" fillId="0" borderId="17" xfId="5" applyFont="1" applyBorder="1" applyAlignment="1" applyProtection="1">
      <alignment vertical="center" shrinkToFit="1"/>
      <protection locked="0"/>
    </xf>
    <xf numFmtId="38" fontId="11" fillId="0" borderId="18" xfId="5" applyFont="1" applyBorder="1" applyAlignment="1" applyProtection="1">
      <alignment vertical="center" shrinkToFit="1"/>
      <protection locked="0"/>
    </xf>
    <xf numFmtId="38" fontId="7" fillId="4" borderId="5" xfId="1" applyFont="1" applyFill="1" applyBorder="1" applyAlignment="1" applyProtection="1">
      <alignment horizontal="centerContinuous" vertical="center" shrinkToFit="1"/>
    </xf>
    <xf numFmtId="38" fontId="8" fillId="4" borderId="5" xfId="1" applyFont="1" applyFill="1" applyBorder="1" applyAlignment="1" applyProtection="1">
      <alignment horizontal="center" vertical="center" shrinkToFit="1"/>
    </xf>
    <xf numFmtId="38" fontId="7" fillId="4" borderId="10" xfId="1" applyFont="1" applyFill="1" applyBorder="1" applyAlignment="1" applyProtection="1">
      <alignment horizontal="centerContinuous" vertical="center" shrinkToFit="1"/>
    </xf>
    <xf numFmtId="38" fontId="7" fillId="5" borderId="4" xfId="1" applyFont="1" applyFill="1" applyBorder="1" applyAlignment="1" applyProtection="1">
      <alignment horizontal="center" vertical="center" shrinkToFit="1"/>
    </xf>
    <xf numFmtId="38" fontId="7" fillId="5" borderId="10" xfId="1" applyFont="1" applyFill="1" applyBorder="1" applyAlignment="1" applyProtection="1">
      <alignment horizontal="centerContinuous" vertical="center" shrinkToFit="1"/>
    </xf>
    <xf numFmtId="0" fontId="0" fillId="5" borderId="4" xfId="0" applyFill="1" applyBorder="1" applyAlignment="1">
      <alignment horizontal="center" vertical="center"/>
    </xf>
    <xf numFmtId="38" fontId="15" fillId="4" borderId="4" xfId="1" applyFont="1" applyFill="1" applyBorder="1" applyAlignment="1" applyProtection="1">
      <alignment horizontal="center" vertical="center" shrinkToFit="1"/>
    </xf>
    <xf numFmtId="38" fontId="7" fillId="5" borderId="4" xfId="1" applyFont="1" applyFill="1" applyBorder="1" applyAlignment="1" applyProtection="1">
      <alignment vertical="center" shrinkToFit="1"/>
    </xf>
    <xf numFmtId="38" fontId="7" fillId="5" borderId="5" xfId="1" applyFont="1" applyFill="1" applyBorder="1" applyAlignment="1" applyProtection="1">
      <alignment vertical="center" shrinkToFit="1"/>
    </xf>
    <xf numFmtId="38" fontId="7" fillId="5" borderId="10" xfId="1" applyFont="1" applyFill="1" applyBorder="1" applyAlignment="1" applyProtection="1">
      <alignment vertical="center" shrinkToFit="1"/>
    </xf>
    <xf numFmtId="38" fontId="7" fillId="6" borderId="4" xfId="1" applyFont="1" applyFill="1" applyBorder="1" applyAlignment="1" applyProtection="1">
      <alignment vertical="center" shrinkToFit="1"/>
    </xf>
    <xf numFmtId="38" fontId="7" fillId="6" borderId="5" xfId="1" applyFont="1" applyFill="1" applyBorder="1" applyAlignment="1" applyProtection="1">
      <alignment vertical="center" shrinkToFit="1"/>
    </xf>
    <xf numFmtId="38" fontId="7" fillId="6" borderId="5" xfId="1" applyFont="1" applyFill="1" applyBorder="1" applyAlignment="1" applyProtection="1">
      <alignment horizontal="right" vertical="center" shrinkToFit="1"/>
    </xf>
    <xf numFmtId="38" fontId="7" fillId="6" borderId="10" xfId="1" applyFont="1" applyFill="1" applyBorder="1" applyAlignment="1" applyProtection="1">
      <alignment vertical="center" shrinkToFit="1"/>
    </xf>
    <xf numFmtId="176" fontId="7" fillId="6" borderId="5" xfId="3" applyNumberFormat="1" applyFont="1" applyFill="1" applyBorder="1" applyAlignment="1" applyProtection="1">
      <alignment vertical="center" shrinkToFit="1"/>
    </xf>
    <xf numFmtId="176" fontId="11" fillId="6" borderId="5" xfId="4" applyNumberFormat="1" applyFont="1" applyFill="1" applyBorder="1" applyAlignment="1" applyProtection="1">
      <alignment horizontal="center" vertical="center" shrinkToFit="1"/>
    </xf>
    <xf numFmtId="38" fontId="7" fillId="5" borderId="1" xfId="1" applyFont="1" applyFill="1" applyBorder="1" applyAlignment="1" applyProtection="1">
      <alignment vertical="center" shrinkToFit="1"/>
    </xf>
    <xf numFmtId="38" fontId="7" fillId="5" borderId="2" xfId="1" applyFont="1" applyFill="1" applyBorder="1" applyAlignment="1" applyProtection="1">
      <alignment vertical="center" shrinkToFit="1"/>
    </xf>
    <xf numFmtId="38" fontId="7" fillId="5" borderId="3" xfId="1" applyFont="1" applyFill="1" applyBorder="1" applyAlignment="1" applyProtection="1">
      <alignment vertical="center" shrinkToFit="1"/>
    </xf>
    <xf numFmtId="38" fontId="7" fillId="5" borderId="6" xfId="1" applyFont="1" applyFill="1" applyBorder="1" applyAlignment="1" applyProtection="1">
      <alignment vertical="center" shrinkToFit="1"/>
    </xf>
    <xf numFmtId="38" fontId="7" fillId="5" borderId="7" xfId="1" applyFont="1" applyFill="1" applyBorder="1" applyAlignment="1" applyProtection="1">
      <alignment vertical="center" shrinkToFit="1"/>
    </xf>
    <xf numFmtId="38" fontId="7" fillId="5" borderId="8" xfId="1" applyFont="1" applyFill="1" applyBorder="1" applyAlignment="1" applyProtection="1">
      <alignment vertical="center" shrinkToFit="1"/>
    </xf>
    <xf numFmtId="38" fontId="7" fillId="5" borderId="9" xfId="1" applyFont="1" applyFill="1" applyBorder="1" applyAlignment="1" applyProtection="1">
      <alignment vertical="center" shrinkToFit="1"/>
    </xf>
    <xf numFmtId="176" fontId="11" fillId="5" borderId="9" xfId="3" applyNumberFormat="1" applyFont="1" applyFill="1" applyBorder="1" applyAlignment="1" applyProtection="1">
      <alignment horizontal="center" vertical="center" shrinkToFit="1"/>
    </xf>
    <xf numFmtId="176" fontId="7" fillId="5" borderId="5" xfId="3" applyNumberFormat="1" applyFont="1" applyFill="1" applyBorder="1" applyAlignment="1" applyProtection="1">
      <alignment vertical="center" shrinkToFit="1"/>
    </xf>
    <xf numFmtId="176" fontId="7" fillId="5" borderId="9" xfId="3" applyNumberFormat="1" applyFont="1" applyFill="1" applyBorder="1" applyAlignment="1" applyProtection="1">
      <alignment vertical="center" shrinkToFit="1"/>
    </xf>
    <xf numFmtId="176" fontId="7" fillId="5" borderId="9" xfId="3" applyNumberFormat="1" applyFont="1" applyFill="1" applyBorder="1" applyAlignment="1" applyProtection="1">
      <alignment horizontal="center" vertical="center" shrinkToFit="1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38" fontId="7" fillId="4" borderId="10" xfId="1" applyFont="1" applyFill="1" applyBorder="1" applyAlignment="1" applyProtection="1">
      <alignment horizontal="center" vertical="center" shrinkToFit="1"/>
    </xf>
    <xf numFmtId="38" fontId="7" fillId="5" borderId="10" xfId="1" applyFont="1" applyFill="1" applyBorder="1" applyAlignment="1" applyProtection="1">
      <alignment horizontal="centerContinuous" vertical="center" shrinkToFit="1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2" xfId="0" applyBorder="1" applyProtection="1">
      <alignment vertical="center"/>
      <protection locked="0"/>
    </xf>
    <xf numFmtId="38" fontId="0" fillId="0" borderId="43" xfId="5" applyFont="1" applyBorder="1" applyProtection="1">
      <alignment vertical="center"/>
      <protection locked="0"/>
    </xf>
    <xf numFmtId="38" fontId="0" fillId="0" borderId="44" xfId="5" applyFont="1" applyBorder="1" applyProtection="1">
      <alignment vertical="center"/>
      <protection locked="0"/>
    </xf>
    <xf numFmtId="38" fontId="0" fillId="0" borderId="45" xfId="5" applyFont="1" applyBorder="1" applyProtection="1">
      <alignment vertical="center"/>
      <protection locked="0"/>
    </xf>
    <xf numFmtId="38" fontId="0" fillId="0" borderId="46" xfId="5" applyFont="1" applyBorder="1" applyProtection="1">
      <alignment vertical="center"/>
      <protection locked="0"/>
    </xf>
    <xf numFmtId="38" fontId="0" fillId="0" borderId="47" xfId="5" applyFont="1" applyBorder="1" applyProtection="1">
      <alignment vertical="center"/>
      <protection locked="0"/>
    </xf>
    <xf numFmtId="38" fontId="0" fillId="0" borderId="48" xfId="5" applyFont="1" applyBorder="1" applyProtection="1">
      <alignment vertical="center"/>
      <protection locked="0"/>
    </xf>
    <xf numFmtId="38" fontId="15" fillId="4" borderId="4" xfId="1" applyFont="1" applyFill="1" applyBorder="1" applyAlignment="1" applyProtection="1">
      <alignment horizontal="centerContinuous" vertical="center" shrinkToFit="1"/>
    </xf>
    <xf numFmtId="0" fontId="0" fillId="0" borderId="22" xfId="0" applyBorder="1" applyProtection="1">
      <alignment vertical="center"/>
      <protection locked="0"/>
    </xf>
    <xf numFmtId="38" fontId="0" fillId="0" borderId="23" xfId="5" applyFont="1" applyBorder="1" applyProtection="1">
      <alignment vertical="center"/>
      <protection locked="0"/>
    </xf>
    <xf numFmtId="38" fontId="0" fillId="0" borderId="24" xfId="5" applyFont="1" applyBorder="1" applyProtection="1">
      <alignment vertical="center"/>
      <protection locked="0"/>
    </xf>
    <xf numFmtId="38" fontId="0" fillId="0" borderId="25" xfId="5" applyFont="1" applyBorder="1" applyProtection="1">
      <alignment vertical="center"/>
      <protection locked="0"/>
    </xf>
    <xf numFmtId="38" fontId="7" fillId="6" borderId="5" xfId="1" applyFont="1" applyFill="1" applyBorder="1" applyAlignment="1" applyProtection="1">
      <alignment horizontal="right" vertical="center" shrinkToFit="1"/>
      <protection locked="0"/>
    </xf>
    <xf numFmtId="176" fontId="7" fillId="6" borderId="5" xfId="4" applyNumberFormat="1" applyFont="1" applyFill="1" applyBorder="1" applyAlignment="1" applyProtection="1">
      <alignment horizontal="center" vertical="center" shrinkToFit="1"/>
      <protection locked="0"/>
    </xf>
    <xf numFmtId="38" fontId="7" fillId="5" borderId="5" xfId="1" applyFont="1" applyFill="1" applyBorder="1" applyAlignment="1" applyProtection="1">
      <alignment vertical="center" shrinkToFit="1"/>
      <protection locked="0"/>
    </xf>
    <xf numFmtId="38" fontId="7" fillId="4" borderId="10" xfId="1" applyFont="1" applyFill="1" applyBorder="1" applyAlignment="1" applyProtection="1">
      <alignment horizontal="center" vertical="center" shrinkToFit="1"/>
      <protection locked="0"/>
    </xf>
    <xf numFmtId="38" fontId="7" fillId="5" borderId="49" xfId="1" applyFont="1" applyFill="1" applyBorder="1" applyAlignment="1" applyProtection="1">
      <alignment horizontal="centerContinuous" vertical="center" shrinkToFit="1"/>
      <protection locked="0"/>
    </xf>
    <xf numFmtId="38" fontId="7" fillId="4" borderId="49" xfId="1" applyFont="1" applyFill="1" applyBorder="1" applyAlignment="1" applyProtection="1">
      <alignment horizontal="center" vertical="center" shrinkToFit="1"/>
      <protection locked="0"/>
    </xf>
    <xf numFmtId="176" fontId="0" fillId="0" borderId="0" xfId="6" applyNumberFormat="1" applyFont="1" applyAlignment="1">
      <alignment horizontal="center" vertical="center"/>
    </xf>
    <xf numFmtId="0" fontId="16" fillId="0" borderId="0" xfId="0" applyFont="1">
      <alignment vertical="center"/>
    </xf>
    <xf numFmtId="176" fontId="16" fillId="0" borderId="0" xfId="6" applyNumberFormat="1" applyFont="1" applyAlignment="1">
      <alignment horizontal="center" vertical="center"/>
    </xf>
    <xf numFmtId="0" fontId="17" fillId="0" borderId="0" xfId="0" applyFont="1">
      <alignment vertical="center"/>
    </xf>
    <xf numFmtId="176" fontId="11" fillId="0" borderId="0" xfId="6" applyNumberFormat="1" applyFont="1" applyAlignment="1">
      <alignment horizontal="center" vertical="center"/>
    </xf>
    <xf numFmtId="38" fontId="7" fillId="7" borderId="5" xfId="1" applyFont="1" applyFill="1" applyBorder="1" applyAlignment="1" applyProtection="1">
      <alignment horizontal="center" vertical="center" shrinkToFit="1"/>
    </xf>
    <xf numFmtId="38" fontId="7" fillId="0" borderId="51" xfId="7" applyFont="1" applyBorder="1" applyAlignment="1">
      <alignment horizontal="center" vertical="center" shrinkToFit="1"/>
    </xf>
    <xf numFmtId="38" fontId="7" fillId="0" borderId="52" xfId="7" applyFont="1" applyBorder="1" applyAlignment="1">
      <alignment horizontal="center" vertical="center" shrinkToFit="1"/>
    </xf>
    <xf numFmtId="38" fontId="15" fillId="0" borderId="29" xfId="7" applyFont="1" applyBorder="1" applyAlignment="1">
      <alignment vertical="center" shrinkToFit="1"/>
    </xf>
    <xf numFmtId="178" fontId="15" fillId="0" borderId="53" xfId="4" applyNumberFormat="1" applyFont="1" applyBorder="1" applyAlignment="1" applyProtection="1">
      <alignment vertical="center" shrinkToFit="1"/>
      <protection locked="0"/>
    </xf>
    <xf numFmtId="38" fontId="15" fillId="0" borderId="26" xfId="7" applyFont="1" applyBorder="1" applyAlignment="1">
      <alignment vertical="center" shrinkToFit="1"/>
    </xf>
    <xf numFmtId="178" fontId="15" fillId="0" borderId="54" xfId="4" applyNumberFormat="1" applyFont="1" applyBorder="1" applyAlignment="1" applyProtection="1">
      <alignment vertical="center" shrinkToFit="1"/>
      <protection locked="0"/>
    </xf>
    <xf numFmtId="38" fontId="15" fillId="0" borderId="27" xfId="7" applyFont="1" applyBorder="1" applyAlignment="1">
      <alignment vertical="center" shrinkToFit="1"/>
    </xf>
    <xf numFmtId="178" fontId="15" fillId="0" borderId="55" xfId="4" applyNumberFormat="1" applyFont="1" applyBorder="1" applyAlignment="1" applyProtection="1">
      <alignment vertical="center" shrinkToFit="1"/>
      <protection locked="0"/>
    </xf>
    <xf numFmtId="0" fontId="0" fillId="0" borderId="0" xfId="0" applyAlignment="1">
      <alignment horizontal="center" vertical="center"/>
    </xf>
    <xf numFmtId="38" fontId="8" fillId="0" borderId="0" xfId="1" applyFont="1" applyFill="1" applyBorder="1" applyAlignment="1" applyProtection="1">
      <alignment horizontal="right" vertical="center" shrinkToFit="1"/>
    </xf>
    <xf numFmtId="0" fontId="16" fillId="0" borderId="0" xfId="0" applyFont="1" applyAlignment="1">
      <alignment horizontal="right" vertical="center"/>
    </xf>
    <xf numFmtId="176" fontId="16" fillId="0" borderId="50" xfId="6" applyNumberFormat="1" applyFont="1" applyBorder="1" applyAlignment="1" applyProtection="1">
      <alignment horizontal="center" vertical="center"/>
    </xf>
    <xf numFmtId="0" fontId="19" fillId="0" borderId="0" xfId="0" applyFont="1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14" fontId="11" fillId="0" borderId="23" xfId="0" applyNumberFormat="1" applyFont="1" applyBorder="1" applyAlignment="1">
      <alignment horizontal="center" vertical="center"/>
    </xf>
    <xf numFmtId="14" fontId="11" fillId="0" borderId="24" xfId="0" applyNumberFormat="1" applyFont="1" applyBorder="1" applyAlignment="1">
      <alignment horizontal="center" vertical="center"/>
    </xf>
    <xf numFmtId="14" fontId="11" fillId="0" borderId="25" xfId="0" applyNumberFormat="1" applyFont="1" applyBorder="1" applyAlignment="1">
      <alignment horizontal="center" vertical="center"/>
    </xf>
    <xf numFmtId="14" fontId="3" fillId="2" borderId="1" xfId="1" applyNumberFormat="1" applyFont="1" applyFill="1" applyBorder="1" applyProtection="1">
      <alignment vertical="center"/>
    </xf>
  </cellXfs>
  <cellStyles count="8">
    <cellStyle name="パーセント" xfId="6" builtinId="5"/>
    <cellStyle name="パーセント 2" xfId="4" xr:uid="{85C9EA1E-2AB0-4D39-8033-6892DC4A2813}"/>
    <cellStyle name="パーセント 8 2" xfId="3" xr:uid="{129DD351-D2EA-4F0E-8F95-33E75050E504}"/>
    <cellStyle name="桁区切り" xfId="5" builtinId="6"/>
    <cellStyle name="桁区切り 2" xfId="7" xr:uid="{31B778F1-527F-431A-A038-B2EF6A244B1A}"/>
    <cellStyle name="桁区切り 7 2" xfId="1" xr:uid="{763E9DD4-98D5-4E18-B12A-C8F9C4DF4362}"/>
    <cellStyle name="標準" xfId="0" builtinId="0"/>
    <cellStyle name="標準 3" xfId="2" xr:uid="{AB8D5A5B-77C9-40E6-B618-48B21B17BCCD}"/>
  </cellStyles>
  <dxfs count="30">
    <dxf>
      <numFmt numFmtId="177" formatCode="#,##0,;[Red]\-#,##0,"/>
    </dxf>
    <dxf>
      <fill>
        <patternFill>
          <bgColor rgb="FFFFFFE0"/>
        </patternFill>
      </fill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fill>
        <patternFill>
          <bgColor rgb="FFFFCCFF"/>
        </patternFill>
      </fill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numFmt numFmtId="177" formatCode="#,##0,;[Red]\-#,##0,"/>
    </dxf>
    <dxf>
      <fill>
        <patternFill>
          <bgColor rgb="FFFFC8FF"/>
        </patternFill>
      </fill>
    </dxf>
  </dxfs>
  <tableStyles count="0" defaultTableStyle="TableStyleMedium2" defaultPivotStyle="PivotStyleLight16"/>
  <colors>
    <mruColors>
      <color rgb="FFFFFFCC"/>
      <color rgb="FFFFCCFF"/>
      <color rgb="FFFFC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Radio" firstButton="1" fmlaLink="$AT$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1</xdr:row>
          <xdr:rowOff>99060</xdr:rowOff>
        </xdr:from>
        <xdr:to>
          <xdr:col>2</xdr:col>
          <xdr:colOff>198120</xdr:colOff>
          <xdr:row>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会計データ取り込み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655320</xdr:colOff>
          <xdr:row>1</xdr:row>
          <xdr:rowOff>99060</xdr:rowOff>
        </xdr:from>
        <xdr:to>
          <xdr:col>6</xdr:col>
          <xdr:colOff>571500</xdr:colOff>
          <xdr:row>3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676275</xdr:colOff>
      <xdr:row>5</xdr:row>
      <xdr:rowOff>180973</xdr:rowOff>
    </xdr:from>
    <xdr:to>
      <xdr:col>5</xdr:col>
      <xdr:colOff>361950</xdr:colOff>
      <xdr:row>6</xdr:row>
      <xdr:rowOff>1285874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6275" y="1304923"/>
          <a:ext cx="3524250" cy="1314451"/>
        </a:xfrm>
        <a:prstGeom prst="wedgeRectCallout">
          <a:avLst>
            <a:gd name="adj1" fmla="val -44797"/>
            <a:gd name="adj2" fmla="val -73864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</a:rPr>
            <a:t>集計＞</a:t>
          </a:r>
          <a:r>
            <a:rPr kumimoji="1" lang="en-US" altLang="ja-JP" sz="1100">
              <a:solidFill>
                <a:schemeClr val="tx1"/>
              </a:solidFill>
            </a:rPr>
            <a:t>5</a:t>
          </a:r>
          <a:r>
            <a:rPr kumimoji="1" lang="ja-JP" altLang="en-US" sz="1100">
              <a:solidFill>
                <a:schemeClr val="tx1"/>
              </a:solidFill>
            </a:rPr>
            <a:t>期比較財務諸表</a:t>
          </a:r>
          <a:endParaRPr kumimoji="1" lang="en-US" altLang="ja-JP" sz="1100">
            <a:solidFill>
              <a:schemeClr val="tx1"/>
            </a:solidFill>
          </a:endParaRPr>
        </a:p>
        <a:p>
          <a:pPr algn="l"/>
          <a:r>
            <a:rPr kumimoji="1" lang="ja-JP" altLang="en-US" sz="1100">
              <a:solidFill>
                <a:schemeClr val="tx1"/>
              </a:solidFill>
            </a:rPr>
            <a:t>右上印刷マークのエクスポートから</a:t>
          </a:r>
          <a:r>
            <a:rPr kumimoji="1" lang="en-US" altLang="ja-JP" sz="1100">
              <a:solidFill>
                <a:schemeClr val="tx1"/>
              </a:solidFill>
            </a:rPr>
            <a:t>CSV</a:t>
          </a:r>
          <a:r>
            <a:rPr kumimoji="1" lang="ja-JP" altLang="en-US" sz="1100">
              <a:solidFill>
                <a:schemeClr val="tx1"/>
              </a:solidFill>
            </a:rPr>
            <a:t>データを保存します。</a:t>
          </a:r>
          <a:endParaRPr kumimoji="1" lang="en-US" altLang="ja-JP" sz="1100">
            <a:solidFill>
              <a:schemeClr val="tx1"/>
            </a:solidFill>
          </a:endParaRPr>
        </a:p>
        <a:p>
          <a:pPr algn="l"/>
          <a:r>
            <a:rPr kumimoji="1" lang="ja-JP" altLang="en-US" sz="1100">
              <a:solidFill>
                <a:schemeClr val="tx1"/>
              </a:solidFill>
            </a:rPr>
            <a:t>保存したファイルを取り込みます。</a:t>
          </a:r>
        </a:p>
      </xdr:txBody>
    </xdr:sp>
    <xdr:clientData/>
  </xdr:twoCellAnchor>
  <xdr:twoCellAnchor>
    <xdr:from>
      <xdr:col>6</xdr:col>
      <xdr:colOff>0</xdr:colOff>
      <xdr:row>5</xdr:row>
      <xdr:rowOff>171450</xdr:rowOff>
    </xdr:from>
    <xdr:to>
      <xdr:col>11</xdr:col>
      <xdr:colOff>590550</xdr:colOff>
      <xdr:row>6</xdr:row>
      <xdr:rowOff>1257300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00575" y="1333500"/>
          <a:ext cx="4133850" cy="1295400"/>
        </a:xfrm>
        <a:prstGeom prst="wedgeRectCallout">
          <a:avLst>
            <a:gd name="adj1" fmla="val -44797"/>
            <a:gd name="adj2" fmla="val -73864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</a:rPr>
            <a:t>人件費の科目だけ、データからコピーして、</a:t>
          </a:r>
          <a:endParaRPr kumimoji="1" lang="en-US" altLang="ja-JP" sz="1100">
            <a:solidFill>
              <a:schemeClr val="tx1"/>
            </a:solidFill>
          </a:endParaRPr>
        </a:p>
        <a:p>
          <a:pPr algn="l"/>
          <a:r>
            <a:rPr kumimoji="1" lang="ja-JP" altLang="en-US" sz="1100">
              <a:solidFill>
                <a:schemeClr val="tx1"/>
              </a:solidFill>
            </a:rPr>
            <a:t>ピンクの範囲に値のみペーストします。</a:t>
          </a:r>
          <a:endParaRPr kumimoji="1" lang="en-US" altLang="ja-JP" sz="1100">
            <a:solidFill>
              <a:schemeClr val="tx1"/>
            </a:solidFill>
          </a:endParaRPr>
        </a:p>
        <a:p>
          <a:pPr algn="l"/>
          <a:r>
            <a:rPr kumimoji="1" lang="ja-JP" altLang="en-US" sz="1100">
              <a:solidFill>
                <a:schemeClr val="tx1"/>
              </a:solidFill>
            </a:rPr>
            <a:t>変換ボタンをクリックすると</a:t>
          </a:r>
          <a:endParaRPr kumimoji="1" lang="en-US" altLang="ja-JP" sz="1100">
            <a:solidFill>
              <a:schemeClr val="tx1"/>
            </a:solidFill>
          </a:endParaRPr>
        </a:p>
        <a:p>
          <a:pPr algn="l"/>
          <a:r>
            <a:rPr kumimoji="1" lang="ja-JP" altLang="en-US" sz="1100">
              <a:solidFill>
                <a:schemeClr val="tx1"/>
              </a:solidFill>
            </a:rPr>
            <a:t>保存したファイルからデータを取り込み</a:t>
          </a:r>
          <a:endParaRPr kumimoji="1" lang="en-US" altLang="ja-JP" sz="1100">
            <a:solidFill>
              <a:schemeClr val="tx1"/>
            </a:solidFill>
          </a:endParaRPr>
        </a:p>
        <a:p>
          <a:pPr algn="l"/>
          <a:r>
            <a:rPr kumimoji="1" lang="ja-JP" altLang="en-US" sz="1100">
              <a:solidFill>
                <a:schemeClr val="tx1"/>
              </a:solidFill>
            </a:rPr>
            <a:t>お金のブロックパズルに数値を転記します</a:t>
          </a:r>
          <a:endParaRPr kumimoji="1" lang="en-US" altLang="ja-JP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533400</xdr:colOff>
          <xdr:row>23</xdr:row>
          <xdr:rowOff>190500</xdr:rowOff>
        </xdr:from>
        <xdr:to>
          <xdr:col>1</xdr:col>
          <xdr:colOff>998220</xdr:colOff>
          <xdr:row>25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値のみペースト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83820</xdr:colOff>
          <xdr:row>1</xdr:row>
          <xdr:rowOff>68580</xdr:rowOff>
        </xdr:from>
        <xdr:to>
          <xdr:col>13</xdr:col>
          <xdr:colOff>655320</xdr:colOff>
          <xdr:row>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名前をつけて保存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1264725</xdr:colOff>
      <xdr:row>10</xdr:row>
      <xdr:rowOff>12606</xdr:rowOff>
    </xdr:from>
    <xdr:to>
      <xdr:col>3</xdr:col>
      <xdr:colOff>68563</xdr:colOff>
      <xdr:row>11</xdr:row>
      <xdr:rowOff>51369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160075" y="13138056"/>
          <a:ext cx="1080313" cy="2864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粗利益率</a:t>
          </a:r>
        </a:p>
      </xdr:txBody>
    </xdr:sp>
    <xdr:clientData/>
  </xdr:twoCellAnchor>
  <xdr:twoCellAnchor>
    <xdr:from>
      <xdr:col>4</xdr:col>
      <xdr:colOff>44301</xdr:colOff>
      <xdr:row>6</xdr:row>
      <xdr:rowOff>232587</xdr:rowOff>
    </xdr:from>
    <xdr:to>
      <xdr:col>5</xdr:col>
      <xdr:colOff>76200</xdr:colOff>
      <xdr:row>7</xdr:row>
      <xdr:rowOff>209550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816076" y="2356662"/>
          <a:ext cx="841524" cy="2246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労働分配率</a:t>
          </a:r>
        </a:p>
      </xdr:txBody>
    </xdr:sp>
    <xdr:clientData/>
  </xdr:twoCellAnchor>
  <xdr:twoCellAnchor>
    <xdr:from>
      <xdr:col>7</xdr:col>
      <xdr:colOff>94511</xdr:colOff>
      <xdr:row>9</xdr:row>
      <xdr:rowOff>230320</xdr:rowOff>
    </xdr:from>
    <xdr:to>
      <xdr:col>7</xdr:col>
      <xdr:colOff>898599</xdr:colOff>
      <xdr:row>11</xdr:row>
      <xdr:rowOff>24155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7495436" y="13108120"/>
          <a:ext cx="804088" cy="2891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粗利益率</a:t>
          </a:r>
        </a:p>
      </xdr:txBody>
    </xdr:sp>
    <xdr:clientData/>
  </xdr:twoCellAnchor>
  <xdr:twoCellAnchor>
    <xdr:from>
      <xdr:col>8</xdr:col>
      <xdr:colOff>787251</xdr:colOff>
      <xdr:row>7</xdr:row>
      <xdr:rowOff>32562</xdr:rowOff>
    </xdr:from>
    <xdr:to>
      <xdr:col>10</xdr:col>
      <xdr:colOff>0</xdr:colOff>
      <xdr:row>7</xdr:row>
      <xdr:rowOff>238125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6197451" y="2404287"/>
          <a:ext cx="831999" cy="2055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労働分配率</a:t>
          </a:r>
        </a:p>
      </xdr:txBody>
    </xdr:sp>
    <xdr:clientData/>
  </xdr:twoCellAnchor>
  <xdr:twoCellAnchor>
    <xdr:from>
      <xdr:col>12</xdr:col>
      <xdr:colOff>94511</xdr:colOff>
      <xdr:row>9</xdr:row>
      <xdr:rowOff>230320</xdr:rowOff>
    </xdr:from>
    <xdr:to>
      <xdr:col>12</xdr:col>
      <xdr:colOff>898599</xdr:colOff>
      <xdr:row>11</xdr:row>
      <xdr:rowOff>24155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6466736" y="2592520"/>
          <a:ext cx="804088" cy="2891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粗利益率</a:t>
          </a:r>
        </a:p>
      </xdr:txBody>
    </xdr:sp>
    <xdr:clientData/>
  </xdr:twoCellAnchor>
  <xdr:twoCellAnchor>
    <xdr:from>
      <xdr:col>13</xdr:col>
      <xdr:colOff>806301</xdr:colOff>
      <xdr:row>7</xdr:row>
      <xdr:rowOff>51613</xdr:rowOff>
    </xdr:from>
    <xdr:to>
      <xdr:col>15</xdr:col>
      <xdr:colOff>47625</xdr:colOff>
      <xdr:row>7</xdr:row>
      <xdr:rowOff>228601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721701" y="2423338"/>
          <a:ext cx="860574" cy="1769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労働分配率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0</xdr:row>
          <xdr:rowOff>76200</xdr:rowOff>
        </xdr:from>
        <xdr:to>
          <xdr:col>1</xdr:col>
          <xdr:colOff>411480</xdr:colOff>
          <xdr:row>0</xdr:row>
          <xdr:rowOff>312420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円単位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327660</xdr:colOff>
          <xdr:row>0</xdr:row>
          <xdr:rowOff>236220</xdr:rowOff>
        </xdr:from>
        <xdr:to>
          <xdr:col>1</xdr:col>
          <xdr:colOff>800100</xdr:colOff>
          <xdr:row>1</xdr:row>
          <xdr:rowOff>30480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千円単位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</xdr:colOff>
          <xdr:row>0</xdr:row>
          <xdr:rowOff>99060</xdr:rowOff>
        </xdr:from>
        <xdr:to>
          <xdr:col>10</xdr:col>
          <xdr:colOff>99060</xdr:colOff>
          <xdr:row>0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印刷A4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94511</xdr:colOff>
      <xdr:row>29</xdr:row>
      <xdr:rowOff>230320</xdr:rowOff>
    </xdr:from>
    <xdr:to>
      <xdr:col>12</xdr:col>
      <xdr:colOff>898599</xdr:colOff>
      <xdr:row>31</xdr:row>
      <xdr:rowOff>24155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1667386" y="3097345"/>
          <a:ext cx="718363" cy="2891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粗利益率</a:t>
          </a:r>
        </a:p>
      </xdr:txBody>
    </xdr:sp>
    <xdr:clientData/>
  </xdr:twoCellAnchor>
  <xdr:twoCellAnchor>
    <xdr:from>
      <xdr:col>13</xdr:col>
      <xdr:colOff>884618</xdr:colOff>
      <xdr:row>26</xdr:row>
      <xdr:rowOff>242113</xdr:rowOff>
    </xdr:from>
    <xdr:to>
      <xdr:col>14</xdr:col>
      <xdr:colOff>916517</xdr:colOff>
      <xdr:row>27</xdr:row>
      <xdr:rowOff>190501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1330368" y="6803780"/>
          <a:ext cx="994982" cy="1918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労働分配率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42</xdr:row>
          <xdr:rowOff>190500</xdr:rowOff>
        </xdr:from>
        <xdr:to>
          <xdr:col>17</xdr:col>
          <xdr:colOff>175260</xdr:colOff>
          <xdr:row>44</xdr:row>
          <xdr:rowOff>68580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FF0000"/>
                  </a:solidFill>
                  <a:latin typeface="メイリオ"/>
                  <a:ea typeface="メイリオ"/>
                </a:rPr>
                <a:t>増加キャッシュから売上目標逆算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22</xdr:row>
          <xdr:rowOff>7620</xdr:rowOff>
        </xdr:from>
        <xdr:to>
          <xdr:col>18</xdr:col>
          <xdr:colOff>114300</xdr:colOff>
          <xdr:row>23</xdr:row>
          <xdr:rowOff>137160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FF0000"/>
                  </a:solidFill>
                  <a:latin typeface="メイリオ"/>
                  <a:ea typeface="メイリオ"/>
                </a:rPr>
                <a:t>当期から粗利益率・人件費・その他をコピー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22151</xdr:colOff>
      <xdr:row>22</xdr:row>
      <xdr:rowOff>33226</xdr:rowOff>
    </xdr:from>
    <xdr:to>
      <xdr:col>9</xdr:col>
      <xdr:colOff>930349</xdr:colOff>
      <xdr:row>39</xdr:row>
      <xdr:rowOff>221511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65494" y="5493488"/>
          <a:ext cx="7863663" cy="43637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B5B04-41E4-4D82-9B2B-A9E79EEB13E6}">
  <sheetPr codeName="Sheet1"/>
  <dimension ref="A1:K23"/>
  <sheetViews>
    <sheetView showGridLines="0" topLeftCell="A8" workbookViewId="0">
      <selection activeCell="E26" sqref="E26"/>
    </sheetView>
  </sheetViews>
  <sheetFormatPr defaultRowHeight="16.2" x14ac:dyDescent="0.45"/>
  <cols>
    <col min="1" max="1" width="7.36328125" customWidth="1"/>
    <col min="2" max="2" width="18.08984375" customWidth="1"/>
    <col min="3" max="6" width="10" bestFit="1" customWidth="1"/>
    <col min="7" max="7" width="10.453125" bestFit="1" customWidth="1"/>
  </cols>
  <sheetData>
    <row r="1" spans="1:11" ht="21.6" x14ac:dyDescent="0.45">
      <c r="A1" s="30"/>
      <c r="B1" s="26" t="s">
        <v>40</v>
      </c>
      <c r="C1" s="26"/>
      <c r="D1" s="26" t="s">
        <v>45</v>
      </c>
      <c r="E1" s="30"/>
      <c r="F1" s="30"/>
      <c r="G1" s="30"/>
    </row>
    <row r="2" spans="1:11" x14ac:dyDescent="0.45">
      <c r="A2" s="30"/>
      <c r="B2" s="30"/>
      <c r="C2" s="30"/>
      <c r="D2" s="30"/>
      <c r="E2" s="30"/>
      <c r="F2" s="30"/>
      <c r="G2" s="30"/>
      <c r="I2" t="s">
        <v>14</v>
      </c>
    </row>
    <row r="3" spans="1:11" ht="19.5" customHeight="1" x14ac:dyDescent="0.45">
      <c r="A3" s="30"/>
      <c r="B3" s="30"/>
      <c r="C3" s="30"/>
      <c r="D3" s="30"/>
      <c r="E3" s="30"/>
      <c r="F3" s="30"/>
      <c r="G3" s="30"/>
      <c r="I3" s="37"/>
      <c r="J3" s="39"/>
      <c r="K3" s="38"/>
    </row>
    <row r="4" spans="1:11" x14ac:dyDescent="0.45">
      <c r="A4" s="30"/>
      <c r="B4" s="30"/>
      <c r="C4" s="30"/>
      <c r="D4" s="30"/>
      <c r="E4" s="30"/>
      <c r="F4" s="30"/>
      <c r="G4" s="30"/>
    </row>
    <row r="5" spans="1:11" x14ac:dyDescent="0.45">
      <c r="A5" s="30"/>
      <c r="B5" s="30"/>
      <c r="C5" s="30"/>
      <c r="D5" s="30"/>
      <c r="E5" s="30"/>
      <c r="F5" s="30"/>
      <c r="G5" s="30"/>
    </row>
    <row r="6" spans="1:11" x14ac:dyDescent="0.45">
      <c r="A6" s="30"/>
      <c r="B6" s="30"/>
      <c r="C6" s="30"/>
      <c r="D6" s="30"/>
      <c r="E6" s="30"/>
      <c r="F6" s="30"/>
      <c r="G6" s="30"/>
    </row>
    <row r="7" spans="1:11" ht="120" customHeight="1" thickBot="1" x14ac:dyDescent="0.5">
      <c r="A7" s="30"/>
      <c r="B7" s="30"/>
      <c r="C7" s="30"/>
      <c r="D7" s="30"/>
      <c r="E7" s="30"/>
      <c r="F7" s="30"/>
      <c r="G7" s="30"/>
    </row>
    <row r="8" spans="1:11" ht="16.8" thickBot="1" x14ac:dyDescent="0.5">
      <c r="A8" s="30"/>
      <c r="B8" s="31"/>
      <c r="C8" s="122">
        <v>45322</v>
      </c>
      <c r="D8" s="123">
        <v>45688</v>
      </c>
      <c r="E8" s="123">
        <v>46053</v>
      </c>
      <c r="F8" s="123">
        <v>46418</v>
      </c>
      <c r="G8" s="124">
        <v>46783</v>
      </c>
    </row>
    <row r="9" spans="1:11" x14ac:dyDescent="0.45">
      <c r="A9" s="30"/>
      <c r="B9" s="32" t="s">
        <v>6</v>
      </c>
      <c r="C9" s="40">
        <v>95000000</v>
      </c>
      <c r="D9" s="41">
        <v>100000000</v>
      </c>
      <c r="E9" s="41">
        <v>110000000</v>
      </c>
      <c r="F9" s="40">
        <v>95000000</v>
      </c>
      <c r="G9" s="41">
        <v>100000000</v>
      </c>
    </row>
    <row r="10" spans="1:11" ht="16.8" thickBot="1" x14ac:dyDescent="0.5">
      <c r="A10" s="30"/>
      <c r="B10" s="33" t="s">
        <v>38</v>
      </c>
      <c r="C10" s="42">
        <v>45200000</v>
      </c>
      <c r="D10" s="43">
        <v>51950000</v>
      </c>
      <c r="E10" s="43">
        <v>53220000</v>
      </c>
      <c r="F10" s="42">
        <v>45200000</v>
      </c>
      <c r="G10" s="43">
        <v>51950000</v>
      </c>
    </row>
    <row r="11" spans="1:11" x14ac:dyDescent="0.45">
      <c r="A11" s="30"/>
      <c r="B11" s="28" t="s">
        <v>7</v>
      </c>
      <c r="C11" s="42">
        <v>9500000</v>
      </c>
      <c r="D11" s="43">
        <v>10000000</v>
      </c>
      <c r="E11" s="43">
        <v>11000000</v>
      </c>
      <c r="F11" s="42">
        <v>9500000</v>
      </c>
      <c r="G11" s="43">
        <v>10000000</v>
      </c>
    </row>
    <row r="12" spans="1:11" x14ac:dyDescent="0.45">
      <c r="A12" s="30"/>
      <c r="B12" s="27" t="s">
        <v>41</v>
      </c>
      <c r="C12" s="42"/>
      <c r="D12" s="43"/>
      <c r="E12" s="43"/>
      <c r="F12" s="42"/>
      <c r="G12" s="43"/>
    </row>
    <row r="13" spans="1:11" x14ac:dyDescent="0.45">
      <c r="A13" s="30"/>
      <c r="B13" s="27" t="s">
        <v>8</v>
      </c>
      <c r="C13" s="42">
        <v>15000000</v>
      </c>
      <c r="D13" s="43">
        <v>16000000</v>
      </c>
      <c r="E13" s="43">
        <v>17000000</v>
      </c>
      <c r="F13" s="42">
        <v>15000000</v>
      </c>
      <c r="G13" s="43">
        <v>16000000</v>
      </c>
    </row>
    <row r="14" spans="1:11" x14ac:dyDescent="0.45">
      <c r="A14" s="30"/>
      <c r="B14" s="27" t="s">
        <v>42</v>
      </c>
      <c r="C14" s="42"/>
      <c r="D14" s="43"/>
      <c r="E14" s="43"/>
      <c r="F14" s="42"/>
      <c r="G14" s="43"/>
    </row>
    <row r="15" spans="1:11" x14ac:dyDescent="0.45">
      <c r="A15" s="30"/>
      <c r="B15" s="27" t="s">
        <v>43</v>
      </c>
      <c r="C15" s="42"/>
      <c r="D15" s="43"/>
      <c r="E15" s="43"/>
      <c r="F15" s="42"/>
      <c r="G15" s="43"/>
    </row>
    <row r="16" spans="1:11" x14ac:dyDescent="0.45">
      <c r="A16" s="30"/>
      <c r="B16" s="27" t="s">
        <v>44</v>
      </c>
      <c r="C16" s="42"/>
      <c r="D16" s="43"/>
      <c r="E16" s="43"/>
      <c r="F16" s="42"/>
      <c r="G16" s="43"/>
    </row>
    <row r="17" spans="1:7" x14ac:dyDescent="0.45">
      <c r="A17" s="30"/>
      <c r="B17" s="27" t="s">
        <v>9</v>
      </c>
      <c r="C17" s="42">
        <v>3500000</v>
      </c>
      <c r="D17" s="43">
        <v>4000000</v>
      </c>
      <c r="E17" s="43">
        <v>4100000</v>
      </c>
      <c r="F17" s="42">
        <v>3500000</v>
      </c>
      <c r="G17" s="43">
        <v>4000000</v>
      </c>
    </row>
    <row r="18" spans="1:7" ht="16.8" thickBot="1" x14ac:dyDescent="0.5">
      <c r="A18" s="30"/>
      <c r="B18" s="29"/>
      <c r="C18" s="42"/>
      <c r="D18" s="43"/>
      <c r="E18" s="43"/>
      <c r="F18" s="42"/>
      <c r="G18" s="43"/>
    </row>
    <row r="19" spans="1:7" x14ac:dyDescent="0.45">
      <c r="A19" s="30"/>
      <c r="B19" s="34" t="s">
        <v>39</v>
      </c>
      <c r="C19" s="42">
        <v>19000000</v>
      </c>
      <c r="D19" s="43">
        <v>19500000</v>
      </c>
      <c r="E19" s="43">
        <v>21000000</v>
      </c>
      <c r="F19" s="42">
        <v>19000000</v>
      </c>
      <c r="G19" s="43">
        <v>19500000</v>
      </c>
    </row>
    <row r="20" spans="1:7" ht="16.8" thickBot="1" x14ac:dyDescent="0.5">
      <c r="A20" s="30"/>
      <c r="B20" s="35" t="s">
        <v>53</v>
      </c>
      <c r="C20" s="44">
        <f>C9-C10-SUM(C11:C19)</f>
        <v>2800000</v>
      </c>
      <c r="D20" s="44">
        <f t="shared" ref="D20:E20" si="0">D9-D10-SUM(D11:D19)</f>
        <v>-1450000</v>
      </c>
      <c r="E20" s="44">
        <f t="shared" si="0"/>
        <v>3680000</v>
      </c>
      <c r="F20" s="44">
        <f>F9-F10-SUM(F11:F19)</f>
        <v>2800000</v>
      </c>
      <c r="G20" s="44">
        <f t="shared" ref="G20" si="1">G9-G10-SUM(G11:G19)</f>
        <v>-1450000</v>
      </c>
    </row>
    <row r="21" spans="1:7" x14ac:dyDescent="0.45">
      <c r="B21" s="82" t="s">
        <v>22</v>
      </c>
      <c r="C21" s="84"/>
      <c r="D21" s="85"/>
      <c r="E21" s="85"/>
      <c r="F21" s="85"/>
      <c r="G21" s="86"/>
    </row>
    <row r="22" spans="1:7" ht="16.8" thickBot="1" x14ac:dyDescent="0.5">
      <c r="B22" s="83"/>
      <c r="C22" s="87"/>
      <c r="D22" s="88"/>
      <c r="E22" s="88"/>
      <c r="F22" s="88"/>
      <c r="G22" s="89"/>
    </row>
    <row r="23" spans="1:7" ht="16.8" thickBot="1" x14ac:dyDescent="0.5">
      <c r="B23" s="91" t="s">
        <v>24</v>
      </c>
      <c r="C23" s="92"/>
      <c r="D23" s="93"/>
      <c r="E23" s="93"/>
      <c r="F23" s="93"/>
      <c r="G23" s="94"/>
    </row>
  </sheetData>
  <phoneticPr fontId="1"/>
  <conditionalFormatting sqref="A1:XFD1048576">
    <cfRule type="expression" dxfId="29" priority="1">
      <formula>CELL("protect", A1)=0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ayoi_data">
                <anchor>
                  <from>
                    <xdr:col>1</xdr:col>
                    <xdr:colOff>144780</xdr:colOff>
                    <xdr:row>1</xdr:row>
                    <xdr:rowOff>99060</xdr:rowOff>
                  </from>
                  <to>
                    <xdr:col>2</xdr:col>
                    <xdr:colOff>198120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ta呼び出し">
                <anchor>
                  <from>
                    <xdr:col>4</xdr:col>
                    <xdr:colOff>655320</xdr:colOff>
                    <xdr:row>1</xdr:row>
                    <xdr:rowOff>99060</xdr:rowOff>
                  </from>
                  <to>
                    <xdr:col>6</xdr:col>
                    <xdr:colOff>571500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値ペースト">
                <anchor>
                  <from>
                    <xdr:col>0</xdr:col>
                    <xdr:colOff>533400</xdr:colOff>
                    <xdr:row>23</xdr:row>
                    <xdr:rowOff>190500</xdr:rowOff>
                  </from>
                  <to>
                    <xdr:col>1</xdr:col>
                    <xdr:colOff>998220</xdr:colOff>
                    <xdr:row>25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名前をつけて保存">
                <anchor moveWithCells="1" sizeWithCells="1">
                  <from>
                    <xdr:col>12</xdr:col>
                    <xdr:colOff>83820</xdr:colOff>
                    <xdr:row>1</xdr:row>
                    <xdr:rowOff>68580</xdr:rowOff>
                  </from>
                  <to>
                    <xdr:col>13</xdr:col>
                    <xdr:colOff>655320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6B16-0C96-4480-99F1-F571BE71E375}">
  <sheetPr codeName="Sheet2"/>
  <dimension ref="B4:C4"/>
  <sheetViews>
    <sheetView workbookViewId="0">
      <selection activeCell="J7" sqref="J7"/>
    </sheetView>
  </sheetViews>
  <sheetFormatPr defaultRowHeight="16.2" x14ac:dyDescent="0.45"/>
  <cols>
    <col min="1" max="1" width="12.36328125" customWidth="1"/>
    <col min="2" max="2" width="20.6328125" customWidth="1"/>
    <col min="3" max="3" width="25.6328125" customWidth="1"/>
    <col min="4" max="8" width="10.6328125" customWidth="1"/>
  </cols>
  <sheetData>
    <row r="4" spans="2:3" x14ac:dyDescent="0.45">
      <c r="B4" s="120"/>
      <c r="C4" s="12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ECD6-AE54-4C86-9421-C4EE54106BCD}">
  <sheetPr codeName="Sheet3">
    <pageSetUpPr fitToPage="1"/>
  </sheetPr>
  <dimension ref="B1:AT42"/>
  <sheetViews>
    <sheetView tabSelected="1" zoomScale="70" zoomScaleNormal="70" workbookViewId="0">
      <selection activeCell="N2" sqref="N2"/>
    </sheetView>
  </sheetViews>
  <sheetFormatPr defaultRowHeight="16.2" x14ac:dyDescent="0.45"/>
  <cols>
    <col min="1" max="1" width="4.453125" customWidth="1"/>
    <col min="2" max="5" width="12.6328125" customWidth="1"/>
    <col min="6" max="6" width="2.7265625" customWidth="1"/>
    <col min="7" max="10" width="12.6328125" customWidth="1"/>
    <col min="11" max="11" width="2.36328125" customWidth="1"/>
    <col min="12" max="15" width="12.6328125" customWidth="1"/>
    <col min="16" max="16" width="16.26953125" customWidth="1"/>
    <col min="17" max="17" width="13.08984375" customWidth="1"/>
    <col min="18" max="18" width="10.36328125" customWidth="1"/>
    <col min="19" max="19" width="13.453125" customWidth="1"/>
    <col min="20" max="20" width="5.453125" customWidth="1"/>
  </cols>
  <sheetData>
    <row r="1" spans="2:46" ht="36" customHeight="1" x14ac:dyDescent="0.45">
      <c r="D1" t="str">
        <f>IF(HOME!I3="","",HOME!I3)</f>
        <v/>
      </c>
      <c r="G1" s="36" t="s">
        <v>12</v>
      </c>
      <c r="P1" s="26"/>
      <c r="AT1" s="25">
        <v>2</v>
      </c>
    </row>
    <row r="2" spans="2:46" ht="14.25" customHeight="1" x14ac:dyDescent="0.45"/>
    <row r="3" spans="2:46" ht="19.2" x14ac:dyDescent="0.45">
      <c r="B3" s="125">
        <f>HOME!E8</f>
        <v>46053</v>
      </c>
      <c r="C3" s="2"/>
      <c r="D3" s="2"/>
      <c r="E3" s="3"/>
      <c r="F3" s="4"/>
      <c r="G3" s="125">
        <f>HOME!F8</f>
        <v>46418</v>
      </c>
      <c r="H3" s="5"/>
      <c r="I3" s="5"/>
      <c r="J3" s="3"/>
      <c r="L3" s="125">
        <f>HOME!G8</f>
        <v>46783</v>
      </c>
      <c r="M3" s="5"/>
      <c r="N3" s="5"/>
      <c r="O3" s="3"/>
    </row>
    <row r="4" spans="2:46" ht="19.2" x14ac:dyDescent="0.45">
      <c r="B4" s="55" t="s">
        <v>0</v>
      </c>
      <c r="C4" s="61" t="s">
        <v>1</v>
      </c>
      <c r="D4" s="62"/>
      <c r="E4" s="63"/>
      <c r="F4" s="8"/>
      <c r="G4" s="55" t="s">
        <v>0</v>
      </c>
      <c r="H4" s="61" t="s">
        <v>1</v>
      </c>
      <c r="I4" s="62"/>
      <c r="J4" s="63"/>
      <c r="K4" s="6"/>
      <c r="L4" s="55" t="s">
        <v>0</v>
      </c>
      <c r="M4" s="61" t="s">
        <v>1</v>
      </c>
      <c r="N4" s="62"/>
      <c r="O4" s="63"/>
    </row>
    <row r="5" spans="2:46" ht="19.2" x14ac:dyDescent="0.45">
      <c r="B5" s="56"/>
      <c r="C5" s="64">
        <f>HOME!E10-E20-E21</f>
        <v>53220000</v>
      </c>
      <c r="D5" s="65"/>
      <c r="E5" s="66"/>
      <c r="F5" s="8"/>
      <c r="G5" s="56"/>
      <c r="H5" s="64">
        <f>HOME!F10-J20-J21</f>
        <v>45200000</v>
      </c>
      <c r="I5" s="65"/>
      <c r="J5" s="66"/>
      <c r="K5" s="6"/>
      <c r="L5" s="56"/>
      <c r="M5" s="64">
        <f>HOME!G10-O20-O21</f>
        <v>51950000</v>
      </c>
      <c r="N5" s="65"/>
      <c r="O5" s="66"/>
    </row>
    <row r="6" spans="2:46" ht="19.2" x14ac:dyDescent="0.45">
      <c r="B6" s="56"/>
      <c r="C6" s="55" t="s">
        <v>2</v>
      </c>
      <c r="D6" s="52" t="s">
        <v>3</v>
      </c>
      <c r="E6" s="63" t="s">
        <v>4</v>
      </c>
      <c r="F6" s="8"/>
      <c r="G6" s="56"/>
      <c r="H6" s="55" t="s">
        <v>2</v>
      </c>
      <c r="I6" s="9" t="s">
        <v>3</v>
      </c>
      <c r="J6" s="63" t="s">
        <v>4</v>
      </c>
      <c r="K6" s="6"/>
      <c r="L6" s="56"/>
      <c r="M6" s="55" t="s">
        <v>2</v>
      </c>
      <c r="N6" s="9" t="s">
        <v>3</v>
      </c>
      <c r="O6" s="63" t="s">
        <v>4</v>
      </c>
    </row>
    <row r="7" spans="2:46" ht="19.2" x14ac:dyDescent="0.45">
      <c r="B7" s="57">
        <f>HOME!E9</f>
        <v>110000000</v>
      </c>
      <c r="C7" s="56">
        <f>B7-C5</f>
        <v>56780000</v>
      </c>
      <c r="D7" s="53">
        <f>C7-D15</f>
        <v>53100000</v>
      </c>
      <c r="E7" s="53">
        <f>SUM(HOME!E11:E18)+E20</f>
        <v>32100000</v>
      </c>
      <c r="F7" s="8"/>
      <c r="G7" s="57">
        <f>HOME!F9</f>
        <v>95000000</v>
      </c>
      <c r="H7" s="56">
        <f>G7-H5</f>
        <v>49800000</v>
      </c>
      <c r="I7" s="10">
        <f>H7-I15</f>
        <v>47000000</v>
      </c>
      <c r="J7" s="53">
        <f>SUM(HOME!F11:F18)+J20</f>
        <v>28000000</v>
      </c>
      <c r="K7" s="6"/>
      <c r="L7" s="57">
        <f>HOME!G9</f>
        <v>100000000</v>
      </c>
      <c r="M7" s="56">
        <f>L7-M5</f>
        <v>48050000</v>
      </c>
      <c r="N7" s="10">
        <f>M7-N15</f>
        <v>49500000</v>
      </c>
      <c r="O7" s="53">
        <f>SUM(HOME!G11:G18)+O20</f>
        <v>30000000</v>
      </c>
    </row>
    <row r="8" spans="2:46" ht="19.2" x14ac:dyDescent="0.45">
      <c r="B8" s="56"/>
      <c r="C8" s="56"/>
      <c r="D8" s="53"/>
      <c r="E8" s="67"/>
      <c r="F8" s="8"/>
      <c r="G8" s="56"/>
      <c r="H8" s="56"/>
      <c r="I8" s="10"/>
      <c r="J8" s="67"/>
      <c r="K8" s="6"/>
      <c r="L8" s="56"/>
      <c r="M8" s="56"/>
      <c r="N8" s="10"/>
      <c r="O8" s="67"/>
    </row>
    <row r="9" spans="2:46" ht="19.2" x14ac:dyDescent="0.45">
      <c r="B9" s="56"/>
      <c r="C9" s="56"/>
      <c r="D9" s="53"/>
      <c r="E9" s="68">
        <f>IFERROR(E7/C7,0)</f>
        <v>0.56533990841845716</v>
      </c>
      <c r="F9" s="8"/>
      <c r="G9" s="56"/>
      <c r="H9" s="56"/>
      <c r="I9" s="10"/>
      <c r="J9" s="68">
        <f>J7/H7</f>
        <v>0.56224899598393574</v>
      </c>
      <c r="K9" s="6"/>
      <c r="L9" s="56"/>
      <c r="M9" s="56"/>
      <c r="N9" s="10"/>
      <c r="O9" s="68">
        <f>O7/M7</f>
        <v>0.62434963579604574</v>
      </c>
    </row>
    <row r="10" spans="2:46" ht="19.2" x14ac:dyDescent="0.45">
      <c r="B10" s="56"/>
      <c r="C10" s="56"/>
      <c r="D10" s="53"/>
      <c r="E10" s="52" t="s">
        <v>5</v>
      </c>
      <c r="F10" s="8"/>
      <c r="G10" s="56"/>
      <c r="H10" s="56"/>
      <c r="I10" s="10"/>
      <c r="J10" s="52" t="s">
        <v>5</v>
      </c>
      <c r="K10" s="6"/>
      <c r="L10" s="56"/>
      <c r="M10" s="56"/>
      <c r="N10" s="10"/>
      <c r="O10" s="52" t="s">
        <v>5</v>
      </c>
    </row>
    <row r="11" spans="2:46" ht="19.2" x14ac:dyDescent="0.45">
      <c r="B11" s="56"/>
      <c r="C11" s="59"/>
      <c r="D11" s="69"/>
      <c r="E11" s="53">
        <f>D7-E7</f>
        <v>21000000</v>
      </c>
      <c r="F11" s="8"/>
      <c r="G11" s="56"/>
      <c r="H11" s="59"/>
      <c r="I11" s="11"/>
      <c r="J11" s="53">
        <f>I7-J7</f>
        <v>19000000</v>
      </c>
      <c r="K11" s="6"/>
      <c r="L11" s="56"/>
      <c r="M11" s="59"/>
      <c r="N11" s="11"/>
      <c r="O11" s="53">
        <f>N7-O7</f>
        <v>19500000</v>
      </c>
    </row>
    <row r="12" spans="2:46" ht="19.2" x14ac:dyDescent="0.45">
      <c r="B12" s="56"/>
      <c r="C12" s="60">
        <f>IFERROR(C7/B7,0)</f>
        <v>0.51618181818181819</v>
      </c>
      <c r="D12" s="54"/>
      <c r="E12" s="70"/>
      <c r="F12" s="8"/>
      <c r="G12" s="56"/>
      <c r="H12" s="60">
        <f>IFERROR(H7/G7,0)</f>
        <v>0.52421052631578946</v>
      </c>
      <c r="I12" s="12"/>
      <c r="J12" s="70"/>
      <c r="K12" s="6"/>
      <c r="L12" s="56"/>
      <c r="M12" s="60">
        <f>IFERROR(M7/L7,0)</f>
        <v>0.48049999999999998</v>
      </c>
      <c r="N12" s="12"/>
      <c r="O12" s="70"/>
    </row>
    <row r="13" spans="2:46" ht="16.5" customHeight="1" x14ac:dyDescent="0.45">
      <c r="B13" s="56"/>
      <c r="C13" s="56"/>
      <c r="D13" s="13"/>
      <c r="E13" s="14"/>
      <c r="F13" s="8"/>
      <c r="G13" s="56"/>
      <c r="H13" s="56"/>
      <c r="I13" s="13"/>
      <c r="J13" s="14"/>
      <c r="K13" s="6"/>
      <c r="L13" s="56"/>
      <c r="M13" s="56"/>
      <c r="N13" s="13"/>
      <c r="O13" s="14"/>
      <c r="P13" s="48" t="s">
        <v>15</v>
      </c>
    </row>
    <row r="14" spans="2:46" ht="16.5" customHeight="1" x14ac:dyDescent="0.45">
      <c r="B14" s="56"/>
      <c r="C14" s="56"/>
      <c r="D14" s="15" t="s">
        <v>54</v>
      </c>
      <c r="E14" s="16"/>
      <c r="F14" s="8"/>
      <c r="G14" s="56"/>
      <c r="H14" s="56"/>
      <c r="I14" s="15" t="s">
        <v>54</v>
      </c>
      <c r="J14" s="16"/>
      <c r="K14" s="6"/>
      <c r="L14" s="56"/>
      <c r="M14" s="56"/>
      <c r="N14" s="15" t="s">
        <v>54</v>
      </c>
      <c r="O14" s="16"/>
      <c r="P14" s="49">
        <f>HOME!G23</f>
        <v>0</v>
      </c>
    </row>
    <row r="15" spans="2:46" ht="16.5" customHeight="1" x14ac:dyDescent="0.45">
      <c r="B15" s="56"/>
      <c r="C15" s="56"/>
      <c r="D15" s="15">
        <f>HOME!E20</f>
        <v>3680000</v>
      </c>
      <c r="E15" s="16"/>
      <c r="F15" s="8"/>
      <c r="G15" s="56"/>
      <c r="H15" s="56"/>
      <c r="I15" s="15">
        <f>HOME!F20</f>
        <v>2800000</v>
      </c>
      <c r="J15" s="16"/>
      <c r="K15" s="6"/>
      <c r="L15" s="56"/>
      <c r="M15" s="56"/>
      <c r="N15" s="15">
        <f>HOME!G20</f>
        <v>-1450000</v>
      </c>
      <c r="O15" s="16"/>
      <c r="P15" s="90" t="s">
        <v>18</v>
      </c>
      <c r="Q15" s="50" t="s">
        <v>17</v>
      </c>
    </row>
    <row r="16" spans="2:46" ht="16.5" customHeight="1" x14ac:dyDescent="0.45">
      <c r="B16" s="56"/>
      <c r="C16" s="56"/>
      <c r="D16" s="17"/>
      <c r="E16" s="18"/>
      <c r="F16" s="8"/>
      <c r="G16" s="56"/>
      <c r="H16" s="56"/>
      <c r="I16" s="15"/>
      <c r="J16" s="16"/>
      <c r="K16" s="6"/>
      <c r="L16" s="56"/>
      <c r="M16" s="56"/>
      <c r="N16" s="15"/>
      <c r="O16" s="16"/>
      <c r="P16" s="106">
        <f>N15-P14</f>
        <v>-1450000</v>
      </c>
      <c r="Q16" s="81">
        <v>5000000</v>
      </c>
    </row>
    <row r="17" spans="2:19" ht="16.5" customHeight="1" x14ac:dyDescent="0.45">
      <c r="B17" s="56"/>
      <c r="C17" s="56"/>
      <c r="D17" s="17"/>
      <c r="E17" s="18"/>
      <c r="F17" s="8"/>
      <c r="G17" s="56"/>
      <c r="H17" s="56"/>
      <c r="I17" s="15"/>
      <c r="J17" s="16"/>
      <c r="K17" s="6"/>
      <c r="L17" s="56"/>
      <c r="M17" s="56"/>
      <c r="N17" s="15"/>
      <c r="O17" s="16"/>
      <c r="P17" s="46"/>
      <c r="Q17" s="51" t="s">
        <v>19</v>
      </c>
    </row>
    <row r="18" spans="2:19" ht="16.5" customHeight="1" x14ac:dyDescent="0.45">
      <c r="B18" s="58"/>
      <c r="C18" s="58"/>
      <c r="D18" s="19"/>
      <c r="E18" s="20"/>
      <c r="F18" s="8"/>
      <c r="G18" s="58"/>
      <c r="H18" s="58"/>
      <c r="I18" s="19"/>
      <c r="J18" s="20"/>
      <c r="K18" s="6"/>
      <c r="L18" s="58"/>
      <c r="M18" s="58"/>
      <c r="N18" s="19"/>
      <c r="O18" s="20"/>
      <c r="P18" s="47"/>
      <c r="Q18" s="45">
        <f>P16+P20-Q16</f>
        <v>-6450000</v>
      </c>
    </row>
    <row r="19" spans="2:19" ht="19.8" thickBot="1" x14ac:dyDescent="0.5">
      <c r="P19" s="51" t="s">
        <v>16</v>
      </c>
      <c r="Q19" s="45"/>
    </row>
    <row r="20" spans="2:19" ht="19.2" x14ac:dyDescent="0.45">
      <c r="D20" s="23" t="s">
        <v>10</v>
      </c>
      <c r="E20" s="24"/>
      <c r="G20" s="102" t="s">
        <v>36</v>
      </c>
      <c r="H20" s="103">
        <f>IFERROR(H7/I7,0)</f>
        <v>1.0595744680851065</v>
      </c>
      <c r="I20" s="23" t="s">
        <v>10</v>
      </c>
      <c r="J20" s="24"/>
      <c r="L20" s="102" t="s">
        <v>36</v>
      </c>
      <c r="M20" s="103">
        <f>IFERROR(M7/N7,0)</f>
        <v>0.97070707070707074</v>
      </c>
      <c r="N20" s="23" t="s">
        <v>10</v>
      </c>
      <c r="O20" s="24"/>
      <c r="P20" s="80">
        <f>HOME!G21+HOME!G22</f>
        <v>0</v>
      </c>
      <c r="Q20" s="47"/>
    </row>
    <row r="21" spans="2:19" ht="19.8" thickBot="1" x14ac:dyDescent="0.5">
      <c r="D21" s="21" t="s">
        <v>11</v>
      </c>
      <c r="E21" s="22"/>
      <c r="H21" s="101"/>
      <c r="I21" s="21" t="s">
        <v>11</v>
      </c>
      <c r="J21" s="22"/>
      <c r="M21" s="101"/>
      <c r="N21" s="21" t="s">
        <v>11</v>
      </c>
      <c r="O21" s="22"/>
    </row>
    <row r="22" spans="2:19" ht="30" customHeight="1" thickBot="1" x14ac:dyDescent="0.5">
      <c r="B22" t="s">
        <v>20</v>
      </c>
      <c r="I22" s="7"/>
    </row>
    <row r="23" spans="2:19" ht="19.2" x14ac:dyDescent="0.45">
      <c r="B23" s="72"/>
      <c r="C23" s="73"/>
      <c r="D23" s="73"/>
      <c r="E23" s="73"/>
      <c r="F23" s="73"/>
      <c r="G23" s="73"/>
      <c r="H23" s="73"/>
      <c r="I23" s="73"/>
      <c r="J23" s="74"/>
      <c r="L23" s="1" t="s">
        <v>13</v>
      </c>
      <c r="M23" s="5"/>
      <c r="N23" s="5"/>
      <c r="O23" s="3"/>
    </row>
    <row r="24" spans="2:19" ht="19.2" x14ac:dyDescent="0.45">
      <c r="B24" s="75"/>
      <c r="J24" s="76"/>
      <c r="L24" s="55" t="s">
        <v>21</v>
      </c>
      <c r="M24" s="61" t="s">
        <v>25</v>
      </c>
      <c r="N24" s="62"/>
      <c r="O24" s="63"/>
    </row>
    <row r="25" spans="2:19" ht="19.2" x14ac:dyDescent="0.45">
      <c r="B25" s="75"/>
      <c r="J25" s="76"/>
      <c r="L25" s="56"/>
      <c r="M25" s="64">
        <f>L27-M27</f>
        <v>0</v>
      </c>
      <c r="N25" s="65"/>
      <c r="O25" s="66"/>
    </row>
    <row r="26" spans="2:19" ht="19.2" x14ac:dyDescent="0.45">
      <c r="B26" s="75"/>
      <c r="J26" s="76"/>
      <c r="L26" s="56"/>
      <c r="M26" s="55" t="s">
        <v>26</v>
      </c>
      <c r="N26" s="52" t="s">
        <v>27</v>
      </c>
      <c r="O26" s="63" t="s">
        <v>28</v>
      </c>
    </row>
    <row r="27" spans="2:19" ht="19.2" x14ac:dyDescent="0.45">
      <c r="B27" s="75"/>
      <c r="J27" s="76"/>
      <c r="L27" s="95"/>
      <c r="M27" s="56">
        <f>L27*M32</f>
        <v>0</v>
      </c>
      <c r="N27" s="53">
        <f>O27+O31</f>
        <v>0</v>
      </c>
      <c r="O27" s="97"/>
      <c r="P27" s="117" t="s">
        <v>52</v>
      </c>
      <c r="Q27" s="116">
        <f>L27-L7</f>
        <v>-100000000</v>
      </c>
    </row>
    <row r="28" spans="2:19" ht="19.2" x14ac:dyDescent="0.45">
      <c r="B28" s="75"/>
      <c r="J28" s="76"/>
      <c r="L28" s="56"/>
      <c r="M28" s="56"/>
      <c r="N28" s="53"/>
      <c r="O28" s="67"/>
    </row>
    <row r="29" spans="2:19" ht="19.2" x14ac:dyDescent="0.45">
      <c r="B29" s="75"/>
      <c r="J29" s="76"/>
      <c r="L29" s="56"/>
      <c r="M29" s="56"/>
      <c r="N29" s="53"/>
      <c r="O29" s="71">
        <f>IFERROR(O27/M27,0)</f>
        <v>0</v>
      </c>
    </row>
    <row r="30" spans="2:19" ht="19.2" x14ac:dyDescent="0.45">
      <c r="B30" s="75"/>
      <c r="J30" s="76"/>
      <c r="L30" s="56"/>
      <c r="M30" s="56"/>
      <c r="N30" s="53"/>
      <c r="O30" s="52" t="s">
        <v>29</v>
      </c>
    </row>
    <row r="31" spans="2:19" ht="19.2" x14ac:dyDescent="0.45">
      <c r="B31" s="75"/>
      <c r="J31" s="76"/>
      <c r="L31" s="56"/>
      <c r="M31" s="59"/>
      <c r="N31" s="69"/>
      <c r="O31" s="97"/>
    </row>
    <row r="32" spans="2:19" ht="19.8" thickBot="1" x14ac:dyDescent="0.5">
      <c r="B32" s="75"/>
      <c r="J32" s="76"/>
      <c r="L32" s="56"/>
      <c r="M32" s="96"/>
      <c r="N32" s="54"/>
      <c r="O32" s="70"/>
      <c r="Q32" s="115" t="s">
        <v>51</v>
      </c>
      <c r="R32" t="s">
        <v>33</v>
      </c>
      <c r="S32" t="s">
        <v>34</v>
      </c>
    </row>
    <row r="33" spans="2:22" ht="19.8" thickBot="1" x14ac:dyDescent="0.5">
      <c r="B33" s="75"/>
      <c r="J33" s="76"/>
      <c r="L33" s="56"/>
      <c r="M33" s="56"/>
      <c r="N33" s="13"/>
      <c r="O33" s="14"/>
      <c r="P33" s="48" t="s">
        <v>23</v>
      </c>
      <c r="Q33" s="118">
        <f>IFERROR(P34/N35,0)</f>
        <v>0</v>
      </c>
      <c r="R33" s="99">
        <v>70000</v>
      </c>
      <c r="S33" s="99">
        <v>0</v>
      </c>
      <c r="U33" s="107" t="s">
        <v>46</v>
      </c>
      <c r="V33" s="108" t="s">
        <v>47</v>
      </c>
    </row>
    <row r="34" spans="2:22" ht="19.2" x14ac:dyDescent="0.45">
      <c r="B34" s="75"/>
      <c r="J34" s="76"/>
      <c r="L34" s="56"/>
      <c r="M34" s="56"/>
      <c r="N34" s="15" t="s">
        <v>54</v>
      </c>
      <c r="O34" s="16"/>
      <c r="P34" s="49">
        <f>IF(INT((cotax(N35-S33)/100)*100)&lt;0,R33,INT(((cotax(N35-S33)+R33)/100)*100))</f>
        <v>70000</v>
      </c>
      <c r="U34" s="109" t="s">
        <v>48</v>
      </c>
      <c r="V34" s="110">
        <v>0.23039999999999999</v>
      </c>
    </row>
    <row r="35" spans="2:22" ht="19.2" x14ac:dyDescent="0.45">
      <c r="B35" s="75"/>
      <c r="J35" s="76"/>
      <c r="L35" s="56"/>
      <c r="M35" s="56"/>
      <c r="N35" s="15">
        <f>M27-N27</f>
        <v>0</v>
      </c>
      <c r="O35" s="16"/>
      <c r="P35" s="90" t="s">
        <v>30</v>
      </c>
      <c r="Q35" s="50" t="s">
        <v>31</v>
      </c>
      <c r="U35" s="111" t="s">
        <v>49</v>
      </c>
      <c r="V35" s="112">
        <v>0.25590000000000002</v>
      </c>
    </row>
    <row r="36" spans="2:22" ht="19.8" thickBot="1" x14ac:dyDescent="0.5">
      <c r="B36" s="75"/>
      <c r="J36" s="76"/>
      <c r="L36" s="56"/>
      <c r="M36" s="56"/>
      <c r="N36" s="15"/>
      <c r="O36" s="16"/>
      <c r="P36" s="106">
        <f>N35-P34</f>
        <v>-70000</v>
      </c>
      <c r="Q36" s="81"/>
      <c r="U36" s="113" t="s">
        <v>50</v>
      </c>
      <c r="V36" s="114">
        <v>0.38629999999999998</v>
      </c>
    </row>
    <row r="37" spans="2:22" ht="19.2" x14ac:dyDescent="0.45">
      <c r="B37" s="75"/>
      <c r="J37" s="76"/>
      <c r="L37" s="56"/>
      <c r="M37" s="56"/>
      <c r="N37" s="15"/>
      <c r="O37" s="16"/>
      <c r="P37" s="46"/>
      <c r="Q37" s="51" t="s">
        <v>32</v>
      </c>
    </row>
    <row r="38" spans="2:22" ht="19.2" x14ac:dyDescent="0.45">
      <c r="B38" s="75"/>
      <c r="J38" s="76"/>
      <c r="L38" s="58"/>
      <c r="M38" s="58"/>
      <c r="N38" s="19"/>
      <c r="O38" s="20"/>
      <c r="P38" s="47"/>
      <c r="Q38" s="45">
        <f>P36+P40-Q36</f>
        <v>-70000</v>
      </c>
    </row>
    <row r="39" spans="2:22" ht="19.2" x14ac:dyDescent="0.45">
      <c r="B39" s="75"/>
      <c r="J39" s="76"/>
      <c r="P39" s="51" t="s">
        <v>22</v>
      </c>
      <c r="Q39" s="45"/>
    </row>
    <row r="40" spans="2:22" ht="19.8" thickBot="1" x14ac:dyDescent="0.5">
      <c r="B40" s="77"/>
      <c r="C40" s="78"/>
      <c r="D40" s="78"/>
      <c r="E40" s="78"/>
      <c r="F40" s="78"/>
      <c r="G40" s="78"/>
      <c r="H40" s="78"/>
      <c r="I40" s="78"/>
      <c r="J40" s="79"/>
      <c r="L40" s="102" t="s">
        <v>36</v>
      </c>
      <c r="M40" s="103">
        <f>IFERROR(M27/N27,0)</f>
        <v>0</v>
      </c>
      <c r="P40" s="98"/>
      <c r="Q40" s="47"/>
    </row>
    <row r="41" spans="2:22" ht="22.5" customHeight="1" x14ac:dyDescent="0.45">
      <c r="G41" s="119" t="s">
        <v>37</v>
      </c>
      <c r="I41" s="30"/>
      <c r="J41" s="30"/>
      <c r="K41" s="30"/>
      <c r="L41" s="30"/>
      <c r="M41" s="105"/>
    </row>
    <row r="42" spans="2:22" ht="19.2" x14ac:dyDescent="0.45">
      <c r="H42" s="104"/>
      <c r="I42" s="30"/>
      <c r="J42" s="30"/>
      <c r="K42" s="30"/>
      <c r="L42" s="30"/>
      <c r="M42" s="30"/>
      <c r="P42" t="s">
        <v>35</v>
      </c>
      <c r="Q42" s="100"/>
    </row>
  </sheetData>
  <phoneticPr fontId="1"/>
  <conditionalFormatting sqref="B5:O8">
    <cfRule type="expression" dxfId="28" priority="49">
      <formula>$AT$1=2</formula>
    </cfRule>
  </conditionalFormatting>
  <conditionalFormatting sqref="D10:E18">
    <cfRule type="expression" dxfId="27" priority="42">
      <formula>$AT$1=2</formula>
    </cfRule>
  </conditionalFormatting>
  <conditionalFormatting sqref="I11:J15">
    <cfRule type="expression" dxfId="26" priority="41">
      <formula>$AT$1=2</formula>
    </cfRule>
  </conditionalFormatting>
  <conditionalFormatting sqref="N11:O15">
    <cfRule type="expression" dxfId="25" priority="40">
      <formula>$AT$1=2</formula>
    </cfRule>
  </conditionalFormatting>
  <conditionalFormatting sqref="E20:E21">
    <cfRule type="expression" dxfId="24" priority="30">
      <formula>$AT$1=2</formula>
    </cfRule>
  </conditionalFormatting>
  <conditionalFormatting sqref="J20:J21">
    <cfRule type="expression" dxfId="23" priority="29">
      <formula>$AT$1=2</formula>
    </cfRule>
  </conditionalFormatting>
  <conditionalFormatting sqref="O20:O21">
    <cfRule type="expression" dxfId="22" priority="28">
      <formula>$AT$1=2</formula>
    </cfRule>
  </conditionalFormatting>
  <conditionalFormatting sqref="A22:K22 M22:XFD22 A42:XFD1048576 J41:XFD41 A41:G41 A37:XFD40 A33:T36 W33:XFD36 A23:XFD32 A1:XFD21">
    <cfRule type="expression" dxfId="21" priority="25">
      <formula>CELL("protect", A1)=0</formula>
    </cfRule>
  </conditionalFormatting>
  <conditionalFormatting sqref="L25:O28">
    <cfRule type="expression" dxfId="20" priority="21">
      <formula>$AT$1=2</formula>
    </cfRule>
  </conditionalFormatting>
  <conditionalFormatting sqref="N31:O35">
    <cfRule type="expression" dxfId="19" priority="20">
      <formula>$AT$1=2</formula>
    </cfRule>
  </conditionalFormatting>
  <conditionalFormatting sqref="P33:P35">
    <cfRule type="expression" dxfId="18" priority="19">
      <formula>$AT$1=2</formula>
    </cfRule>
  </conditionalFormatting>
  <conditionalFormatting sqref="P33:P35 P37:Q40">
    <cfRule type="expression" dxfId="17" priority="18">
      <formula>$AT$1=2</formula>
    </cfRule>
  </conditionalFormatting>
  <conditionalFormatting sqref="P13:P15">
    <cfRule type="expression" dxfId="16" priority="17">
      <formula>$AT$1=2</formula>
    </cfRule>
  </conditionalFormatting>
  <conditionalFormatting sqref="P13:P15 P17:Q20">
    <cfRule type="expression" dxfId="15" priority="16">
      <formula>$AT$1=2</formula>
    </cfRule>
  </conditionalFormatting>
  <conditionalFormatting sqref="P16">
    <cfRule type="expression" dxfId="14" priority="15">
      <formula>$AT$1=2</formula>
    </cfRule>
  </conditionalFormatting>
  <conditionalFormatting sqref="P16">
    <cfRule type="expression" dxfId="13" priority="14">
      <formula>$AT$1=2</formula>
    </cfRule>
  </conditionalFormatting>
  <conditionalFormatting sqref="Q16">
    <cfRule type="expression" dxfId="12" priority="13">
      <formula>$AT$1=2</formula>
    </cfRule>
  </conditionalFormatting>
  <conditionalFormatting sqref="Q16">
    <cfRule type="expression" dxfId="11" priority="12">
      <formula>$AT$1=2</formula>
    </cfRule>
  </conditionalFormatting>
  <conditionalFormatting sqref="P36">
    <cfRule type="expression" dxfId="10" priority="11">
      <formula>$AT$1=2</formula>
    </cfRule>
  </conditionalFormatting>
  <conditionalFormatting sqref="P36">
    <cfRule type="expression" dxfId="9" priority="10">
      <formula>$AT$1=2</formula>
    </cfRule>
  </conditionalFormatting>
  <conditionalFormatting sqref="Q36">
    <cfRule type="expression" dxfId="8" priority="9">
      <formula>$AT$1=2</formula>
    </cfRule>
  </conditionalFormatting>
  <conditionalFormatting sqref="Q36">
    <cfRule type="expression" dxfId="7" priority="8">
      <formula>$AT$1=2</formula>
    </cfRule>
  </conditionalFormatting>
  <conditionalFormatting sqref="S33">
    <cfRule type="expression" dxfId="6" priority="7">
      <formula>$AT$1=2</formula>
    </cfRule>
  </conditionalFormatting>
  <conditionalFormatting sqref="S33">
    <cfRule type="expression" dxfId="5" priority="6">
      <formula>$AT$1=2</formula>
    </cfRule>
  </conditionalFormatting>
  <conditionalFormatting sqref="Q42">
    <cfRule type="expression" dxfId="4" priority="5">
      <formula>$AT$1=2</formula>
    </cfRule>
  </conditionalFormatting>
  <conditionalFormatting sqref="R33">
    <cfRule type="expression" dxfId="3" priority="4">
      <formula>$AT$1=2</formula>
    </cfRule>
  </conditionalFormatting>
  <conditionalFormatting sqref="R33">
    <cfRule type="expression" dxfId="2" priority="3">
      <formula>$AT$1=2</formula>
    </cfRule>
  </conditionalFormatting>
  <conditionalFormatting sqref="U33:V36">
    <cfRule type="expression" dxfId="1" priority="2">
      <formula>CELL("protect", U33)=0</formula>
    </cfRule>
  </conditionalFormatting>
  <conditionalFormatting sqref="Q27">
    <cfRule type="expression" dxfId="0" priority="1">
      <formula>$AT$1=2</formula>
    </cfRule>
  </conditionalFormatting>
  <dataValidations count="1">
    <dataValidation imeMode="off" allowBlank="1" showInputMessage="1" showErrorMessage="1" sqref="B5:C5 E7 E11 G5:H5 J11 L5:M5 O11 L25:M25 O31" xr:uid="{4165643A-0784-4B1B-93C3-2955DCC24ECA}"/>
  </dataValidations>
  <pageMargins left="0.5" right="0.5" top="0.5" bottom="0.5" header="0.3" footer="0.3"/>
  <pageSetup paperSize="9"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>
                <anchor moveWithCells="1">
                  <from>
                    <xdr:col>0</xdr:col>
                    <xdr:colOff>335280</xdr:colOff>
                    <xdr:row>0</xdr:row>
                    <xdr:rowOff>76200</xdr:rowOff>
                  </from>
                  <to>
                    <xdr:col>1</xdr:col>
                    <xdr:colOff>411480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0</xdr:col>
                    <xdr:colOff>327660</xdr:colOff>
                    <xdr:row>0</xdr:row>
                    <xdr:rowOff>236220</xdr:rowOff>
                  </from>
                  <to>
                    <xdr:col>1</xdr:col>
                    <xdr:colOff>800100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ブロックパズル印刷A4">
                <anchor>
                  <from>
                    <xdr:col>9</xdr:col>
                    <xdr:colOff>38100</xdr:colOff>
                    <xdr:row>0</xdr:row>
                    <xdr:rowOff>99060</xdr:rowOff>
                  </from>
                  <to>
                    <xdr:col>10</xdr:col>
                    <xdr:colOff>99060</xdr:colOff>
                    <xdr:row>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次期目標">
                <anchor moveWithCells="1" sizeWithCells="1">
                  <from>
                    <xdr:col>15</xdr:col>
                    <xdr:colOff>160020</xdr:colOff>
                    <xdr:row>42</xdr:row>
                    <xdr:rowOff>190500</xdr:rowOff>
                  </from>
                  <to>
                    <xdr:col>17</xdr:col>
                    <xdr:colOff>175260</xdr:colOff>
                    <xdr:row>44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当期から計画にコピー">
                <anchor moveWithCells="1" sizeWithCells="1">
                  <from>
                    <xdr:col>15</xdr:col>
                    <xdr:colOff>144780</xdr:colOff>
                    <xdr:row>22</xdr:row>
                    <xdr:rowOff>7620</xdr:rowOff>
                  </from>
                  <to>
                    <xdr:col>18</xdr:col>
                    <xdr:colOff>114300</xdr:colOff>
                    <xdr:row>23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HOME</vt:lpstr>
      <vt:lpstr>data</vt:lpstr>
      <vt:lpstr>パズル</vt:lpstr>
      <vt:lpstr>パズル!Print_Area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manabuchan</dc:creator>
  <cp:lastModifiedBy>学 近藤</cp:lastModifiedBy>
  <cp:lastPrinted>2019-06-17T23:40:22Z</cp:lastPrinted>
  <dcterms:created xsi:type="dcterms:W3CDTF">2018-10-31T03:10:08Z</dcterms:created>
  <dcterms:modified xsi:type="dcterms:W3CDTF">2026-05-07T07:38:43Z</dcterms:modified>
</cp:coreProperties>
</file>