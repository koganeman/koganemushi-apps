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b\Documents\koganemushi_app\docs\shikingurihyou\Excel-data\"/>
    </mc:Choice>
  </mc:AlternateContent>
  <xr:revisionPtr revIDLastSave="0" documentId="8_{BCF7322A-A5E7-48CB-BFDC-5ADB6142D773}" xr6:coauthVersionLast="47" xr6:coauthVersionMax="47" xr10:uidLastSave="{00000000-0000-0000-0000-000000000000}"/>
  <bookViews>
    <workbookView xWindow="14303" yWindow="-98" windowWidth="19394" windowHeight="11475" xr2:uid="{4213E033-2852-491F-8999-7AAE0F8DE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4" i="1" l="1"/>
  <c r="H32" i="1"/>
  <c r="H20" i="1"/>
  <c r="H50" i="1"/>
  <c r="H38" i="1"/>
  <c r="H26" i="1"/>
  <c r="H5" i="1"/>
  <c r="H9" i="1" s="1"/>
  <c r="I4" i="1" s="1"/>
  <c r="I5" i="1" s="1"/>
  <c r="H6" i="1"/>
  <c r="H8" i="1"/>
  <c r="G20" i="1"/>
  <c r="T23" i="1"/>
  <c r="S23" i="1"/>
  <c r="R23" i="1"/>
  <c r="T22" i="1"/>
  <c r="S22" i="1"/>
  <c r="R22" i="1"/>
  <c r="T21" i="1"/>
  <c r="S21" i="1"/>
  <c r="R21" i="1"/>
  <c r="M24" i="1"/>
  <c r="O24" i="1" s="1"/>
  <c r="N24" i="1"/>
  <c r="O23" i="1"/>
  <c r="N23" i="1"/>
  <c r="M23" i="1"/>
  <c r="O22" i="1"/>
  <c r="N22" i="1"/>
  <c r="M22" i="1"/>
  <c r="O21" i="1"/>
  <c r="N21" i="1"/>
  <c r="M21" i="1"/>
  <c r="C15" i="1"/>
  <c r="G21" i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E40" i="1"/>
  <c r="I9" i="1" l="1"/>
  <c r="J4" i="1" s="1"/>
  <c r="J5" i="1" s="1"/>
  <c r="I6" i="1"/>
  <c r="I8" i="1"/>
  <c r="J8" i="1"/>
  <c r="J9" i="1" l="1"/>
  <c r="J6" i="1"/>
  <c r="D15" i="1" l="1"/>
  <c r="D16" i="1" s="1"/>
  <c r="E15" i="1"/>
  <c r="E16" i="1" s="1"/>
  <c r="C16" i="1"/>
  <c r="I49" i="1" l="1" a="1"/>
  <c r="I49" i="1" s="1"/>
  <c r="I48" i="1" a="1"/>
  <c r="I48" i="1" s="1"/>
  <c r="I50" i="1" a="1"/>
  <c r="I50" i="1" s="1"/>
  <c r="I47" i="1" a="1"/>
  <c r="I47" i="1" s="1"/>
  <c r="I46" i="1" a="1"/>
  <c r="I46" i="1" s="1"/>
  <c r="I45" i="1" a="1"/>
  <c r="I45" i="1" s="1"/>
  <c r="I54" i="1" a="1"/>
  <c r="I54" i="1" s="1"/>
  <c r="I53" i="1" a="1"/>
  <c r="I53" i="1" s="1"/>
  <c r="I55" i="1" a="1"/>
  <c r="I55" i="1" s="1"/>
  <c r="I52" i="1" a="1"/>
  <c r="I52" i="1" s="1"/>
  <c r="I51" i="1" a="1"/>
  <c r="I51" i="1" s="1"/>
  <c r="I20" i="1"/>
  <c r="I36" i="1" a="1"/>
  <c r="I36" i="1" s="1"/>
  <c r="I35" i="1" a="1"/>
  <c r="I35" i="1" s="1"/>
  <c r="I34" i="1" a="1"/>
  <c r="I34" i="1" s="1"/>
  <c r="I33" i="1" a="1"/>
  <c r="I33" i="1" s="1"/>
  <c r="I43" i="1" a="1"/>
  <c r="I43" i="1" s="1"/>
  <c r="I42" i="1" a="1"/>
  <c r="I42" i="1" s="1"/>
  <c r="I41" i="1" a="1"/>
  <c r="I41" i="1" s="1"/>
  <c r="I40" i="1" a="1"/>
  <c r="I40" i="1" s="1"/>
  <c r="I39" i="1" a="1"/>
  <c r="I39" i="1" s="1"/>
  <c r="I38" i="1" a="1"/>
  <c r="I38" i="1" s="1"/>
  <c r="I37" i="1" a="1"/>
  <c r="I37" i="1" s="1"/>
  <c r="I29" i="1" a="1"/>
  <c r="I29" i="1" s="1"/>
  <c r="I23" i="1" a="1"/>
  <c r="I23" i="1" s="1"/>
  <c r="I31" i="1" a="1"/>
  <c r="I31" i="1" s="1"/>
  <c r="I30" i="1" a="1"/>
  <c r="I30" i="1" s="1"/>
  <c r="I28" i="1" a="1"/>
  <c r="I28" i="1" s="1"/>
  <c r="I27" i="1" a="1"/>
  <c r="I27" i="1" s="1"/>
  <c r="I26" i="1" a="1"/>
  <c r="I26" i="1" s="1"/>
  <c r="I25" i="1" a="1"/>
  <c r="I25" i="1" s="1"/>
  <c r="I24" i="1" a="1"/>
  <c r="I24" i="1" s="1"/>
  <c r="I21" i="1" a="1"/>
  <c r="I21" i="1" s="1"/>
  <c r="I22" i="1" a="1"/>
  <c r="I22" i="1" s="1"/>
  <c r="I44" i="1" l="1"/>
  <c r="I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<sst xmlns="http://schemas.openxmlformats.org/spreadsheetml/2006/main" count="81" uniqueCount="64">
  <si>
    <t>税引前利益</t>
    <rPh sb="0" eb="2">
      <t>ゼイビキ</t>
    </rPh>
    <rPh sb="2" eb="3">
      <t>マエ</t>
    </rPh>
    <rPh sb="3" eb="5">
      <t>リエキ</t>
    </rPh>
    <phoneticPr fontId="2"/>
  </si>
  <si>
    <t>役員報酬</t>
    <rPh sb="0" eb="4">
      <t>ヤクインホウシュウ</t>
    </rPh>
    <phoneticPr fontId="2"/>
  </si>
  <si>
    <t>その他給与</t>
    <rPh sb="2" eb="3">
      <t>タ</t>
    </rPh>
    <rPh sb="3" eb="5">
      <t>キュウヨ</t>
    </rPh>
    <phoneticPr fontId="2"/>
  </si>
  <si>
    <t>法定福利費</t>
    <rPh sb="0" eb="2">
      <t>ホウテイ</t>
    </rPh>
    <rPh sb="2" eb="4">
      <t>フクリ</t>
    </rPh>
    <rPh sb="4" eb="5">
      <t>ヒ</t>
    </rPh>
    <phoneticPr fontId="2"/>
  </si>
  <si>
    <t>減価償却費</t>
    <rPh sb="0" eb="5">
      <t>ゲンカショウキャクヒ</t>
    </rPh>
    <phoneticPr fontId="2"/>
  </si>
  <si>
    <t>保険料</t>
    <rPh sb="0" eb="3">
      <t>ホケンリョウ</t>
    </rPh>
    <phoneticPr fontId="2"/>
  </si>
  <si>
    <t>支払利息</t>
    <rPh sb="0" eb="2">
      <t>シハライ</t>
    </rPh>
    <rPh sb="2" eb="4">
      <t>リソク</t>
    </rPh>
    <phoneticPr fontId="2"/>
  </si>
  <si>
    <t>その他非課税仕入れ</t>
    <rPh sb="2" eb="3">
      <t>タ</t>
    </rPh>
    <rPh sb="3" eb="8">
      <t>ヒカゼイシイ</t>
    </rPh>
    <phoneticPr fontId="2"/>
  </si>
  <si>
    <t>受取利息</t>
    <rPh sb="0" eb="2">
      <t>ウケトリ</t>
    </rPh>
    <rPh sb="2" eb="4">
      <t>リソク</t>
    </rPh>
    <phoneticPr fontId="2"/>
  </si>
  <si>
    <t>受取配当金</t>
    <rPh sb="0" eb="5">
      <t>ウケトリハイトウキン</t>
    </rPh>
    <phoneticPr fontId="2"/>
  </si>
  <si>
    <t>その他非課税売上</t>
    <rPh sb="2" eb="3">
      <t>タ</t>
    </rPh>
    <rPh sb="3" eb="6">
      <t>ヒカゼイ</t>
    </rPh>
    <rPh sb="6" eb="8">
      <t>ウリアゲ</t>
    </rPh>
    <phoneticPr fontId="2"/>
  </si>
  <si>
    <t>消費税対象額</t>
    <rPh sb="0" eb="3">
      <t>ショウヒゼイ</t>
    </rPh>
    <rPh sb="3" eb="5">
      <t>タイショウ</t>
    </rPh>
    <rPh sb="5" eb="6">
      <t>ガク</t>
    </rPh>
    <phoneticPr fontId="2"/>
  </si>
  <si>
    <t>決算月</t>
    <rPh sb="0" eb="3">
      <t>ケッサンヅキ</t>
    </rPh>
    <phoneticPr fontId="2"/>
  </si>
  <si>
    <t>既納付予定納税</t>
    <rPh sb="0" eb="1">
      <t>キ</t>
    </rPh>
    <rPh sb="1" eb="3">
      <t>ノウフ</t>
    </rPh>
    <rPh sb="3" eb="5">
      <t>ヨテイ</t>
    </rPh>
    <rPh sb="5" eb="7">
      <t>ノウゼイ</t>
    </rPh>
    <phoneticPr fontId="2"/>
  </si>
  <si>
    <t>税率</t>
    <rPh sb="0" eb="2">
      <t>ゼイリツ</t>
    </rPh>
    <phoneticPr fontId="2"/>
  </si>
  <si>
    <t>法人税概算予測</t>
    <rPh sb="0" eb="3">
      <t>ホウジンゼイ</t>
    </rPh>
    <rPh sb="3" eb="5">
      <t>ガイサン</t>
    </rPh>
    <rPh sb="5" eb="7">
      <t>ヨソク</t>
    </rPh>
    <phoneticPr fontId="2"/>
  </si>
  <si>
    <t>（+）</t>
    <phoneticPr fontId="2"/>
  </si>
  <si>
    <t>（-）</t>
    <phoneticPr fontId="2"/>
  </si>
  <si>
    <t>消費税概算予測（軽減税率・8割特例は考慮していません）</t>
    <rPh sb="0" eb="3">
      <t>ショウヒゼイ</t>
    </rPh>
    <rPh sb="3" eb="5">
      <t>ガイサン</t>
    </rPh>
    <rPh sb="5" eb="7">
      <t>ヨソク</t>
    </rPh>
    <rPh sb="8" eb="12">
      <t>ケイゲンゼイリツ</t>
    </rPh>
    <rPh sb="14" eb="15">
      <t>ワリ</t>
    </rPh>
    <rPh sb="15" eb="17">
      <t>トクレイ</t>
    </rPh>
    <rPh sb="18" eb="20">
      <t>コウリョ</t>
    </rPh>
    <phoneticPr fontId="2"/>
  </si>
  <si>
    <t>消費税率</t>
    <rPh sb="0" eb="4">
      <t>ショウヒゼイリツ</t>
    </rPh>
    <phoneticPr fontId="2"/>
  </si>
  <si>
    <t>国税</t>
    <rPh sb="0" eb="2">
      <t>コクゼイ</t>
    </rPh>
    <phoneticPr fontId="2"/>
  </si>
  <si>
    <t>地方法税</t>
    <rPh sb="0" eb="2">
      <t>チホウ</t>
    </rPh>
    <rPh sb="2" eb="3">
      <t>ホウ</t>
    </rPh>
    <rPh sb="3" eb="4">
      <t>ゼイ</t>
    </rPh>
    <phoneticPr fontId="2"/>
  </si>
  <si>
    <t>合計</t>
    <rPh sb="0" eb="2">
      <t>ゴウケイ</t>
    </rPh>
    <phoneticPr fontId="2"/>
  </si>
  <si>
    <t>納税予定表</t>
    <rPh sb="0" eb="2">
      <t>ノウゼイ</t>
    </rPh>
    <rPh sb="2" eb="5">
      <t>ヨテイヒョウ</t>
    </rPh>
    <phoneticPr fontId="2"/>
  </si>
  <si>
    <t>法人税等</t>
    <rPh sb="0" eb="4">
      <t>ホウジンゼイトウ</t>
    </rPh>
    <phoneticPr fontId="2"/>
  </si>
  <si>
    <t>消費税等</t>
    <rPh sb="0" eb="4">
      <t>ショウヒゼイトウ</t>
    </rPh>
    <phoneticPr fontId="2"/>
  </si>
  <si>
    <t>概算消費税額10％</t>
    <rPh sb="0" eb="2">
      <t>ガイサン</t>
    </rPh>
    <rPh sb="2" eb="5">
      <t>ショウヒゼイ</t>
    </rPh>
    <rPh sb="5" eb="6">
      <t>ガク</t>
    </rPh>
    <phoneticPr fontId="2"/>
  </si>
  <si>
    <t>法人税率</t>
  </si>
  <si>
    <t>法人税率</t>
    <rPh sb="0" eb="4">
      <t>ホウジンゼイリツ</t>
    </rPh>
    <phoneticPr fontId="2"/>
  </si>
  <si>
    <t>地方法人特別税率</t>
    <rPh sb="0" eb="4">
      <t>チホウホウジン</t>
    </rPh>
    <rPh sb="4" eb="6">
      <t>トクベツ</t>
    </rPh>
    <rPh sb="6" eb="7">
      <t>ゼイ</t>
    </rPh>
    <rPh sb="7" eb="8">
      <t>リツ</t>
    </rPh>
    <phoneticPr fontId="2"/>
  </si>
  <si>
    <t>法人住民税</t>
    <rPh sb="0" eb="5">
      <t>ホウジンジュウミンゼイ</t>
    </rPh>
    <phoneticPr fontId="2"/>
  </si>
  <si>
    <t>都道府県民税率（標準）</t>
    <rPh sb="0" eb="7">
      <t>トドウフケンミンゼイリツ</t>
    </rPh>
    <rPh sb="8" eb="10">
      <t>ヒョウジュン</t>
    </rPh>
    <phoneticPr fontId="2"/>
  </si>
  <si>
    <t>市町村民税率</t>
    <rPh sb="0" eb="6">
      <t>シチョウソンミンゼイリツ</t>
    </rPh>
    <phoneticPr fontId="2"/>
  </si>
  <si>
    <t>均等割り</t>
    <rPh sb="0" eb="3">
      <t>キントウワ</t>
    </rPh>
    <phoneticPr fontId="2"/>
  </si>
  <si>
    <t>法人事業税</t>
    <rPh sb="0" eb="5">
      <t>ホウジンジギョウゼイ</t>
    </rPh>
    <phoneticPr fontId="2"/>
  </si>
  <si>
    <t>事業税率</t>
  </si>
  <si>
    <t>事業税率</t>
    <rPh sb="0" eb="4">
      <t>ジギョウゼイリツ</t>
    </rPh>
    <phoneticPr fontId="2"/>
  </si>
  <si>
    <t>400万から800万</t>
    <rPh sb="3" eb="4">
      <t>マン</t>
    </rPh>
    <rPh sb="9" eb="10">
      <t>マン</t>
    </rPh>
    <phoneticPr fontId="2"/>
  </si>
  <si>
    <t>800万超</t>
  </si>
  <si>
    <t>800万超</t>
    <rPh sb="4" eb="5">
      <t>チョウ</t>
    </rPh>
    <phoneticPr fontId="2"/>
  </si>
  <si>
    <t>400万以下</t>
  </si>
  <si>
    <t>400万以下</t>
    <rPh sb="4" eb="6">
      <t>イカ</t>
    </rPh>
    <phoneticPr fontId="2"/>
  </si>
  <si>
    <t>800万以下</t>
    <rPh sb="4" eb="6">
      <t>イカ</t>
    </rPh>
    <phoneticPr fontId="2"/>
  </si>
  <si>
    <t>地方特別税率</t>
    <rPh sb="0" eb="2">
      <t>チホウ</t>
    </rPh>
    <rPh sb="2" eb="4">
      <t>トクベツ</t>
    </rPh>
    <rPh sb="4" eb="6">
      <t>ゼイリツ</t>
    </rPh>
    <phoneticPr fontId="2"/>
  </si>
  <si>
    <t>2026年4月以降開始</t>
    <rPh sb="4" eb="5">
      <t>ネン</t>
    </rPh>
    <rPh sb="6" eb="7">
      <t>ガツ</t>
    </rPh>
    <rPh sb="7" eb="9">
      <t>イコウ</t>
    </rPh>
    <rPh sb="9" eb="11">
      <t>カイシ</t>
    </rPh>
    <phoneticPr fontId="2"/>
  </si>
  <si>
    <t>防衛特別法人税</t>
    <rPh sb="0" eb="2">
      <t>ボウエイ</t>
    </rPh>
    <rPh sb="2" eb="4">
      <t>トクベツ</t>
    </rPh>
    <rPh sb="4" eb="7">
      <t>ホウジンゼイ</t>
    </rPh>
    <phoneticPr fontId="2"/>
  </si>
  <si>
    <t>500万超</t>
    <rPh sb="3" eb="4">
      <t>マン</t>
    </rPh>
    <rPh sb="4" eb="5">
      <t>チョウ</t>
    </rPh>
    <phoneticPr fontId="2"/>
  </si>
  <si>
    <t>階層</t>
  </si>
  <si>
    <t>合計税率</t>
  </si>
  <si>
    <t>税引前利益階層別 合計税率表（防衛特別法人税あり・2026/4以降）</t>
  </si>
  <si>
    <t>400万超〜800万以下</t>
  </si>
  <si>
    <t>800万超（法人税額500万以下）</t>
  </si>
  <si>
    <t>800万超（法人税額500万超部分）</t>
  </si>
  <si>
    <t>税引前利益階層別 合計税率表（防衛特別法人税なし・現行）</t>
  </si>
  <si>
    <t>年税額</t>
    <rPh sb="0" eb="3">
      <t>ネンゼイガク</t>
    </rPh>
    <phoneticPr fontId="2"/>
  </si>
  <si>
    <t>住民税均等割</t>
    <rPh sb="0" eb="3">
      <t>ジュウミンゼイ</t>
    </rPh>
    <rPh sb="3" eb="6">
      <t>キントウワ</t>
    </rPh>
    <phoneticPr fontId="2"/>
  </si>
  <si>
    <t>法人所得</t>
    <rPh sb="0" eb="4">
      <t>ホウジンショトク</t>
    </rPh>
    <phoneticPr fontId="2"/>
  </si>
  <si>
    <t>繰越欠損金</t>
    <rPh sb="0" eb="5">
      <t>クリコシケッソンキン</t>
    </rPh>
    <phoneticPr fontId="2"/>
  </si>
  <si>
    <t>法人税額</t>
    <rPh sb="0" eb="4">
      <t>ホウジンゼイガク</t>
    </rPh>
    <phoneticPr fontId="2"/>
  </si>
  <si>
    <t>源泉所得税(納期特例）</t>
    <rPh sb="0" eb="5">
      <t>ゲンセンショトクゼイ</t>
    </rPh>
    <rPh sb="6" eb="8">
      <t>ノウキ</t>
    </rPh>
    <rPh sb="8" eb="10">
      <t>トクレイ</t>
    </rPh>
    <phoneticPr fontId="2"/>
  </si>
  <si>
    <t>納税予定表　資金繰り表に転記</t>
    <rPh sb="0" eb="2">
      <t>ノウゼイ</t>
    </rPh>
    <rPh sb="2" eb="5">
      <t>ヨテイヒョウ</t>
    </rPh>
    <rPh sb="6" eb="9">
      <t>シキング</t>
    </rPh>
    <rPh sb="10" eb="11">
      <t>ヒョウ</t>
    </rPh>
    <rPh sb="12" eb="14">
      <t>テンキ</t>
    </rPh>
    <phoneticPr fontId="2"/>
  </si>
  <si>
    <t>直接入力</t>
    <rPh sb="0" eb="2">
      <t>チョクセツ</t>
    </rPh>
    <rPh sb="2" eb="4">
      <t>ニュウリョク</t>
    </rPh>
    <phoneticPr fontId="2"/>
  </si>
  <si>
    <t>事業税額</t>
    <rPh sb="0" eb="4">
      <t>ジギョウゼイガク</t>
    </rPh>
    <phoneticPr fontId="2"/>
  </si>
  <si>
    <t>前期事業税減算</t>
    <rPh sb="0" eb="2">
      <t>ゼンキ</t>
    </rPh>
    <rPh sb="2" eb="5">
      <t>ジギョウゼイ</t>
    </rPh>
    <rPh sb="5" eb="7">
      <t>ゲンサン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</si>
</sst>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%"/>
    <numFmt numFmtId="181" formatCode="#,##0;[Red]\-#,##0;&quot;-&quot;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9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b/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0" borderId="0" xfId="0" applyNumberFormat="1">
      <alignment vertical="center"/>
    </xf>
    <xf numFmtId="0" fontId="0" fillId="0" borderId="1" xfId="0" applyBorder="1">
      <alignment vertical="center"/>
    </xf>
    <xf numFmtId="38" fontId="0" fillId="0" borderId="1" xfId="1" applyFont="1" applyBorder="1">
      <alignment vertical="center"/>
    </xf>
    <xf numFmtId="0" fontId="0" fillId="0" borderId="2" xfId="0" applyBorder="1">
      <alignment vertical="center"/>
    </xf>
    <xf numFmtId="38" fontId="0" fillId="0" borderId="2" xfId="1" applyFont="1" applyBorder="1">
      <alignment vertical="center"/>
    </xf>
    <xf numFmtId="0" fontId="0" fillId="0" borderId="3" xfId="0" applyBorder="1">
      <alignment vertical="center"/>
    </xf>
    <xf numFmtId="38" fontId="0" fillId="0" borderId="3" xfId="1" applyFont="1" applyBorder="1">
      <alignment vertical="center"/>
    </xf>
    <xf numFmtId="38" fontId="0" fillId="0" borderId="5" xfId="1" applyFont="1" applyBorder="1">
      <alignment vertical="center"/>
    </xf>
    <xf numFmtId="0" fontId="0" fillId="0" borderId="8" xfId="0" applyBorder="1" applyAlignment="1">
      <alignment horizontal="center" vertical="center"/>
    </xf>
    <xf numFmtId="9" fontId="0" fillId="0" borderId="0" xfId="2" applyFont="1">
      <alignment vertical="center"/>
    </xf>
    <xf numFmtId="179" fontId="0" fillId="0" borderId="0" xfId="2" applyNumberFormat="1" applyFont="1">
      <alignment vertical="center"/>
    </xf>
    <xf numFmtId="14" fontId="0" fillId="0" borderId="0" xfId="0" applyNumberFormat="1">
      <alignment vertical="center"/>
    </xf>
    <xf numFmtId="14" fontId="0" fillId="0" borderId="0" xfId="1" applyNumberFormat="1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0" fontId="0" fillId="0" borderId="0" xfId="2" applyNumberFormat="1" applyFont="1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Border="1">
      <alignment vertical="center"/>
    </xf>
    <xf numFmtId="0" fontId="4" fillId="4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4" fillId="5" borderId="9" xfId="0" applyFont="1" applyFill="1" applyBorder="1" applyAlignment="1">
      <alignment horizontal="center" vertical="center"/>
    </xf>
    <xf numFmtId="10" fontId="0" fillId="0" borderId="9" xfId="0" applyNumberFormat="1" applyBorder="1" applyAlignment="1">
      <alignment horizontal="right" vertical="center"/>
    </xf>
    <xf numFmtId="10" fontId="4" fillId="6" borderId="9" xfId="0" applyNumberFormat="1" applyFont="1" applyFill="1" applyBorder="1" applyAlignment="1">
      <alignment horizontal="right" vertical="center"/>
    </xf>
    <xf numFmtId="38" fontId="0" fillId="0" borderId="0" xfId="1" applyFont="1" applyFill="1" applyBorder="1" applyAlignment="1">
      <alignment horizontal="right" vertical="center"/>
    </xf>
    <xf numFmtId="0" fontId="0" fillId="0" borderId="4" xfId="0" applyBorder="1">
      <alignment vertical="center"/>
    </xf>
    <xf numFmtId="14" fontId="0" fillId="0" borderId="13" xfId="0" applyNumberFormat="1" applyBorder="1">
      <alignment vertical="center"/>
    </xf>
    <xf numFmtId="181" fontId="0" fillId="0" borderId="0" xfId="1" applyNumberFormat="1" applyFont="1" applyBorder="1">
      <alignment vertical="center"/>
    </xf>
    <xf numFmtId="38" fontId="0" fillId="0" borderId="0" xfId="1" applyFont="1" applyBorder="1">
      <alignment vertical="center"/>
    </xf>
    <xf numFmtId="0" fontId="0" fillId="0" borderId="14" xfId="0" applyBorder="1">
      <alignment vertical="center"/>
    </xf>
    <xf numFmtId="38" fontId="0" fillId="2" borderId="0" xfId="1" applyFont="1" applyFill="1" applyBorder="1">
      <alignment vertical="center"/>
    </xf>
    <xf numFmtId="38" fontId="0" fillId="3" borderId="0" xfId="1" applyFont="1" applyFill="1" applyBorder="1">
      <alignment vertical="center"/>
    </xf>
    <xf numFmtId="14" fontId="0" fillId="0" borderId="15" xfId="0" applyNumberFormat="1" applyBorder="1">
      <alignment vertical="center"/>
    </xf>
    <xf numFmtId="181" fontId="0" fillId="0" borderId="0" xfId="0" applyNumberFormat="1" applyBorder="1">
      <alignment vertical="center"/>
    </xf>
    <xf numFmtId="14" fontId="0" fillId="0" borderId="16" xfId="0" applyNumberFormat="1" applyBorder="1">
      <alignment vertical="center"/>
    </xf>
    <xf numFmtId="0" fontId="0" fillId="0" borderId="17" xfId="0" applyBorder="1">
      <alignment vertical="center"/>
    </xf>
    <xf numFmtId="38" fontId="0" fillId="0" borderId="17" xfId="1" applyFont="1" applyBorder="1">
      <alignment vertical="center"/>
    </xf>
    <xf numFmtId="0" fontId="0" fillId="0" borderId="6" xfId="0" applyBorder="1" applyAlignment="1">
      <alignment horizontal="center" vertical="center"/>
    </xf>
    <xf numFmtId="38" fontId="0" fillId="0" borderId="7" xfId="1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38" fontId="0" fillId="0" borderId="11" xfId="1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14" fontId="0" fillId="0" borderId="14" xfId="1" applyNumberFormat="1" applyFont="1" applyBorder="1" applyAlignment="1">
      <alignment horizontal="center" vertical="center"/>
    </xf>
    <xf numFmtId="38" fontId="0" fillId="0" borderId="18" xfId="1" applyFont="1" applyBorder="1">
      <alignment vertical="center"/>
    </xf>
    <xf numFmtId="38" fontId="0" fillId="0" borderId="14" xfId="1" applyFont="1" applyBorder="1">
      <alignment vertical="center"/>
    </xf>
    <xf numFmtId="38" fontId="0" fillId="0" borderId="19" xfId="1" applyFont="1" applyBorder="1">
      <alignment vertical="center"/>
    </xf>
    <xf numFmtId="38" fontId="0" fillId="0" borderId="20" xfId="1" applyFont="1" applyBorder="1">
      <alignment vertical="center"/>
    </xf>
    <xf numFmtId="38" fontId="0" fillId="0" borderId="21" xfId="1" applyFont="1" applyBorder="1">
      <alignment vertical="center"/>
    </xf>
    <xf numFmtId="0" fontId="0" fillId="0" borderId="16" xfId="0" applyBorder="1">
      <alignment vertical="center"/>
    </xf>
    <xf numFmtId="0" fontId="0" fillId="0" borderId="22" xfId="0" applyBorder="1">
      <alignment vertical="center"/>
    </xf>
    <xf numFmtId="38" fontId="0" fillId="0" borderId="0" xfId="1" applyFont="1" applyBorder="1" applyAlignment="1">
      <alignment horizontal="right" vertical="center"/>
    </xf>
    <xf numFmtId="38" fontId="0" fillId="0" borderId="14" xfId="1" applyFont="1" applyBorder="1" applyAlignment="1">
      <alignment horizontal="right" vertical="center"/>
    </xf>
    <xf numFmtId="38" fontId="0" fillId="0" borderId="0" xfId="0" applyNumberFormat="1" applyBorder="1">
      <alignment vertical="center"/>
    </xf>
    <xf numFmtId="38" fontId="0" fillId="0" borderId="14" xfId="0" applyNumberFormat="1" applyBorder="1">
      <alignment vertical="center"/>
    </xf>
    <xf numFmtId="3" fontId="0" fillId="0" borderId="0" xfId="0" applyNumberFormat="1" applyBorder="1">
      <alignment vertical="center"/>
    </xf>
    <xf numFmtId="3" fontId="0" fillId="0" borderId="0" xfId="1" applyNumberFormat="1" applyFont="1" applyBorder="1">
      <alignment vertical="center"/>
    </xf>
    <xf numFmtId="3" fontId="0" fillId="0" borderId="14" xfId="0" applyNumberFormat="1" applyBorder="1">
      <alignment vertical="center"/>
    </xf>
    <xf numFmtId="14" fontId="3" fillId="0" borderId="0" xfId="1" applyNumberFormat="1" applyFont="1" applyBorder="1" applyAlignment="1">
      <alignment horizontal="center" vertical="center"/>
    </xf>
    <xf numFmtId="38" fontId="0" fillId="0" borderId="4" xfId="0" applyNumberFormat="1" applyBorder="1">
      <alignment vertical="center"/>
    </xf>
    <xf numFmtId="181" fontId="0" fillId="0" borderId="14" xfId="0" applyNumberFormat="1" applyBorder="1">
      <alignment vertical="center"/>
    </xf>
  </cellXfs>
  <cellStyles count="5">
    <cellStyle name="パーセント" xfId="2" builtinId="5"/>
    <cellStyle name="パーセント 3" xfId="4" xr:uid="{86F68F3F-6BFA-4E69-B298-F92883ADC869}"/>
    <cellStyle name="桁区切り" xfId="1" builtinId="6"/>
    <cellStyle name="標準" xfId="0" builtinId="0"/>
    <cellStyle name="標準 3" xfId="3" xr:uid="{29C12F97-164D-45E1-B4D6-7018E488235A}"/>
  </cellStyles>
  <dxfs count="1">
    <dxf>
      <fill>
        <patternFill>
          <bgColor rgb="FFFFFF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A603D8-6A0B-4F2B-A626-CA5B7F8132A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cd5bce0-ee21-4954-982a-068557324d5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F421-A2DE-41E7-AC3D-FD2493B95297}">
  <dimension ref="A1:T186"/>
  <sheetViews>
    <sheetView tabSelected="1" topLeftCell="D1" workbookViewId="0">
      <selection activeCell="L52" sqref="L52"/>
    </sheetView>
  </sheetViews>
  <sheetFormatPr defaultRowHeight="18" x14ac:dyDescent="0.45"/>
  <cols>
    <col min="1" max="1" width="5.3984375" customWidth="1"/>
    <col min="2" max="2" width="21.296875" customWidth="1"/>
    <col min="3" max="3" width="14.8984375" style="1" customWidth="1"/>
    <col min="4" max="5" width="13.19921875" bestFit="1" customWidth="1"/>
    <col min="6" max="6" width="11.5" customWidth="1"/>
    <col min="7" max="7" width="16.69921875" customWidth="1"/>
    <col min="8" max="8" width="15.19921875" customWidth="1"/>
    <col min="9" max="9" width="15.796875" style="1" customWidth="1"/>
    <col min="10" max="10" width="19.19921875" customWidth="1"/>
    <col min="11" max="11" width="6.59765625" customWidth="1"/>
    <col min="12" max="12" width="33.296875" customWidth="1"/>
    <col min="13" max="13" width="14" style="11" customWidth="1"/>
    <col min="14" max="14" width="10.296875" style="16" bestFit="1" customWidth="1"/>
    <col min="15" max="15" width="8.796875" style="11"/>
    <col min="17" max="17" width="30" customWidth="1"/>
  </cols>
  <sheetData>
    <row r="1" spans="1:15" ht="18.600000000000001" thickBot="1" x14ac:dyDescent="0.5">
      <c r="G1" s="40"/>
      <c r="H1" s="41" t="s">
        <v>15</v>
      </c>
      <c r="I1" s="42"/>
      <c r="J1" s="43"/>
      <c r="L1" t="s">
        <v>14</v>
      </c>
      <c r="O1" s="11" t="s">
        <v>44</v>
      </c>
    </row>
    <row r="2" spans="1:15" x14ac:dyDescent="0.45">
      <c r="A2" s="40"/>
      <c r="B2" s="41" t="s">
        <v>18</v>
      </c>
      <c r="C2" s="42"/>
      <c r="D2" s="42"/>
      <c r="E2" s="43"/>
      <c r="G2" s="44"/>
      <c r="H2" s="14">
        <v>46203</v>
      </c>
      <c r="I2" s="14">
        <v>46568</v>
      </c>
      <c r="J2" s="45">
        <v>46934</v>
      </c>
      <c r="L2" s="17" t="s">
        <v>28</v>
      </c>
    </row>
    <row r="3" spans="1:15" ht="18.600000000000001" thickBot="1" x14ac:dyDescent="0.5">
      <c r="A3" s="44"/>
      <c r="B3" s="19" t="s">
        <v>12</v>
      </c>
      <c r="C3" s="60">
        <v>46203</v>
      </c>
      <c r="D3" s="14">
        <v>46568</v>
      </c>
      <c r="E3" s="45">
        <v>46934</v>
      </c>
      <c r="F3" s="15"/>
      <c r="G3" s="44" t="s">
        <v>57</v>
      </c>
      <c r="H3" s="25"/>
      <c r="I3" s="53"/>
      <c r="J3" s="54"/>
      <c r="L3" t="s">
        <v>28</v>
      </c>
      <c r="M3" s="11" t="s">
        <v>42</v>
      </c>
      <c r="N3" s="16">
        <v>0.15</v>
      </c>
      <c r="O3" s="16">
        <v>0.15</v>
      </c>
    </row>
    <row r="4" spans="1:15" ht="18.600000000000001" thickBot="1" x14ac:dyDescent="0.5">
      <c r="A4" s="44"/>
      <c r="B4" s="3" t="s">
        <v>0</v>
      </c>
      <c r="C4" s="9">
        <v>3000000</v>
      </c>
      <c r="D4" s="9">
        <v>11000000</v>
      </c>
      <c r="E4" s="46">
        <v>12000000</v>
      </c>
      <c r="G4" s="44" t="s">
        <v>63</v>
      </c>
      <c r="H4" s="61">
        <v>200000</v>
      </c>
      <c r="I4" s="55">
        <f>H9</f>
        <v>269500</v>
      </c>
      <c r="J4" s="56">
        <f>I9</f>
        <v>1227900</v>
      </c>
      <c r="L4" t="s">
        <v>28</v>
      </c>
      <c r="M4" s="11" t="s">
        <v>39</v>
      </c>
      <c r="N4" s="16">
        <v>0.23200000000000001</v>
      </c>
      <c r="O4" s="16">
        <v>0.23200000000000001</v>
      </c>
    </row>
    <row r="5" spans="1:15" x14ac:dyDescent="0.45">
      <c r="A5" s="44" t="s">
        <v>16</v>
      </c>
      <c r="B5" s="19" t="s">
        <v>1</v>
      </c>
      <c r="C5" s="29">
        <v>1000000</v>
      </c>
      <c r="D5" s="29">
        <v>10000000</v>
      </c>
      <c r="E5" s="47">
        <v>10000000</v>
      </c>
      <c r="G5" s="44" t="s">
        <v>56</v>
      </c>
      <c r="H5" s="55">
        <f>C4-H3-H4</f>
        <v>2800000</v>
      </c>
      <c r="I5" s="55">
        <f t="shared" ref="I5:J5" si="0">D4-I3-I4</f>
        <v>10730500</v>
      </c>
      <c r="J5" s="56">
        <f t="shared" si="0"/>
        <v>10772100</v>
      </c>
      <c r="L5" t="s">
        <v>29</v>
      </c>
      <c r="N5" s="16">
        <v>0.104</v>
      </c>
      <c r="O5" s="16">
        <v>0.104</v>
      </c>
    </row>
    <row r="6" spans="1:15" x14ac:dyDescent="0.45">
      <c r="A6" s="44"/>
      <c r="B6" s="19" t="s">
        <v>2</v>
      </c>
      <c r="C6" s="29">
        <v>16000000</v>
      </c>
      <c r="D6" s="29">
        <v>12000000</v>
      </c>
      <c r="E6" s="47">
        <v>12000000</v>
      </c>
      <c r="G6" s="44" t="s">
        <v>54</v>
      </c>
      <c r="H6" s="57">
        <f>FLOOR(MIN(H5,4000000)*$T$21+MIN(MAX(H5-4000000,0),4000000)*$T$22+MAX(H5-8000000,0)*$T$23,100)</f>
        <v>762500</v>
      </c>
      <c r="I6" s="58">
        <f>FLOOR(MIN(I5,4000000)*$O$21+MIN(MAX(I5-4000000,0),4000000)*$O$22+MIN(MAX(I5-8000000,0),5000000/$N$4-4000000)*$O$23+MAX(I5-8000000-(5000000/$N$4-4000000),0)*$O$24,100)</f>
        <v>3380400</v>
      </c>
      <c r="J6" s="59">
        <f>FLOOR(MIN(J5,4000000)*$O$21+MIN(MAX(J5-4000000,0),4000000)*$O$22+MIN(MAX(J5-8000000,0),5000000/$N$4-4000000)*$O$23+MAX(J5-8000000-(5000000/$N$4-4000000),0)*$O$24,100)</f>
        <v>3397400</v>
      </c>
      <c r="L6" t="s">
        <v>45</v>
      </c>
      <c r="M6" s="11" t="s">
        <v>46</v>
      </c>
      <c r="O6" s="11">
        <v>0.04</v>
      </c>
    </row>
    <row r="7" spans="1:15" x14ac:dyDescent="0.45">
      <c r="A7" s="44"/>
      <c r="B7" s="19" t="s">
        <v>3</v>
      </c>
      <c r="C7" s="29">
        <v>2000000</v>
      </c>
      <c r="D7" s="29">
        <v>1500000</v>
      </c>
      <c r="E7" s="47">
        <v>1500000</v>
      </c>
      <c r="G7" s="44" t="s">
        <v>55</v>
      </c>
      <c r="H7" s="29">
        <v>70000</v>
      </c>
      <c r="I7" s="29">
        <v>70000</v>
      </c>
      <c r="J7" s="47">
        <v>70000</v>
      </c>
    </row>
    <row r="8" spans="1:15" x14ac:dyDescent="0.45">
      <c r="A8" s="44"/>
      <c r="B8" s="19" t="s">
        <v>4</v>
      </c>
      <c r="C8" s="29">
        <v>3000000</v>
      </c>
      <c r="D8" s="29">
        <v>3000000</v>
      </c>
      <c r="E8" s="47">
        <v>3000000</v>
      </c>
      <c r="G8" s="44" t="s">
        <v>58</v>
      </c>
      <c r="H8" s="29">
        <f>FLOOR(MIN(H5,8000000)*$N$3+MAX(H5-8000000,0)*$N$4,100)</f>
        <v>420000</v>
      </c>
      <c r="I8" s="29">
        <f>FLOOR(MIN(I5,8000000)*$N$3+MAX(I5-8000000,0)*$N$4,100)</f>
        <v>1833400</v>
      </c>
      <c r="J8" s="47">
        <f>FLOOR(MIN(J5,8000000)*$N$3+MAX(J5-8000000,0)*$N$4,100)</f>
        <v>1843100</v>
      </c>
      <c r="L8" s="17" t="s">
        <v>30</v>
      </c>
    </row>
    <row r="9" spans="1:15" x14ac:dyDescent="0.45">
      <c r="A9" s="44"/>
      <c r="B9" s="19" t="s">
        <v>5</v>
      </c>
      <c r="C9" s="29"/>
      <c r="D9" s="29">
        <v>1000000</v>
      </c>
      <c r="E9" s="47">
        <v>1000000</v>
      </c>
      <c r="G9" s="44" t="s">
        <v>62</v>
      </c>
      <c r="H9" s="34">
        <f>FLOOR((MIN(H5,4000000)*$N$14+MIN(MAX(H5-4000000,0),4000000)*$N$15+MAX(H5-8000000,0)*$N$16)*(1+$N$17),100)</f>
        <v>269500</v>
      </c>
      <c r="I9" s="34">
        <f t="shared" ref="I9:J9" si="1">FLOOR((MIN(I5,4000000)*$N$14+MIN(MAX(I5-4000000,0),4000000)*$N$15+MAX(I5-8000000,0)*$N$16)*(1+$N$17),100)</f>
        <v>1227900</v>
      </c>
      <c r="J9" s="62">
        <f t="shared" si="1"/>
        <v>1233600</v>
      </c>
      <c r="L9" t="s">
        <v>31</v>
      </c>
      <c r="N9" s="16">
        <v>0.01</v>
      </c>
      <c r="O9" s="16">
        <v>0.01</v>
      </c>
    </row>
    <row r="10" spans="1:15" ht="18.600000000000001" thickBot="1" x14ac:dyDescent="0.5">
      <c r="A10" s="44"/>
      <c r="B10" s="19" t="s">
        <v>6</v>
      </c>
      <c r="C10" s="29"/>
      <c r="D10" s="29">
        <v>5000000</v>
      </c>
      <c r="E10" s="47">
        <v>5000000</v>
      </c>
      <c r="G10" s="51" t="s">
        <v>13</v>
      </c>
      <c r="H10" s="37">
        <v>300000</v>
      </c>
      <c r="I10" s="37"/>
      <c r="J10" s="52"/>
      <c r="L10" t="s">
        <v>32</v>
      </c>
      <c r="N10" s="16">
        <v>0.06</v>
      </c>
      <c r="O10" s="16">
        <v>0.06</v>
      </c>
    </row>
    <row r="11" spans="1:15" x14ac:dyDescent="0.45">
      <c r="A11" s="44"/>
      <c r="B11" s="19" t="s">
        <v>7</v>
      </c>
      <c r="C11" s="29"/>
      <c r="D11" s="29">
        <v>300000</v>
      </c>
      <c r="E11" s="47">
        <v>300000</v>
      </c>
      <c r="L11" t="s">
        <v>33</v>
      </c>
      <c r="N11" s="1">
        <v>70000</v>
      </c>
      <c r="O11" s="1">
        <v>70000</v>
      </c>
    </row>
    <row r="12" spans="1:15" x14ac:dyDescent="0.45">
      <c r="A12" s="44" t="s">
        <v>17</v>
      </c>
      <c r="B12" s="7" t="s">
        <v>8</v>
      </c>
      <c r="C12" s="8"/>
      <c r="D12" s="8">
        <v>120000</v>
      </c>
      <c r="E12" s="48">
        <v>120000</v>
      </c>
      <c r="O12" s="16"/>
    </row>
    <row r="13" spans="1:15" x14ac:dyDescent="0.45">
      <c r="A13" s="44"/>
      <c r="B13" s="19" t="s">
        <v>9</v>
      </c>
      <c r="C13" s="29"/>
      <c r="D13" s="29">
        <v>300000</v>
      </c>
      <c r="E13" s="47">
        <v>300000</v>
      </c>
      <c r="L13" s="17" t="s">
        <v>34</v>
      </c>
      <c r="O13" s="16"/>
    </row>
    <row r="14" spans="1:15" x14ac:dyDescent="0.45">
      <c r="A14" s="44"/>
      <c r="B14" s="19" t="s">
        <v>10</v>
      </c>
      <c r="C14" s="29"/>
      <c r="D14" s="29">
        <v>500000</v>
      </c>
      <c r="E14" s="47">
        <v>500000</v>
      </c>
      <c r="L14" t="s">
        <v>36</v>
      </c>
      <c r="M14" s="11" t="s">
        <v>41</v>
      </c>
      <c r="N14" s="16">
        <v>7.0000000000000007E-2</v>
      </c>
      <c r="O14" s="16">
        <v>7.0000000000000007E-2</v>
      </c>
    </row>
    <row r="15" spans="1:15" x14ac:dyDescent="0.45">
      <c r="A15" s="44"/>
      <c r="B15" s="3" t="s">
        <v>11</v>
      </c>
      <c r="C15" s="4">
        <f>FLOOR(C4+SUM(C5:C11)-SUM(C12:C14),1000)</f>
        <v>25000000</v>
      </c>
      <c r="D15" s="4">
        <f t="shared" ref="D15:E15" si="2">D4+SUM(D5:D11)-SUM(D12:D14)</f>
        <v>42880000</v>
      </c>
      <c r="E15" s="49">
        <f t="shared" si="2"/>
        <v>43880000</v>
      </c>
      <c r="L15" t="s">
        <v>36</v>
      </c>
      <c r="M15" s="11" t="s">
        <v>37</v>
      </c>
      <c r="N15" s="16">
        <v>8.5000000000000006E-2</v>
      </c>
      <c r="O15" s="16">
        <v>8.5000000000000006E-2</v>
      </c>
    </row>
    <row r="16" spans="1:15" ht="18.600000000000001" thickBot="1" x14ac:dyDescent="0.5">
      <c r="A16" s="44"/>
      <c r="B16" s="5" t="s">
        <v>26</v>
      </c>
      <c r="C16" s="6">
        <f>C15*0.1</f>
        <v>2500000</v>
      </c>
      <c r="D16" s="6">
        <f t="shared" ref="D16:E16" si="3">D15*0.1</f>
        <v>4288000</v>
      </c>
      <c r="E16" s="50">
        <f t="shared" si="3"/>
        <v>4388000</v>
      </c>
      <c r="L16" t="s">
        <v>36</v>
      </c>
      <c r="M16" s="11" t="s">
        <v>39</v>
      </c>
      <c r="N16" s="16">
        <v>0.1</v>
      </c>
      <c r="O16" s="16">
        <v>0.1</v>
      </c>
    </row>
    <row r="17" spans="1:20" ht="19.2" thickTop="1" thickBot="1" x14ac:dyDescent="0.5">
      <c r="A17" s="51"/>
      <c r="B17" s="36" t="s">
        <v>13</v>
      </c>
      <c r="C17" s="37">
        <v>1300000</v>
      </c>
      <c r="D17" s="36"/>
      <c r="E17" s="52"/>
      <c r="L17" t="s">
        <v>43</v>
      </c>
      <c r="N17" s="16">
        <v>0.375</v>
      </c>
      <c r="O17" s="16">
        <v>0.375</v>
      </c>
    </row>
    <row r="18" spans="1:20" ht="18.600000000000001" thickBot="1" x14ac:dyDescent="0.5">
      <c r="G18" s="17" t="s">
        <v>60</v>
      </c>
      <c r="H18" s="1"/>
    </row>
    <row r="19" spans="1:20" ht="18.600000000000001" thickBot="1" x14ac:dyDescent="0.5">
      <c r="G19" s="38" t="s">
        <v>23</v>
      </c>
      <c r="H19" s="39" t="s">
        <v>24</v>
      </c>
      <c r="I19" s="39" t="s">
        <v>25</v>
      </c>
      <c r="J19" s="10" t="s">
        <v>59</v>
      </c>
      <c r="L19" s="18" t="s">
        <v>49</v>
      </c>
      <c r="M19"/>
      <c r="N19"/>
      <c r="O19"/>
      <c r="Q19" s="18" t="s">
        <v>53</v>
      </c>
    </row>
    <row r="20" spans="1:20" x14ac:dyDescent="0.45">
      <c r="G20" s="27">
        <f>EOMONTH(C3,2)</f>
        <v>46265</v>
      </c>
      <c r="H20" s="28">
        <f>H6-H10</f>
        <v>462500</v>
      </c>
      <c r="I20" s="29">
        <f>FLOOR(D16-C17,100)</f>
        <v>2988000</v>
      </c>
      <c r="J20" s="30"/>
      <c r="L20" s="20" t="s">
        <v>47</v>
      </c>
      <c r="M20" s="20" t="s">
        <v>27</v>
      </c>
      <c r="N20" s="20" t="s">
        <v>35</v>
      </c>
      <c r="O20" s="22" t="s">
        <v>48</v>
      </c>
      <c r="Q20" s="20" t="s">
        <v>47</v>
      </c>
      <c r="R20" s="20" t="s">
        <v>27</v>
      </c>
      <c r="S20" s="20" t="s">
        <v>35</v>
      </c>
      <c r="T20" s="22" t="s">
        <v>48</v>
      </c>
    </row>
    <row r="21" spans="1:20" x14ac:dyDescent="0.45">
      <c r="G21" s="27">
        <f>EOMONTH(G20,1)</f>
        <v>46295</v>
      </c>
      <c r="H21" s="29"/>
      <c r="I21" s="29" cm="1">
        <f t="array" ref="I21">FLOOR(_xlfn.LET(_xlpm.ctax,$C$16*0.78,_xlfn.IFS(_xlpm.ctax&gt;40000000,$D$16/12,TRUE,0)),100)</f>
        <v>0</v>
      </c>
      <c r="J21" s="30"/>
      <c r="L21" s="21" t="s">
        <v>40</v>
      </c>
      <c r="M21" s="23">
        <f>$N$3</f>
        <v>0.15</v>
      </c>
      <c r="N21" s="23">
        <f>$N$14</f>
        <v>7.0000000000000007E-2</v>
      </c>
      <c r="O21" s="24">
        <f>M21*(1+$N$5+$N$9+$N$10)+N21*(1+$N$17)</f>
        <v>0.27234999999999998</v>
      </c>
      <c r="Q21" s="21" t="s">
        <v>40</v>
      </c>
      <c r="R21" s="23">
        <f>$N$3</f>
        <v>0.15</v>
      </c>
      <c r="S21" s="23">
        <f>$N$14</f>
        <v>7.0000000000000007E-2</v>
      </c>
      <c r="T21" s="24">
        <f>R21*(1+$N$5+$N$9+$N$10)+S21*(1+$N$17)</f>
        <v>0.27234999999999998</v>
      </c>
    </row>
    <row r="22" spans="1:20" x14ac:dyDescent="0.45">
      <c r="G22" s="27">
        <f t="shared" ref="G22:G85" si="4">EOMONTH(G21,1)</f>
        <v>46326</v>
      </c>
      <c r="H22" s="29"/>
      <c r="I22" s="29" cm="1">
        <f t="array" ref="I22">FLOOR(_xlfn.LET(_xlpm.ctax,$C$16*0.78,_xlfn.IFS(_xlpm.ctax&gt;40000000,$D$16/12,TRUE,0)),100)</f>
        <v>0</v>
      </c>
      <c r="J22" s="30"/>
      <c r="L22" s="21" t="s">
        <v>50</v>
      </c>
      <c r="M22" s="23">
        <f>$N$3</f>
        <v>0.15</v>
      </c>
      <c r="N22" s="23">
        <f>$N$15</f>
        <v>8.5000000000000006E-2</v>
      </c>
      <c r="O22" s="24">
        <f>M22*(1+$N$5+$N$9+$N$10)+N22*(1+$N$17)</f>
        <v>0.29297499999999999</v>
      </c>
      <c r="Q22" s="21" t="s">
        <v>50</v>
      </c>
      <c r="R22" s="23">
        <f>$N$3</f>
        <v>0.15</v>
      </c>
      <c r="S22" s="23">
        <f>$N$15</f>
        <v>8.5000000000000006E-2</v>
      </c>
      <c r="T22" s="24">
        <f>R22*(1+$N$5+$N$9+$N$10)+S22*(1+$N$17)</f>
        <v>0.29297499999999999</v>
      </c>
    </row>
    <row r="23" spans="1:20" x14ac:dyDescent="0.45">
      <c r="G23" s="27">
        <f t="shared" si="4"/>
        <v>46356</v>
      </c>
      <c r="H23" s="29"/>
      <c r="I23" s="31" cm="1">
        <f t="array" ref="I23">FLOOR(_xlfn.LET(_xlpm.ctax,$C$16*0.78,_xlfn.IFS(_xlpm.ctax&gt;40000000,$D$16/12,_xlpm.ctax&gt;4000000,$D$16/4,TRUE,0)),100)</f>
        <v>0</v>
      </c>
      <c r="J23" s="30"/>
      <c r="L23" s="21" t="s">
        <v>51</v>
      </c>
      <c r="M23" s="23">
        <f>$N$4</f>
        <v>0.23200000000000001</v>
      </c>
      <c r="N23" s="23">
        <f>$N$16</f>
        <v>0.1</v>
      </c>
      <c r="O23" s="24">
        <f>M23*(1+$N$5+$N$9+$N$10)+N23*(1+$N$17)</f>
        <v>0.40986800000000007</v>
      </c>
      <c r="Q23" s="21" t="s">
        <v>38</v>
      </c>
      <c r="R23" s="23">
        <f>$N$4</f>
        <v>0.23200000000000001</v>
      </c>
      <c r="S23" s="23">
        <f>$N$16</f>
        <v>0.1</v>
      </c>
      <c r="T23" s="24">
        <f>R23*(1+$N$5+$N$9+$N$10)+S23*(1+$N$17)</f>
        <v>0.40986800000000007</v>
      </c>
    </row>
    <row r="24" spans="1:20" ht="18.600000000000001" thickBot="1" x14ac:dyDescent="0.5">
      <c r="G24" s="27">
        <f t="shared" si="4"/>
        <v>46387</v>
      </c>
      <c r="H24" s="29"/>
      <c r="I24" s="29" cm="1">
        <f t="array" ref="I24">FLOOR(_xlfn.LET(_xlpm.ctax,$C$16*0.78,_xlfn.IFS(_xlpm.ctax&gt;40000000,$D$16/12,TRUE,0)),100)</f>
        <v>0</v>
      </c>
      <c r="J24" s="30"/>
      <c r="L24" s="21" t="s">
        <v>52</v>
      </c>
      <c r="M24" s="23">
        <f>$N$4*(1+$O$6)</f>
        <v>0.24128000000000002</v>
      </c>
      <c r="N24" s="23">
        <f>$N$16</f>
        <v>0.1</v>
      </c>
      <c r="O24" s="24">
        <f>M24*(1+$N$5+$N$9+$N$10)+N24*(1+$N$17)</f>
        <v>0.42076272000000009</v>
      </c>
    </row>
    <row r="25" spans="1:20" ht="18.600000000000001" thickBot="1" x14ac:dyDescent="0.5">
      <c r="G25" s="27">
        <f t="shared" si="4"/>
        <v>46418</v>
      </c>
      <c r="H25" s="29"/>
      <c r="I25" s="29" cm="1">
        <f t="array" ref="I25">FLOOR(_xlfn.LET(_xlpm.ctax,$C$16*0.78,_xlfn.IFS(_xlpm.ctax&gt;40000000,$D$16/12,TRUE,0)),100)</f>
        <v>0</v>
      </c>
      <c r="J25" s="26" t="s">
        <v>61</v>
      </c>
    </row>
    <row r="26" spans="1:20" x14ac:dyDescent="0.45">
      <c r="G26" s="27">
        <f t="shared" si="4"/>
        <v>46446</v>
      </c>
      <c r="H26" s="28">
        <f>IF($H$8&gt;200000,FLOOR($H$6/2,100),0)</f>
        <v>381200</v>
      </c>
      <c r="I26" s="32" cm="1">
        <f t="array" ref="I26">FLOOR(_xlfn.LET(_xlpm.ctax,$C$16*0.78,_xlfn.IFS(_xlpm.ctax&gt;40000000,$D$16/12,_xlpm.ctax&gt;4000000,$D$16/4,_xlpm.ctax&gt;480000,$D$16/2,TRUE,0)),100)</f>
        <v>2144000</v>
      </c>
      <c r="J26" s="30"/>
    </row>
    <row r="27" spans="1:20" x14ac:dyDescent="0.45">
      <c r="G27" s="27">
        <f t="shared" si="4"/>
        <v>46477</v>
      </c>
      <c r="H27" s="28"/>
      <c r="I27" s="29" cm="1">
        <f t="array" ref="I27">FLOOR(_xlfn.LET(_xlpm.ctax,$C$16*0.78,_xlfn.IFS(_xlpm.ctax&gt;40000000,$D$16/12,TRUE,0)),100)</f>
        <v>0</v>
      </c>
      <c r="J27" s="30"/>
    </row>
    <row r="28" spans="1:20" x14ac:dyDescent="0.45">
      <c r="G28" s="27">
        <f t="shared" si="4"/>
        <v>46507</v>
      </c>
      <c r="H28" s="29"/>
      <c r="I28" s="29" cm="1">
        <f t="array" ref="I28">FLOOR(_xlfn.LET(_xlpm.ctax,$C$16*0.78,_xlfn.IFS(_xlpm.ctax&gt;40000000,$D$16/12,TRUE,0)),100)</f>
        <v>0</v>
      </c>
      <c r="J28" s="30"/>
    </row>
    <row r="29" spans="1:20" x14ac:dyDescent="0.45">
      <c r="D29" s="2"/>
      <c r="G29" s="27">
        <f t="shared" si="4"/>
        <v>46538</v>
      </c>
      <c r="H29" s="29"/>
      <c r="I29" s="31" cm="1">
        <f t="array" ref="I29">FLOOR(_xlfn.LET(_xlpm.ctax,$C$16*0.78,_xlfn.IFS(_xlpm.ctax&gt;40000000,$D$16/12,_xlpm.ctax&gt;4000000,$D$16/4,TRUE,0)),100)</f>
        <v>0</v>
      </c>
      <c r="J29" s="30"/>
    </row>
    <row r="30" spans="1:20" ht="18.600000000000001" thickBot="1" x14ac:dyDescent="0.5">
      <c r="G30" s="27">
        <f t="shared" si="4"/>
        <v>46568</v>
      </c>
      <c r="H30" s="29"/>
      <c r="I30" s="29" cm="1">
        <f t="array" ref="I30">FLOOR(_xlfn.LET(_xlpm.ctax,$C$16*0.78,_xlfn.IFS(_xlpm.ctax&gt;40000000,$D$16/12,TRUE,0)),100)</f>
        <v>0</v>
      </c>
      <c r="J30" s="30"/>
    </row>
    <row r="31" spans="1:20" ht="18.600000000000001" thickBot="1" x14ac:dyDescent="0.5">
      <c r="G31" s="33">
        <f t="shared" si="4"/>
        <v>46599</v>
      </c>
      <c r="H31" s="29"/>
      <c r="I31" s="29" cm="1">
        <f t="array" ref="I31">FLOOR(_xlfn.LET(_xlpm.ctax,$C$16*0.78,_xlfn.IFS(_xlpm.ctax&gt;40000000,$D$16/12,TRUE,0)),100)</f>
        <v>0</v>
      </c>
      <c r="J31" s="26" t="s">
        <v>61</v>
      </c>
    </row>
    <row r="32" spans="1:20" x14ac:dyDescent="0.45">
      <c r="G32" s="27">
        <f t="shared" si="4"/>
        <v>46630</v>
      </c>
      <c r="H32" s="28">
        <f>I6-H26</f>
        <v>2999200</v>
      </c>
      <c r="I32" s="29">
        <f>D16-SUM(I21:I31)</f>
        <v>2144000</v>
      </c>
      <c r="J32" s="30"/>
    </row>
    <row r="33" spans="2:10" x14ac:dyDescent="0.45">
      <c r="G33" s="27">
        <f t="shared" si="4"/>
        <v>46660</v>
      </c>
      <c r="H33" s="19"/>
      <c r="I33" s="29" cm="1">
        <f t="array" ref="I33">FLOOR(_xlfn.LET(_xlpm.ctax,$D$16*0.78,_xlfn.IFS(_xlpm.ctax&gt;40000000,$D$16/12,TRUE,0)),100)</f>
        <v>0</v>
      </c>
      <c r="J33" s="30"/>
    </row>
    <row r="34" spans="2:10" x14ac:dyDescent="0.45">
      <c r="G34" s="27">
        <f t="shared" si="4"/>
        <v>46691</v>
      </c>
      <c r="H34" s="19"/>
      <c r="I34" s="29" cm="1">
        <f t="array" ref="I34">FLOOR(_xlfn.LET(_xlpm.ctax,$D$16*0.78,_xlfn.IFS(_xlpm.ctax&gt;40000000,$D$16/12,TRUE,0)),100)</f>
        <v>0</v>
      </c>
      <c r="J34" s="30"/>
    </row>
    <row r="35" spans="2:10" x14ac:dyDescent="0.45">
      <c r="G35" s="27">
        <f t="shared" si="4"/>
        <v>46721</v>
      </c>
      <c r="H35" s="19"/>
      <c r="I35" s="31" cm="1">
        <f t="array" ref="I35">FLOOR(_xlfn.LET(_xlpm.ctax,$D$16*0.78,_xlfn.IFS(_xlpm.ctax&gt;40000000,$D$16/12,_xlpm.ctax&gt;4000000,$D$16/4,TRUE,0)),100)</f>
        <v>0</v>
      </c>
      <c r="J35" s="30"/>
    </row>
    <row r="36" spans="2:10" ht="18.600000000000001" thickBot="1" x14ac:dyDescent="0.5">
      <c r="G36" s="27">
        <f t="shared" si="4"/>
        <v>46752</v>
      </c>
      <c r="H36" s="19"/>
      <c r="I36" s="29" cm="1">
        <f t="array" ref="I36">FLOOR(_xlfn.LET(_xlpm.ctax,$D$16*0.78,_xlfn.IFS(_xlpm.ctax&gt;40000000,$D$16/12,TRUE,0)),100)</f>
        <v>0</v>
      </c>
      <c r="J36" s="30"/>
    </row>
    <row r="37" spans="2:10" ht="18.600000000000001" thickBot="1" x14ac:dyDescent="0.5">
      <c r="G37" s="27">
        <f t="shared" si="4"/>
        <v>46783</v>
      </c>
      <c r="H37" s="19"/>
      <c r="I37" s="29" cm="1">
        <f t="array" ref="I37">FLOOR(_xlfn.LET(_xlpm.ctax,$D$16*0.78,_xlfn.IFS(_xlpm.ctax&gt;40000000,$D$16/12,TRUE,0)),100)</f>
        <v>0</v>
      </c>
      <c r="J37" s="26" t="s">
        <v>61</v>
      </c>
    </row>
    <row r="38" spans="2:10" x14ac:dyDescent="0.45">
      <c r="G38" s="27">
        <f t="shared" si="4"/>
        <v>46812</v>
      </c>
      <c r="H38" s="28">
        <f>IF($I$8&gt;200000,FLOOR($I$6/2,100),0)</f>
        <v>1690200</v>
      </c>
      <c r="I38" s="32" cm="1">
        <f t="array" ref="I38">FLOOR(_xlfn.LET(_xlpm.ctax,$D$16*0.78,_xlfn.IFS(_xlpm.ctax&gt;40000000,$D$16/12,_xlpm.ctax&gt;4000000,$D$16/4,_xlpm.ctax&gt;480000,$D$16/2,TRUE,0)),100)</f>
        <v>2144000</v>
      </c>
      <c r="J38" s="30"/>
    </row>
    <row r="39" spans="2:10" x14ac:dyDescent="0.45">
      <c r="C39" s="1" t="s">
        <v>20</v>
      </c>
      <c r="D39" t="s">
        <v>21</v>
      </c>
      <c r="E39" t="s">
        <v>22</v>
      </c>
      <c r="G39" s="27">
        <f t="shared" si="4"/>
        <v>46843</v>
      </c>
      <c r="H39" s="34"/>
      <c r="I39" s="29" cm="1">
        <f t="array" ref="I39">FLOOR(_xlfn.LET(_xlpm.ctax,$D$16*0.78,_xlfn.IFS(_xlpm.ctax&gt;40000000,$D$16/12,TRUE,0)),100)</f>
        <v>0</v>
      </c>
      <c r="J39" s="30"/>
    </row>
    <row r="40" spans="2:10" x14ac:dyDescent="0.45">
      <c r="B40" t="s">
        <v>19</v>
      </c>
      <c r="C40" s="12">
        <v>7.8E-2</v>
      </c>
      <c r="D40" s="12">
        <v>2.1999999999999999E-2</v>
      </c>
      <c r="E40" s="12">
        <f>C40+D40</f>
        <v>0.1</v>
      </c>
      <c r="G40" s="27">
        <f t="shared" si="4"/>
        <v>46873</v>
      </c>
      <c r="H40" s="19"/>
      <c r="I40" s="29" cm="1">
        <f t="array" ref="I40">FLOOR(_xlfn.LET(_xlpm.ctax,$D$16*0.78,_xlfn.IFS(_xlpm.ctax&gt;40000000,$D$16/12,TRUE,0)),100)</f>
        <v>0</v>
      </c>
      <c r="J40" s="30"/>
    </row>
    <row r="41" spans="2:10" x14ac:dyDescent="0.45">
      <c r="G41" s="27">
        <f t="shared" si="4"/>
        <v>46904</v>
      </c>
      <c r="H41" s="19"/>
      <c r="I41" s="31" cm="1">
        <f t="array" ref="I41">FLOOR(_xlfn.LET(_xlpm.ctax,$D$16*0.78,_xlfn.IFS(_xlpm.ctax&gt;40000000,$D$16/12,_xlpm.ctax&gt;4000000,$D$16/4,TRUE,0)),100)</f>
        <v>0</v>
      </c>
      <c r="J41" s="30"/>
    </row>
    <row r="42" spans="2:10" ht="18.600000000000001" thickBot="1" x14ac:dyDescent="0.5">
      <c r="G42" s="27">
        <f t="shared" si="4"/>
        <v>46934</v>
      </c>
      <c r="H42" s="19"/>
      <c r="I42" s="29" cm="1">
        <f t="array" ref="I42">FLOOR(_xlfn.LET(_xlpm.ctax,$D$16*0.78,_xlfn.IFS(_xlpm.ctax&gt;40000000,$D$16/12,TRUE,0)),100)</f>
        <v>0</v>
      </c>
      <c r="J42" s="30"/>
    </row>
    <row r="43" spans="2:10" ht="18.600000000000001" thickBot="1" x14ac:dyDescent="0.5">
      <c r="G43" s="33">
        <f t="shared" si="4"/>
        <v>46965</v>
      </c>
      <c r="H43" s="19"/>
      <c r="I43" s="29" cm="1">
        <f t="array" ref="I43">FLOOR(_xlfn.LET(_xlpm.ctax,$D$16*0.78,_xlfn.IFS(_xlpm.ctax&gt;40000000,$D$16/12,TRUE,0)),100)</f>
        <v>0</v>
      </c>
      <c r="J43" s="26" t="s">
        <v>61</v>
      </c>
    </row>
    <row r="44" spans="2:10" x14ac:dyDescent="0.45">
      <c r="G44" s="27">
        <f t="shared" si="4"/>
        <v>46996</v>
      </c>
      <c r="H44" s="57">
        <f>J6-H38</f>
        <v>1707200</v>
      </c>
      <c r="I44" s="29">
        <f>E16-SUM(I33:I43)</f>
        <v>2244000</v>
      </c>
      <c r="J44" s="30"/>
    </row>
    <row r="45" spans="2:10" x14ac:dyDescent="0.45">
      <c r="G45" s="27">
        <f t="shared" si="4"/>
        <v>47026</v>
      </c>
      <c r="H45" s="19"/>
      <c r="I45" s="29" cm="1">
        <f t="array" ref="I45">FLOOR(_xlfn.LET(_xlpm.ctax,$E$16*0.78,_xlfn.IFS(_xlpm.ctax&gt;40000000,$E$16/12,TRUE,0)),100)</f>
        <v>0</v>
      </c>
      <c r="J45" s="30"/>
    </row>
    <row r="46" spans="2:10" x14ac:dyDescent="0.45">
      <c r="G46" s="27">
        <f t="shared" si="4"/>
        <v>47057</v>
      </c>
      <c r="H46" s="19"/>
      <c r="I46" s="29" cm="1">
        <f t="array" ref="I46">FLOOR(_xlfn.LET(_xlpm.ctax,$E$16*0.78,_xlfn.IFS(_xlpm.ctax&gt;40000000,$E$16/12,TRUE,0)),100)</f>
        <v>0</v>
      </c>
      <c r="J46" s="30"/>
    </row>
    <row r="47" spans="2:10" x14ac:dyDescent="0.45">
      <c r="G47" s="27">
        <f t="shared" si="4"/>
        <v>47087</v>
      </c>
      <c r="H47" s="19"/>
      <c r="I47" s="31" cm="1">
        <f t="array" ref="I47">FLOOR(_xlfn.LET(_xlpm.ctax,$E$16*0.78,_xlfn.IFS(_xlpm.ctax&gt;40000000,$E$16/12,_xlpm.ctax&gt;4000000,$E$16/4,TRUE,0)),100)</f>
        <v>0</v>
      </c>
      <c r="J47" s="30"/>
    </row>
    <row r="48" spans="2:10" ht="18.600000000000001" thickBot="1" x14ac:dyDescent="0.5">
      <c r="G48" s="27">
        <f t="shared" si="4"/>
        <v>47118</v>
      </c>
      <c r="H48" s="19"/>
      <c r="I48" s="29" cm="1">
        <f t="array" ref="I48">FLOOR(_xlfn.LET(_xlpm.ctax,$E$16*0.78,_xlfn.IFS(_xlpm.ctax&gt;40000000,$E$16/12,TRUE,0)),100)</f>
        <v>0</v>
      </c>
      <c r="J48" s="30"/>
    </row>
    <row r="49" spans="7:10" ht="18.600000000000001" thickBot="1" x14ac:dyDescent="0.5">
      <c r="G49" s="27">
        <f t="shared" si="4"/>
        <v>47149</v>
      </c>
      <c r="H49" s="19"/>
      <c r="I49" s="29" cm="1">
        <f t="array" ref="I49">FLOOR(_xlfn.LET(_xlpm.ctax,$E$16*0.78,_xlfn.IFS(_xlpm.ctax&gt;40000000,$E$16/12,TRUE,0)),100)</f>
        <v>0</v>
      </c>
      <c r="J49" s="26" t="s">
        <v>61</v>
      </c>
    </row>
    <row r="50" spans="7:10" x14ac:dyDescent="0.45">
      <c r="G50" s="27">
        <f t="shared" si="4"/>
        <v>47177</v>
      </c>
      <c r="H50" s="28">
        <f>IF($J$8&gt;200000,FLOOR($J$6/2,100),0)</f>
        <v>1698700</v>
      </c>
      <c r="I50" s="32" cm="1">
        <f t="array" ref="I50">FLOOR(_xlfn.LET(_xlpm.ctax,$E$16*0.78,_xlfn.IFS(_xlpm.ctax&gt;40000000,$E$16/12,_xlpm.ctax&gt;4000000,$E$16/4,_xlpm.ctax&gt;480000,$E$16/2,TRUE,0)),100)</f>
        <v>2194000</v>
      </c>
      <c r="J50" s="30"/>
    </row>
    <row r="51" spans="7:10" x14ac:dyDescent="0.45">
      <c r="G51" s="27">
        <f t="shared" si="4"/>
        <v>47208</v>
      </c>
      <c r="H51" s="19"/>
      <c r="I51" s="29" cm="1">
        <f t="array" ref="I51">FLOOR(_xlfn.LET(_xlpm.ctax,$E$16*0.78,_xlfn.IFS(_xlpm.ctax&gt;40000000,$E$16/12,TRUE,0)),100)</f>
        <v>0</v>
      </c>
      <c r="J51" s="30"/>
    </row>
    <row r="52" spans="7:10" x14ac:dyDescent="0.45">
      <c r="G52" s="27">
        <f t="shared" si="4"/>
        <v>47238</v>
      </c>
      <c r="H52" s="19"/>
      <c r="I52" s="29" cm="1">
        <f t="array" ref="I52">FLOOR(_xlfn.LET(_xlpm.ctax,$E$16*0.78,_xlfn.IFS(_xlpm.ctax&gt;40000000,$E$16/12,TRUE,0)),100)</f>
        <v>0</v>
      </c>
      <c r="J52" s="30"/>
    </row>
    <row r="53" spans="7:10" x14ac:dyDescent="0.45">
      <c r="G53" s="27">
        <f t="shared" si="4"/>
        <v>47269</v>
      </c>
      <c r="H53" s="19"/>
      <c r="I53" s="31" cm="1">
        <f t="array" ref="I53">FLOOR(_xlfn.LET(_xlpm.ctax,$E$16*0.78,_xlfn.IFS(_xlpm.ctax&gt;40000000,$E$16/12,_xlpm.ctax&gt;4000000,$E$16/4,TRUE,0)),100)</f>
        <v>0</v>
      </c>
      <c r="J53" s="30"/>
    </row>
    <row r="54" spans="7:10" ht="18.600000000000001" thickBot="1" x14ac:dyDescent="0.5">
      <c r="G54" s="27">
        <f t="shared" si="4"/>
        <v>47299</v>
      </c>
      <c r="H54" s="19"/>
      <c r="I54" s="29" cm="1">
        <f t="array" ref="I54">FLOOR(_xlfn.LET(_xlpm.ctax,$E$16*0.78,_xlfn.IFS(_xlpm.ctax&gt;40000000,$E$16/12,TRUE,0)),100)</f>
        <v>0</v>
      </c>
      <c r="J54" s="30"/>
    </row>
    <row r="55" spans="7:10" ht="18.600000000000001" thickBot="1" x14ac:dyDescent="0.5">
      <c r="G55" s="35">
        <f t="shared" si="4"/>
        <v>47330</v>
      </c>
      <c r="H55" s="36"/>
      <c r="I55" s="37" cm="1">
        <f t="array" ref="I55">FLOOR(_xlfn.LET(_xlpm.ctax,$E$16*0.78,_xlfn.IFS(_xlpm.ctax&gt;40000000,$E$16/12,TRUE,0)),100)</f>
        <v>0</v>
      </c>
      <c r="J55" s="26" t="s">
        <v>61</v>
      </c>
    </row>
    <row r="56" spans="7:10" x14ac:dyDescent="0.45">
      <c r="G56" s="13"/>
    </row>
    <row r="57" spans="7:10" x14ac:dyDescent="0.45">
      <c r="G57" s="13"/>
    </row>
    <row r="58" spans="7:10" x14ac:dyDescent="0.45">
      <c r="G58" s="13"/>
    </row>
    <row r="59" spans="7:10" x14ac:dyDescent="0.45">
      <c r="G59" s="13"/>
    </row>
    <row r="60" spans="7:10" x14ac:dyDescent="0.45">
      <c r="G60" s="13"/>
    </row>
    <row r="61" spans="7:10" x14ac:dyDescent="0.45">
      <c r="G61" s="13"/>
    </row>
    <row r="62" spans="7:10" x14ac:dyDescent="0.45">
      <c r="G62" s="13"/>
    </row>
    <row r="63" spans="7:10" x14ac:dyDescent="0.45">
      <c r="G63" s="13"/>
    </row>
    <row r="64" spans="7:10" x14ac:dyDescent="0.45">
      <c r="G64" s="13"/>
    </row>
    <row r="65" spans="7:7" x14ac:dyDescent="0.45">
      <c r="G65" s="13"/>
    </row>
    <row r="66" spans="7:7" x14ac:dyDescent="0.45">
      <c r="G66" s="13"/>
    </row>
    <row r="67" spans="7:7" x14ac:dyDescent="0.45">
      <c r="G67" s="13"/>
    </row>
    <row r="68" spans="7:7" x14ac:dyDescent="0.45">
      <c r="G68" s="13"/>
    </row>
    <row r="69" spans="7:7" x14ac:dyDescent="0.45">
      <c r="G69" s="13"/>
    </row>
    <row r="70" spans="7:7" x14ac:dyDescent="0.45">
      <c r="G70" s="13"/>
    </row>
    <row r="71" spans="7:7" x14ac:dyDescent="0.45">
      <c r="G71" s="13"/>
    </row>
    <row r="72" spans="7:7" x14ac:dyDescent="0.45">
      <c r="G72" s="13"/>
    </row>
    <row r="73" spans="7:7" x14ac:dyDescent="0.45">
      <c r="G73" s="13"/>
    </row>
    <row r="74" spans="7:7" x14ac:dyDescent="0.45">
      <c r="G74" s="13"/>
    </row>
    <row r="75" spans="7:7" x14ac:dyDescent="0.45">
      <c r="G75" s="13"/>
    </row>
    <row r="76" spans="7:7" x14ac:dyDescent="0.45">
      <c r="G76" s="13"/>
    </row>
    <row r="77" spans="7:7" x14ac:dyDescent="0.45">
      <c r="G77" s="13"/>
    </row>
    <row r="78" spans="7:7" x14ac:dyDescent="0.45">
      <c r="G78" s="13"/>
    </row>
    <row r="79" spans="7:7" x14ac:dyDescent="0.45">
      <c r="G79" s="13"/>
    </row>
    <row r="80" spans="7:7" x14ac:dyDescent="0.45">
      <c r="G80" s="13"/>
    </row>
    <row r="81" spans="7:7" x14ac:dyDescent="0.45">
      <c r="G81" s="13"/>
    </row>
    <row r="82" spans="7:7" x14ac:dyDescent="0.45">
      <c r="G82" s="13"/>
    </row>
    <row r="83" spans="7:7" x14ac:dyDescent="0.45">
      <c r="G83" s="13"/>
    </row>
    <row r="84" spans="7:7" x14ac:dyDescent="0.45">
      <c r="G84" s="13"/>
    </row>
    <row r="85" spans="7:7" x14ac:dyDescent="0.45">
      <c r="G85" s="13"/>
    </row>
    <row r="86" spans="7:7" x14ac:dyDescent="0.45">
      <c r="G86" s="13"/>
    </row>
    <row r="87" spans="7:7" x14ac:dyDescent="0.45">
      <c r="G87" s="13"/>
    </row>
    <row r="88" spans="7:7" x14ac:dyDescent="0.45">
      <c r="G88" s="13"/>
    </row>
    <row r="89" spans="7:7" x14ac:dyDescent="0.45">
      <c r="G89" s="13"/>
    </row>
    <row r="90" spans="7:7" x14ac:dyDescent="0.45">
      <c r="G90" s="13"/>
    </row>
    <row r="91" spans="7:7" x14ac:dyDescent="0.45">
      <c r="G91" s="13"/>
    </row>
    <row r="92" spans="7:7" x14ac:dyDescent="0.45">
      <c r="G92" s="13"/>
    </row>
    <row r="93" spans="7:7" x14ac:dyDescent="0.45">
      <c r="G93" s="13"/>
    </row>
    <row r="94" spans="7:7" x14ac:dyDescent="0.45">
      <c r="G94" s="13"/>
    </row>
    <row r="95" spans="7:7" x14ac:dyDescent="0.45">
      <c r="G95" s="13"/>
    </row>
    <row r="96" spans="7:7" x14ac:dyDescent="0.45">
      <c r="G96" s="13"/>
    </row>
    <row r="97" spans="7:7" x14ac:dyDescent="0.45">
      <c r="G97" s="13"/>
    </row>
    <row r="98" spans="7:7" x14ac:dyDescent="0.45">
      <c r="G98" s="13"/>
    </row>
    <row r="99" spans="7:7" x14ac:dyDescent="0.45">
      <c r="G99" s="13"/>
    </row>
    <row r="100" spans="7:7" x14ac:dyDescent="0.45">
      <c r="G100" s="13"/>
    </row>
    <row r="101" spans="7:7" x14ac:dyDescent="0.45">
      <c r="G101" s="13"/>
    </row>
    <row r="102" spans="7:7" x14ac:dyDescent="0.45">
      <c r="G102" s="13"/>
    </row>
    <row r="103" spans="7:7" x14ac:dyDescent="0.45">
      <c r="G103" s="13"/>
    </row>
    <row r="104" spans="7:7" x14ac:dyDescent="0.45">
      <c r="G104" s="13"/>
    </row>
    <row r="105" spans="7:7" x14ac:dyDescent="0.45">
      <c r="G105" s="13"/>
    </row>
    <row r="106" spans="7:7" x14ac:dyDescent="0.45">
      <c r="G106" s="13"/>
    </row>
    <row r="107" spans="7:7" x14ac:dyDescent="0.45">
      <c r="G107" s="13"/>
    </row>
    <row r="108" spans="7:7" x14ac:dyDescent="0.45">
      <c r="G108" s="13"/>
    </row>
    <row r="109" spans="7:7" x14ac:dyDescent="0.45">
      <c r="G109" s="13"/>
    </row>
    <row r="110" spans="7:7" x14ac:dyDescent="0.45">
      <c r="G110" s="13"/>
    </row>
    <row r="111" spans="7:7" x14ac:dyDescent="0.45">
      <c r="G111" s="13"/>
    </row>
    <row r="112" spans="7:7" x14ac:dyDescent="0.45">
      <c r="G112" s="13"/>
    </row>
    <row r="113" spans="7:7" x14ac:dyDescent="0.45">
      <c r="G113" s="13"/>
    </row>
    <row r="114" spans="7:7" x14ac:dyDescent="0.45">
      <c r="G114" s="13"/>
    </row>
    <row r="115" spans="7:7" x14ac:dyDescent="0.45">
      <c r="G115" s="13"/>
    </row>
    <row r="116" spans="7:7" x14ac:dyDescent="0.45">
      <c r="G116" s="13"/>
    </row>
    <row r="117" spans="7:7" x14ac:dyDescent="0.45">
      <c r="G117" s="13"/>
    </row>
    <row r="118" spans="7:7" x14ac:dyDescent="0.45">
      <c r="G118" s="13"/>
    </row>
    <row r="119" spans="7:7" x14ac:dyDescent="0.45">
      <c r="G119" s="13"/>
    </row>
    <row r="120" spans="7:7" x14ac:dyDescent="0.45">
      <c r="G120" s="13"/>
    </row>
    <row r="121" spans="7:7" x14ac:dyDescent="0.45">
      <c r="G121" s="13"/>
    </row>
    <row r="122" spans="7:7" x14ac:dyDescent="0.45">
      <c r="G122" s="13"/>
    </row>
    <row r="123" spans="7:7" x14ac:dyDescent="0.45">
      <c r="G123" s="13"/>
    </row>
    <row r="124" spans="7:7" x14ac:dyDescent="0.45">
      <c r="G124" s="13"/>
    </row>
    <row r="125" spans="7:7" x14ac:dyDescent="0.45">
      <c r="G125" s="13"/>
    </row>
    <row r="126" spans="7:7" x14ac:dyDescent="0.45">
      <c r="G126" s="13"/>
    </row>
    <row r="127" spans="7:7" x14ac:dyDescent="0.45">
      <c r="G127" s="13"/>
    </row>
    <row r="128" spans="7:7" x14ac:dyDescent="0.45">
      <c r="G128" s="13"/>
    </row>
    <row r="129" spans="7:7" x14ac:dyDescent="0.45">
      <c r="G129" s="13"/>
    </row>
    <row r="130" spans="7:7" x14ac:dyDescent="0.45">
      <c r="G130" s="13"/>
    </row>
    <row r="131" spans="7:7" x14ac:dyDescent="0.45">
      <c r="G131" s="13"/>
    </row>
    <row r="132" spans="7:7" x14ac:dyDescent="0.45">
      <c r="G132" s="13"/>
    </row>
    <row r="133" spans="7:7" x14ac:dyDescent="0.45">
      <c r="G133" s="13"/>
    </row>
    <row r="134" spans="7:7" x14ac:dyDescent="0.45">
      <c r="G134" s="13"/>
    </row>
    <row r="135" spans="7:7" x14ac:dyDescent="0.45">
      <c r="G135" s="13"/>
    </row>
    <row r="136" spans="7:7" x14ac:dyDescent="0.45">
      <c r="G136" s="13"/>
    </row>
    <row r="137" spans="7:7" x14ac:dyDescent="0.45">
      <c r="G137" s="13"/>
    </row>
    <row r="138" spans="7:7" x14ac:dyDescent="0.45">
      <c r="G138" s="13"/>
    </row>
    <row r="139" spans="7:7" x14ac:dyDescent="0.45">
      <c r="G139" s="13"/>
    </row>
    <row r="140" spans="7:7" x14ac:dyDescent="0.45">
      <c r="G140" s="13"/>
    </row>
    <row r="141" spans="7:7" x14ac:dyDescent="0.45">
      <c r="G141" s="13"/>
    </row>
    <row r="142" spans="7:7" x14ac:dyDescent="0.45">
      <c r="G142" s="13"/>
    </row>
    <row r="143" spans="7:7" x14ac:dyDescent="0.45">
      <c r="G143" s="13"/>
    </row>
    <row r="144" spans="7:7" x14ac:dyDescent="0.45">
      <c r="G144" s="13"/>
    </row>
    <row r="145" spans="7:7" x14ac:dyDescent="0.45">
      <c r="G145" s="13"/>
    </row>
    <row r="146" spans="7:7" x14ac:dyDescent="0.45">
      <c r="G146" s="13"/>
    </row>
    <row r="147" spans="7:7" x14ac:dyDescent="0.45">
      <c r="G147" s="13"/>
    </row>
    <row r="148" spans="7:7" x14ac:dyDescent="0.45">
      <c r="G148" s="13"/>
    </row>
    <row r="149" spans="7:7" x14ac:dyDescent="0.45">
      <c r="G149" s="13"/>
    </row>
    <row r="150" spans="7:7" x14ac:dyDescent="0.45">
      <c r="G150" s="13"/>
    </row>
    <row r="151" spans="7:7" x14ac:dyDescent="0.45">
      <c r="G151" s="13"/>
    </row>
    <row r="152" spans="7:7" x14ac:dyDescent="0.45">
      <c r="G152" s="13"/>
    </row>
    <row r="153" spans="7:7" x14ac:dyDescent="0.45">
      <c r="G153" s="13"/>
    </row>
    <row r="154" spans="7:7" x14ac:dyDescent="0.45">
      <c r="G154" s="13"/>
    </row>
    <row r="155" spans="7:7" x14ac:dyDescent="0.45">
      <c r="G155" s="13"/>
    </row>
    <row r="156" spans="7:7" x14ac:dyDescent="0.45">
      <c r="G156" s="13"/>
    </row>
    <row r="157" spans="7:7" x14ac:dyDescent="0.45">
      <c r="G157" s="13"/>
    </row>
    <row r="158" spans="7:7" x14ac:dyDescent="0.45">
      <c r="G158" s="13"/>
    </row>
    <row r="159" spans="7:7" x14ac:dyDescent="0.45">
      <c r="G159" s="13"/>
    </row>
    <row r="160" spans="7:7" x14ac:dyDescent="0.45">
      <c r="G160" s="13"/>
    </row>
    <row r="161" spans="7:7" x14ac:dyDescent="0.45">
      <c r="G161" s="13"/>
    </row>
    <row r="162" spans="7:7" x14ac:dyDescent="0.45">
      <c r="G162" s="13"/>
    </row>
    <row r="163" spans="7:7" x14ac:dyDescent="0.45">
      <c r="G163" s="13"/>
    </row>
    <row r="164" spans="7:7" x14ac:dyDescent="0.45">
      <c r="G164" s="13"/>
    </row>
    <row r="165" spans="7:7" x14ac:dyDescent="0.45">
      <c r="G165" s="13"/>
    </row>
    <row r="166" spans="7:7" x14ac:dyDescent="0.45">
      <c r="G166" s="13"/>
    </row>
    <row r="167" spans="7:7" x14ac:dyDescent="0.45">
      <c r="G167" s="13"/>
    </row>
    <row r="168" spans="7:7" x14ac:dyDescent="0.45">
      <c r="G168" s="13"/>
    </row>
    <row r="169" spans="7:7" x14ac:dyDescent="0.45">
      <c r="G169" s="13"/>
    </row>
    <row r="170" spans="7:7" x14ac:dyDescent="0.45">
      <c r="G170" s="13"/>
    </row>
    <row r="171" spans="7:7" x14ac:dyDescent="0.45">
      <c r="G171" s="13"/>
    </row>
    <row r="172" spans="7:7" x14ac:dyDescent="0.45">
      <c r="G172" s="13"/>
    </row>
    <row r="173" spans="7:7" x14ac:dyDescent="0.45">
      <c r="G173" s="13"/>
    </row>
    <row r="174" spans="7:7" x14ac:dyDescent="0.45">
      <c r="G174" s="13"/>
    </row>
    <row r="175" spans="7:7" x14ac:dyDescent="0.45">
      <c r="G175" s="13"/>
    </row>
    <row r="176" spans="7:7" x14ac:dyDescent="0.45">
      <c r="G176" s="13"/>
    </row>
    <row r="177" spans="7:7" x14ac:dyDescent="0.45">
      <c r="G177" s="13"/>
    </row>
    <row r="178" spans="7:7" x14ac:dyDescent="0.45">
      <c r="G178" s="13"/>
    </row>
    <row r="179" spans="7:7" x14ac:dyDescent="0.45">
      <c r="G179" s="13"/>
    </row>
    <row r="180" spans="7:7" x14ac:dyDescent="0.45">
      <c r="G180" s="13"/>
    </row>
    <row r="181" spans="7:7" x14ac:dyDescent="0.45">
      <c r="G181" s="13"/>
    </row>
    <row r="182" spans="7:7" x14ac:dyDescent="0.45">
      <c r="G182" s="13"/>
    </row>
    <row r="183" spans="7:7" x14ac:dyDescent="0.45">
      <c r="G183" s="13"/>
    </row>
    <row r="184" spans="7:7" x14ac:dyDescent="0.45">
      <c r="G184" s="13"/>
    </row>
    <row r="185" spans="7:7" x14ac:dyDescent="0.45">
      <c r="G185" s="13"/>
    </row>
    <row r="186" spans="7:7" x14ac:dyDescent="0.45">
      <c r="G186" s="1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 近藤</dc:creator>
  <cp:lastModifiedBy>学 近藤</cp:lastModifiedBy>
  <dcterms:created xsi:type="dcterms:W3CDTF">2026-05-16T23:28:35Z</dcterms:created>
  <dcterms:modified xsi:type="dcterms:W3CDTF">2026-05-19T10:33:22Z</dcterms:modified>
</cp:coreProperties>
</file>