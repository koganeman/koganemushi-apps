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b\Documents\koganemushi_app\docs\shikingurihyou\Excel-data\"/>
    </mc:Choice>
  </mc:AlternateContent>
  <xr:revisionPtr revIDLastSave="0" documentId="13_ncr:1_{448E2754-313F-4FB6-B228-D29856A684BA}" xr6:coauthVersionLast="47" xr6:coauthVersionMax="47" xr10:uidLastSave="{00000000-0000-0000-0000-000000000000}"/>
  <bookViews>
    <workbookView xWindow="-108" yWindow="-108" windowWidth="23256" windowHeight="13896" tabRatio="936" firstSheet="1" activeTab="14" xr2:uid="{00000000-000D-0000-FFFF-FFFF00000000}"/>
  </bookViews>
  <sheets>
    <sheet name="使用方法" sheetId="2" state="hidden" r:id="rId1"/>
    <sheet name="資金繰り実績表" sheetId="3" r:id="rId2"/>
    <sheet name="入出金予定表" sheetId="4" r:id="rId3"/>
    <sheet name="資金繰り実績予定表（詳細）" sheetId="5" r:id="rId4"/>
    <sheet name="資金繰り予定表 (編集可能)" sheetId="15" r:id="rId5"/>
    <sheet name="金融機関用" sheetId="6" r:id="rId6"/>
    <sheet name="資金繰り予定表" sheetId="7" r:id="rId7"/>
    <sheet name="予実対比" sheetId="8" r:id="rId8"/>
    <sheet name="前年度資金繰り実績表" sheetId="9" state="hidden" r:id="rId9"/>
    <sheet name="税金計算" sheetId="10" state="hidden" r:id="rId10"/>
    <sheet name="納税予定表" sheetId="11" state="hidden" r:id="rId11"/>
    <sheet name="前年度対比" sheetId="12" state="hidden" r:id="rId12"/>
    <sheet name="資金繰り診断" sheetId="13" state="hidden" r:id="rId13"/>
    <sheet name="借入一覧表" sheetId="14" r:id="rId14"/>
    <sheet name="口座残高明細表" sheetId="16" r:id="rId1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5" l="1"/>
  <c r="AO25" i="7"/>
  <c r="AN25" i="7"/>
  <c r="AN25" i="5" s="1"/>
  <c r="AM25" i="7"/>
  <c r="AL25" i="7"/>
  <c r="AK25" i="7"/>
  <c r="AJ25" i="7"/>
  <c r="AJ25" i="5" s="1"/>
  <c r="AI25" i="7"/>
  <c r="AH25" i="7"/>
  <c r="AG25" i="7"/>
  <c r="AF25" i="7"/>
  <c r="AE25" i="7"/>
  <c r="AD25" i="7"/>
  <c r="AA25" i="7"/>
  <c r="Z25" i="7"/>
  <c r="Y25" i="7"/>
  <c r="X25" i="7"/>
  <c r="W25" i="7"/>
  <c r="V25" i="7"/>
  <c r="V25" i="5" s="1"/>
  <c r="U25" i="7"/>
  <c r="T25" i="7"/>
  <c r="S25" i="7"/>
  <c r="R25" i="7"/>
  <c r="R25" i="5" s="1"/>
  <c r="Q25" i="7"/>
  <c r="P25" i="7"/>
  <c r="AO23" i="7"/>
  <c r="AN23" i="7"/>
  <c r="AM23" i="7"/>
  <c r="AL23" i="7"/>
  <c r="AK23" i="7"/>
  <c r="AJ23" i="7"/>
  <c r="AI23" i="7"/>
  <c r="AH23" i="7"/>
  <c r="AG23" i="7"/>
  <c r="AF23" i="7"/>
  <c r="AF23" i="5" s="1"/>
  <c r="AE23" i="7"/>
  <c r="AD23" i="7"/>
  <c r="AA23" i="7"/>
  <c r="AA23" i="5" s="1"/>
  <c r="Z23" i="7"/>
  <c r="Z23" i="5" s="1"/>
  <c r="Y23" i="7"/>
  <c r="X23" i="7"/>
  <c r="W23" i="7"/>
  <c r="V23" i="7"/>
  <c r="U23" i="7"/>
  <c r="T23" i="7"/>
  <c r="S23" i="7"/>
  <c r="R23" i="7"/>
  <c r="Q23" i="7"/>
  <c r="P23" i="7"/>
  <c r="AO22" i="7"/>
  <c r="AN22" i="7"/>
  <c r="AN22" i="5" s="1"/>
  <c r="AM22" i="7"/>
  <c r="AL22" i="7"/>
  <c r="AL22" i="5" s="1"/>
  <c r="AK22" i="7"/>
  <c r="AJ22" i="7"/>
  <c r="AJ22" i="5" s="1"/>
  <c r="AI22" i="7"/>
  <c r="AH22" i="7"/>
  <c r="AG22" i="7"/>
  <c r="AF22" i="7"/>
  <c r="AE22" i="7"/>
  <c r="AD22" i="7"/>
  <c r="AA22" i="7"/>
  <c r="AA22" i="5" s="1"/>
  <c r="Z22" i="7"/>
  <c r="Y22" i="7"/>
  <c r="X22" i="7"/>
  <c r="W22" i="7"/>
  <c r="V22" i="7"/>
  <c r="U22" i="7"/>
  <c r="T22" i="7"/>
  <c r="T22" i="5" s="1"/>
  <c r="S22" i="7"/>
  <c r="S22" i="5" s="1"/>
  <c r="R22" i="7"/>
  <c r="Q22" i="7"/>
  <c r="P22" i="7"/>
  <c r="AO21" i="7"/>
  <c r="AN21" i="7"/>
  <c r="AM21" i="7"/>
  <c r="AL21" i="7"/>
  <c r="AK21" i="7"/>
  <c r="AK21" i="5" s="1"/>
  <c r="AJ21" i="7"/>
  <c r="AJ21" i="5" s="1"/>
  <c r="AI21" i="7"/>
  <c r="AH21" i="7"/>
  <c r="AG21" i="7"/>
  <c r="AF21" i="7"/>
  <c r="AF21" i="5" s="1"/>
  <c r="AE21" i="7"/>
  <c r="AD21" i="7"/>
  <c r="AD21" i="5" s="1"/>
  <c r="AA21" i="7"/>
  <c r="AA21" i="5" s="1"/>
  <c r="Z21" i="7"/>
  <c r="Z21" i="5" s="1"/>
  <c r="Y21" i="7"/>
  <c r="X21" i="7"/>
  <c r="X21" i="5" s="1"/>
  <c r="W21" i="7"/>
  <c r="W21" i="5" s="1"/>
  <c r="V21" i="7"/>
  <c r="U21" i="7"/>
  <c r="T21" i="7"/>
  <c r="S21" i="7"/>
  <c r="S21" i="5" s="1"/>
  <c r="R21" i="7"/>
  <c r="R21" i="5" s="1"/>
  <c r="Q21" i="7"/>
  <c r="P21" i="7"/>
  <c r="AO20" i="7"/>
  <c r="AN20" i="7"/>
  <c r="AN20" i="5" s="1"/>
  <c r="AM20" i="7"/>
  <c r="AL20" i="7"/>
  <c r="AK20" i="7"/>
  <c r="AK20" i="5" s="1"/>
  <c r="AJ20" i="7"/>
  <c r="AJ20" i="5" s="1"/>
  <c r="AI20" i="7"/>
  <c r="AH20" i="7"/>
  <c r="AG20" i="7"/>
  <c r="AG20" i="5" s="1"/>
  <c r="AF20" i="7"/>
  <c r="AE20" i="7"/>
  <c r="AE20" i="5" s="1"/>
  <c r="AD20" i="7"/>
  <c r="AA20" i="7"/>
  <c r="AA20" i="5" s="1"/>
  <c r="Z20" i="7"/>
  <c r="Z20" i="5" s="1"/>
  <c r="Y20" i="7"/>
  <c r="X20" i="7"/>
  <c r="W20" i="7"/>
  <c r="W20" i="5" s="1"/>
  <c r="V20" i="7"/>
  <c r="V20" i="5" s="1"/>
  <c r="U20" i="7"/>
  <c r="T20" i="7"/>
  <c r="T20" i="5" s="1"/>
  <c r="S20" i="7"/>
  <c r="S20" i="5" s="1"/>
  <c r="R20" i="7"/>
  <c r="R20" i="5" s="1"/>
  <c r="Q20" i="7"/>
  <c r="P20" i="7"/>
  <c r="AO19" i="7"/>
  <c r="AN19" i="7"/>
  <c r="AM19" i="7"/>
  <c r="AL19" i="7"/>
  <c r="AK19" i="7"/>
  <c r="AJ19" i="7"/>
  <c r="AI19" i="7"/>
  <c r="AH19" i="7"/>
  <c r="AG19" i="7"/>
  <c r="AF19" i="7"/>
  <c r="AF19" i="5" s="1"/>
  <c r="AE19" i="7"/>
  <c r="AD19" i="7"/>
  <c r="AA19" i="7"/>
  <c r="Z19" i="7"/>
  <c r="Z19" i="5" s="1"/>
  <c r="Y19" i="7"/>
  <c r="X19" i="7"/>
  <c r="W19" i="7"/>
  <c r="V19" i="7"/>
  <c r="U19" i="7"/>
  <c r="T19" i="7"/>
  <c r="S19" i="7"/>
  <c r="R19" i="7"/>
  <c r="Q19" i="7"/>
  <c r="P19" i="7"/>
  <c r="AO18" i="7"/>
  <c r="AN18" i="7"/>
  <c r="AN18" i="5" s="1"/>
  <c r="AM18" i="7"/>
  <c r="AL18" i="7"/>
  <c r="AK18" i="7"/>
  <c r="AJ18" i="7"/>
  <c r="AJ18" i="5" s="1"/>
  <c r="AI18" i="7"/>
  <c r="AH18" i="7"/>
  <c r="AH18" i="5" s="1"/>
  <c r="AG18" i="7"/>
  <c r="AF18" i="7"/>
  <c r="AE18" i="7"/>
  <c r="AD18" i="7"/>
  <c r="AA18" i="7"/>
  <c r="Z18" i="7"/>
  <c r="Y18" i="7"/>
  <c r="X18" i="7"/>
  <c r="W18" i="7"/>
  <c r="V18" i="7"/>
  <c r="U18" i="7"/>
  <c r="T18" i="7"/>
  <c r="S18" i="7"/>
  <c r="R18" i="7"/>
  <c r="Q18" i="7"/>
  <c r="P18" i="7"/>
  <c r="P18" i="5" s="1"/>
  <c r="AO17" i="7"/>
  <c r="AN17" i="7"/>
  <c r="AM17" i="7"/>
  <c r="AL17" i="7"/>
  <c r="AK17" i="7"/>
  <c r="AJ17" i="7"/>
  <c r="AI17" i="7"/>
  <c r="AH17" i="7"/>
  <c r="AG17" i="7"/>
  <c r="AF17" i="7"/>
  <c r="AF17" i="5" s="1"/>
  <c r="AE17" i="7"/>
  <c r="AD17" i="7"/>
  <c r="AA17" i="7"/>
  <c r="Z17" i="7"/>
  <c r="Y17" i="7"/>
  <c r="X17" i="7"/>
  <c r="X17" i="5" s="1"/>
  <c r="W17" i="7"/>
  <c r="V17" i="7"/>
  <c r="U17" i="7"/>
  <c r="T17" i="7"/>
  <c r="S17" i="7"/>
  <c r="R17" i="7"/>
  <c r="Q17" i="7"/>
  <c r="P17" i="7"/>
  <c r="AO16" i="7"/>
  <c r="AN16" i="7"/>
  <c r="AN16" i="5" s="1"/>
  <c r="AM16" i="7"/>
  <c r="AL16" i="7"/>
  <c r="AK16" i="7"/>
  <c r="AJ16" i="7"/>
  <c r="AJ16" i="5" s="1"/>
  <c r="AI16" i="7"/>
  <c r="AH16" i="7"/>
  <c r="AH16" i="5" s="1"/>
  <c r="AG16" i="7"/>
  <c r="AF16" i="7"/>
  <c r="AE16" i="7"/>
  <c r="AD16" i="7"/>
  <c r="AA16" i="7"/>
  <c r="Z16" i="7"/>
  <c r="Y16" i="7"/>
  <c r="X16" i="7"/>
  <c r="W16" i="7"/>
  <c r="V16" i="7"/>
  <c r="V16" i="5" s="1"/>
  <c r="U16" i="7"/>
  <c r="T16" i="7"/>
  <c r="S16" i="7"/>
  <c r="R16" i="7"/>
  <c r="R16" i="5" s="1"/>
  <c r="Q16" i="7"/>
  <c r="P16" i="7"/>
  <c r="P16" i="5" s="1"/>
  <c r="AO15" i="7"/>
  <c r="AN15" i="7"/>
  <c r="AM15" i="7"/>
  <c r="AL15" i="7"/>
  <c r="AL15" i="5" s="1"/>
  <c r="AK15" i="7"/>
  <c r="AJ15" i="7"/>
  <c r="AJ15" i="5" s="1"/>
  <c r="AI15" i="7"/>
  <c r="AH15" i="7"/>
  <c r="AG15" i="7"/>
  <c r="AF15" i="7"/>
  <c r="AF15" i="5" s="1"/>
  <c r="AE15" i="7"/>
  <c r="AD15" i="7"/>
  <c r="AD15" i="5" s="1"/>
  <c r="AA15" i="7"/>
  <c r="Z15" i="7"/>
  <c r="Z15" i="5" s="1"/>
  <c r="Y15" i="7"/>
  <c r="X15" i="7"/>
  <c r="X15" i="5" s="1"/>
  <c r="W15" i="7"/>
  <c r="W15" i="5" s="1"/>
  <c r="V15" i="7"/>
  <c r="U15" i="7"/>
  <c r="T15" i="7"/>
  <c r="S15" i="7"/>
  <c r="R15" i="7"/>
  <c r="Q15" i="7"/>
  <c r="P15" i="7"/>
  <c r="AO14" i="7"/>
  <c r="AN14" i="7"/>
  <c r="AN14" i="5" s="1"/>
  <c r="AM14" i="7"/>
  <c r="AL14" i="7"/>
  <c r="AL14" i="5" s="1"/>
  <c r="AK14" i="7"/>
  <c r="AK14" i="5" s="1"/>
  <c r="AJ14" i="7"/>
  <c r="AJ14" i="5" s="1"/>
  <c r="AI14" i="7"/>
  <c r="AH14" i="7"/>
  <c r="AH14" i="5" s="1"/>
  <c r="AG14" i="7"/>
  <c r="AF14" i="7"/>
  <c r="AE14" i="7"/>
  <c r="AD14" i="7"/>
  <c r="AA14" i="7"/>
  <c r="AA14" i="5" s="1"/>
  <c r="Z14" i="7"/>
  <c r="Z14" i="5" s="1"/>
  <c r="Y14" i="7"/>
  <c r="X14" i="7"/>
  <c r="W14" i="7"/>
  <c r="V14" i="7"/>
  <c r="U14" i="7"/>
  <c r="T14" i="7"/>
  <c r="S14" i="7"/>
  <c r="R14" i="7"/>
  <c r="R14" i="5" s="1"/>
  <c r="Q14" i="7"/>
  <c r="P14" i="7"/>
  <c r="P14" i="5" s="1"/>
  <c r="M25" i="7"/>
  <c r="L25" i="7"/>
  <c r="K25" i="7"/>
  <c r="J25" i="7"/>
  <c r="I25" i="7"/>
  <c r="H25" i="7"/>
  <c r="G25" i="7"/>
  <c r="F25" i="7"/>
  <c r="E25" i="7"/>
  <c r="D25" i="7"/>
  <c r="H26" i="8" s="1"/>
  <c r="C25" i="7"/>
  <c r="B25" i="7"/>
  <c r="M23" i="7"/>
  <c r="L23" i="7"/>
  <c r="AF24" i="8" s="1"/>
  <c r="K23" i="7"/>
  <c r="J23" i="7"/>
  <c r="Z24" i="8" s="1"/>
  <c r="I23" i="7"/>
  <c r="H23" i="7"/>
  <c r="G23" i="7"/>
  <c r="F23" i="7"/>
  <c r="E23" i="7"/>
  <c r="D23" i="7"/>
  <c r="C23" i="7"/>
  <c r="B23" i="7"/>
  <c r="M22" i="7"/>
  <c r="L22" i="7"/>
  <c r="AF23" i="8" s="1"/>
  <c r="K22" i="7"/>
  <c r="J22" i="7"/>
  <c r="I22" i="7"/>
  <c r="H22" i="7"/>
  <c r="T23" i="8" s="1"/>
  <c r="G22" i="7"/>
  <c r="F22" i="7"/>
  <c r="N23" i="8" s="1"/>
  <c r="E22" i="7"/>
  <c r="D22" i="7"/>
  <c r="C22" i="7"/>
  <c r="E23" i="8" s="1"/>
  <c r="B22" i="7"/>
  <c r="M21" i="7"/>
  <c r="AI22" i="8" s="1"/>
  <c r="L21" i="7"/>
  <c r="K21" i="7"/>
  <c r="AC22" i="8" s="1"/>
  <c r="J21" i="7"/>
  <c r="I21" i="7"/>
  <c r="H21" i="7"/>
  <c r="T22" i="8" s="1"/>
  <c r="G21" i="7"/>
  <c r="Q22" i="8" s="1"/>
  <c r="F21" i="7"/>
  <c r="N22" i="8" s="1"/>
  <c r="E21" i="7"/>
  <c r="K22" i="8" s="1"/>
  <c r="D21" i="7"/>
  <c r="H22" i="8" s="1"/>
  <c r="C21" i="7"/>
  <c r="B21" i="7"/>
  <c r="B22" i="8" s="1"/>
  <c r="M20" i="7"/>
  <c r="L20" i="7"/>
  <c r="AF21" i="8" s="1"/>
  <c r="K20" i="7"/>
  <c r="AC21" i="8" s="1"/>
  <c r="J20" i="7"/>
  <c r="Z21" i="8" s="1"/>
  <c r="I20" i="7"/>
  <c r="W21" i="8" s="1"/>
  <c r="H20" i="7"/>
  <c r="G20" i="7"/>
  <c r="Q21" i="8" s="1"/>
  <c r="F20" i="7"/>
  <c r="E20" i="7"/>
  <c r="D20" i="7"/>
  <c r="H21" i="8" s="1"/>
  <c r="C20" i="7"/>
  <c r="B20" i="7"/>
  <c r="M19" i="7"/>
  <c r="L19" i="7"/>
  <c r="AF20" i="8" s="1"/>
  <c r="K19" i="7"/>
  <c r="J19" i="7"/>
  <c r="I19" i="7"/>
  <c r="H19" i="7"/>
  <c r="G19" i="7"/>
  <c r="F19" i="7"/>
  <c r="E19" i="7"/>
  <c r="D19" i="7"/>
  <c r="C19" i="7"/>
  <c r="B19" i="7"/>
  <c r="M18" i="7"/>
  <c r="L18" i="7"/>
  <c r="AF19" i="8" s="1"/>
  <c r="K18" i="7"/>
  <c r="J18" i="7"/>
  <c r="Z19" i="8" s="1"/>
  <c r="I18" i="7"/>
  <c r="W19" i="8" s="1"/>
  <c r="H18" i="7"/>
  <c r="T19" i="8" s="1"/>
  <c r="G18" i="7"/>
  <c r="F18" i="7"/>
  <c r="N19" i="8" s="1"/>
  <c r="E18" i="7"/>
  <c r="D18" i="7"/>
  <c r="C18" i="7"/>
  <c r="B18" i="7"/>
  <c r="M17" i="7"/>
  <c r="L17" i="7"/>
  <c r="K17" i="7"/>
  <c r="AC18" i="8" s="1"/>
  <c r="J17" i="7"/>
  <c r="I17" i="7"/>
  <c r="H17" i="7"/>
  <c r="T18" i="8" s="1"/>
  <c r="G17" i="7"/>
  <c r="F17" i="7"/>
  <c r="E17" i="7"/>
  <c r="D17" i="7"/>
  <c r="H18" i="8" s="1"/>
  <c r="C17" i="7"/>
  <c r="E18" i="8" s="1"/>
  <c r="B17" i="7"/>
  <c r="B18" i="8" s="1"/>
  <c r="M16" i="7"/>
  <c r="AI17" i="8" s="1"/>
  <c r="L16" i="7"/>
  <c r="K16" i="7"/>
  <c r="J16" i="7"/>
  <c r="I16" i="7"/>
  <c r="H16" i="7"/>
  <c r="G16" i="7"/>
  <c r="Q17" i="8" s="1"/>
  <c r="F16" i="7"/>
  <c r="N17" i="8" s="1"/>
  <c r="E16" i="7"/>
  <c r="K17" i="8" s="1"/>
  <c r="D16" i="7"/>
  <c r="C16" i="7"/>
  <c r="B16" i="7"/>
  <c r="B17" i="8" s="1"/>
  <c r="M15" i="7"/>
  <c r="AI16" i="8" s="1"/>
  <c r="L15" i="7"/>
  <c r="AF16" i="8" s="1"/>
  <c r="K15" i="7"/>
  <c r="AC16" i="8" s="1"/>
  <c r="J15" i="7"/>
  <c r="Z16" i="8" s="1"/>
  <c r="I15" i="7"/>
  <c r="W16" i="8" s="1"/>
  <c r="H15" i="7"/>
  <c r="G15" i="7"/>
  <c r="F15" i="7"/>
  <c r="E15" i="7"/>
  <c r="D15" i="7"/>
  <c r="C15" i="7"/>
  <c r="B15" i="7"/>
  <c r="M14" i="7"/>
  <c r="AI15" i="8" s="1"/>
  <c r="L14" i="7"/>
  <c r="AF15" i="8" s="1"/>
  <c r="K14" i="7"/>
  <c r="J14" i="7"/>
  <c r="Z15" i="8" s="1"/>
  <c r="I14" i="7"/>
  <c r="W15" i="8" s="1"/>
  <c r="H14" i="7"/>
  <c r="T15" i="8" s="1"/>
  <c r="G14" i="7"/>
  <c r="Q15" i="8" s="1"/>
  <c r="F14" i="7"/>
  <c r="E14" i="7"/>
  <c r="D14" i="7"/>
  <c r="C14" i="7"/>
  <c r="B14" i="7"/>
  <c r="B3" i="5"/>
  <c r="AL51" i="15"/>
  <c r="AG51" i="15"/>
  <c r="AO50" i="15"/>
  <c r="AN50" i="15"/>
  <c r="AM50" i="15"/>
  <c r="AL50" i="15"/>
  <c r="AK50" i="15"/>
  <c r="AJ50" i="15"/>
  <c r="AI50" i="15"/>
  <c r="AH50" i="15"/>
  <c r="AG50" i="15"/>
  <c r="AF50" i="15"/>
  <c r="AE50" i="15"/>
  <c r="AD50" i="15"/>
  <c r="AP50" i="15" s="1"/>
  <c r="AO44" i="15"/>
  <c r="AO51" i="15" s="1"/>
  <c r="AN44" i="15"/>
  <c r="AN51" i="15" s="1"/>
  <c r="AM44" i="15"/>
  <c r="AM51" i="15" s="1"/>
  <c r="AL44" i="15"/>
  <c r="AK44" i="15"/>
  <c r="AK51" i="15" s="1"/>
  <c r="AJ44" i="15"/>
  <c r="AJ51" i="15" s="1"/>
  <c r="AI44" i="15"/>
  <c r="AI51" i="15" s="1"/>
  <c r="AH44" i="15"/>
  <c r="AH51" i="15" s="1"/>
  <c r="AG44" i="15"/>
  <c r="AF44" i="15"/>
  <c r="AF51" i="15" s="1"/>
  <c r="AE44" i="15"/>
  <c r="AE51" i="15" s="1"/>
  <c r="AD44" i="15"/>
  <c r="AP44" i="15" s="1"/>
  <c r="AE38" i="15"/>
  <c r="AO37" i="15"/>
  <c r="AN37" i="15"/>
  <c r="AM37" i="15"/>
  <c r="AL37" i="15"/>
  <c r="AK37" i="15"/>
  <c r="AJ37" i="15"/>
  <c r="AI37" i="15"/>
  <c r="AH37" i="15"/>
  <c r="AG37" i="15"/>
  <c r="AF37" i="15"/>
  <c r="AF38" i="15" s="1"/>
  <c r="AE37" i="15"/>
  <c r="AD37" i="15"/>
  <c r="AP37" i="15" s="1"/>
  <c r="AO32" i="15"/>
  <c r="AO38" i="15" s="1"/>
  <c r="AN32" i="15"/>
  <c r="AN38" i="15" s="1"/>
  <c r="AM32" i="15"/>
  <c r="AM38" i="15" s="1"/>
  <c r="AL32" i="15"/>
  <c r="AL38" i="15" s="1"/>
  <c r="AK32" i="15"/>
  <c r="AK38" i="15" s="1"/>
  <c r="AJ32" i="15"/>
  <c r="AJ38" i="15" s="1"/>
  <c r="AI32" i="15"/>
  <c r="AI38" i="15" s="1"/>
  <c r="AH32" i="15"/>
  <c r="AH38" i="15" s="1"/>
  <c r="AG32" i="15"/>
  <c r="AG38" i="15" s="1"/>
  <c r="AF32" i="15"/>
  <c r="AE32" i="15"/>
  <c r="AD32" i="15"/>
  <c r="AP32" i="15" s="1"/>
  <c r="AD27" i="15"/>
  <c r="AO26" i="15"/>
  <c r="AN26" i="15"/>
  <c r="AM26" i="15"/>
  <c r="AL26" i="15"/>
  <c r="AK26" i="15"/>
  <c r="AJ26" i="15"/>
  <c r="AI26" i="15"/>
  <c r="AH26" i="15"/>
  <c r="AG26" i="15"/>
  <c r="AF26" i="15"/>
  <c r="AE26" i="15"/>
  <c r="AD26" i="15"/>
  <c r="AO5" i="15"/>
  <c r="AO27" i="15" s="1"/>
  <c r="AN5" i="15"/>
  <c r="AN27" i="15" s="1"/>
  <c r="AM5" i="15"/>
  <c r="AM27" i="15" s="1"/>
  <c r="AL5" i="15"/>
  <c r="AL27" i="15" s="1"/>
  <c r="AL52" i="15" s="1"/>
  <c r="AK5" i="15"/>
  <c r="AK27" i="15" s="1"/>
  <c r="AK52" i="15" s="1"/>
  <c r="AJ5" i="15"/>
  <c r="AJ27" i="15" s="1"/>
  <c r="AJ52" i="15" s="1"/>
  <c r="AI5" i="15"/>
  <c r="AI27" i="15" s="1"/>
  <c r="AI52" i="15" s="1"/>
  <c r="AH5" i="15"/>
  <c r="AH27" i="15" s="1"/>
  <c r="AH52" i="15" s="1"/>
  <c r="AG5" i="15"/>
  <c r="AG27" i="15" s="1"/>
  <c r="AF5" i="15"/>
  <c r="AF27" i="15" s="1"/>
  <c r="AE5" i="15"/>
  <c r="AE27" i="15" s="1"/>
  <c r="AD5" i="15"/>
  <c r="AP5" i="15" s="1"/>
  <c r="Q5" i="15"/>
  <c r="R5" i="15"/>
  <c r="S5" i="15"/>
  <c r="T5" i="15"/>
  <c r="T27" i="15" s="1"/>
  <c r="R124" i="15" s="1"/>
  <c r="U5" i="15"/>
  <c r="V5" i="15"/>
  <c r="W5" i="15"/>
  <c r="X5" i="15"/>
  <c r="X27" i="15" s="1"/>
  <c r="V124" i="15" s="1"/>
  <c r="Y5" i="15"/>
  <c r="Y27" i="15" s="1"/>
  <c r="Z5" i="15"/>
  <c r="Z27" i="15" s="1"/>
  <c r="AA5" i="15"/>
  <c r="AA27" i="15" s="1"/>
  <c r="P5" i="15"/>
  <c r="Q50" i="15"/>
  <c r="R50" i="15"/>
  <c r="R51" i="15" s="1"/>
  <c r="S50" i="15"/>
  <c r="S51" i="15" s="1"/>
  <c r="T50" i="15"/>
  <c r="T51" i="15" s="1"/>
  <c r="U50" i="15"/>
  <c r="U51" i="15" s="1"/>
  <c r="V50" i="15"/>
  <c r="V51" i="15" s="1"/>
  <c r="W50" i="15"/>
  <c r="W51" i="15" s="1"/>
  <c r="X50" i="15"/>
  <c r="X51" i="15" s="1"/>
  <c r="Y50" i="15"/>
  <c r="Y51" i="15" s="1"/>
  <c r="Z50" i="15"/>
  <c r="Z51" i="15" s="1"/>
  <c r="AA50" i="15"/>
  <c r="AA51" i="15" s="1"/>
  <c r="Q51" i="15"/>
  <c r="P50" i="15"/>
  <c r="P51" i="15" s="1"/>
  <c r="Q44" i="15"/>
  <c r="R44" i="15"/>
  <c r="S44" i="15"/>
  <c r="T44" i="15"/>
  <c r="U44" i="15"/>
  <c r="V44" i="15"/>
  <c r="W44" i="15"/>
  <c r="X44" i="15"/>
  <c r="Y44" i="15"/>
  <c r="Z44" i="15"/>
  <c r="AA44" i="15"/>
  <c r="P44" i="15"/>
  <c r="Q37" i="15"/>
  <c r="R37" i="15"/>
  <c r="R38" i="15" s="1"/>
  <c r="S37" i="15"/>
  <c r="S38" i="15" s="1"/>
  <c r="T37" i="15"/>
  <c r="T38" i="15" s="1"/>
  <c r="U37" i="15"/>
  <c r="U38" i="15" s="1"/>
  <c r="V37" i="15"/>
  <c r="W37" i="15"/>
  <c r="W38" i="15" s="1"/>
  <c r="X37" i="15"/>
  <c r="X38" i="15" s="1"/>
  <c r="Y37" i="15"/>
  <c r="Z37" i="15"/>
  <c r="Z38" i="15" s="1"/>
  <c r="AA37" i="15"/>
  <c r="AA38" i="15" s="1"/>
  <c r="Q38" i="15"/>
  <c r="V38" i="15"/>
  <c r="Y38" i="15"/>
  <c r="P37" i="15"/>
  <c r="P38" i="15" s="1"/>
  <c r="Q32" i="15"/>
  <c r="R32" i="15"/>
  <c r="S32" i="15"/>
  <c r="T32" i="15"/>
  <c r="U32" i="15"/>
  <c r="V32" i="15"/>
  <c r="W32" i="15"/>
  <c r="X32" i="15"/>
  <c r="Y32" i="15"/>
  <c r="Z32" i="15"/>
  <c r="AA32" i="15"/>
  <c r="P32" i="15"/>
  <c r="AB32" i="15" s="1"/>
  <c r="Q26" i="15"/>
  <c r="R26" i="15"/>
  <c r="S26" i="15"/>
  <c r="T26" i="15"/>
  <c r="U26" i="15"/>
  <c r="V26" i="15"/>
  <c r="W26" i="15"/>
  <c r="X26" i="15"/>
  <c r="Y26" i="15"/>
  <c r="Z26" i="15"/>
  <c r="AA26" i="15"/>
  <c r="AB26" i="15"/>
  <c r="Q27" i="15"/>
  <c r="Q52" i="15" s="1"/>
  <c r="R27" i="15"/>
  <c r="R52" i="15" s="1"/>
  <c r="S27" i="15"/>
  <c r="S52" i="15" s="1"/>
  <c r="U27" i="15"/>
  <c r="S124" i="15" s="1"/>
  <c r="V27" i="15"/>
  <c r="T124" i="15" s="1"/>
  <c r="W27" i="15"/>
  <c r="U124" i="15" s="1"/>
  <c r="P26" i="15"/>
  <c r="P27" i="15" s="1"/>
  <c r="P52" i="15" s="1"/>
  <c r="N35" i="15"/>
  <c r="N36" i="15"/>
  <c r="O124" i="15"/>
  <c r="AC54" i="15"/>
  <c r="O54" i="15"/>
  <c r="B54" i="15"/>
  <c r="O53" i="15"/>
  <c r="AC53" i="15" s="1"/>
  <c r="O52" i="15"/>
  <c r="AC52" i="15" s="1"/>
  <c r="AC51" i="15"/>
  <c r="O51" i="15"/>
  <c r="O50" i="15"/>
  <c r="AC50" i="15" s="1"/>
  <c r="M50" i="15"/>
  <c r="B50" i="15"/>
  <c r="AP48" i="15"/>
  <c r="AB48" i="15"/>
  <c r="N48" i="15"/>
  <c r="AP47" i="15"/>
  <c r="AB47" i="15"/>
  <c r="N47" i="15"/>
  <c r="AP46" i="15"/>
  <c r="AB46" i="15"/>
  <c r="J50" i="15"/>
  <c r="N46" i="15"/>
  <c r="AP45" i="15"/>
  <c r="AB45" i="15"/>
  <c r="L50" i="15"/>
  <c r="K50" i="15"/>
  <c r="I50" i="15"/>
  <c r="H50" i="15"/>
  <c r="G50" i="15"/>
  <c r="F50" i="15"/>
  <c r="E50" i="15"/>
  <c r="D50" i="15"/>
  <c r="C50" i="15"/>
  <c r="N45" i="15"/>
  <c r="AB44" i="15"/>
  <c r="O44" i="15"/>
  <c r="AC44" i="15" s="1"/>
  <c r="K44" i="15"/>
  <c r="J44" i="15"/>
  <c r="I44" i="15"/>
  <c r="N43" i="15"/>
  <c r="AP42" i="15"/>
  <c r="AB42" i="15"/>
  <c r="N42" i="15"/>
  <c r="AP41" i="15"/>
  <c r="AB41" i="15"/>
  <c r="N41" i="15"/>
  <c r="AP40" i="15"/>
  <c r="AB40" i="15"/>
  <c r="H44" i="15"/>
  <c r="H51" i="15" s="1"/>
  <c r="N40" i="15"/>
  <c r="AP39" i="15"/>
  <c r="AB39" i="15"/>
  <c r="M44" i="15"/>
  <c r="L44" i="15"/>
  <c r="G44" i="15"/>
  <c r="F44" i="15"/>
  <c r="E44" i="15"/>
  <c r="D44" i="15"/>
  <c r="C44" i="15"/>
  <c r="B44" i="15"/>
  <c r="O38" i="15"/>
  <c r="AC38" i="15" s="1"/>
  <c r="O37" i="15"/>
  <c r="AC37" i="15" s="1"/>
  <c r="M37" i="15"/>
  <c r="L37" i="15"/>
  <c r="K37" i="15"/>
  <c r="AP35" i="15"/>
  <c r="AB35" i="15"/>
  <c r="AP34" i="15"/>
  <c r="AB34" i="15"/>
  <c r="F37" i="15"/>
  <c r="E37" i="15"/>
  <c r="D37" i="15"/>
  <c r="C37" i="15"/>
  <c r="B37" i="15"/>
  <c r="AP33" i="15"/>
  <c r="AB33" i="15"/>
  <c r="J37" i="15"/>
  <c r="I37" i="15"/>
  <c r="H37" i="15"/>
  <c r="G37" i="15"/>
  <c r="N33" i="15"/>
  <c r="O32" i="15"/>
  <c r="AC32" i="15" s="1"/>
  <c r="F32" i="15"/>
  <c r="E32" i="15"/>
  <c r="D32" i="15"/>
  <c r="C32" i="15"/>
  <c r="AP31" i="15"/>
  <c r="AB31" i="15"/>
  <c r="N31" i="15"/>
  <c r="AP30" i="15"/>
  <c r="AB30" i="15"/>
  <c r="N30" i="15"/>
  <c r="AP29" i="15"/>
  <c r="AB29" i="15"/>
  <c r="K32" i="15"/>
  <c r="I32" i="15"/>
  <c r="H32" i="15"/>
  <c r="N29" i="15"/>
  <c r="AP28" i="15"/>
  <c r="AB28" i="15"/>
  <c r="M32" i="15"/>
  <c r="L32" i="15"/>
  <c r="J32" i="15"/>
  <c r="G32" i="15"/>
  <c r="N28" i="15"/>
  <c r="O27" i="15"/>
  <c r="O26" i="15"/>
  <c r="M26" i="15"/>
  <c r="C26" i="15"/>
  <c r="AP25" i="15"/>
  <c r="AB25" i="15"/>
  <c r="N25" i="15"/>
  <c r="AP24" i="15"/>
  <c r="AB24" i="15"/>
  <c r="N24" i="15"/>
  <c r="AP23" i="15"/>
  <c r="AB23" i="15"/>
  <c r="N23" i="15"/>
  <c r="AP22" i="15"/>
  <c r="AB22" i="15"/>
  <c r="N22" i="15"/>
  <c r="AP21" i="15"/>
  <c r="AB21" i="15"/>
  <c r="N21" i="15"/>
  <c r="AP20" i="15"/>
  <c r="AB20" i="15"/>
  <c r="N20" i="15"/>
  <c r="AP19" i="15"/>
  <c r="AB19" i="15"/>
  <c r="N19" i="15"/>
  <c r="AP18" i="15"/>
  <c r="AB18" i="15"/>
  <c r="N18" i="15"/>
  <c r="AP17" i="15"/>
  <c r="AB17" i="15"/>
  <c r="N17" i="15"/>
  <c r="AP16" i="15"/>
  <c r="AB16" i="15"/>
  <c r="N16" i="15"/>
  <c r="AP15" i="15"/>
  <c r="AB15" i="15"/>
  <c r="N15" i="15"/>
  <c r="AP14" i="15"/>
  <c r="AB14" i="15"/>
  <c r="N14" i="15"/>
  <c r="AP13" i="15"/>
  <c r="AB13" i="15"/>
  <c r="N13" i="15"/>
  <c r="AP12" i="15"/>
  <c r="AB12" i="15"/>
  <c r="N12" i="15"/>
  <c r="AP11" i="15"/>
  <c r="AB11" i="15"/>
  <c r="N11" i="15"/>
  <c r="AP10" i="15"/>
  <c r="AB10" i="15"/>
  <c r="N10" i="15"/>
  <c r="AP9" i="15"/>
  <c r="AB9" i="15"/>
  <c r="N9" i="15"/>
  <c r="AP8" i="15"/>
  <c r="AB8" i="15"/>
  <c r="N8" i="15"/>
  <c r="AP7" i="15"/>
  <c r="AB7" i="15"/>
  <c r="I26" i="15"/>
  <c r="G26" i="15"/>
  <c r="F26" i="15"/>
  <c r="N7" i="15"/>
  <c r="AP6" i="15"/>
  <c r="AB6" i="15"/>
  <c r="L26" i="15"/>
  <c r="K26" i="15"/>
  <c r="J26" i="15"/>
  <c r="H26" i="15"/>
  <c r="H27" i="15" s="1"/>
  <c r="E26" i="15"/>
  <c r="D26" i="15"/>
  <c r="N6" i="15"/>
  <c r="AC5" i="15"/>
  <c r="O5" i="15"/>
  <c r="I5" i="15"/>
  <c r="H5" i="15"/>
  <c r="G5" i="15"/>
  <c r="F5" i="15"/>
  <c r="B5" i="15"/>
  <c r="AP4" i="15"/>
  <c r="AB4" i="15"/>
  <c r="L5" i="15"/>
  <c r="K5" i="15"/>
  <c r="N4" i="15"/>
  <c r="AP3" i="15"/>
  <c r="AB3" i="15"/>
  <c r="M5" i="15"/>
  <c r="J5" i="15"/>
  <c r="E5" i="15"/>
  <c r="D5" i="15"/>
  <c r="C5" i="15"/>
  <c r="N3" i="15"/>
  <c r="AA2" i="15"/>
  <c r="Y123" i="15" s="1"/>
  <c r="Z2" i="15"/>
  <c r="X123" i="15" s="1"/>
  <c r="Y2" i="15"/>
  <c r="W123" i="15" s="1"/>
  <c r="X2" i="15"/>
  <c r="V123" i="15" s="1"/>
  <c r="W2" i="15"/>
  <c r="U123" i="15" s="1"/>
  <c r="V2" i="15"/>
  <c r="T123" i="15" s="1"/>
  <c r="U2" i="15"/>
  <c r="S123" i="15" s="1"/>
  <c r="T2" i="15"/>
  <c r="R123" i="15" s="1"/>
  <c r="S2" i="15"/>
  <c r="Q123" i="15" s="1"/>
  <c r="R2" i="15"/>
  <c r="P123" i="15" s="1"/>
  <c r="Q2" i="15"/>
  <c r="O123" i="15" s="1"/>
  <c r="P2" i="15"/>
  <c r="N123" i="15" s="1"/>
  <c r="M2" i="15"/>
  <c r="M123" i="15" s="1"/>
  <c r="L2" i="15"/>
  <c r="L123" i="15" s="1"/>
  <c r="K2" i="15"/>
  <c r="K123" i="15" s="1"/>
  <c r="J2" i="15"/>
  <c r="J123" i="15" s="1"/>
  <c r="I2" i="15"/>
  <c r="I123" i="15" s="1"/>
  <c r="H2" i="15"/>
  <c r="H123" i="15" s="1"/>
  <c r="G2" i="15"/>
  <c r="G123" i="15" s="1"/>
  <c r="F2" i="15"/>
  <c r="F123" i="15" s="1"/>
  <c r="E2" i="15"/>
  <c r="E123" i="15" s="1"/>
  <c r="D2" i="15"/>
  <c r="D123" i="15" s="1"/>
  <c r="C2" i="15"/>
  <c r="C123" i="15" s="1"/>
  <c r="B2" i="15"/>
  <c r="B123" i="15" s="1"/>
  <c r="C28" i="14"/>
  <c r="C29" i="14"/>
  <c r="C30" i="14"/>
  <c r="C31" i="14"/>
  <c r="C32" i="14"/>
  <c r="C33" i="14"/>
  <c r="C57" i="14" s="1"/>
  <c r="C34" i="14"/>
  <c r="C35" i="14"/>
  <c r="C36" i="14"/>
  <c r="C60" i="14" s="1"/>
  <c r="C37" i="14"/>
  <c r="C61" i="14" s="1"/>
  <c r="C38" i="14"/>
  <c r="C62" i="14" s="1"/>
  <c r="C39" i="14"/>
  <c r="C63" i="14" s="1"/>
  <c r="C40" i="14"/>
  <c r="C41" i="14"/>
  <c r="C42" i="14"/>
  <c r="C43" i="14"/>
  <c r="C67" i="14" s="1"/>
  <c r="C44" i="14"/>
  <c r="C45" i="14"/>
  <c r="C46" i="14"/>
  <c r="C70" i="14" s="1"/>
  <c r="C27" i="14"/>
  <c r="B27" i="14"/>
  <c r="B51" i="14" s="1"/>
  <c r="B29" i="14"/>
  <c r="B30" i="14"/>
  <c r="B54" i="14" s="1"/>
  <c r="B31" i="14"/>
  <c r="B32" i="14"/>
  <c r="B33" i="14"/>
  <c r="B57" i="14" s="1"/>
  <c r="B34" i="14"/>
  <c r="B35" i="14"/>
  <c r="B59" i="14" s="1"/>
  <c r="B36" i="14"/>
  <c r="B60" i="14" s="1"/>
  <c r="B37" i="14"/>
  <c r="B38" i="14"/>
  <c r="B62" i="14" s="1"/>
  <c r="B39" i="14"/>
  <c r="B63" i="14" s="1"/>
  <c r="B40" i="14"/>
  <c r="B64" i="14" s="1"/>
  <c r="B41" i="14"/>
  <c r="B42" i="14"/>
  <c r="B43" i="14"/>
  <c r="B44" i="14"/>
  <c r="B45" i="14"/>
  <c r="B46" i="14"/>
  <c r="B28" i="14"/>
  <c r="B52" i="14" s="1"/>
  <c r="AO49" i="7"/>
  <c r="AN49" i="7"/>
  <c r="AN49" i="5" s="1"/>
  <c r="AM49" i="7"/>
  <c r="AL49" i="7"/>
  <c r="AK49" i="7"/>
  <c r="AJ49" i="7"/>
  <c r="AI49" i="7"/>
  <c r="AH49" i="7"/>
  <c r="AG49" i="7"/>
  <c r="AF49" i="7"/>
  <c r="AE49" i="7"/>
  <c r="AD49" i="7"/>
  <c r="AD49" i="5" s="1"/>
  <c r="AA49" i="7"/>
  <c r="Z49" i="7"/>
  <c r="Y49" i="7"/>
  <c r="X49" i="7"/>
  <c r="W49" i="7"/>
  <c r="V49" i="7"/>
  <c r="V49" i="5" s="1"/>
  <c r="U49" i="7"/>
  <c r="T49" i="7"/>
  <c r="S49" i="7"/>
  <c r="R49" i="7"/>
  <c r="Q49" i="7"/>
  <c r="P49" i="7"/>
  <c r="M49" i="7"/>
  <c r="L49" i="7"/>
  <c r="K49" i="7"/>
  <c r="J49" i="7"/>
  <c r="I49" i="7"/>
  <c r="H49" i="7"/>
  <c r="T50" i="8" s="1"/>
  <c r="G49" i="7"/>
  <c r="F49" i="7"/>
  <c r="E49" i="7"/>
  <c r="D49" i="7"/>
  <c r="H50" i="8" s="1"/>
  <c r="C49" i="7"/>
  <c r="B49" i="7"/>
  <c r="B50" i="8" s="1"/>
  <c r="AO48" i="7"/>
  <c r="AN48" i="7"/>
  <c r="AM48" i="7"/>
  <c r="AL48" i="7"/>
  <c r="AK48" i="7"/>
  <c r="AJ48" i="7"/>
  <c r="AI48" i="7"/>
  <c r="AH48" i="7"/>
  <c r="AG48" i="7"/>
  <c r="AF48" i="7"/>
  <c r="AF48" i="5" s="1"/>
  <c r="AQ23" i="6" s="1"/>
  <c r="AE48" i="7"/>
  <c r="AD48" i="7"/>
  <c r="AD48" i="5" s="1"/>
  <c r="AA48" i="7"/>
  <c r="Z48" i="7"/>
  <c r="Z48" i="5" s="1"/>
  <c r="AG23" i="6" s="1"/>
  <c r="Y48" i="7"/>
  <c r="X48" i="7"/>
  <c r="W48" i="7"/>
  <c r="V48" i="7"/>
  <c r="U48" i="7"/>
  <c r="T48" i="7"/>
  <c r="S48" i="7"/>
  <c r="R48" i="7"/>
  <c r="Q48" i="7"/>
  <c r="P48" i="7"/>
  <c r="M48" i="7"/>
  <c r="M48" i="5" s="1"/>
  <c r="P23" i="6" s="1"/>
  <c r="L48" i="7"/>
  <c r="AF49" i="8" s="1"/>
  <c r="K48" i="7"/>
  <c r="J48" i="7"/>
  <c r="I48" i="7"/>
  <c r="H48" i="7"/>
  <c r="T49" i="8" s="1"/>
  <c r="G48" i="7"/>
  <c r="F48" i="7"/>
  <c r="E48" i="7"/>
  <c r="D48" i="7"/>
  <c r="C48" i="7"/>
  <c r="B48" i="7"/>
  <c r="B49" i="8" s="1"/>
  <c r="AO47" i="7"/>
  <c r="AN47" i="7"/>
  <c r="AM47" i="7"/>
  <c r="AL47" i="7"/>
  <c r="AK47" i="7"/>
  <c r="AJ47" i="7"/>
  <c r="AI47" i="7"/>
  <c r="AH47" i="7"/>
  <c r="AG47" i="7"/>
  <c r="AF47" i="7"/>
  <c r="AF47" i="5" s="1"/>
  <c r="AE47" i="7"/>
  <c r="AD47" i="7"/>
  <c r="AD47" i="5" s="1"/>
  <c r="AA47" i="7"/>
  <c r="Z47" i="7"/>
  <c r="Y47" i="7"/>
  <c r="X47" i="7"/>
  <c r="W47" i="7"/>
  <c r="V47" i="7"/>
  <c r="U47" i="7"/>
  <c r="T47" i="7"/>
  <c r="S47" i="7"/>
  <c r="R47" i="7"/>
  <c r="R47" i="5" s="1"/>
  <c r="Q47" i="7"/>
  <c r="P47" i="7"/>
  <c r="P47" i="5" s="1"/>
  <c r="M47" i="7"/>
  <c r="L47" i="7"/>
  <c r="AF48" i="8" s="1"/>
  <c r="K47" i="7"/>
  <c r="J47" i="7"/>
  <c r="I47" i="7"/>
  <c r="H47" i="7"/>
  <c r="G47" i="7"/>
  <c r="F47" i="7"/>
  <c r="E47" i="7"/>
  <c r="D47" i="7"/>
  <c r="C47" i="7"/>
  <c r="B47" i="7"/>
  <c r="B48" i="8" s="1"/>
  <c r="AO46" i="7"/>
  <c r="AN46" i="7"/>
  <c r="AN46" i="5" s="1"/>
  <c r="AY40" i="6" s="1"/>
  <c r="AM46" i="7"/>
  <c r="AL46" i="7"/>
  <c r="AK46" i="7"/>
  <c r="AJ46" i="7"/>
  <c r="AJ46" i="5" s="1"/>
  <c r="AU40" i="6" s="1"/>
  <c r="AI46" i="7"/>
  <c r="AH46" i="7"/>
  <c r="AG46" i="7"/>
  <c r="AF46" i="7"/>
  <c r="AE46" i="7"/>
  <c r="AD46" i="7"/>
  <c r="AD46" i="5" s="1"/>
  <c r="AO40" i="6" s="1"/>
  <c r="AA46" i="7"/>
  <c r="Z46" i="7"/>
  <c r="Y46" i="7"/>
  <c r="X46" i="7"/>
  <c r="W46" i="7"/>
  <c r="V46" i="7"/>
  <c r="V46" i="5" s="1"/>
  <c r="AC40" i="6" s="1"/>
  <c r="U46" i="7"/>
  <c r="T46" i="7"/>
  <c r="S46" i="7"/>
  <c r="R46" i="7"/>
  <c r="R46" i="5" s="1"/>
  <c r="Y40" i="6" s="1"/>
  <c r="Q46" i="7"/>
  <c r="P46" i="7"/>
  <c r="M46" i="7"/>
  <c r="L46" i="7"/>
  <c r="L46" i="5" s="1"/>
  <c r="O40" i="6" s="1"/>
  <c r="K46" i="7"/>
  <c r="J46" i="7"/>
  <c r="I46" i="7"/>
  <c r="H46" i="7"/>
  <c r="G46" i="7"/>
  <c r="F46" i="7"/>
  <c r="E46" i="7"/>
  <c r="D46" i="7"/>
  <c r="H47" i="8" s="1"/>
  <c r="C46" i="7"/>
  <c r="B46" i="7"/>
  <c r="B47" i="8" s="1"/>
  <c r="AO45" i="7"/>
  <c r="AN45" i="7"/>
  <c r="AN45" i="5" s="1"/>
  <c r="AY41" i="6" s="1"/>
  <c r="AM45" i="7"/>
  <c r="AL45" i="7"/>
  <c r="AK45" i="7"/>
  <c r="AJ45" i="7"/>
  <c r="AI45" i="7"/>
  <c r="AH45" i="7"/>
  <c r="AG45" i="7"/>
  <c r="AF45" i="7"/>
  <c r="AE45" i="7"/>
  <c r="AD45" i="7"/>
  <c r="AD45" i="5" s="1"/>
  <c r="AO41" i="6" s="1"/>
  <c r="AA45" i="7"/>
  <c r="Z45" i="7"/>
  <c r="Z45" i="5" s="1"/>
  <c r="AG41" i="6" s="1"/>
  <c r="Y45" i="7"/>
  <c r="X45" i="7"/>
  <c r="W45" i="7"/>
  <c r="V45" i="7"/>
  <c r="V45" i="5" s="1"/>
  <c r="AC41" i="6" s="1"/>
  <c r="U45" i="7"/>
  <c r="T45" i="7"/>
  <c r="S45" i="7"/>
  <c r="R45" i="7"/>
  <c r="Q45" i="7"/>
  <c r="P45" i="7"/>
  <c r="P45" i="5" s="1"/>
  <c r="W41" i="6" s="1"/>
  <c r="M45" i="7"/>
  <c r="L45" i="7"/>
  <c r="K45" i="7"/>
  <c r="J45" i="7"/>
  <c r="I45" i="7"/>
  <c r="H45" i="7"/>
  <c r="G45" i="7"/>
  <c r="F45" i="7"/>
  <c r="E45" i="7"/>
  <c r="D45" i="7"/>
  <c r="C45" i="7"/>
  <c r="B45" i="7"/>
  <c r="AO43" i="7"/>
  <c r="AN43" i="7"/>
  <c r="AM43" i="7"/>
  <c r="AL43" i="7"/>
  <c r="AK43" i="7"/>
  <c r="AJ43" i="7"/>
  <c r="AI43" i="7"/>
  <c r="AH43" i="7"/>
  <c r="AG43" i="7"/>
  <c r="AF43" i="7"/>
  <c r="AF43" i="5" s="1"/>
  <c r="AE43" i="7"/>
  <c r="AD43" i="7"/>
  <c r="AD43" i="5" s="1"/>
  <c r="AA43" i="7"/>
  <c r="Z43" i="7"/>
  <c r="Z43" i="5" s="1"/>
  <c r="Y43" i="7"/>
  <c r="X43" i="7"/>
  <c r="W43" i="7"/>
  <c r="V43" i="7"/>
  <c r="U43" i="7"/>
  <c r="T43" i="7"/>
  <c r="S43" i="7"/>
  <c r="R43" i="7"/>
  <c r="Q43" i="7"/>
  <c r="P43" i="7"/>
  <c r="M43" i="7"/>
  <c r="L43" i="7"/>
  <c r="AF44" i="8" s="1"/>
  <c r="K43" i="7"/>
  <c r="J43" i="7"/>
  <c r="Z44" i="8" s="1"/>
  <c r="I43" i="7"/>
  <c r="H43" i="7"/>
  <c r="T44" i="8" s="1"/>
  <c r="G43" i="7"/>
  <c r="F43" i="7"/>
  <c r="E43" i="7"/>
  <c r="D43" i="7"/>
  <c r="C43" i="7"/>
  <c r="B43" i="7"/>
  <c r="B44" i="8" s="1"/>
  <c r="AO42" i="7"/>
  <c r="AN42" i="7"/>
  <c r="AM42" i="7"/>
  <c r="AL42" i="7"/>
  <c r="AK42" i="7"/>
  <c r="AJ42" i="7"/>
  <c r="AJ42" i="5" s="1"/>
  <c r="AI42" i="7"/>
  <c r="AH42" i="7"/>
  <c r="AG42" i="7"/>
  <c r="AF42" i="7"/>
  <c r="AF42" i="5" s="1"/>
  <c r="AE42" i="7"/>
  <c r="AD42" i="7"/>
  <c r="AD42" i="5" s="1"/>
  <c r="AA42" i="7"/>
  <c r="Z42" i="7"/>
  <c r="Y42" i="7"/>
  <c r="X42" i="7"/>
  <c r="W42" i="7"/>
  <c r="V42" i="7"/>
  <c r="U42" i="7"/>
  <c r="T42" i="7"/>
  <c r="S42" i="7"/>
  <c r="R42" i="7"/>
  <c r="R42" i="5" s="1"/>
  <c r="Q42" i="7"/>
  <c r="P42" i="7"/>
  <c r="P42" i="5" s="1"/>
  <c r="M42" i="7"/>
  <c r="L42" i="7"/>
  <c r="AF43" i="8" s="1"/>
  <c r="K42" i="7"/>
  <c r="J42" i="7"/>
  <c r="I42" i="7"/>
  <c r="H42" i="7"/>
  <c r="G42" i="7"/>
  <c r="F42" i="7"/>
  <c r="E42" i="7"/>
  <c r="D42" i="7"/>
  <c r="C42" i="7"/>
  <c r="B42" i="7"/>
  <c r="AO41" i="7"/>
  <c r="AN41" i="7"/>
  <c r="AN41" i="5" s="1"/>
  <c r="AM41" i="7"/>
  <c r="AL41" i="7"/>
  <c r="AK41" i="7"/>
  <c r="AJ41" i="7"/>
  <c r="AJ41" i="5" s="1"/>
  <c r="AI41" i="7"/>
  <c r="AH41" i="7"/>
  <c r="AG41" i="7"/>
  <c r="AF41" i="7"/>
  <c r="AE41" i="7"/>
  <c r="AD41" i="7"/>
  <c r="AD41" i="5" s="1"/>
  <c r="AA41" i="7"/>
  <c r="Z41" i="7"/>
  <c r="Y41" i="7"/>
  <c r="X41" i="7"/>
  <c r="W41" i="7"/>
  <c r="V41" i="7"/>
  <c r="V41" i="5" s="1"/>
  <c r="U41" i="7"/>
  <c r="T41" i="7"/>
  <c r="S41" i="7"/>
  <c r="R41" i="7"/>
  <c r="R41" i="5" s="1"/>
  <c r="Q41" i="7"/>
  <c r="P41" i="7"/>
  <c r="P41" i="5" s="1"/>
  <c r="M41" i="7"/>
  <c r="L41" i="7"/>
  <c r="K41" i="7"/>
  <c r="J41" i="7"/>
  <c r="I41" i="7"/>
  <c r="H41" i="7"/>
  <c r="G41" i="7"/>
  <c r="F41" i="7"/>
  <c r="E41" i="7"/>
  <c r="D41" i="7"/>
  <c r="H42" i="8" s="1"/>
  <c r="C41" i="7"/>
  <c r="B41" i="7"/>
  <c r="B42" i="8" s="1"/>
  <c r="AO40" i="7"/>
  <c r="AN40" i="7"/>
  <c r="AN40" i="5" s="1"/>
  <c r="AY35" i="6" s="1"/>
  <c r="AM40" i="7"/>
  <c r="AL40" i="7"/>
  <c r="AK40" i="7"/>
  <c r="AJ40" i="7"/>
  <c r="AI40" i="7"/>
  <c r="AH40" i="7"/>
  <c r="AG40" i="7"/>
  <c r="AF40" i="7"/>
  <c r="AE40" i="7"/>
  <c r="AD40" i="7"/>
  <c r="AD40" i="5" s="1"/>
  <c r="AO35" i="6" s="1"/>
  <c r="AA40" i="7"/>
  <c r="Z40" i="7"/>
  <c r="Z40" i="5" s="1"/>
  <c r="AG35" i="6" s="1"/>
  <c r="Y40" i="7"/>
  <c r="X40" i="7"/>
  <c r="X40" i="5" s="1"/>
  <c r="AE35" i="6" s="1"/>
  <c r="W40" i="7"/>
  <c r="V40" i="7"/>
  <c r="V40" i="5" s="1"/>
  <c r="AC35" i="6" s="1"/>
  <c r="U40" i="7"/>
  <c r="T40" i="7"/>
  <c r="S40" i="7"/>
  <c r="R40" i="7"/>
  <c r="Q40" i="7"/>
  <c r="P40" i="7"/>
  <c r="P40" i="5" s="1"/>
  <c r="W35" i="6" s="1"/>
  <c r="M40" i="7"/>
  <c r="L40" i="7"/>
  <c r="K40" i="7"/>
  <c r="J40" i="7"/>
  <c r="I40" i="7"/>
  <c r="H40" i="7"/>
  <c r="T41" i="8" s="1"/>
  <c r="G40" i="7"/>
  <c r="F40" i="7"/>
  <c r="E40" i="7"/>
  <c r="D40" i="7"/>
  <c r="H41" i="8" s="1"/>
  <c r="C40" i="7"/>
  <c r="B40" i="7"/>
  <c r="B41" i="8" s="1"/>
  <c r="AO39" i="7"/>
  <c r="AN39" i="7"/>
  <c r="AM39" i="7"/>
  <c r="AL39" i="7"/>
  <c r="AK39" i="7"/>
  <c r="AJ39" i="7"/>
  <c r="AI39" i="7"/>
  <c r="AH39" i="7"/>
  <c r="AG39" i="7"/>
  <c r="AF39" i="7"/>
  <c r="AE39" i="7"/>
  <c r="AD39" i="7"/>
  <c r="AD39" i="5" s="1"/>
  <c r="AA39" i="7"/>
  <c r="Z39" i="7"/>
  <c r="Z39" i="5" s="1"/>
  <c r="AG36" i="6" s="1"/>
  <c r="Y39" i="7"/>
  <c r="X39" i="7"/>
  <c r="W39" i="7"/>
  <c r="V39" i="7"/>
  <c r="U39" i="7"/>
  <c r="T39" i="7"/>
  <c r="S39" i="7"/>
  <c r="R39" i="7"/>
  <c r="Q39" i="7"/>
  <c r="P39" i="7"/>
  <c r="P39" i="5" s="1"/>
  <c r="W36" i="6" s="1"/>
  <c r="M39" i="7"/>
  <c r="AI40" i="8" s="1"/>
  <c r="L39" i="7"/>
  <c r="L39" i="5" s="1"/>
  <c r="O36" i="6" s="1"/>
  <c r="K39" i="7"/>
  <c r="J39" i="7"/>
  <c r="Z40" i="8" s="1"/>
  <c r="I39" i="7"/>
  <c r="H39" i="7"/>
  <c r="G39" i="7"/>
  <c r="F39" i="7"/>
  <c r="E39" i="7"/>
  <c r="D39" i="7"/>
  <c r="C39" i="7"/>
  <c r="B39" i="7"/>
  <c r="B40" i="8" s="1"/>
  <c r="AO36" i="7"/>
  <c r="AN36" i="7"/>
  <c r="AM36" i="7"/>
  <c r="AL36" i="7"/>
  <c r="AK36" i="7"/>
  <c r="AJ36" i="7"/>
  <c r="AJ36" i="5" s="1"/>
  <c r="AI36" i="7"/>
  <c r="AH36" i="7"/>
  <c r="AG36" i="7"/>
  <c r="AF36" i="7"/>
  <c r="AF36" i="5" s="1"/>
  <c r="AE36" i="7"/>
  <c r="AD36" i="7"/>
  <c r="AD36" i="5" s="1"/>
  <c r="AA36" i="7"/>
  <c r="Z36" i="7"/>
  <c r="Y36" i="7"/>
  <c r="X36" i="7"/>
  <c r="W36" i="7"/>
  <c r="V36" i="7"/>
  <c r="U36" i="7"/>
  <c r="T36" i="7"/>
  <c r="S36" i="7"/>
  <c r="R36" i="7"/>
  <c r="R36" i="5" s="1"/>
  <c r="Q36" i="7"/>
  <c r="P36" i="7"/>
  <c r="P36" i="5" s="1"/>
  <c r="M36" i="7"/>
  <c r="L36" i="7"/>
  <c r="AF37" i="8" s="1"/>
  <c r="K36" i="7"/>
  <c r="J36" i="7"/>
  <c r="I36" i="7"/>
  <c r="H36" i="7"/>
  <c r="G36" i="7"/>
  <c r="F36" i="7"/>
  <c r="N37" i="8" s="1"/>
  <c r="E36" i="7"/>
  <c r="D36" i="7"/>
  <c r="C36" i="7"/>
  <c r="B36" i="7"/>
  <c r="B37" i="8" s="1"/>
  <c r="AO35" i="7"/>
  <c r="AN35" i="7"/>
  <c r="AN35" i="5" s="1"/>
  <c r="AM35" i="7"/>
  <c r="AL35" i="7"/>
  <c r="AL35" i="5" s="1"/>
  <c r="AK35" i="7"/>
  <c r="AJ35" i="7"/>
  <c r="AJ35" i="5" s="1"/>
  <c r="AI35" i="7"/>
  <c r="AH35" i="7"/>
  <c r="AG35" i="7"/>
  <c r="AF35" i="7"/>
  <c r="AE35" i="7"/>
  <c r="AD35" i="7"/>
  <c r="AA35" i="7"/>
  <c r="Z35" i="7"/>
  <c r="Y35" i="7"/>
  <c r="X35" i="7"/>
  <c r="W35" i="7"/>
  <c r="V35" i="7"/>
  <c r="V35" i="5" s="1"/>
  <c r="U35" i="7"/>
  <c r="T35" i="7"/>
  <c r="T35" i="5" s="1"/>
  <c r="S35" i="7"/>
  <c r="R35" i="7"/>
  <c r="R35" i="5" s="1"/>
  <c r="Q35" i="7"/>
  <c r="P35" i="7"/>
  <c r="M35" i="7"/>
  <c r="L35" i="7"/>
  <c r="L35" i="5" s="1"/>
  <c r="K35" i="7"/>
  <c r="K35" i="5" s="1"/>
  <c r="J35" i="7"/>
  <c r="I35" i="7"/>
  <c r="H35" i="7"/>
  <c r="G35" i="7"/>
  <c r="F35" i="7"/>
  <c r="E35" i="7"/>
  <c r="K36" i="8" s="1"/>
  <c r="D35" i="7"/>
  <c r="H36" i="8" s="1"/>
  <c r="C35" i="7"/>
  <c r="B35" i="7"/>
  <c r="AO34" i="7"/>
  <c r="AN34" i="7"/>
  <c r="AN34" i="5" s="1"/>
  <c r="AY30" i="6" s="1"/>
  <c r="AM34" i="7"/>
  <c r="AL34" i="7"/>
  <c r="AK34" i="7"/>
  <c r="AJ34" i="7"/>
  <c r="AI34" i="7"/>
  <c r="AH34" i="7"/>
  <c r="AG34" i="7"/>
  <c r="AF34" i="7"/>
  <c r="AE34" i="7"/>
  <c r="AD34" i="7"/>
  <c r="AD34" i="5" s="1"/>
  <c r="AO30" i="6" s="1"/>
  <c r="AA34" i="7"/>
  <c r="Z34" i="7"/>
  <c r="Y34" i="7"/>
  <c r="X34" i="7"/>
  <c r="X34" i="5" s="1"/>
  <c r="AE30" i="6" s="1"/>
  <c r="W34" i="7"/>
  <c r="V34" i="7"/>
  <c r="U34" i="7"/>
  <c r="T34" i="7"/>
  <c r="S34" i="7"/>
  <c r="R34" i="7"/>
  <c r="Q34" i="7"/>
  <c r="P34" i="7"/>
  <c r="P34" i="5" s="1"/>
  <c r="W30" i="6" s="1"/>
  <c r="M34" i="7"/>
  <c r="L34" i="7"/>
  <c r="K34" i="7"/>
  <c r="J34" i="7"/>
  <c r="I34" i="7"/>
  <c r="H34" i="7"/>
  <c r="T35" i="8" s="1"/>
  <c r="G34" i="7"/>
  <c r="F34" i="7"/>
  <c r="N35" i="8" s="1"/>
  <c r="E34" i="7"/>
  <c r="D34" i="7"/>
  <c r="H35" i="8" s="1"/>
  <c r="C34" i="7"/>
  <c r="B34" i="7"/>
  <c r="B35" i="8" s="1"/>
  <c r="AO33" i="7"/>
  <c r="AN33" i="7"/>
  <c r="AM33" i="7"/>
  <c r="AL33" i="7"/>
  <c r="AK33" i="7"/>
  <c r="AJ33" i="7"/>
  <c r="AI33" i="7"/>
  <c r="AH33" i="7"/>
  <c r="AG33" i="7"/>
  <c r="AG33" i="5" s="1"/>
  <c r="AR42" i="6" s="1"/>
  <c r="AF33" i="7"/>
  <c r="AF33" i="5" s="1"/>
  <c r="AQ42" i="6" s="1"/>
  <c r="AE33" i="7"/>
  <c r="AD33" i="7"/>
  <c r="AD33" i="5" s="1"/>
  <c r="AA33" i="7"/>
  <c r="Z33" i="7"/>
  <c r="Y33" i="7"/>
  <c r="X33" i="7"/>
  <c r="W33" i="7"/>
  <c r="V33" i="7"/>
  <c r="U33" i="7"/>
  <c r="T33" i="7"/>
  <c r="S33" i="7"/>
  <c r="R33" i="7"/>
  <c r="Q33" i="7"/>
  <c r="P33" i="7"/>
  <c r="P33" i="5" s="1"/>
  <c r="W42" i="6" s="1"/>
  <c r="M33" i="7"/>
  <c r="L33" i="7"/>
  <c r="AF34" i="8" s="1"/>
  <c r="K33" i="7"/>
  <c r="J33" i="7"/>
  <c r="I33" i="7"/>
  <c r="H33" i="7"/>
  <c r="T34" i="8" s="1"/>
  <c r="G33" i="7"/>
  <c r="F33" i="7"/>
  <c r="E33" i="7"/>
  <c r="D33" i="7"/>
  <c r="C33" i="7"/>
  <c r="B33" i="7"/>
  <c r="B34" i="8" s="1"/>
  <c r="AO31" i="7"/>
  <c r="AN31" i="7"/>
  <c r="AM31" i="7"/>
  <c r="AL31" i="7"/>
  <c r="AK31" i="7"/>
  <c r="AK31" i="5" s="1"/>
  <c r="AJ31" i="7"/>
  <c r="AJ31" i="5" s="1"/>
  <c r="AI31" i="7"/>
  <c r="AH31" i="7"/>
  <c r="AG31" i="7"/>
  <c r="AF31" i="7"/>
  <c r="AF31" i="5" s="1"/>
  <c r="AE31" i="7"/>
  <c r="AD31" i="7"/>
  <c r="AD31" i="5" s="1"/>
  <c r="AB31" i="7"/>
  <c r="AA31" i="7"/>
  <c r="Z31" i="7"/>
  <c r="Y31" i="7"/>
  <c r="Y31" i="5" s="1"/>
  <c r="X31" i="7"/>
  <c r="W31" i="7"/>
  <c r="V31" i="7"/>
  <c r="U31" i="7"/>
  <c r="T31" i="7"/>
  <c r="S31" i="7"/>
  <c r="S31" i="5" s="1"/>
  <c r="R31" i="7"/>
  <c r="Q31" i="7"/>
  <c r="Q31" i="5" s="1"/>
  <c r="P31" i="7"/>
  <c r="M31" i="7"/>
  <c r="M31" i="5" s="1"/>
  <c r="L31" i="7"/>
  <c r="K31" i="7"/>
  <c r="AC32" i="8" s="1"/>
  <c r="J31" i="7"/>
  <c r="I31" i="7"/>
  <c r="H31" i="7"/>
  <c r="G31" i="7"/>
  <c r="Q32" i="8" s="1"/>
  <c r="F31" i="7"/>
  <c r="E31" i="7"/>
  <c r="D31" i="7"/>
  <c r="C31" i="7"/>
  <c r="B31" i="7"/>
  <c r="AO30" i="7"/>
  <c r="AO30" i="5" s="1"/>
  <c r="AN30" i="7"/>
  <c r="AM30" i="7"/>
  <c r="AM30" i="5" s="1"/>
  <c r="AL30" i="7"/>
  <c r="AK30" i="7"/>
  <c r="AK30" i="5" s="1"/>
  <c r="AJ30" i="7"/>
  <c r="AI30" i="7"/>
  <c r="AH30" i="7"/>
  <c r="AG30" i="7"/>
  <c r="AF30" i="7"/>
  <c r="AE30" i="7"/>
  <c r="AE30" i="5" s="1"/>
  <c r="AD30" i="7"/>
  <c r="AB30" i="7"/>
  <c r="AA30" i="7"/>
  <c r="Z30" i="7"/>
  <c r="Y30" i="7"/>
  <c r="X30" i="7"/>
  <c r="X30" i="5" s="1"/>
  <c r="W30" i="7"/>
  <c r="V30" i="7"/>
  <c r="V30" i="5" s="1"/>
  <c r="U30" i="7"/>
  <c r="T30" i="7"/>
  <c r="T30" i="5" s="1"/>
  <c r="S30" i="7"/>
  <c r="R30" i="7"/>
  <c r="R30" i="5" s="1"/>
  <c r="Q30" i="7"/>
  <c r="P30" i="7"/>
  <c r="M30" i="7"/>
  <c r="L30" i="7"/>
  <c r="AF31" i="8" s="1"/>
  <c r="K30" i="7"/>
  <c r="J30" i="7"/>
  <c r="I30" i="7"/>
  <c r="H30" i="7"/>
  <c r="G30" i="7"/>
  <c r="Q31" i="8" s="1"/>
  <c r="F30" i="7"/>
  <c r="N31" i="8" s="1"/>
  <c r="E30" i="7"/>
  <c r="D30" i="7"/>
  <c r="H31" i="8" s="1"/>
  <c r="C30" i="7"/>
  <c r="B30" i="7"/>
  <c r="B31" i="8" s="1"/>
  <c r="AO29" i="7"/>
  <c r="AN29" i="7"/>
  <c r="AM29" i="7"/>
  <c r="AL29" i="7"/>
  <c r="AK29" i="7"/>
  <c r="AJ29" i="7"/>
  <c r="AJ29" i="5" s="1"/>
  <c r="AU26" i="6" s="1"/>
  <c r="AI29" i="7"/>
  <c r="AH29" i="7"/>
  <c r="AH29" i="5" s="1"/>
  <c r="AS26" i="6" s="1"/>
  <c r="AG29" i="7"/>
  <c r="AF29" i="7"/>
  <c r="AF29" i="5" s="1"/>
  <c r="AQ26" i="6" s="1"/>
  <c r="AE29" i="7"/>
  <c r="AD29" i="7"/>
  <c r="AD29" i="5" s="1"/>
  <c r="AB29" i="7"/>
  <c r="AA29" i="7"/>
  <c r="Z29" i="7"/>
  <c r="Y29" i="7"/>
  <c r="Y29" i="5" s="1"/>
  <c r="AF26" i="6" s="1"/>
  <c r="X29" i="7"/>
  <c r="W29" i="7"/>
  <c r="V29" i="7"/>
  <c r="U29" i="7"/>
  <c r="T29" i="7"/>
  <c r="S29" i="7"/>
  <c r="S29" i="5" s="1"/>
  <c r="Z26" i="6" s="1"/>
  <c r="R29" i="7"/>
  <c r="Q29" i="7"/>
  <c r="P29" i="7"/>
  <c r="M29" i="7"/>
  <c r="L29" i="7"/>
  <c r="AF30" i="8" s="1"/>
  <c r="K29" i="7"/>
  <c r="K29" i="5" s="1"/>
  <c r="N26" i="6" s="1"/>
  <c r="J29" i="7"/>
  <c r="I29" i="7"/>
  <c r="W30" i="8" s="1"/>
  <c r="H29" i="7"/>
  <c r="G29" i="7"/>
  <c r="Q30" i="8" s="1"/>
  <c r="F29" i="7"/>
  <c r="E29" i="7"/>
  <c r="K30" i="8" s="1"/>
  <c r="D29" i="7"/>
  <c r="C29" i="7"/>
  <c r="B29" i="7"/>
  <c r="AO28" i="7"/>
  <c r="AN28" i="7"/>
  <c r="AM28" i="7"/>
  <c r="AL28" i="7"/>
  <c r="AK28" i="7"/>
  <c r="AJ28" i="7"/>
  <c r="AI28" i="7"/>
  <c r="AI28" i="5" s="1"/>
  <c r="AT37" i="6" s="1"/>
  <c r="AH28" i="7"/>
  <c r="AG28" i="7"/>
  <c r="AG28" i="5" s="1"/>
  <c r="AR37" i="6" s="1"/>
  <c r="AF28" i="7"/>
  <c r="AE28" i="7"/>
  <c r="AE28" i="5" s="1"/>
  <c r="AP37" i="6" s="1"/>
  <c r="AD28" i="7"/>
  <c r="AB28" i="7"/>
  <c r="AA28" i="7"/>
  <c r="Z28" i="7"/>
  <c r="Z28" i="5" s="1"/>
  <c r="AG37" i="6" s="1"/>
  <c r="Y28" i="7"/>
  <c r="X28" i="7"/>
  <c r="W28" i="7"/>
  <c r="V28" i="7"/>
  <c r="U28" i="7"/>
  <c r="T28" i="7"/>
  <c r="T28" i="5" s="1"/>
  <c r="AA37" i="6" s="1"/>
  <c r="S28" i="7"/>
  <c r="R28" i="7"/>
  <c r="R28" i="5" s="1"/>
  <c r="Y37" i="6" s="1"/>
  <c r="Q28" i="7"/>
  <c r="P28" i="7"/>
  <c r="M28" i="7"/>
  <c r="L28" i="7"/>
  <c r="L28" i="5" s="1"/>
  <c r="O37" i="6" s="1"/>
  <c r="K28" i="7"/>
  <c r="AC29" i="8" s="1"/>
  <c r="J28" i="7"/>
  <c r="I28" i="7"/>
  <c r="H28" i="7"/>
  <c r="G28" i="7"/>
  <c r="F28" i="7"/>
  <c r="N29" i="8" s="1"/>
  <c r="E28" i="7"/>
  <c r="D28" i="7"/>
  <c r="C28" i="7"/>
  <c r="B28" i="7"/>
  <c r="AO24" i="7"/>
  <c r="AO24" i="5" s="1"/>
  <c r="AN24" i="7"/>
  <c r="AN24" i="5" s="1"/>
  <c r="AM24" i="7"/>
  <c r="AL24" i="7"/>
  <c r="AL24" i="5" s="1"/>
  <c r="AK24" i="7"/>
  <c r="AJ24" i="7"/>
  <c r="AJ24" i="5" s="1"/>
  <c r="AI24" i="7"/>
  <c r="AH24" i="7"/>
  <c r="AH24" i="5" s="1"/>
  <c r="AG24" i="7"/>
  <c r="AF24" i="7"/>
  <c r="AF24" i="5" s="1"/>
  <c r="AE24" i="7"/>
  <c r="AD24" i="7"/>
  <c r="AD24" i="5" s="1"/>
  <c r="AA24" i="7"/>
  <c r="Z24" i="7"/>
  <c r="Y24" i="7"/>
  <c r="X24" i="7"/>
  <c r="W24" i="7"/>
  <c r="W24" i="5" s="1"/>
  <c r="V24" i="7"/>
  <c r="V24" i="5" s="1"/>
  <c r="U24" i="7"/>
  <c r="T24" i="7"/>
  <c r="T24" i="5" s="1"/>
  <c r="S24" i="7"/>
  <c r="R24" i="7"/>
  <c r="R24" i="5" s="1"/>
  <c r="Q24" i="7"/>
  <c r="P24" i="7"/>
  <c r="M24" i="7"/>
  <c r="L24" i="7"/>
  <c r="L24" i="5" s="1"/>
  <c r="K24" i="7"/>
  <c r="K24" i="5" s="1"/>
  <c r="J24" i="7"/>
  <c r="I24" i="7"/>
  <c r="H24" i="7"/>
  <c r="G24" i="7"/>
  <c r="F24" i="7"/>
  <c r="N25" i="8" s="1"/>
  <c r="E24" i="7"/>
  <c r="K25" i="8" s="1"/>
  <c r="D24" i="7"/>
  <c r="H25" i="8" s="1"/>
  <c r="C24" i="7"/>
  <c r="B24" i="7"/>
  <c r="AO13" i="7"/>
  <c r="AN13" i="7"/>
  <c r="AN13" i="5" s="1"/>
  <c r="AM13" i="7"/>
  <c r="AL13" i="7"/>
  <c r="AK13" i="7"/>
  <c r="AK13" i="5" s="1"/>
  <c r="AJ13" i="7"/>
  <c r="AJ13" i="5" s="1"/>
  <c r="AI13" i="7"/>
  <c r="AH13" i="7"/>
  <c r="AH13" i="5" s="1"/>
  <c r="AG13" i="7"/>
  <c r="AF13" i="7"/>
  <c r="AE13" i="7"/>
  <c r="AD13" i="7"/>
  <c r="AA13" i="7"/>
  <c r="AA13" i="5" s="1"/>
  <c r="Z13" i="7"/>
  <c r="Z13" i="5" s="1"/>
  <c r="Y13" i="7"/>
  <c r="X13" i="7"/>
  <c r="X13" i="5" s="1"/>
  <c r="W13" i="7"/>
  <c r="V13" i="7"/>
  <c r="V13" i="5" s="1"/>
  <c r="U13" i="7"/>
  <c r="T13" i="7"/>
  <c r="T13" i="5" s="1"/>
  <c r="S13" i="7"/>
  <c r="R13" i="7"/>
  <c r="R13" i="5" s="1"/>
  <c r="Q13" i="7"/>
  <c r="P13" i="7"/>
  <c r="M13" i="7"/>
  <c r="M13" i="5" s="1"/>
  <c r="L13" i="7"/>
  <c r="K13" i="7"/>
  <c r="K13" i="5" s="1"/>
  <c r="J13" i="7"/>
  <c r="I13" i="7"/>
  <c r="H13" i="7"/>
  <c r="T14" i="8" s="1"/>
  <c r="G13" i="7"/>
  <c r="F13" i="7"/>
  <c r="N14" i="8" s="1"/>
  <c r="E13" i="7"/>
  <c r="K14" i="8" s="1"/>
  <c r="D13" i="7"/>
  <c r="H14" i="8" s="1"/>
  <c r="C13" i="7"/>
  <c r="B13" i="7"/>
  <c r="AO12" i="7"/>
  <c r="AN12" i="7"/>
  <c r="AN12" i="5" s="1"/>
  <c r="AM12" i="7"/>
  <c r="AL12" i="7"/>
  <c r="AK12" i="7"/>
  <c r="AJ12" i="7"/>
  <c r="AJ12" i="5" s="1"/>
  <c r="AI12" i="7"/>
  <c r="AH12" i="7"/>
  <c r="AH12" i="5" s="1"/>
  <c r="AG12" i="7"/>
  <c r="AG12" i="5" s="1"/>
  <c r="AF12" i="7"/>
  <c r="AF12" i="5" s="1"/>
  <c r="AE12" i="7"/>
  <c r="AD12" i="7"/>
  <c r="AD12" i="5" s="1"/>
  <c r="AA12" i="7"/>
  <c r="Z12" i="7"/>
  <c r="Z12" i="5" s="1"/>
  <c r="Y12" i="7"/>
  <c r="X12" i="7"/>
  <c r="W12" i="7"/>
  <c r="V12" i="7"/>
  <c r="V12" i="5" s="1"/>
  <c r="U12" i="7"/>
  <c r="T12" i="7"/>
  <c r="T12" i="5" s="1"/>
  <c r="S12" i="7"/>
  <c r="R12" i="7"/>
  <c r="Q12" i="7"/>
  <c r="P12" i="7"/>
  <c r="M12" i="7"/>
  <c r="M12" i="5" s="1"/>
  <c r="L12" i="7"/>
  <c r="L12" i="5" s="1"/>
  <c r="K12" i="7"/>
  <c r="K12" i="5" s="1"/>
  <c r="J12" i="7"/>
  <c r="I12" i="7"/>
  <c r="H12" i="7"/>
  <c r="T13" i="8" s="1"/>
  <c r="G12" i="7"/>
  <c r="F12" i="7"/>
  <c r="E12" i="7"/>
  <c r="D12" i="7"/>
  <c r="H13" i="8" s="1"/>
  <c r="C12" i="7"/>
  <c r="B12" i="7"/>
  <c r="B13" i="8" s="1"/>
  <c r="AO11" i="7"/>
  <c r="AN11" i="7"/>
  <c r="AM11" i="7"/>
  <c r="AL11" i="7"/>
  <c r="AK11" i="7"/>
  <c r="AJ11" i="7"/>
  <c r="AJ11" i="5" s="1"/>
  <c r="AI11" i="7"/>
  <c r="AH11" i="7"/>
  <c r="AG11" i="7"/>
  <c r="AF11" i="7"/>
  <c r="AF11" i="5" s="1"/>
  <c r="AE11" i="7"/>
  <c r="AD11" i="7"/>
  <c r="AA11" i="7"/>
  <c r="Z11" i="7"/>
  <c r="Z11" i="5" s="1"/>
  <c r="Y11" i="7"/>
  <c r="X11" i="7"/>
  <c r="W11" i="7"/>
  <c r="V11" i="7"/>
  <c r="V11" i="5" s="1"/>
  <c r="U11" i="7"/>
  <c r="T11" i="7"/>
  <c r="T11" i="5" s="1"/>
  <c r="S11" i="7"/>
  <c r="R11" i="7"/>
  <c r="Q11" i="7"/>
  <c r="P11" i="7"/>
  <c r="M11" i="7"/>
  <c r="AI12" i="8" s="1"/>
  <c r="L11" i="7"/>
  <c r="L11" i="5" s="1"/>
  <c r="K11" i="7"/>
  <c r="J11" i="7"/>
  <c r="I11" i="7"/>
  <c r="H11" i="7"/>
  <c r="T12" i="8" s="1"/>
  <c r="G11" i="7"/>
  <c r="Q12" i="8" s="1"/>
  <c r="F11" i="7"/>
  <c r="N12" i="8" s="1"/>
  <c r="E11" i="7"/>
  <c r="D11" i="7"/>
  <c r="C11" i="7"/>
  <c r="B11" i="7"/>
  <c r="AO10" i="7"/>
  <c r="AO10" i="5" s="1"/>
  <c r="AN10" i="7"/>
  <c r="AN10" i="5" s="1"/>
  <c r="AM10" i="7"/>
  <c r="AL10" i="7"/>
  <c r="AK10" i="7"/>
  <c r="AK10" i="5" s="1"/>
  <c r="AJ10" i="7"/>
  <c r="AJ10" i="5" s="1"/>
  <c r="AI10" i="7"/>
  <c r="AH10" i="7"/>
  <c r="AH10" i="5" s="1"/>
  <c r="AG10" i="7"/>
  <c r="AF10" i="7"/>
  <c r="AF10" i="5" s="1"/>
  <c r="AE10" i="7"/>
  <c r="AE10" i="5" s="1"/>
  <c r="AD10" i="7"/>
  <c r="AD10" i="5" s="1"/>
  <c r="AA10" i="7"/>
  <c r="Z10" i="7"/>
  <c r="Y10" i="7"/>
  <c r="X10" i="7"/>
  <c r="W10" i="7"/>
  <c r="V10" i="7"/>
  <c r="V10" i="5" s="1"/>
  <c r="U10" i="7"/>
  <c r="T10" i="7"/>
  <c r="T10" i="5" s="1"/>
  <c r="S10" i="7"/>
  <c r="R10" i="7"/>
  <c r="R10" i="5" s="1"/>
  <c r="Q10" i="7"/>
  <c r="P10" i="7"/>
  <c r="M10" i="7"/>
  <c r="M10" i="5" s="1"/>
  <c r="L10" i="7"/>
  <c r="L10" i="5" s="1"/>
  <c r="K10" i="7"/>
  <c r="J10" i="7"/>
  <c r="I10" i="7"/>
  <c r="H10" i="7"/>
  <c r="T11" i="8" s="1"/>
  <c r="G10" i="7"/>
  <c r="F10" i="7"/>
  <c r="N11" i="8" s="1"/>
  <c r="E10" i="7"/>
  <c r="K11" i="8" s="1"/>
  <c r="D10" i="7"/>
  <c r="H11" i="8" s="1"/>
  <c r="C10" i="7"/>
  <c r="B10" i="7"/>
  <c r="AO9" i="7"/>
  <c r="AN9" i="7"/>
  <c r="AN9" i="5" s="1"/>
  <c r="AM9" i="7"/>
  <c r="AL9" i="7"/>
  <c r="AK9" i="7"/>
  <c r="AJ9" i="7"/>
  <c r="AJ9" i="5" s="1"/>
  <c r="AI9" i="7"/>
  <c r="AH9" i="7"/>
  <c r="AG9" i="7"/>
  <c r="AF9" i="7"/>
  <c r="AE9" i="7"/>
  <c r="AD9" i="7"/>
  <c r="AA9" i="7"/>
  <c r="Z9" i="7"/>
  <c r="Z9" i="5" s="1"/>
  <c r="Y9" i="7"/>
  <c r="X9" i="7"/>
  <c r="X9" i="5" s="1"/>
  <c r="W9" i="7"/>
  <c r="V9" i="7"/>
  <c r="V9" i="5" s="1"/>
  <c r="U9" i="7"/>
  <c r="T9" i="7"/>
  <c r="S9" i="7"/>
  <c r="R9" i="7"/>
  <c r="Q9" i="7"/>
  <c r="P9" i="7"/>
  <c r="M9" i="7"/>
  <c r="M9" i="5" s="1"/>
  <c r="L9" i="7"/>
  <c r="K9" i="7"/>
  <c r="K9" i="5" s="1"/>
  <c r="J9" i="7"/>
  <c r="I9" i="7"/>
  <c r="W10" i="8" s="1"/>
  <c r="H9" i="7"/>
  <c r="T10" i="8" s="1"/>
  <c r="G9" i="7"/>
  <c r="F9" i="7"/>
  <c r="E9" i="7"/>
  <c r="K10" i="8" s="1"/>
  <c r="D9" i="7"/>
  <c r="H10" i="8" s="1"/>
  <c r="C9" i="7"/>
  <c r="B9" i="7"/>
  <c r="AO8" i="7"/>
  <c r="AN8" i="7"/>
  <c r="AN8" i="5" s="1"/>
  <c r="AY21" i="6" s="1"/>
  <c r="AM8" i="7"/>
  <c r="AM8" i="5" s="1"/>
  <c r="AX21" i="6" s="1"/>
  <c r="AL8" i="7"/>
  <c r="AK8" i="7"/>
  <c r="AK8" i="5" s="1"/>
  <c r="AV21" i="6" s="1"/>
  <c r="AJ8" i="7"/>
  <c r="AJ8" i="5" s="1"/>
  <c r="AU21" i="6" s="1"/>
  <c r="AI8" i="7"/>
  <c r="AH8" i="7"/>
  <c r="AH8" i="5" s="1"/>
  <c r="AS21" i="6" s="1"/>
  <c r="AG8" i="7"/>
  <c r="AG8" i="5" s="1"/>
  <c r="AR21" i="6" s="1"/>
  <c r="AF8" i="7"/>
  <c r="AF8" i="5" s="1"/>
  <c r="AQ21" i="6" s="1"/>
  <c r="AE8" i="7"/>
  <c r="AD8" i="7"/>
  <c r="AD8" i="5" s="1"/>
  <c r="AO21" i="6" s="1"/>
  <c r="AA8" i="7"/>
  <c r="Z8" i="7"/>
  <c r="Z8" i="5" s="1"/>
  <c r="AG21" i="6" s="1"/>
  <c r="Y8" i="7"/>
  <c r="X8" i="7"/>
  <c r="W8" i="7"/>
  <c r="V8" i="7"/>
  <c r="V8" i="5" s="1"/>
  <c r="AC21" i="6" s="1"/>
  <c r="U8" i="7"/>
  <c r="T8" i="7"/>
  <c r="T8" i="5" s="1"/>
  <c r="AA21" i="6" s="1"/>
  <c r="S8" i="7"/>
  <c r="S8" i="5" s="1"/>
  <c r="Z21" i="6" s="1"/>
  <c r="R8" i="7"/>
  <c r="Q8" i="7"/>
  <c r="P8" i="7"/>
  <c r="M8" i="7"/>
  <c r="M8" i="5" s="1"/>
  <c r="P21" i="6" s="1"/>
  <c r="L8" i="7"/>
  <c r="L8" i="5" s="1"/>
  <c r="O21" i="6" s="1"/>
  <c r="K8" i="7"/>
  <c r="AC9" i="8" s="1"/>
  <c r="J8" i="7"/>
  <c r="Z9" i="8" s="1"/>
  <c r="I8" i="7"/>
  <c r="W9" i="8" s="1"/>
  <c r="H8" i="7"/>
  <c r="T9" i="8" s="1"/>
  <c r="G8" i="7"/>
  <c r="F8" i="7"/>
  <c r="N9" i="8" s="1"/>
  <c r="E8" i="7"/>
  <c r="D8" i="7"/>
  <c r="C8" i="7"/>
  <c r="B8" i="7"/>
  <c r="AO7" i="7"/>
  <c r="AN7" i="7"/>
  <c r="AM7" i="7"/>
  <c r="AL7" i="7"/>
  <c r="AK7" i="7"/>
  <c r="AJ7" i="7"/>
  <c r="AJ7" i="5" s="1"/>
  <c r="AI7" i="7"/>
  <c r="AH7" i="7"/>
  <c r="AH7" i="5" s="1"/>
  <c r="AG7" i="7"/>
  <c r="AG7" i="5" s="1"/>
  <c r="AF7" i="7"/>
  <c r="AF7" i="5" s="1"/>
  <c r="AE7" i="7"/>
  <c r="AD7" i="7"/>
  <c r="AA7" i="7"/>
  <c r="Z7" i="7"/>
  <c r="Z7" i="5" s="1"/>
  <c r="Y7" i="7"/>
  <c r="Y7" i="5" s="1"/>
  <c r="X7" i="7"/>
  <c r="W7" i="7"/>
  <c r="V7" i="7"/>
  <c r="V7" i="5" s="1"/>
  <c r="U7" i="7"/>
  <c r="T7" i="7"/>
  <c r="T7" i="5" s="1"/>
  <c r="S7" i="7"/>
  <c r="R7" i="7"/>
  <c r="R7" i="5" s="1"/>
  <c r="Q7" i="7"/>
  <c r="P7" i="7"/>
  <c r="P7" i="5" s="1"/>
  <c r="M7" i="7"/>
  <c r="M7" i="5" s="1"/>
  <c r="L7" i="7"/>
  <c r="L7" i="5" s="1"/>
  <c r="K7" i="7"/>
  <c r="K7" i="5" s="1"/>
  <c r="J7" i="7"/>
  <c r="I7" i="7"/>
  <c r="W8" i="8" s="1"/>
  <c r="H7" i="7"/>
  <c r="T8" i="8" s="1"/>
  <c r="G7" i="7"/>
  <c r="Q8" i="8" s="1"/>
  <c r="F7" i="7"/>
  <c r="N8" i="8" s="1"/>
  <c r="E7" i="7"/>
  <c r="D7" i="7"/>
  <c r="C7" i="7"/>
  <c r="B7" i="7"/>
  <c r="AO6" i="7"/>
  <c r="AO6" i="5" s="1"/>
  <c r="AZ17" i="6" s="1"/>
  <c r="AN6" i="7"/>
  <c r="AN6" i="5" s="1"/>
  <c r="AY17" i="6" s="1"/>
  <c r="AM6" i="7"/>
  <c r="AM6" i="5" s="1"/>
  <c r="AX17" i="6" s="1"/>
  <c r="AL6" i="7"/>
  <c r="AL6" i="5" s="1"/>
  <c r="AW17" i="6" s="1"/>
  <c r="AK6" i="7"/>
  <c r="AK6" i="5" s="1"/>
  <c r="AV17" i="6" s="1"/>
  <c r="AJ6" i="7"/>
  <c r="AI6" i="7"/>
  <c r="AH6" i="7"/>
  <c r="AG6" i="7"/>
  <c r="AG6" i="5" s="1"/>
  <c r="AR17" i="6" s="1"/>
  <c r="AF6" i="7"/>
  <c r="AF6" i="5" s="1"/>
  <c r="AQ17" i="6" s="1"/>
  <c r="AE6" i="7"/>
  <c r="AE6" i="5" s="1"/>
  <c r="AP17" i="6" s="1"/>
  <c r="AD6" i="7"/>
  <c r="AD6" i="5" s="1"/>
  <c r="AO17" i="6" s="1"/>
  <c r="AA6" i="7"/>
  <c r="AA6" i="5" s="1"/>
  <c r="AH17" i="6" s="1"/>
  <c r="Z6" i="7"/>
  <c r="Y6" i="7"/>
  <c r="X6" i="7"/>
  <c r="W6" i="7"/>
  <c r="W6" i="5" s="1"/>
  <c r="AD17" i="6" s="1"/>
  <c r="V6" i="7"/>
  <c r="V6" i="5" s="1"/>
  <c r="AC17" i="6" s="1"/>
  <c r="U6" i="7"/>
  <c r="T6" i="7"/>
  <c r="T6" i="5" s="1"/>
  <c r="AA17" i="6" s="1"/>
  <c r="S6" i="7"/>
  <c r="R6" i="7"/>
  <c r="R6" i="5" s="1"/>
  <c r="Y17" i="6" s="1"/>
  <c r="Q6" i="7"/>
  <c r="P6" i="7"/>
  <c r="M6" i="7"/>
  <c r="M6" i="5" s="1"/>
  <c r="P17" i="6" s="1"/>
  <c r="L6" i="7"/>
  <c r="L6" i="5" s="1"/>
  <c r="O17" i="6" s="1"/>
  <c r="K6" i="7"/>
  <c r="K6" i="5" s="1"/>
  <c r="N17" i="6" s="1"/>
  <c r="J6" i="7"/>
  <c r="I6" i="7"/>
  <c r="H6" i="7"/>
  <c r="G6" i="7"/>
  <c r="F6" i="7"/>
  <c r="N7" i="8" s="1"/>
  <c r="E6" i="7"/>
  <c r="D6" i="7"/>
  <c r="C6" i="7"/>
  <c r="B6" i="7"/>
  <c r="AO4" i="7"/>
  <c r="AN4" i="7"/>
  <c r="AN5" i="7" s="1"/>
  <c r="AN5" i="5" s="1"/>
  <c r="AM4" i="7"/>
  <c r="AL4" i="7"/>
  <c r="AK4" i="7"/>
  <c r="AK4" i="5" s="1"/>
  <c r="AV14" i="6" s="1"/>
  <c r="AJ4" i="7"/>
  <c r="AJ4" i="5" s="1"/>
  <c r="AU14" i="6" s="1"/>
  <c r="AI4" i="7"/>
  <c r="AI4" i="5" s="1"/>
  <c r="AT14" i="6" s="1"/>
  <c r="AH4" i="7"/>
  <c r="AH4" i="5" s="1"/>
  <c r="AS14" i="6" s="1"/>
  <c r="AG4" i="7"/>
  <c r="AG4" i="5" s="1"/>
  <c r="AR14" i="6" s="1"/>
  <c r="AF4" i="7"/>
  <c r="AE4" i="7"/>
  <c r="AD4" i="7"/>
  <c r="AA4" i="7"/>
  <c r="Z4" i="7"/>
  <c r="Z4" i="5" s="1"/>
  <c r="AG14" i="6" s="1"/>
  <c r="Y4" i="7"/>
  <c r="Y4" i="5" s="1"/>
  <c r="AF14" i="6" s="1"/>
  <c r="X4" i="7"/>
  <c r="X4" i="5" s="1"/>
  <c r="AE14" i="6" s="1"/>
  <c r="W4" i="7"/>
  <c r="W4" i="5" s="1"/>
  <c r="AD14" i="6" s="1"/>
  <c r="V4" i="7"/>
  <c r="V4" i="5" s="1"/>
  <c r="AC14" i="6" s="1"/>
  <c r="U4" i="7"/>
  <c r="T4" i="7"/>
  <c r="T4" i="5" s="1"/>
  <c r="AA14" i="6" s="1"/>
  <c r="S4" i="7"/>
  <c r="R4" i="7"/>
  <c r="R4" i="5" s="1"/>
  <c r="Y14" i="6" s="1"/>
  <c r="Q4" i="7"/>
  <c r="Q4" i="5" s="1"/>
  <c r="X14" i="6" s="1"/>
  <c r="P4" i="7"/>
  <c r="P4" i="5" s="1"/>
  <c r="W14" i="6" s="1"/>
  <c r="AO3" i="7"/>
  <c r="AO5" i="7" s="1"/>
  <c r="AO5" i="5" s="1"/>
  <c r="AN3" i="7"/>
  <c r="AM3" i="7"/>
  <c r="AL3" i="7"/>
  <c r="AK3" i="7"/>
  <c r="AK3" i="5" s="1"/>
  <c r="AV8" i="6" s="1"/>
  <c r="AJ3" i="7"/>
  <c r="AJ3" i="5" s="1"/>
  <c r="AU8" i="6" s="1"/>
  <c r="AI3" i="7"/>
  <c r="AH3" i="7"/>
  <c r="AH3" i="5" s="1"/>
  <c r="AS8" i="6" s="1"/>
  <c r="AG3" i="7"/>
  <c r="AF3" i="7"/>
  <c r="AF5" i="7" s="1"/>
  <c r="AF5" i="5" s="1"/>
  <c r="AE3" i="7"/>
  <c r="AD3" i="7"/>
  <c r="AA3" i="7"/>
  <c r="Z3" i="7"/>
  <c r="Z5" i="7" s="1"/>
  <c r="Y3" i="7"/>
  <c r="X3" i="7"/>
  <c r="W3" i="7"/>
  <c r="V3" i="7"/>
  <c r="V3" i="5" s="1"/>
  <c r="AC8" i="6" s="1"/>
  <c r="U3" i="7"/>
  <c r="T3" i="7"/>
  <c r="T3" i="5" s="1"/>
  <c r="AA8" i="6" s="1"/>
  <c r="S3" i="7"/>
  <c r="S3" i="5" s="1"/>
  <c r="Z8" i="6" s="1"/>
  <c r="R3" i="7"/>
  <c r="Q3" i="7"/>
  <c r="P3" i="7"/>
  <c r="M49" i="5"/>
  <c r="M47" i="5"/>
  <c r="M46" i="5"/>
  <c r="M45" i="5"/>
  <c r="P41" i="6" s="1"/>
  <c r="M43" i="5"/>
  <c r="M42" i="5"/>
  <c r="M41" i="5"/>
  <c r="M40" i="5"/>
  <c r="P35" i="6" s="1"/>
  <c r="M39" i="5"/>
  <c r="P36" i="6" s="1"/>
  <c r="M36" i="5"/>
  <c r="M35" i="5"/>
  <c r="M34" i="5"/>
  <c r="P30" i="6" s="1"/>
  <c r="M33" i="5"/>
  <c r="P42" i="6" s="1"/>
  <c r="M30" i="5"/>
  <c r="M29" i="5"/>
  <c r="P26" i="6" s="1"/>
  <c r="M28" i="5"/>
  <c r="P37" i="6" s="1"/>
  <c r="M24" i="5"/>
  <c r="L49" i="5"/>
  <c r="L45" i="5"/>
  <c r="O41" i="6" s="1"/>
  <c r="L41" i="5"/>
  <c r="L40" i="5"/>
  <c r="O35" i="6" s="1"/>
  <c r="L34" i="5"/>
  <c r="O30" i="6" s="1"/>
  <c r="L31" i="5"/>
  <c r="L25" i="5"/>
  <c r="L13" i="5"/>
  <c r="L9" i="5"/>
  <c r="K49" i="5"/>
  <c r="K48" i="5"/>
  <c r="N23" i="6" s="1"/>
  <c r="K47" i="5"/>
  <c r="K46" i="5"/>
  <c r="N40" i="6" s="1"/>
  <c r="K45" i="5"/>
  <c r="N41" i="6" s="1"/>
  <c r="K43" i="5"/>
  <c r="K42" i="5"/>
  <c r="K41" i="5"/>
  <c r="K40" i="5"/>
  <c r="N35" i="6" s="1"/>
  <c r="K39" i="5"/>
  <c r="N36" i="6" s="1"/>
  <c r="K36" i="5"/>
  <c r="K34" i="5"/>
  <c r="N30" i="6" s="1"/>
  <c r="K33" i="5"/>
  <c r="N42" i="6" s="1"/>
  <c r="K30" i="5"/>
  <c r="K25" i="5"/>
  <c r="K22" i="5"/>
  <c r="K19" i="5"/>
  <c r="K11" i="5"/>
  <c r="K10" i="5"/>
  <c r="K8" i="5"/>
  <c r="N21" i="6" s="1"/>
  <c r="J3" i="5"/>
  <c r="M8" i="6" s="1"/>
  <c r="I3" i="5"/>
  <c r="L8" i="6" s="1"/>
  <c r="H3" i="5"/>
  <c r="K8" i="6" s="1"/>
  <c r="G3" i="5"/>
  <c r="F3" i="5"/>
  <c r="E3" i="5"/>
  <c r="D3" i="5"/>
  <c r="G8" i="6" s="1"/>
  <c r="J49" i="5"/>
  <c r="J48" i="5"/>
  <c r="M23" i="6" s="1"/>
  <c r="J47" i="5"/>
  <c r="J46" i="5"/>
  <c r="M40" i="6" s="1"/>
  <c r="J45" i="5"/>
  <c r="J43" i="5"/>
  <c r="J42" i="5"/>
  <c r="J41" i="5"/>
  <c r="J40" i="5"/>
  <c r="M35" i="6" s="1"/>
  <c r="J39" i="5"/>
  <c r="M36" i="6" s="1"/>
  <c r="J36" i="5"/>
  <c r="J35" i="5"/>
  <c r="J34" i="5"/>
  <c r="M30" i="6" s="1"/>
  <c r="J33" i="5"/>
  <c r="M42" i="6" s="1"/>
  <c r="J31" i="5"/>
  <c r="J30" i="5"/>
  <c r="J29" i="5"/>
  <c r="J28" i="5"/>
  <c r="M37" i="6" s="1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M21" i="6" s="1"/>
  <c r="J7" i="5"/>
  <c r="J6" i="5"/>
  <c r="M17" i="6" s="1"/>
  <c r="J4" i="5"/>
  <c r="M14" i="6" s="1"/>
  <c r="I49" i="5"/>
  <c r="I48" i="5"/>
  <c r="L23" i="6" s="1"/>
  <c r="I47" i="5"/>
  <c r="I46" i="5"/>
  <c r="L40" i="6" s="1"/>
  <c r="I45" i="5"/>
  <c r="I43" i="5"/>
  <c r="I42" i="5"/>
  <c r="I41" i="5"/>
  <c r="I40" i="5"/>
  <c r="L35" i="6" s="1"/>
  <c r="I39" i="5"/>
  <c r="L36" i="6" s="1"/>
  <c r="I36" i="5"/>
  <c r="I35" i="5"/>
  <c r="I34" i="5"/>
  <c r="L30" i="6" s="1"/>
  <c r="I33" i="5"/>
  <c r="L42" i="6" s="1"/>
  <c r="I31" i="5"/>
  <c r="I30" i="5"/>
  <c r="I29" i="5"/>
  <c r="L26" i="6" s="1"/>
  <c r="I28" i="5"/>
  <c r="L37" i="6" s="1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L21" i="6" s="1"/>
  <c r="I7" i="5"/>
  <c r="I6" i="5"/>
  <c r="I4" i="5"/>
  <c r="L14" i="6" s="1"/>
  <c r="H49" i="5"/>
  <c r="H48" i="5"/>
  <c r="K23" i="6" s="1"/>
  <c r="H47" i="5"/>
  <c r="H46" i="5"/>
  <c r="K40" i="6" s="1"/>
  <c r="H45" i="5"/>
  <c r="H43" i="5"/>
  <c r="H42" i="5"/>
  <c r="H41" i="5"/>
  <c r="H40" i="5"/>
  <c r="K35" i="6" s="1"/>
  <c r="H39" i="5"/>
  <c r="H36" i="5"/>
  <c r="H35" i="5"/>
  <c r="H34" i="5"/>
  <c r="K30" i="6" s="1"/>
  <c r="H33" i="5"/>
  <c r="K42" i="6" s="1"/>
  <c r="H31" i="5"/>
  <c r="H30" i="5"/>
  <c r="H29" i="5"/>
  <c r="K26" i="6" s="1"/>
  <c r="H28" i="5"/>
  <c r="K37" i="6" s="1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K21" i="6" s="1"/>
  <c r="H7" i="5"/>
  <c r="H6" i="5"/>
  <c r="H4" i="5"/>
  <c r="K14" i="6" s="1"/>
  <c r="G49" i="5"/>
  <c r="G48" i="5"/>
  <c r="J23" i="6" s="1"/>
  <c r="G47" i="5"/>
  <c r="G46" i="5"/>
  <c r="J40" i="6" s="1"/>
  <c r="G45" i="5"/>
  <c r="J41" i="6" s="1"/>
  <c r="G43" i="5"/>
  <c r="G42" i="5"/>
  <c r="G41" i="5"/>
  <c r="G40" i="5"/>
  <c r="J35" i="6" s="1"/>
  <c r="G39" i="5"/>
  <c r="G36" i="5"/>
  <c r="G35" i="5"/>
  <c r="G34" i="5"/>
  <c r="J30" i="6" s="1"/>
  <c r="G33" i="5"/>
  <c r="G31" i="5"/>
  <c r="G30" i="5"/>
  <c r="G29" i="5"/>
  <c r="J26" i="6" s="1"/>
  <c r="G28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J21" i="6" s="1"/>
  <c r="G7" i="5"/>
  <c r="G6" i="5"/>
  <c r="G4" i="5"/>
  <c r="J14" i="6" s="1"/>
  <c r="F49" i="5"/>
  <c r="F48" i="5"/>
  <c r="I23" i="6" s="1"/>
  <c r="F47" i="5"/>
  <c r="F46" i="5"/>
  <c r="F45" i="5"/>
  <c r="I41" i="6" s="1"/>
  <c r="F43" i="5"/>
  <c r="F42" i="5"/>
  <c r="F41" i="5"/>
  <c r="F40" i="5"/>
  <c r="I35" i="6" s="1"/>
  <c r="F39" i="5"/>
  <c r="F36" i="5"/>
  <c r="F35" i="5"/>
  <c r="F34" i="5"/>
  <c r="I30" i="6" s="1"/>
  <c r="F33" i="5"/>
  <c r="F31" i="5"/>
  <c r="F30" i="5"/>
  <c r="F29" i="5"/>
  <c r="I26" i="6" s="1"/>
  <c r="F28" i="5"/>
  <c r="I37" i="6" s="1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4" i="5"/>
  <c r="E49" i="5"/>
  <c r="E48" i="5"/>
  <c r="H23" i="6" s="1"/>
  <c r="E47" i="5"/>
  <c r="E46" i="5"/>
  <c r="H40" i="6" s="1"/>
  <c r="E45" i="5"/>
  <c r="H41" i="6" s="1"/>
  <c r="E43" i="5"/>
  <c r="E42" i="5"/>
  <c r="E41" i="5"/>
  <c r="E40" i="5"/>
  <c r="H35" i="6" s="1"/>
  <c r="E39" i="5"/>
  <c r="H36" i="6" s="1"/>
  <c r="E36" i="5"/>
  <c r="E35" i="5"/>
  <c r="E34" i="5"/>
  <c r="H30" i="6" s="1"/>
  <c r="E33" i="5"/>
  <c r="H42" i="6" s="1"/>
  <c r="E31" i="5"/>
  <c r="E30" i="5"/>
  <c r="E29" i="5"/>
  <c r="H26" i="6" s="1"/>
  <c r="E28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H21" i="6" s="1"/>
  <c r="E7" i="5"/>
  <c r="E6" i="5"/>
  <c r="E4" i="5"/>
  <c r="H14" i="6" s="1"/>
  <c r="D49" i="5"/>
  <c r="D48" i="5"/>
  <c r="D47" i="5"/>
  <c r="D46" i="5"/>
  <c r="G40" i="6" s="1"/>
  <c r="D45" i="5"/>
  <c r="G41" i="6" s="1"/>
  <c r="D43" i="5"/>
  <c r="D42" i="5"/>
  <c r="D41" i="5"/>
  <c r="D40" i="5"/>
  <c r="G35" i="6" s="1"/>
  <c r="D39" i="5"/>
  <c r="G36" i="6" s="1"/>
  <c r="D36" i="5"/>
  <c r="D35" i="5"/>
  <c r="D34" i="5"/>
  <c r="G30" i="6" s="1"/>
  <c r="D33" i="5"/>
  <c r="G42" i="6" s="1"/>
  <c r="D31" i="5"/>
  <c r="D30" i="5"/>
  <c r="D29" i="5"/>
  <c r="G26" i="6" s="1"/>
  <c r="D28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G17" i="6" s="1"/>
  <c r="D4" i="5"/>
  <c r="G14" i="6" s="1"/>
  <c r="C49" i="5"/>
  <c r="C48" i="5"/>
  <c r="F23" i="6" s="1"/>
  <c r="C47" i="5"/>
  <c r="C46" i="5"/>
  <c r="F40" i="6" s="1"/>
  <c r="C45" i="5"/>
  <c r="C43" i="5"/>
  <c r="C42" i="5"/>
  <c r="C41" i="5"/>
  <c r="C40" i="5"/>
  <c r="F35" i="6" s="1"/>
  <c r="C39" i="5"/>
  <c r="F36" i="6" s="1"/>
  <c r="C36" i="5"/>
  <c r="C35" i="5"/>
  <c r="C34" i="5"/>
  <c r="F30" i="6" s="1"/>
  <c r="C33" i="5"/>
  <c r="F42" i="6" s="1"/>
  <c r="C31" i="5"/>
  <c r="C30" i="5"/>
  <c r="C29" i="5"/>
  <c r="F26" i="6" s="1"/>
  <c r="C28" i="5"/>
  <c r="F37" i="6" s="1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F17" i="6" s="1"/>
  <c r="C4" i="5"/>
  <c r="F14" i="6" s="1"/>
  <c r="B49" i="5"/>
  <c r="B48" i="5"/>
  <c r="E23" i="6" s="1"/>
  <c r="B47" i="5"/>
  <c r="B46" i="5"/>
  <c r="E40" i="6" s="1"/>
  <c r="B45" i="5"/>
  <c r="E41" i="6" s="1"/>
  <c r="B43" i="5"/>
  <c r="B42" i="5"/>
  <c r="B41" i="5"/>
  <c r="B40" i="5"/>
  <c r="E35" i="6" s="1"/>
  <c r="B39" i="5"/>
  <c r="E36" i="6" s="1"/>
  <c r="B36" i="5"/>
  <c r="B35" i="5"/>
  <c r="B34" i="5"/>
  <c r="E30" i="6" s="1"/>
  <c r="B33" i="5"/>
  <c r="E42" i="6" s="1"/>
  <c r="B31" i="5"/>
  <c r="B30" i="5"/>
  <c r="B29" i="5"/>
  <c r="B28" i="5"/>
  <c r="E37" i="6" s="1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E21" i="6" s="1"/>
  <c r="B7" i="5"/>
  <c r="B6" i="5"/>
  <c r="E17" i="6" s="1"/>
  <c r="B4" i="5"/>
  <c r="C3" i="5"/>
  <c r="P2" i="5"/>
  <c r="C3" i="7"/>
  <c r="D3" i="7"/>
  <c r="E3" i="7"/>
  <c r="K4" i="8" s="1"/>
  <c r="F3" i="7"/>
  <c r="G3" i="7"/>
  <c r="H3" i="7"/>
  <c r="I3" i="7"/>
  <c r="W4" i="8" s="1"/>
  <c r="J3" i="7"/>
  <c r="Z4" i="8" s="1"/>
  <c r="K3" i="7"/>
  <c r="K3" i="5" s="1"/>
  <c r="N8" i="6" s="1"/>
  <c r="L3" i="7"/>
  <c r="L3" i="5" s="1"/>
  <c r="O8" i="6" s="1"/>
  <c r="M3" i="7"/>
  <c r="M3" i="5" s="1"/>
  <c r="B3" i="7"/>
  <c r="B4" i="8" s="1"/>
  <c r="C4" i="7"/>
  <c r="D4" i="7"/>
  <c r="E4" i="7"/>
  <c r="K5" i="8" s="1"/>
  <c r="F4" i="7"/>
  <c r="N5" i="8" s="1"/>
  <c r="G4" i="7"/>
  <c r="H4" i="7"/>
  <c r="T5" i="8" s="1"/>
  <c r="I4" i="7"/>
  <c r="W5" i="8" s="1"/>
  <c r="J4" i="7"/>
  <c r="Z5" i="8" s="1"/>
  <c r="K4" i="7"/>
  <c r="AC5" i="8" s="1"/>
  <c r="L4" i="7"/>
  <c r="AF5" i="8" s="1"/>
  <c r="M4" i="7"/>
  <c r="AI5" i="8" s="1"/>
  <c r="B4" i="7"/>
  <c r="C55" i="14"/>
  <c r="B55" i="14"/>
  <c r="C54" i="14"/>
  <c r="C53" i="14"/>
  <c r="B53" i="14"/>
  <c r="C52" i="14"/>
  <c r="E46" i="14"/>
  <c r="F46" i="14" s="1"/>
  <c r="D46" i="14"/>
  <c r="B70" i="14"/>
  <c r="E45" i="14"/>
  <c r="F45" i="14" s="1"/>
  <c r="D45" i="14"/>
  <c r="C69" i="14"/>
  <c r="B69" i="14"/>
  <c r="E44" i="14"/>
  <c r="F44" i="14" s="1"/>
  <c r="D44" i="14"/>
  <c r="C68" i="14"/>
  <c r="B68" i="14"/>
  <c r="E43" i="14"/>
  <c r="F43" i="14" s="1"/>
  <c r="D43" i="14"/>
  <c r="B67" i="14"/>
  <c r="E42" i="14"/>
  <c r="F42" i="14" s="1"/>
  <c r="D42" i="14"/>
  <c r="C66" i="14"/>
  <c r="B66" i="14"/>
  <c r="E41" i="14"/>
  <c r="F41" i="14" s="1"/>
  <c r="D41" i="14"/>
  <c r="C65" i="14"/>
  <c r="B65" i="14"/>
  <c r="E40" i="14"/>
  <c r="F40" i="14" s="1"/>
  <c r="D40" i="14"/>
  <c r="C64" i="14"/>
  <c r="F39" i="14"/>
  <c r="E39" i="14"/>
  <c r="D39" i="14"/>
  <c r="E38" i="14"/>
  <c r="F38" i="14" s="1"/>
  <c r="D38" i="14"/>
  <c r="F37" i="14"/>
  <c r="E37" i="14"/>
  <c r="D37" i="14"/>
  <c r="B61" i="14"/>
  <c r="E36" i="14"/>
  <c r="F36" i="14" s="1"/>
  <c r="D36" i="14"/>
  <c r="E35" i="14"/>
  <c r="F35" i="14" s="1"/>
  <c r="D35" i="14"/>
  <c r="C59" i="14"/>
  <c r="E34" i="14"/>
  <c r="F34" i="14" s="1"/>
  <c r="D34" i="14"/>
  <c r="C58" i="14"/>
  <c r="B58" i="14"/>
  <c r="E33" i="14"/>
  <c r="F33" i="14" s="1"/>
  <c r="D33" i="14"/>
  <c r="E32" i="14"/>
  <c r="F32" i="14" s="1"/>
  <c r="D32" i="14"/>
  <c r="C56" i="14"/>
  <c r="B56" i="14"/>
  <c r="E31" i="14"/>
  <c r="F31" i="14" s="1"/>
  <c r="D31" i="14"/>
  <c r="E30" i="14"/>
  <c r="F30" i="14" s="1"/>
  <c r="D30" i="14"/>
  <c r="E29" i="14"/>
  <c r="F29" i="14" s="1"/>
  <c r="D29" i="14"/>
  <c r="E28" i="14"/>
  <c r="F28" i="14" s="1"/>
  <c r="D28" i="14"/>
  <c r="F27" i="14"/>
  <c r="E27" i="14"/>
  <c r="D27" i="14"/>
  <c r="C51" i="14"/>
  <c r="AC24" i="14"/>
  <c r="AC73" i="14" s="1"/>
  <c r="AB24" i="14"/>
  <c r="AB73" i="14" s="1"/>
  <c r="AA24" i="14"/>
  <c r="AA73" i="14" s="1"/>
  <c r="Z24" i="14"/>
  <c r="Z73" i="14" s="1"/>
  <c r="Y24" i="14"/>
  <c r="Y73" i="14" s="1"/>
  <c r="X24" i="14"/>
  <c r="X73" i="14" s="1"/>
  <c r="W24" i="14"/>
  <c r="W73" i="14" s="1"/>
  <c r="V24" i="14"/>
  <c r="V73" i="14" s="1"/>
  <c r="U24" i="14"/>
  <c r="U73" i="14" s="1"/>
  <c r="T24" i="14"/>
  <c r="T73" i="14" s="1"/>
  <c r="S24" i="14"/>
  <c r="S73" i="14" s="1"/>
  <c r="R24" i="14"/>
  <c r="R73" i="14" s="1"/>
  <c r="Q24" i="14"/>
  <c r="Q73" i="14" s="1"/>
  <c r="P24" i="14"/>
  <c r="P73" i="14" s="1"/>
  <c r="O24" i="14"/>
  <c r="O73" i="14" s="1"/>
  <c r="N24" i="14"/>
  <c r="N73" i="14" s="1"/>
  <c r="M24" i="14"/>
  <c r="M73" i="14" s="1"/>
  <c r="L24" i="14"/>
  <c r="L73" i="14" s="1"/>
  <c r="K24" i="14"/>
  <c r="K73" i="14" s="1"/>
  <c r="J24" i="14"/>
  <c r="J73" i="14" s="1"/>
  <c r="I24" i="14"/>
  <c r="I73" i="14" s="1"/>
  <c r="H24" i="14"/>
  <c r="H73" i="14" s="1"/>
  <c r="G24" i="14"/>
  <c r="G73" i="14" s="1"/>
  <c r="F24" i="14"/>
  <c r="F73" i="14" s="1"/>
  <c r="E24" i="14"/>
  <c r="D24" i="14"/>
  <c r="AJ48" i="12"/>
  <c r="AK48" i="12" s="1"/>
  <c r="AI48" i="12"/>
  <c r="AG48" i="12"/>
  <c r="AF48" i="12"/>
  <c r="AD48" i="12"/>
  <c r="AE48" i="12" s="1"/>
  <c r="AC48" i="12"/>
  <c r="AA48" i="12"/>
  <c r="AB48" i="12" s="1"/>
  <c r="Z48" i="12"/>
  <c r="X48" i="12"/>
  <c r="Y48" i="12" s="1"/>
  <c r="W48" i="12"/>
  <c r="U48" i="12"/>
  <c r="T48" i="12"/>
  <c r="R48" i="12"/>
  <c r="S48" i="12" s="1"/>
  <c r="Q48" i="12"/>
  <c r="O48" i="12"/>
  <c r="P48" i="12" s="1"/>
  <c r="N48" i="12"/>
  <c r="L48" i="12"/>
  <c r="M48" i="12" s="1"/>
  <c r="K48" i="12"/>
  <c r="I48" i="12"/>
  <c r="H48" i="12"/>
  <c r="F48" i="12"/>
  <c r="G48" i="12" s="1"/>
  <c r="E48" i="12"/>
  <c r="C48" i="12"/>
  <c r="D48" i="12" s="1"/>
  <c r="B48" i="12"/>
  <c r="AJ47" i="12"/>
  <c r="AK47" i="12" s="1"/>
  <c r="AI47" i="12"/>
  <c r="AG47" i="12"/>
  <c r="AF47" i="12"/>
  <c r="AD47" i="12"/>
  <c r="AC47" i="12"/>
  <c r="AC49" i="12" s="1"/>
  <c r="AA47" i="12"/>
  <c r="AB47" i="12" s="1"/>
  <c r="Z47" i="12"/>
  <c r="X47" i="12"/>
  <c r="Y47" i="12" s="1"/>
  <c r="W47" i="12"/>
  <c r="U47" i="12"/>
  <c r="T47" i="12"/>
  <c r="R47" i="12"/>
  <c r="S47" i="12" s="1"/>
  <c r="Q47" i="12"/>
  <c r="O47" i="12"/>
  <c r="P47" i="12" s="1"/>
  <c r="N47" i="12"/>
  <c r="L47" i="12"/>
  <c r="M47" i="12" s="1"/>
  <c r="K47" i="12"/>
  <c r="I47" i="12"/>
  <c r="H47" i="12"/>
  <c r="F47" i="12"/>
  <c r="E47" i="12"/>
  <c r="C47" i="12"/>
  <c r="D47" i="12" s="1"/>
  <c r="B47" i="12"/>
  <c r="AJ46" i="12"/>
  <c r="AK46" i="12" s="1"/>
  <c r="AI46" i="12"/>
  <c r="AG46" i="12"/>
  <c r="AF46" i="12"/>
  <c r="AD46" i="12"/>
  <c r="AE46" i="12" s="1"/>
  <c r="AC46" i="12"/>
  <c r="AA46" i="12"/>
  <c r="AB46" i="12" s="1"/>
  <c r="Z46" i="12"/>
  <c r="X46" i="12"/>
  <c r="Y46" i="12" s="1"/>
  <c r="W46" i="12"/>
  <c r="U46" i="12"/>
  <c r="T46" i="12"/>
  <c r="R46" i="12"/>
  <c r="Q46" i="12"/>
  <c r="O46" i="12"/>
  <c r="P46" i="12" s="1"/>
  <c r="N46" i="12"/>
  <c r="L46" i="12"/>
  <c r="M46" i="12" s="1"/>
  <c r="K46" i="12"/>
  <c r="I46" i="12"/>
  <c r="J46" i="12" s="1"/>
  <c r="H46" i="12"/>
  <c r="F46" i="12"/>
  <c r="G46" i="12" s="1"/>
  <c r="E46" i="12"/>
  <c r="C46" i="12"/>
  <c r="D46" i="12" s="1"/>
  <c r="B46" i="12"/>
  <c r="AJ45" i="12"/>
  <c r="AI45" i="12"/>
  <c r="AI49" i="12" s="1"/>
  <c r="AG45" i="12"/>
  <c r="AF45" i="12"/>
  <c r="AD45" i="12"/>
  <c r="AC45" i="12"/>
  <c r="AA45" i="12"/>
  <c r="AB45" i="12" s="1"/>
  <c r="Z45" i="12"/>
  <c r="Z49" i="12" s="1"/>
  <c r="X45" i="12"/>
  <c r="Y45" i="12" s="1"/>
  <c r="W45" i="12"/>
  <c r="W49" i="12" s="1"/>
  <c r="U45" i="12"/>
  <c r="T45" i="12"/>
  <c r="T49" i="12" s="1"/>
  <c r="R45" i="12"/>
  <c r="S45" i="12" s="1"/>
  <c r="Q45" i="12"/>
  <c r="O45" i="12"/>
  <c r="P45" i="12" s="1"/>
  <c r="N45" i="12"/>
  <c r="N49" i="12" s="1"/>
  <c r="L45" i="12"/>
  <c r="M45" i="12" s="1"/>
  <c r="K45" i="12"/>
  <c r="K49" i="12" s="1"/>
  <c r="I45" i="12"/>
  <c r="I49" i="12" s="1"/>
  <c r="H45" i="12"/>
  <c r="F45" i="12"/>
  <c r="E45" i="12"/>
  <c r="C45" i="12"/>
  <c r="B45" i="12"/>
  <c r="B49" i="12" s="1"/>
  <c r="H44" i="12"/>
  <c r="AJ43" i="12"/>
  <c r="AK43" i="12" s="1"/>
  <c r="AI43" i="12"/>
  <c r="AG43" i="12"/>
  <c r="AF43" i="12"/>
  <c r="AD43" i="12"/>
  <c r="AC43" i="12"/>
  <c r="AA43" i="12"/>
  <c r="AB43" i="12" s="1"/>
  <c r="Z43" i="12"/>
  <c r="X43" i="12"/>
  <c r="Y43" i="12" s="1"/>
  <c r="W43" i="12"/>
  <c r="U43" i="12"/>
  <c r="T43" i="12"/>
  <c r="R43" i="12"/>
  <c r="S43" i="12" s="1"/>
  <c r="Q43" i="12"/>
  <c r="O43" i="12"/>
  <c r="P43" i="12" s="1"/>
  <c r="N43" i="12"/>
  <c r="L43" i="12"/>
  <c r="M43" i="12" s="1"/>
  <c r="K43" i="12"/>
  <c r="I43" i="12"/>
  <c r="J43" i="12" s="1"/>
  <c r="H43" i="12"/>
  <c r="F43" i="12"/>
  <c r="E43" i="12"/>
  <c r="C43" i="12"/>
  <c r="D43" i="12" s="1"/>
  <c r="B43" i="12"/>
  <c r="AJ42" i="12"/>
  <c r="AK42" i="12" s="1"/>
  <c r="AI42" i="12"/>
  <c r="AG42" i="12"/>
  <c r="AF42" i="12"/>
  <c r="AD42" i="12"/>
  <c r="AE42" i="12" s="1"/>
  <c r="AC42" i="12"/>
  <c r="AA42" i="12"/>
  <c r="AB42" i="12" s="1"/>
  <c r="Z42" i="12"/>
  <c r="X42" i="12"/>
  <c r="Y42" i="12" s="1"/>
  <c r="W42" i="12"/>
  <c r="U42" i="12"/>
  <c r="V42" i="12" s="1"/>
  <c r="T42" i="12"/>
  <c r="R42" i="12"/>
  <c r="Q42" i="12"/>
  <c r="O42" i="12"/>
  <c r="P42" i="12" s="1"/>
  <c r="N42" i="12"/>
  <c r="L42" i="12"/>
  <c r="M42" i="12" s="1"/>
  <c r="K42" i="12"/>
  <c r="I42" i="12"/>
  <c r="H42" i="12"/>
  <c r="F42" i="12"/>
  <c r="G42" i="12" s="1"/>
  <c r="E42" i="12"/>
  <c r="C42" i="12"/>
  <c r="D42" i="12" s="1"/>
  <c r="B42" i="12"/>
  <c r="AJ41" i="12"/>
  <c r="AK41" i="12" s="1"/>
  <c r="AI41" i="12"/>
  <c r="AG41" i="12"/>
  <c r="AH41" i="12" s="1"/>
  <c r="AF41" i="12"/>
  <c r="AD41" i="12"/>
  <c r="AC41" i="12"/>
  <c r="AA41" i="12"/>
  <c r="AB41" i="12" s="1"/>
  <c r="Z41" i="12"/>
  <c r="X41" i="12"/>
  <c r="Y41" i="12" s="1"/>
  <c r="W41" i="12"/>
  <c r="U41" i="12"/>
  <c r="T41" i="12"/>
  <c r="R41" i="12"/>
  <c r="S41" i="12" s="1"/>
  <c r="Q41" i="12"/>
  <c r="O41" i="12"/>
  <c r="P41" i="12" s="1"/>
  <c r="N41" i="12"/>
  <c r="L41" i="12"/>
  <c r="M41" i="12" s="1"/>
  <c r="K41" i="12"/>
  <c r="I41" i="12"/>
  <c r="J41" i="12" s="1"/>
  <c r="H41" i="12"/>
  <c r="F41" i="12"/>
  <c r="E41" i="12"/>
  <c r="C41" i="12"/>
  <c r="D41" i="12" s="1"/>
  <c r="B41" i="12"/>
  <c r="AJ40" i="12"/>
  <c r="AK40" i="12" s="1"/>
  <c r="AI40" i="12"/>
  <c r="AI44" i="12" s="1"/>
  <c r="AI50" i="12" s="1"/>
  <c r="AG40" i="12"/>
  <c r="AF40" i="12"/>
  <c r="AF44" i="12" s="1"/>
  <c r="AD40" i="12"/>
  <c r="AE40" i="12" s="1"/>
  <c r="AC40" i="12"/>
  <c r="AA40" i="12"/>
  <c r="AB40" i="12" s="1"/>
  <c r="Z40" i="12"/>
  <c r="Z44" i="12" s="1"/>
  <c r="Z50" i="12" s="1"/>
  <c r="X40" i="12"/>
  <c r="W40" i="12"/>
  <c r="W44" i="12" s="1"/>
  <c r="W50" i="12" s="1"/>
  <c r="U40" i="12"/>
  <c r="V40" i="12" s="1"/>
  <c r="T40" i="12"/>
  <c r="R40" i="12"/>
  <c r="Q40" i="12"/>
  <c r="O40" i="12"/>
  <c r="N40" i="12"/>
  <c r="N44" i="12" s="1"/>
  <c r="N50" i="12" s="1"/>
  <c r="L40" i="12"/>
  <c r="M40" i="12" s="1"/>
  <c r="K40" i="12"/>
  <c r="K44" i="12" s="1"/>
  <c r="I40" i="12"/>
  <c r="H40" i="12"/>
  <c r="F40" i="12"/>
  <c r="G40" i="12" s="1"/>
  <c r="E40" i="12"/>
  <c r="C40" i="12"/>
  <c r="D40" i="12" s="1"/>
  <c r="B40" i="12"/>
  <c r="B44" i="12" s="1"/>
  <c r="B50" i="12" s="1"/>
  <c r="AF38" i="12"/>
  <c r="Q38" i="12"/>
  <c r="AJ37" i="12"/>
  <c r="AK37" i="12" s="1"/>
  <c r="AI37" i="12"/>
  <c r="AG37" i="12"/>
  <c r="AH37" i="12" s="1"/>
  <c r="AF37" i="12"/>
  <c r="AD37" i="12"/>
  <c r="AC37" i="12"/>
  <c r="AA37" i="12"/>
  <c r="AB37" i="12" s="1"/>
  <c r="Z37" i="12"/>
  <c r="X37" i="12"/>
  <c r="Y37" i="12" s="1"/>
  <c r="W37" i="12"/>
  <c r="U37" i="12"/>
  <c r="T37" i="12"/>
  <c r="R37" i="12"/>
  <c r="S37" i="12" s="1"/>
  <c r="Q37" i="12"/>
  <c r="O37" i="12"/>
  <c r="P37" i="12" s="1"/>
  <c r="N37" i="12"/>
  <c r="L37" i="12"/>
  <c r="M37" i="12" s="1"/>
  <c r="K37" i="12"/>
  <c r="I37" i="12"/>
  <c r="J37" i="12" s="1"/>
  <c r="H37" i="12"/>
  <c r="F37" i="12"/>
  <c r="E37" i="12"/>
  <c r="C37" i="12"/>
  <c r="D37" i="12" s="1"/>
  <c r="B37" i="12"/>
  <c r="AJ36" i="12"/>
  <c r="AK36" i="12" s="1"/>
  <c r="AI36" i="12"/>
  <c r="AG36" i="12"/>
  <c r="AF36" i="12"/>
  <c r="AD36" i="12"/>
  <c r="AE36" i="12" s="1"/>
  <c r="AC36" i="12"/>
  <c r="AA36" i="12"/>
  <c r="AB36" i="12" s="1"/>
  <c r="Z36" i="12"/>
  <c r="X36" i="12"/>
  <c r="W36" i="12"/>
  <c r="U36" i="12"/>
  <c r="V36" i="12" s="1"/>
  <c r="T36" i="12"/>
  <c r="R36" i="12"/>
  <c r="Q36" i="12"/>
  <c r="O36" i="12"/>
  <c r="P36" i="12" s="1"/>
  <c r="N36" i="12"/>
  <c r="L36" i="12"/>
  <c r="M36" i="12" s="1"/>
  <c r="K36" i="12"/>
  <c r="I36" i="12"/>
  <c r="H36" i="12"/>
  <c r="H38" i="12" s="1"/>
  <c r="F36" i="12"/>
  <c r="G36" i="12" s="1"/>
  <c r="E36" i="12"/>
  <c r="C36" i="12"/>
  <c r="D36" i="12" s="1"/>
  <c r="B36" i="12"/>
  <c r="AJ35" i="12"/>
  <c r="AK35" i="12" s="1"/>
  <c r="AI35" i="12"/>
  <c r="AI38" i="12" s="1"/>
  <c r="AG35" i="12"/>
  <c r="AH35" i="12" s="1"/>
  <c r="AF35" i="12"/>
  <c r="AD35" i="12"/>
  <c r="AC35" i="12"/>
  <c r="AA35" i="12"/>
  <c r="Z35" i="12"/>
  <c r="Z38" i="12" s="1"/>
  <c r="X35" i="12"/>
  <c r="Y35" i="12" s="1"/>
  <c r="W35" i="12"/>
  <c r="W38" i="12" s="1"/>
  <c r="U35" i="12"/>
  <c r="T35" i="12"/>
  <c r="R35" i="12"/>
  <c r="S35" i="12" s="1"/>
  <c r="Q35" i="12"/>
  <c r="O35" i="12"/>
  <c r="N35" i="12"/>
  <c r="N38" i="12" s="1"/>
  <c r="L35" i="12"/>
  <c r="K35" i="12"/>
  <c r="K38" i="12" s="1"/>
  <c r="I35" i="12"/>
  <c r="J35" i="12" s="1"/>
  <c r="H35" i="12"/>
  <c r="F35" i="12"/>
  <c r="E35" i="12"/>
  <c r="C35" i="12"/>
  <c r="D35" i="12" s="1"/>
  <c r="B35" i="12"/>
  <c r="B38" i="12" s="1"/>
  <c r="AF34" i="12"/>
  <c r="AF39" i="12" s="1"/>
  <c r="Q34" i="12"/>
  <c r="Q39" i="12" s="1"/>
  <c r="AJ33" i="12"/>
  <c r="AK33" i="12" s="1"/>
  <c r="AI33" i="12"/>
  <c r="AG33" i="12"/>
  <c r="AH33" i="12" s="1"/>
  <c r="AF33" i="12"/>
  <c r="AD33" i="12"/>
  <c r="AC33" i="12"/>
  <c r="AA33" i="12"/>
  <c r="AB33" i="12" s="1"/>
  <c r="Z33" i="12"/>
  <c r="X33" i="12"/>
  <c r="Y33" i="12" s="1"/>
  <c r="W33" i="12"/>
  <c r="U33" i="12"/>
  <c r="V33" i="12" s="1"/>
  <c r="T33" i="12"/>
  <c r="R33" i="12"/>
  <c r="S33" i="12" s="1"/>
  <c r="Q33" i="12"/>
  <c r="O33" i="12"/>
  <c r="P33" i="12" s="1"/>
  <c r="N33" i="12"/>
  <c r="L33" i="12"/>
  <c r="M33" i="12" s="1"/>
  <c r="K33" i="12"/>
  <c r="I33" i="12"/>
  <c r="J33" i="12" s="1"/>
  <c r="H33" i="12"/>
  <c r="F33" i="12"/>
  <c r="E33" i="12"/>
  <c r="C33" i="12"/>
  <c r="D33" i="12" s="1"/>
  <c r="B33" i="12"/>
  <c r="AJ32" i="12"/>
  <c r="AK32" i="12" s="1"/>
  <c r="AI32" i="12"/>
  <c r="AG32" i="12"/>
  <c r="AF32" i="12"/>
  <c r="AD32" i="12"/>
  <c r="AE32" i="12" s="1"/>
  <c r="AC32" i="12"/>
  <c r="AA32" i="12"/>
  <c r="AB32" i="12" s="1"/>
  <c r="Z32" i="12"/>
  <c r="X32" i="12"/>
  <c r="Y32" i="12" s="1"/>
  <c r="W32" i="12"/>
  <c r="U32" i="12"/>
  <c r="V32" i="12" s="1"/>
  <c r="T32" i="12"/>
  <c r="R32" i="12"/>
  <c r="Q32" i="12"/>
  <c r="O32" i="12"/>
  <c r="P32" i="12" s="1"/>
  <c r="N32" i="12"/>
  <c r="L32" i="12"/>
  <c r="M32" i="12" s="1"/>
  <c r="K32" i="12"/>
  <c r="I32" i="12"/>
  <c r="J32" i="12" s="1"/>
  <c r="H32" i="12"/>
  <c r="F32" i="12"/>
  <c r="G32" i="12" s="1"/>
  <c r="E32" i="12"/>
  <c r="C32" i="12"/>
  <c r="D32" i="12" s="1"/>
  <c r="B32" i="12"/>
  <c r="AJ31" i="12"/>
  <c r="AI31" i="12"/>
  <c r="AG31" i="12"/>
  <c r="AF31" i="12"/>
  <c r="AD31" i="12"/>
  <c r="AC31" i="12"/>
  <c r="AA31" i="12"/>
  <c r="Z31" i="12"/>
  <c r="X31" i="12"/>
  <c r="W31" i="12"/>
  <c r="U31" i="12"/>
  <c r="T31" i="12"/>
  <c r="R31" i="12"/>
  <c r="Q31" i="12"/>
  <c r="O31" i="12"/>
  <c r="N31" i="12"/>
  <c r="L31" i="12"/>
  <c r="K31" i="12"/>
  <c r="I31" i="12"/>
  <c r="J31" i="12" s="1"/>
  <c r="H31" i="12"/>
  <c r="F31" i="12"/>
  <c r="E31" i="12"/>
  <c r="C31" i="12"/>
  <c r="D31" i="12" s="1"/>
  <c r="B31" i="12"/>
  <c r="AJ30" i="12"/>
  <c r="AK30" i="12" s="1"/>
  <c r="AI30" i="12"/>
  <c r="AI34" i="12" s="1"/>
  <c r="AI39" i="12" s="1"/>
  <c r="AG30" i="12"/>
  <c r="AF30" i="12"/>
  <c r="AD30" i="12"/>
  <c r="AE30" i="12" s="1"/>
  <c r="AC30" i="12"/>
  <c r="AC34" i="12" s="1"/>
  <c r="AA30" i="12"/>
  <c r="AB30" i="12" s="1"/>
  <c r="Z30" i="12"/>
  <c r="Z34" i="12" s="1"/>
  <c r="Z39" i="12" s="1"/>
  <c r="X30" i="12"/>
  <c r="Y31" i="12" s="1"/>
  <c r="W30" i="12"/>
  <c r="W34" i="12" s="1"/>
  <c r="W39" i="12" s="1"/>
  <c r="U30" i="12"/>
  <c r="V30" i="12" s="1"/>
  <c r="T30" i="12"/>
  <c r="R30" i="12"/>
  <c r="S31" i="12" s="1"/>
  <c r="Q30" i="12"/>
  <c r="O30" i="12"/>
  <c r="N30" i="12"/>
  <c r="N34" i="12" s="1"/>
  <c r="N39" i="12" s="1"/>
  <c r="L30" i="12"/>
  <c r="M30" i="12" s="1"/>
  <c r="K30" i="12"/>
  <c r="K34" i="12" s="1"/>
  <c r="K39" i="12" s="1"/>
  <c r="I30" i="12"/>
  <c r="H30" i="12"/>
  <c r="H34" i="12" s="1"/>
  <c r="H39" i="12" s="1"/>
  <c r="F30" i="12"/>
  <c r="G30" i="12" s="1"/>
  <c r="E30" i="12"/>
  <c r="E34" i="12" s="1"/>
  <c r="C30" i="12"/>
  <c r="B30" i="12"/>
  <c r="B34" i="12" s="1"/>
  <c r="B39" i="12" s="1"/>
  <c r="AJ27" i="12"/>
  <c r="AK27" i="12" s="1"/>
  <c r="AI27" i="12"/>
  <c r="AG27" i="12"/>
  <c r="AH27" i="12" s="1"/>
  <c r="AF27" i="12"/>
  <c r="AD27" i="12"/>
  <c r="AC27" i="12"/>
  <c r="AA27" i="12"/>
  <c r="AB27" i="12" s="1"/>
  <c r="Z27" i="12"/>
  <c r="X27" i="12"/>
  <c r="Y27" i="12" s="1"/>
  <c r="W27" i="12"/>
  <c r="U27" i="12"/>
  <c r="T27" i="12"/>
  <c r="R27" i="12"/>
  <c r="Q27" i="12"/>
  <c r="O27" i="12"/>
  <c r="P27" i="12" s="1"/>
  <c r="N27" i="12"/>
  <c r="L27" i="12"/>
  <c r="M27" i="12" s="1"/>
  <c r="K27" i="12"/>
  <c r="I27" i="12"/>
  <c r="J27" i="12" s="1"/>
  <c r="H27" i="12"/>
  <c r="F27" i="12"/>
  <c r="E27" i="12"/>
  <c r="C27" i="12"/>
  <c r="D27" i="12" s="1"/>
  <c r="B27" i="12"/>
  <c r="AJ26" i="12"/>
  <c r="AK26" i="12" s="1"/>
  <c r="AI26" i="12"/>
  <c r="AG26" i="12"/>
  <c r="AF26" i="12"/>
  <c r="AD26" i="12"/>
  <c r="AE26" i="12" s="1"/>
  <c r="AC26" i="12"/>
  <c r="AA26" i="12"/>
  <c r="AB26" i="12" s="1"/>
  <c r="Z26" i="12"/>
  <c r="X26" i="12"/>
  <c r="Y26" i="12" s="1"/>
  <c r="W26" i="12"/>
  <c r="U26" i="12"/>
  <c r="V26" i="12" s="1"/>
  <c r="T26" i="12"/>
  <c r="R26" i="12"/>
  <c r="Q26" i="12"/>
  <c r="O26" i="12"/>
  <c r="P26" i="12" s="1"/>
  <c r="N26" i="12"/>
  <c r="L26" i="12"/>
  <c r="M26" i="12" s="1"/>
  <c r="K26" i="12"/>
  <c r="I26" i="12"/>
  <c r="J26" i="12" s="1"/>
  <c r="H26" i="12"/>
  <c r="F26" i="12"/>
  <c r="E26" i="12"/>
  <c r="C26" i="12"/>
  <c r="D26" i="12" s="1"/>
  <c r="B26" i="12"/>
  <c r="AJ25" i="12"/>
  <c r="AK25" i="12" s="1"/>
  <c r="AI25" i="12"/>
  <c r="AG25" i="12"/>
  <c r="AH25" i="12" s="1"/>
  <c r="AF25" i="12"/>
  <c r="AD25" i="12"/>
  <c r="AC25" i="12"/>
  <c r="AA25" i="12"/>
  <c r="AB25" i="12" s="1"/>
  <c r="Z25" i="12"/>
  <c r="X25" i="12"/>
  <c r="Y25" i="12" s="1"/>
  <c r="W25" i="12"/>
  <c r="U25" i="12"/>
  <c r="T25" i="12"/>
  <c r="R25" i="12"/>
  <c r="Q25" i="12"/>
  <c r="O25" i="12"/>
  <c r="P25" i="12" s="1"/>
  <c r="N25" i="12"/>
  <c r="L25" i="12"/>
  <c r="M25" i="12" s="1"/>
  <c r="K25" i="12"/>
  <c r="I25" i="12"/>
  <c r="J25" i="12" s="1"/>
  <c r="H25" i="12"/>
  <c r="F25" i="12"/>
  <c r="E25" i="12"/>
  <c r="C25" i="12"/>
  <c r="D25" i="12" s="1"/>
  <c r="B25" i="12"/>
  <c r="AJ24" i="12"/>
  <c r="AK24" i="12" s="1"/>
  <c r="AI24" i="12"/>
  <c r="AG24" i="12"/>
  <c r="AF24" i="12"/>
  <c r="AD24" i="12"/>
  <c r="AE24" i="12" s="1"/>
  <c r="AC24" i="12"/>
  <c r="AA24" i="12"/>
  <c r="AB24" i="12" s="1"/>
  <c r="Z24" i="12"/>
  <c r="X24" i="12"/>
  <c r="W24" i="12"/>
  <c r="U24" i="12"/>
  <c r="V24" i="12" s="1"/>
  <c r="T24" i="12"/>
  <c r="R24" i="12"/>
  <c r="Q24" i="12"/>
  <c r="O24" i="12"/>
  <c r="P24" i="12" s="1"/>
  <c r="N24" i="12"/>
  <c r="L24" i="12"/>
  <c r="M24" i="12" s="1"/>
  <c r="K24" i="12"/>
  <c r="I24" i="12"/>
  <c r="H24" i="12"/>
  <c r="F24" i="12"/>
  <c r="G24" i="12" s="1"/>
  <c r="E24" i="12"/>
  <c r="C24" i="12"/>
  <c r="D24" i="12" s="1"/>
  <c r="B24" i="12"/>
  <c r="AJ23" i="12"/>
  <c r="AK23" i="12" s="1"/>
  <c r="AI23" i="12"/>
  <c r="AG23" i="12"/>
  <c r="AH23" i="12" s="1"/>
  <c r="AF23" i="12"/>
  <c r="AD23" i="12"/>
  <c r="AC23" i="12"/>
  <c r="AA23" i="12"/>
  <c r="AB23" i="12" s="1"/>
  <c r="Z23" i="12"/>
  <c r="X23" i="12"/>
  <c r="Y23" i="12" s="1"/>
  <c r="W23" i="12"/>
  <c r="U23" i="12"/>
  <c r="V23" i="12" s="1"/>
  <c r="T23" i="12"/>
  <c r="R23" i="12"/>
  <c r="S23" i="12" s="1"/>
  <c r="Q23" i="12"/>
  <c r="O23" i="12"/>
  <c r="P23" i="12" s="1"/>
  <c r="N23" i="12"/>
  <c r="L23" i="12"/>
  <c r="M23" i="12" s="1"/>
  <c r="K23" i="12"/>
  <c r="I23" i="12"/>
  <c r="J23" i="12" s="1"/>
  <c r="H23" i="12"/>
  <c r="F23" i="12"/>
  <c r="E23" i="12"/>
  <c r="C23" i="12"/>
  <c r="D23" i="12" s="1"/>
  <c r="B23" i="12"/>
  <c r="AJ22" i="12"/>
  <c r="AK22" i="12" s="1"/>
  <c r="AI22" i="12"/>
  <c r="AG22" i="12"/>
  <c r="AF22" i="12"/>
  <c r="AD22" i="12"/>
  <c r="AE22" i="12" s="1"/>
  <c r="AC22" i="12"/>
  <c r="AA22" i="12"/>
  <c r="AB22" i="12" s="1"/>
  <c r="Z22" i="12"/>
  <c r="X22" i="12"/>
  <c r="Y22" i="12" s="1"/>
  <c r="W22" i="12"/>
  <c r="U22" i="12"/>
  <c r="V22" i="12" s="1"/>
  <c r="T22" i="12"/>
  <c r="R22" i="12"/>
  <c r="Q22" i="12"/>
  <c r="O22" i="12"/>
  <c r="P22" i="12" s="1"/>
  <c r="N22" i="12"/>
  <c r="L22" i="12"/>
  <c r="M22" i="12" s="1"/>
  <c r="K22" i="12"/>
  <c r="I22" i="12"/>
  <c r="H22" i="12"/>
  <c r="F22" i="12"/>
  <c r="G22" i="12" s="1"/>
  <c r="E22" i="12"/>
  <c r="C22" i="12"/>
  <c r="D22" i="12" s="1"/>
  <c r="B22" i="12"/>
  <c r="AJ21" i="12"/>
  <c r="AK21" i="12" s="1"/>
  <c r="AI21" i="12"/>
  <c r="AG21" i="12"/>
  <c r="AH21" i="12" s="1"/>
  <c r="AF21" i="12"/>
  <c r="AD21" i="12"/>
  <c r="AC21" i="12"/>
  <c r="AA21" i="12"/>
  <c r="AB21" i="12" s="1"/>
  <c r="Z21" i="12"/>
  <c r="X21" i="12"/>
  <c r="Y21" i="12" s="1"/>
  <c r="W21" i="12"/>
  <c r="U21" i="12"/>
  <c r="T21" i="12"/>
  <c r="R21" i="12"/>
  <c r="S21" i="12" s="1"/>
  <c r="Q21" i="12"/>
  <c r="O21" i="12"/>
  <c r="P21" i="12" s="1"/>
  <c r="N21" i="12"/>
  <c r="L21" i="12"/>
  <c r="M21" i="12" s="1"/>
  <c r="K21" i="12"/>
  <c r="I21" i="12"/>
  <c r="J21" i="12" s="1"/>
  <c r="H21" i="12"/>
  <c r="F21" i="12"/>
  <c r="E21" i="12"/>
  <c r="C21" i="12"/>
  <c r="D21" i="12" s="1"/>
  <c r="B21" i="12"/>
  <c r="AJ20" i="12"/>
  <c r="AK20" i="12" s="1"/>
  <c r="AI20" i="12"/>
  <c r="AG20" i="12"/>
  <c r="AH20" i="12" s="1"/>
  <c r="AF20" i="12"/>
  <c r="AD20" i="12"/>
  <c r="AE20" i="12" s="1"/>
  <c r="AC20" i="12"/>
  <c r="AA20" i="12"/>
  <c r="AB20" i="12" s="1"/>
  <c r="Z20" i="12"/>
  <c r="X20" i="12"/>
  <c r="Y20" i="12" s="1"/>
  <c r="W20" i="12"/>
  <c r="U20" i="12"/>
  <c r="V20" i="12" s="1"/>
  <c r="T20" i="12"/>
  <c r="R20" i="12"/>
  <c r="Q20" i="12"/>
  <c r="O20" i="12"/>
  <c r="P20" i="12" s="1"/>
  <c r="N20" i="12"/>
  <c r="L20" i="12"/>
  <c r="M20" i="12" s="1"/>
  <c r="K20" i="12"/>
  <c r="I20" i="12"/>
  <c r="H20" i="12"/>
  <c r="F20" i="12"/>
  <c r="G20" i="12" s="1"/>
  <c r="E20" i="12"/>
  <c r="C20" i="12"/>
  <c r="D20" i="12" s="1"/>
  <c r="B20" i="12"/>
  <c r="AJ19" i="12"/>
  <c r="AK19" i="12" s="1"/>
  <c r="AI19" i="12"/>
  <c r="AG19" i="12"/>
  <c r="AH19" i="12" s="1"/>
  <c r="AF19" i="12"/>
  <c r="AD19" i="12"/>
  <c r="AC19" i="12"/>
  <c r="AA19" i="12"/>
  <c r="AB19" i="12" s="1"/>
  <c r="Z19" i="12"/>
  <c r="X19" i="12"/>
  <c r="Y19" i="12" s="1"/>
  <c r="W19" i="12"/>
  <c r="U19" i="12"/>
  <c r="V19" i="12" s="1"/>
  <c r="T19" i="12"/>
  <c r="R19" i="12"/>
  <c r="S19" i="12" s="1"/>
  <c r="Q19" i="12"/>
  <c r="O19" i="12"/>
  <c r="P19" i="12" s="1"/>
  <c r="N19" i="12"/>
  <c r="L19" i="12"/>
  <c r="M19" i="12" s="1"/>
  <c r="K19" i="12"/>
  <c r="I19" i="12"/>
  <c r="H19" i="12"/>
  <c r="F19" i="12"/>
  <c r="E19" i="12"/>
  <c r="C19" i="12"/>
  <c r="D19" i="12" s="1"/>
  <c r="B19" i="12"/>
  <c r="AJ18" i="12"/>
  <c r="AK18" i="12" s="1"/>
  <c r="AI18" i="12"/>
  <c r="AG18" i="12"/>
  <c r="AF18" i="12"/>
  <c r="AD18" i="12"/>
  <c r="AE18" i="12" s="1"/>
  <c r="AC18" i="12"/>
  <c r="AA18" i="12"/>
  <c r="AB18" i="12" s="1"/>
  <c r="Z18" i="12"/>
  <c r="X18" i="12"/>
  <c r="Y18" i="12" s="1"/>
  <c r="W18" i="12"/>
  <c r="U18" i="12"/>
  <c r="V18" i="12" s="1"/>
  <c r="T18" i="12"/>
  <c r="R18" i="12"/>
  <c r="Q18" i="12"/>
  <c r="O18" i="12"/>
  <c r="P18" i="12" s="1"/>
  <c r="N18" i="12"/>
  <c r="L18" i="12"/>
  <c r="M18" i="12" s="1"/>
  <c r="K18" i="12"/>
  <c r="I18" i="12"/>
  <c r="H18" i="12"/>
  <c r="F18" i="12"/>
  <c r="G18" i="12" s="1"/>
  <c r="E18" i="12"/>
  <c r="C18" i="12"/>
  <c r="D18" i="12" s="1"/>
  <c r="B18" i="12"/>
  <c r="AJ17" i="12"/>
  <c r="AK17" i="12" s="1"/>
  <c r="AI17" i="12"/>
  <c r="AG17" i="12"/>
  <c r="AH17" i="12" s="1"/>
  <c r="AF17" i="12"/>
  <c r="AD17" i="12"/>
  <c r="AC17" i="12"/>
  <c r="AA17" i="12"/>
  <c r="AB17" i="12" s="1"/>
  <c r="Z17" i="12"/>
  <c r="X17" i="12"/>
  <c r="Y17" i="12" s="1"/>
  <c r="W17" i="12"/>
  <c r="U17" i="12"/>
  <c r="V17" i="12" s="1"/>
  <c r="T17" i="12"/>
  <c r="R17" i="12"/>
  <c r="S17" i="12" s="1"/>
  <c r="Q17" i="12"/>
  <c r="O17" i="12"/>
  <c r="P17" i="12" s="1"/>
  <c r="N17" i="12"/>
  <c r="L17" i="12"/>
  <c r="M17" i="12" s="1"/>
  <c r="K17" i="12"/>
  <c r="I17" i="12"/>
  <c r="J17" i="12" s="1"/>
  <c r="H17" i="12"/>
  <c r="F17" i="12"/>
  <c r="E17" i="12"/>
  <c r="C17" i="12"/>
  <c r="D17" i="12" s="1"/>
  <c r="B17" i="12"/>
  <c r="AJ16" i="12"/>
  <c r="AK16" i="12" s="1"/>
  <c r="AI16" i="12"/>
  <c r="AG16" i="12"/>
  <c r="AF16" i="12"/>
  <c r="AD16" i="12"/>
  <c r="AE16" i="12" s="1"/>
  <c r="AC16" i="12"/>
  <c r="AA16" i="12"/>
  <c r="AB16" i="12" s="1"/>
  <c r="Z16" i="12"/>
  <c r="X16" i="12"/>
  <c r="Y16" i="12" s="1"/>
  <c r="W16" i="12"/>
  <c r="U16" i="12"/>
  <c r="V16" i="12" s="1"/>
  <c r="T16" i="12"/>
  <c r="R16" i="12"/>
  <c r="Q16" i="12"/>
  <c r="O16" i="12"/>
  <c r="P16" i="12" s="1"/>
  <c r="N16" i="12"/>
  <c r="L16" i="12"/>
  <c r="M16" i="12" s="1"/>
  <c r="K16" i="12"/>
  <c r="I16" i="12"/>
  <c r="H16" i="12"/>
  <c r="F16" i="12"/>
  <c r="G16" i="12" s="1"/>
  <c r="E16" i="12"/>
  <c r="C16" i="12"/>
  <c r="D16" i="12" s="1"/>
  <c r="B16" i="12"/>
  <c r="AJ15" i="12"/>
  <c r="AK15" i="12" s="1"/>
  <c r="AI15" i="12"/>
  <c r="AG15" i="12"/>
  <c r="AH15" i="12" s="1"/>
  <c r="AF15" i="12"/>
  <c r="AD15" i="12"/>
  <c r="AC15" i="12"/>
  <c r="AA15" i="12"/>
  <c r="AB15" i="12" s="1"/>
  <c r="Z15" i="12"/>
  <c r="X15" i="12"/>
  <c r="Y15" i="12" s="1"/>
  <c r="W15" i="12"/>
  <c r="U15" i="12"/>
  <c r="T15" i="12"/>
  <c r="R15" i="12"/>
  <c r="S15" i="12" s="1"/>
  <c r="Q15" i="12"/>
  <c r="O15" i="12"/>
  <c r="P15" i="12" s="1"/>
  <c r="N15" i="12"/>
  <c r="L15" i="12"/>
  <c r="M15" i="12" s="1"/>
  <c r="K15" i="12"/>
  <c r="I15" i="12"/>
  <c r="J15" i="12" s="1"/>
  <c r="H15" i="12"/>
  <c r="F15" i="12"/>
  <c r="E15" i="12"/>
  <c r="C15" i="12"/>
  <c r="D15" i="12" s="1"/>
  <c r="B15" i="12"/>
  <c r="AJ14" i="12"/>
  <c r="AK14" i="12" s="1"/>
  <c r="AI14" i="12"/>
  <c r="AG14" i="12"/>
  <c r="AF14" i="12"/>
  <c r="AD14" i="12"/>
  <c r="AC14" i="12"/>
  <c r="AA14" i="12"/>
  <c r="AB14" i="12" s="1"/>
  <c r="Z14" i="12"/>
  <c r="X14" i="12"/>
  <c r="Y14" i="12" s="1"/>
  <c r="W14" i="12"/>
  <c r="U14" i="12"/>
  <c r="V14" i="12" s="1"/>
  <c r="T14" i="12"/>
  <c r="R14" i="12"/>
  <c r="S14" i="12" s="1"/>
  <c r="Q14" i="12"/>
  <c r="O14" i="12"/>
  <c r="P14" i="12" s="1"/>
  <c r="N14" i="12"/>
  <c r="L14" i="12"/>
  <c r="K14" i="12"/>
  <c r="I14" i="12"/>
  <c r="J14" i="12" s="1"/>
  <c r="H14" i="12"/>
  <c r="F14" i="12"/>
  <c r="G14" i="12" s="1"/>
  <c r="E14" i="12"/>
  <c r="C14" i="12"/>
  <c r="B14" i="12"/>
  <c r="AJ13" i="12"/>
  <c r="AI13" i="12"/>
  <c r="AG13" i="12"/>
  <c r="AH13" i="12" s="1"/>
  <c r="AF13" i="12"/>
  <c r="AD13" i="12"/>
  <c r="AE13" i="12" s="1"/>
  <c r="AC13" i="12"/>
  <c r="AA13" i="12"/>
  <c r="AB13" i="12" s="1"/>
  <c r="Z13" i="12"/>
  <c r="X13" i="12"/>
  <c r="W13" i="12"/>
  <c r="U13" i="12"/>
  <c r="V13" i="12" s="1"/>
  <c r="T13" i="12"/>
  <c r="R13" i="12"/>
  <c r="S13" i="12" s="1"/>
  <c r="Q13" i="12"/>
  <c r="O13" i="12"/>
  <c r="N13" i="12"/>
  <c r="L13" i="12"/>
  <c r="K13" i="12"/>
  <c r="I13" i="12"/>
  <c r="J13" i="12" s="1"/>
  <c r="H13" i="12"/>
  <c r="F13" i="12"/>
  <c r="G13" i="12" s="1"/>
  <c r="E13" i="12"/>
  <c r="C13" i="12"/>
  <c r="D13" i="12" s="1"/>
  <c r="B13" i="12"/>
  <c r="AJ12" i="12"/>
  <c r="AI12" i="12"/>
  <c r="AG12" i="12"/>
  <c r="AH12" i="12" s="1"/>
  <c r="AF12" i="12"/>
  <c r="AD12" i="12"/>
  <c r="AE12" i="12" s="1"/>
  <c r="AC12" i="12"/>
  <c r="AA12" i="12"/>
  <c r="Z12" i="12"/>
  <c r="X12" i="12"/>
  <c r="W12" i="12"/>
  <c r="U12" i="12"/>
  <c r="V12" i="12" s="1"/>
  <c r="T12" i="12"/>
  <c r="R12" i="12"/>
  <c r="S12" i="12" s="1"/>
  <c r="Q12" i="12"/>
  <c r="O12" i="12"/>
  <c r="P12" i="12" s="1"/>
  <c r="N12" i="12"/>
  <c r="L12" i="12"/>
  <c r="K12" i="12"/>
  <c r="I12" i="12"/>
  <c r="J12" i="12" s="1"/>
  <c r="H12" i="12"/>
  <c r="F12" i="12"/>
  <c r="G12" i="12" s="1"/>
  <c r="E12" i="12"/>
  <c r="C12" i="12"/>
  <c r="B12" i="12"/>
  <c r="AJ11" i="12"/>
  <c r="AI11" i="12"/>
  <c r="AG11" i="12"/>
  <c r="AH11" i="12" s="1"/>
  <c r="AF11" i="12"/>
  <c r="AD11" i="12"/>
  <c r="AE11" i="12" s="1"/>
  <c r="AC11" i="12"/>
  <c r="AA11" i="12"/>
  <c r="AB11" i="12" s="1"/>
  <c r="Z11" i="12"/>
  <c r="X11" i="12"/>
  <c r="W11" i="12"/>
  <c r="U11" i="12"/>
  <c r="V11" i="12" s="1"/>
  <c r="T11" i="12"/>
  <c r="R11" i="12"/>
  <c r="S11" i="12" s="1"/>
  <c r="Q11" i="12"/>
  <c r="O11" i="12"/>
  <c r="P11" i="12" s="1"/>
  <c r="N11" i="12"/>
  <c r="L11" i="12"/>
  <c r="K11" i="12"/>
  <c r="I11" i="12"/>
  <c r="J11" i="12" s="1"/>
  <c r="H11" i="12"/>
  <c r="F11" i="12"/>
  <c r="G11" i="12" s="1"/>
  <c r="E11" i="12"/>
  <c r="C11" i="12"/>
  <c r="D11" i="12" s="1"/>
  <c r="B11" i="12"/>
  <c r="AJ10" i="12"/>
  <c r="AI10" i="12"/>
  <c r="AG10" i="12"/>
  <c r="AH10" i="12" s="1"/>
  <c r="AF10" i="12"/>
  <c r="AD10" i="12"/>
  <c r="AE10" i="12" s="1"/>
  <c r="AC10" i="12"/>
  <c r="AA10" i="12"/>
  <c r="AB10" i="12" s="1"/>
  <c r="Z10" i="12"/>
  <c r="X10" i="12"/>
  <c r="W10" i="12"/>
  <c r="U10" i="12"/>
  <c r="V10" i="12" s="1"/>
  <c r="T10" i="12"/>
  <c r="R10" i="12"/>
  <c r="S10" i="12" s="1"/>
  <c r="Q10" i="12"/>
  <c r="O10" i="12"/>
  <c r="P10" i="12" s="1"/>
  <c r="N10" i="12"/>
  <c r="L10" i="12"/>
  <c r="K10" i="12"/>
  <c r="I10" i="12"/>
  <c r="J10" i="12" s="1"/>
  <c r="H10" i="12"/>
  <c r="F10" i="12"/>
  <c r="G10" i="12" s="1"/>
  <c r="E10" i="12"/>
  <c r="C10" i="12"/>
  <c r="B10" i="12"/>
  <c r="AJ9" i="12"/>
  <c r="AI9" i="12"/>
  <c r="AG9" i="12"/>
  <c r="AH9" i="12" s="1"/>
  <c r="AF9" i="12"/>
  <c r="AD9" i="12"/>
  <c r="AE9" i="12" s="1"/>
  <c r="AC9" i="12"/>
  <c r="AA9" i="12"/>
  <c r="AB9" i="12" s="1"/>
  <c r="Z9" i="12"/>
  <c r="X9" i="12"/>
  <c r="W9" i="12"/>
  <c r="U9" i="12"/>
  <c r="V9" i="12" s="1"/>
  <c r="T9" i="12"/>
  <c r="R9" i="12"/>
  <c r="S9" i="12" s="1"/>
  <c r="Q9" i="12"/>
  <c r="O9" i="12"/>
  <c r="N9" i="12"/>
  <c r="L9" i="12"/>
  <c r="K9" i="12"/>
  <c r="I9" i="12"/>
  <c r="J9" i="12" s="1"/>
  <c r="H9" i="12"/>
  <c r="F9" i="12"/>
  <c r="G9" i="12" s="1"/>
  <c r="E9" i="12"/>
  <c r="C9" i="12"/>
  <c r="D9" i="12" s="1"/>
  <c r="B9" i="12"/>
  <c r="AJ8" i="12"/>
  <c r="AI8" i="12"/>
  <c r="AG8" i="12"/>
  <c r="AH8" i="12" s="1"/>
  <c r="AF8" i="12"/>
  <c r="AD8" i="12"/>
  <c r="AE8" i="12" s="1"/>
  <c r="AC8" i="12"/>
  <c r="AA8" i="12"/>
  <c r="Z8" i="12"/>
  <c r="X8" i="12"/>
  <c r="W8" i="12"/>
  <c r="U8" i="12"/>
  <c r="V8" i="12" s="1"/>
  <c r="T8" i="12"/>
  <c r="R8" i="12"/>
  <c r="S8" i="12" s="1"/>
  <c r="Q8" i="12"/>
  <c r="O8" i="12"/>
  <c r="P8" i="12" s="1"/>
  <c r="N8" i="12"/>
  <c r="L8" i="12"/>
  <c r="K8" i="12"/>
  <c r="I8" i="12"/>
  <c r="J8" i="12" s="1"/>
  <c r="H8" i="12"/>
  <c r="F8" i="12"/>
  <c r="G8" i="12" s="1"/>
  <c r="E8" i="12"/>
  <c r="C8" i="12"/>
  <c r="D8" i="12" s="1"/>
  <c r="B8" i="12"/>
  <c r="AJ7" i="12"/>
  <c r="AI7" i="12"/>
  <c r="AG7" i="12"/>
  <c r="AH7" i="12" s="1"/>
  <c r="AF7" i="12"/>
  <c r="AF28" i="12" s="1"/>
  <c r="AD7" i="12"/>
  <c r="AC7" i="12"/>
  <c r="AA7" i="12"/>
  <c r="Z7" i="12"/>
  <c r="X7" i="12"/>
  <c r="W7" i="12"/>
  <c r="U7" i="12"/>
  <c r="V7" i="12" s="1"/>
  <c r="T7" i="12"/>
  <c r="R7" i="12"/>
  <c r="Q7" i="12"/>
  <c r="Q28" i="12" s="1"/>
  <c r="O7" i="12"/>
  <c r="N7" i="12"/>
  <c r="L7" i="12"/>
  <c r="K7" i="12"/>
  <c r="I7" i="12"/>
  <c r="H7" i="12"/>
  <c r="H28" i="12" s="1"/>
  <c r="F7" i="12"/>
  <c r="G7" i="12" s="1"/>
  <c r="E7" i="12"/>
  <c r="C7" i="12"/>
  <c r="B7" i="12"/>
  <c r="Z6" i="12"/>
  <c r="B6" i="12"/>
  <c r="AJ5" i="12"/>
  <c r="AI5" i="12"/>
  <c r="AG5" i="12"/>
  <c r="AH5" i="12" s="1"/>
  <c r="AF5" i="12"/>
  <c r="AD5" i="12"/>
  <c r="AE5" i="12" s="1"/>
  <c r="AC5" i="12"/>
  <c r="AA5" i="12"/>
  <c r="AB5" i="12" s="1"/>
  <c r="Z5" i="12"/>
  <c r="X5" i="12"/>
  <c r="W5" i="12"/>
  <c r="U5" i="12"/>
  <c r="V5" i="12" s="1"/>
  <c r="T5" i="12"/>
  <c r="R5" i="12"/>
  <c r="S5" i="12" s="1"/>
  <c r="Q5" i="12"/>
  <c r="O5" i="12"/>
  <c r="P5" i="12" s="1"/>
  <c r="N5" i="12"/>
  <c r="L5" i="12"/>
  <c r="K5" i="12"/>
  <c r="I5" i="12"/>
  <c r="J5" i="12" s="1"/>
  <c r="H5" i="12"/>
  <c r="F5" i="12"/>
  <c r="G5" i="12" s="1"/>
  <c r="E5" i="12"/>
  <c r="C5" i="12"/>
  <c r="D5" i="12" s="1"/>
  <c r="B5" i="12"/>
  <c r="AJ4" i="12"/>
  <c r="AI4" i="12"/>
  <c r="AG4" i="12"/>
  <c r="AF4" i="12"/>
  <c r="AF6" i="12" s="1"/>
  <c r="AF29" i="12" s="1"/>
  <c r="AD4" i="12"/>
  <c r="AE4" i="12" s="1"/>
  <c r="AC4" i="12"/>
  <c r="AC6" i="12" s="1"/>
  <c r="AA4" i="12"/>
  <c r="AB4" i="12" s="1"/>
  <c r="Z4" i="12"/>
  <c r="X4" i="12"/>
  <c r="W4" i="12"/>
  <c r="U4" i="12"/>
  <c r="V4" i="12" s="1"/>
  <c r="T4" i="12"/>
  <c r="T6" i="12" s="1"/>
  <c r="R4" i="12"/>
  <c r="S4" i="12" s="1"/>
  <c r="Q4" i="12"/>
  <c r="Q6" i="12" s="1"/>
  <c r="Q29" i="12" s="1"/>
  <c r="O4" i="12"/>
  <c r="P4" i="12" s="1"/>
  <c r="N4" i="12"/>
  <c r="L4" i="12"/>
  <c r="K4" i="12"/>
  <c r="I4" i="12"/>
  <c r="H4" i="12"/>
  <c r="H6" i="12" s="1"/>
  <c r="F4" i="12"/>
  <c r="G4" i="12" s="1"/>
  <c r="E4" i="12"/>
  <c r="E6" i="12" s="1"/>
  <c r="C4" i="12"/>
  <c r="D4" i="12" s="1"/>
  <c r="B4" i="12"/>
  <c r="Z8" i="11"/>
  <c r="X8" i="11"/>
  <c r="W8" i="11"/>
  <c r="U8" i="11"/>
  <c r="T8" i="11"/>
  <c r="R8" i="11"/>
  <c r="Q8" i="11"/>
  <c r="O8" i="11"/>
  <c r="N8" i="11"/>
  <c r="L8" i="11"/>
  <c r="K8" i="11"/>
  <c r="I8" i="11"/>
  <c r="H8" i="11"/>
  <c r="G8" i="11"/>
  <c r="F8" i="11"/>
  <c r="E8" i="11"/>
  <c r="D8" i="11"/>
  <c r="C8" i="11"/>
  <c r="M5" i="11"/>
  <c r="M8" i="11" s="1"/>
  <c r="J5" i="11"/>
  <c r="G5" i="11"/>
  <c r="AU85" i="10"/>
  <c r="AU84" i="10"/>
  <c r="AU83" i="10"/>
  <c r="AU77" i="10"/>
  <c r="AU76" i="10"/>
  <c r="AC63" i="10"/>
  <c r="U63" i="10"/>
  <c r="AC62" i="10"/>
  <c r="U62" i="10"/>
  <c r="AC61" i="10"/>
  <c r="U61" i="10"/>
  <c r="O53" i="10"/>
  <c r="O51" i="10"/>
  <c r="Q50" i="10"/>
  <c r="C46" i="10"/>
  <c r="W45" i="10"/>
  <c r="U45" i="10"/>
  <c r="X44" i="10"/>
  <c r="R43" i="10"/>
  <c r="Q43" i="10"/>
  <c r="H43" i="10"/>
  <c r="E43" i="10"/>
  <c r="T42" i="10"/>
  <c r="Q42" i="10"/>
  <c r="V41" i="10"/>
  <c r="T41" i="10"/>
  <c r="N41" i="10"/>
  <c r="N40" i="10"/>
  <c r="N39" i="10"/>
  <c r="AE38" i="10"/>
  <c r="J38" i="10"/>
  <c r="H38" i="10"/>
  <c r="D38" i="10"/>
  <c r="J37" i="10"/>
  <c r="I37" i="10"/>
  <c r="I38" i="10" s="1"/>
  <c r="H37" i="10"/>
  <c r="G37" i="10"/>
  <c r="G38" i="10" s="1"/>
  <c r="F37" i="10"/>
  <c r="F38" i="10" s="1"/>
  <c r="E37" i="10"/>
  <c r="D37" i="10"/>
  <c r="C37" i="10"/>
  <c r="AE36" i="10"/>
  <c r="AC36" i="10"/>
  <c r="X36" i="10"/>
  <c r="L36" i="10"/>
  <c r="K36" i="10"/>
  <c r="AB35" i="10"/>
  <c r="W35" i="10"/>
  <c r="W43" i="10" s="1"/>
  <c r="V35" i="10"/>
  <c r="V43" i="10" s="1"/>
  <c r="U35" i="10"/>
  <c r="U43" i="10" s="1"/>
  <c r="T35" i="10"/>
  <c r="T43" i="10" s="1"/>
  <c r="S35" i="10"/>
  <c r="S43" i="10" s="1"/>
  <c r="R35" i="10"/>
  <c r="Q35" i="10"/>
  <c r="N35" i="10"/>
  <c r="N47" i="10" s="1"/>
  <c r="N53" i="10" s="1"/>
  <c r="L35" i="10"/>
  <c r="K35" i="10"/>
  <c r="AD34" i="10"/>
  <c r="AB56" i="10" s="1"/>
  <c r="AB62" i="10" s="1"/>
  <c r="AC34" i="10"/>
  <c r="AB55" i="10" s="1"/>
  <c r="AB61" i="10" s="1"/>
  <c r="W34" i="10"/>
  <c r="W42" i="10" s="1"/>
  <c r="V34" i="10"/>
  <c r="V42" i="10" s="1"/>
  <c r="U34" i="10"/>
  <c r="U42" i="10" s="1"/>
  <c r="T34" i="10"/>
  <c r="S34" i="10"/>
  <c r="S42" i="10" s="1"/>
  <c r="R34" i="10"/>
  <c r="R42" i="10" s="1"/>
  <c r="Q34" i="10"/>
  <c r="X34" i="10" s="1"/>
  <c r="N34" i="10"/>
  <c r="Q49" i="10" s="1"/>
  <c r="L34" i="10"/>
  <c r="K34" i="10"/>
  <c r="AD33" i="10"/>
  <c r="AC33" i="10"/>
  <c r="AB33" i="10"/>
  <c r="W33" i="10"/>
  <c r="W41" i="10" s="1"/>
  <c r="V33" i="10"/>
  <c r="V37" i="10" s="1"/>
  <c r="U33" i="10"/>
  <c r="U41" i="10" s="1"/>
  <c r="T33" i="10"/>
  <c r="T37" i="10" s="1"/>
  <c r="S33" i="10"/>
  <c r="S41" i="10" s="1"/>
  <c r="S45" i="10" s="1"/>
  <c r="R33" i="10"/>
  <c r="R41" i="10" s="1"/>
  <c r="Q33" i="10"/>
  <c r="N33" i="10"/>
  <c r="L33" i="10"/>
  <c r="K33" i="10"/>
  <c r="C23" i="10"/>
  <c r="C22" i="10"/>
  <c r="G13" i="10"/>
  <c r="J4" i="11" s="1"/>
  <c r="J8" i="11" s="1"/>
  <c r="C13" i="10"/>
  <c r="AJ50" i="8"/>
  <c r="AG50" i="8"/>
  <c r="AD50" i="8"/>
  <c r="AA50" i="8"/>
  <c r="X50" i="8"/>
  <c r="U50" i="8"/>
  <c r="R50" i="8"/>
  <c r="O50" i="8"/>
  <c r="L50" i="8"/>
  <c r="I50" i="8"/>
  <c r="F50" i="8"/>
  <c r="C50" i="8"/>
  <c r="AJ49" i="8"/>
  <c r="AG49" i="8"/>
  <c r="AD49" i="8"/>
  <c r="AA49" i="8"/>
  <c r="X49" i="8"/>
  <c r="U49" i="8"/>
  <c r="R49" i="8"/>
  <c r="O49" i="8"/>
  <c r="L49" i="8"/>
  <c r="I49" i="8"/>
  <c r="F49" i="8"/>
  <c r="C49" i="8"/>
  <c r="AJ48" i="8"/>
  <c r="AG48" i="8"/>
  <c r="AD48" i="8"/>
  <c r="AA48" i="8"/>
  <c r="X48" i="8"/>
  <c r="U48" i="8"/>
  <c r="R48" i="8"/>
  <c r="O48" i="8"/>
  <c r="L48" i="8"/>
  <c r="I48" i="8"/>
  <c r="F48" i="8"/>
  <c r="C48" i="8"/>
  <c r="AJ47" i="8"/>
  <c r="AG47" i="8"/>
  <c r="AD47" i="8"/>
  <c r="AA47" i="8"/>
  <c r="X47" i="8"/>
  <c r="U47" i="8"/>
  <c r="R47" i="8"/>
  <c r="O47" i="8"/>
  <c r="L47" i="8"/>
  <c r="I47" i="8"/>
  <c r="F47" i="8"/>
  <c r="C47" i="8"/>
  <c r="AJ46" i="8"/>
  <c r="AG46" i="8"/>
  <c r="AD46" i="8"/>
  <c r="AA46" i="8"/>
  <c r="X46" i="8"/>
  <c r="U46" i="8"/>
  <c r="R46" i="8"/>
  <c r="O46" i="8"/>
  <c r="L46" i="8"/>
  <c r="I46" i="8"/>
  <c r="F46" i="8"/>
  <c r="C46" i="8"/>
  <c r="AJ44" i="8"/>
  <c r="AG44" i="8"/>
  <c r="AD44" i="8"/>
  <c r="AA44" i="8"/>
  <c r="X44" i="8"/>
  <c r="U44" i="8"/>
  <c r="R44" i="8"/>
  <c r="O44" i="8"/>
  <c r="L44" i="8"/>
  <c r="I44" i="8"/>
  <c r="F44" i="8"/>
  <c r="C44" i="8"/>
  <c r="AJ43" i="8"/>
  <c r="AG43" i="8"/>
  <c r="AD43" i="8"/>
  <c r="AA43" i="8"/>
  <c r="X43" i="8"/>
  <c r="U43" i="8"/>
  <c r="R43" i="8"/>
  <c r="O43" i="8"/>
  <c r="L43" i="8"/>
  <c r="I43" i="8"/>
  <c r="F43" i="8"/>
  <c r="C43" i="8"/>
  <c r="AJ42" i="8"/>
  <c r="AG42" i="8"/>
  <c r="AD42" i="8"/>
  <c r="AA42" i="8"/>
  <c r="X42" i="8"/>
  <c r="U42" i="8"/>
  <c r="R42" i="8"/>
  <c r="O42" i="8"/>
  <c r="L42" i="8"/>
  <c r="I42" i="8"/>
  <c r="F42" i="8"/>
  <c r="C42" i="8"/>
  <c r="AJ41" i="8"/>
  <c r="AG41" i="8"/>
  <c r="AD41" i="8"/>
  <c r="AA41" i="8"/>
  <c r="X41" i="8"/>
  <c r="U41" i="8"/>
  <c r="R41" i="8"/>
  <c r="O41" i="8"/>
  <c r="L41" i="8"/>
  <c r="I41" i="8"/>
  <c r="F41" i="8"/>
  <c r="C41" i="8"/>
  <c r="AJ40" i="8"/>
  <c r="AG40" i="8"/>
  <c r="AD40" i="8"/>
  <c r="AA40" i="8"/>
  <c r="X40" i="8"/>
  <c r="U40" i="8"/>
  <c r="R40" i="8"/>
  <c r="O40" i="8"/>
  <c r="L40" i="8"/>
  <c r="I40" i="8"/>
  <c r="F40" i="8"/>
  <c r="C40" i="8"/>
  <c r="AJ37" i="8"/>
  <c r="AG37" i="8"/>
  <c r="AD37" i="8"/>
  <c r="AA37" i="8"/>
  <c r="X37" i="8"/>
  <c r="U37" i="8"/>
  <c r="R37" i="8"/>
  <c r="O37" i="8"/>
  <c r="L37" i="8"/>
  <c r="I37" i="8"/>
  <c r="F37" i="8"/>
  <c r="G37" i="8" s="1"/>
  <c r="C37" i="8"/>
  <c r="AJ36" i="8"/>
  <c r="AG36" i="8"/>
  <c r="AD36" i="8"/>
  <c r="AA36" i="8"/>
  <c r="X36" i="8"/>
  <c r="U36" i="8"/>
  <c r="R36" i="8"/>
  <c r="O36" i="8"/>
  <c r="L36" i="8"/>
  <c r="I36" i="8"/>
  <c r="F36" i="8"/>
  <c r="C36" i="8"/>
  <c r="AJ35" i="8"/>
  <c r="AG35" i="8"/>
  <c r="AD35" i="8"/>
  <c r="AA35" i="8"/>
  <c r="X35" i="8"/>
  <c r="U35" i="8"/>
  <c r="R35" i="8"/>
  <c r="O35" i="8"/>
  <c r="L35" i="8"/>
  <c r="I35" i="8"/>
  <c r="F35" i="8"/>
  <c r="C35" i="8"/>
  <c r="AJ34" i="8"/>
  <c r="AG34" i="8"/>
  <c r="AD34" i="8"/>
  <c r="AA34" i="8"/>
  <c r="X34" i="8"/>
  <c r="U34" i="8"/>
  <c r="R34" i="8"/>
  <c r="O34" i="8"/>
  <c r="L34" i="8"/>
  <c r="I34" i="8"/>
  <c r="F34" i="8"/>
  <c r="C34" i="8"/>
  <c r="AJ32" i="8"/>
  <c r="AG32" i="8"/>
  <c r="AD32" i="8"/>
  <c r="AA32" i="8"/>
  <c r="X32" i="8"/>
  <c r="U32" i="8"/>
  <c r="R32" i="8"/>
  <c r="O32" i="8"/>
  <c r="L32" i="8"/>
  <c r="I32" i="8"/>
  <c r="F32" i="8"/>
  <c r="C32" i="8"/>
  <c r="AJ31" i="8"/>
  <c r="AG31" i="8"/>
  <c r="AD31" i="8"/>
  <c r="AA31" i="8"/>
  <c r="X31" i="8"/>
  <c r="U31" i="8"/>
  <c r="R31" i="8"/>
  <c r="O31" i="8"/>
  <c r="L31" i="8"/>
  <c r="I31" i="8"/>
  <c r="F31" i="8"/>
  <c r="C31" i="8"/>
  <c r="AJ30" i="8"/>
  <c r="AG30" i="8"/>
  <c r="AD30" i="8"/>
  <c r="AA30" i="8"/>
  <c r="X30" i="8"/>
  <c r="U30" i="8"/>
  <c r="R30" i="8"/>
  <c r="O30" i="8"/>
  <c r="L30" i="8"/>
  <c r="I30" i="8"/>
  <c r="F30" i="8"/>
  <c r="C30" i="8"/>
  <c r="AJ29" i="8"/>
  <c r="AG29" i="8"/>
  <c r="AD29" i="8"/>
  <c r="AA29" i="8"/>
  <c r="X29" i="8"/>
  <c r="U29" i="8"/>
  <c r="R29" i="8"/>
  <c r="O29" i="8"/>
  <c r="L29" i="8"/>
  <c r="I29" i="8"/>
  <c r="F29" i="8"/>
  <c r="C29" i="8"/>
  <c r="AJ26" i="8"/>
  <c r="AG26" i="8"/>
  <c r="AD26" i="8"/>
  <c r="AA26" i="8"/>
  <c r="X26" i="8"/>
  <c r="U26" i="8"/>
  <c r="R26" i="8"/>
  <c r="O26" i="8"/>
  <c r="L26" i="8"/>
  <c r="I26" i="8"/>
  <c r="F26" i="8"/>
  <c r="C26" i="8"/>
  <c r="AJ25" i="8"/>
  <c r="AG25" i="8"/>
  <c r="AD25" i="8"/>
  <c r="AA25" i="8"/>
  <c r="X25" i="8"/>
  <c r="U25" i="8"/>
  <c r="R25" i="8"/>
  <c r="O25" i="8"/>
  <c r="L25" i="8"/>
  <c r="I25" i="8"/>
  <c r="F25" i="8"/>
  <c r="C25" i="8"/>
  <c r="AJ24" i="8"/>
  <c r="AG24" i="8"/>
  <c r="AD24" i="8"/>
  <c r="AA24" i="8"/>
  <c r="X24" i="8"/>
  <c r="U24" i="8"/>
  <c r="R24" i="8"/>
  <c r="O24" i="8"/>
  <c r="L24" i="8"/>
  <c r="I24" i="8"/>
  <c r="F24" i="8"/>
  <c r="C24" i="8"/>
  <c r="AJ23" i="8"/>
  <c r="AG23" i="8"/>
  <c r="AD23" i="8"/>
  <c r="AA23" i="8"/>
  <c r="X23" i="8"/>
  <c r="U23" i="8"/>
  <c r="R23" i="8"/>
  <c r="O23" i="8"/>
  <c r="L23" i="8"/>
  <c r="I23" i="8"/>
  <c r="F23" i="8"/>
  <c r="C23" i="8"/>
  <c r="AJ22" i="8"/>
  <c r="AG22" i="8"/>
  <c r="AD22" i="8"/>
  <c r="AA22" i="8"/>
  <c r="X22" i="8"/>
  <c r="U22" i="8"/>
  <c r="R22" i="8"/>
  <c r="O22" i="8"/>
  <c r="L22" i="8"/>
  <c r="I22" i="8"/>
  <c r="F22" i="8"/>
  <c r="C22" i="8"/>
  <c r="AJ21" i="8"/>
  <c r="AG21" i="8"/>
  <c r="AD21" i="8"/>
  <c r="AA21" i="8"/>
  <c r="X21" i="8"/>
  <c r="U21" i="8"/>
  <c r="R21" i="8"/>
  <c r="O21" i="8"/>
  <c r="L21" i="8"/>
  <c r="I21" i="8"/>
  <c r="F21" i="8"/>
  <c r="C21" i="8"/>
  <c r="AJ20" i="8"/>
  <c r="AG20" i="8"/>
  <c r="AD20" i="8"/>
  <c r="AA20" i="8"/>
  <c r="X20" i="8"/>
  <c r="U20" i="8"/>
  <c r="R20" i="8"/>
  <c r="O20" i="8"/>
  <c r="L20" i="8"/>
  <c r="I20" i="8"/>
  <c r="F20" i="8"/>
  <c r="C20" i="8"/>
  <c r="AJ19" i="8"/>
  <c r="AG19" i="8"/>
  <c r="AD19" i="8"/>
  <c r="AA19" i="8"/>
  <c r="X19" i="8"/>
  <c r="U19" i="8"/>
  <c r="R19" i="8"/>
  <c r="O19" i="8"/>
  <c r="L19" i="8"/>
  <c r="I19" i="8"/>
  <c r="F19" i="8"/>
  <c r="C19" i="8"/>
  <c r="AJ18" i="8"/>
  <c r="AG18" i="8"/>
  <c r="AD18" i="8"/>
  <c r="AA18" i="8"/>
  <c r="X18" i="8"/>
  <c r="U18" i="8"/>
  <c r="R18" i="8"/>
  <c r="O18" i="8"/>
  <c r="L18" i="8"/>
  <c r="I18" i="8"/>
  <c r="F18" i="8"/>
  <c r="C18" i="8"/>
  <c r="AJ17" i="8"/>
  <c r="AG17" i="8"/>
  <c r="AD17" i="8"/>
  <c r="AA17" i="8"/>
  <c r="X17" i="8"/>
  <c r="U17" i="8"/>
  <c r="R17" i="8"/>
  <c r="O17" i="8"/>
  <c r="L17" i="8"/>
  <c r="I17" i="8"/>
  <c r="F17" i="8"/>
  <c r="C17" i="8"/>
  <c r="AJ16" i="8"/>
  <c r="AG16" i="8"/>
  <c r="AD16" i="8"/>
  <c r="AA16" i="8"/>
  <c r="X16" i="8"/>
  <c r="U16" i="8"/>
  <c r="R16" i="8"/>
  <c r="O16" i="8"/>
  <c r="L16" i="8"/>
  <c r="I16" i="8"/>
  <c r="F16" i="8"/>
  <c r="C16" i="8"/>
  <c r="AJ15" i="8"/>
  <c r="AG15" i="8"/>
  <c r="AD15" i="8"/>
  <c r="AA15" i="8"/>
  <c r="X15" i="8"/>
  <c r="U15" i="8"/>
  <c r="R15" i="8"/>
  <c r="O15" i="8"/>
  <c r="L15" i="8"/>
  <c r="I15" i="8"/>
  <c r="F15" i="8"/>
  <c r="C15" i="8"/>
  <c r="AJ14" i="8"/>
  <c r="AG14" i="8"/>
  <c r="AD14" i="8"/>
  <c r="AA14" i="8"/>
  <c r="X14" i="8"/>
  <c r="U14" i="8"/>
  <c r="R14" i="8"/>
  <c r="O14" i="8"/>
  <c r="L14" i="8"/>
  <c r="I14" i="8"/>
  <c r="F14" i="8"/>
  <c r="C14" i="8"/>
  <c r="AJ13" i="8"/>
  <c r="AG13" i="8"/>
  <c r="AD13" i="8"/>
  <c r="AA13" i="8"/>
  <c r="X13" i="8"/>
  <c r="U13" i="8"/>
  <c r="R13" i="8"/>
  <c r="O13" i="8"/>
  <c r="L13" i="8"/>
  <c r="I13" i="8"/>
  <c r="F13" i="8"/>
  <c r="C13" i="8"/>
  <c r="AJ12" i="8"/>
  <c r="AG12" i="8"/>
  <c r="AD12" i="8"/>
  <c r="AA12" i="8"/>
  <c r="X12" i="8"/>
  <c r="U12" i="8"/>
  <c r="R12" i="8"/>
  <c r="O12" i="8"/>
  <c r="L12" i="8"/>
  <c r="I12" i="8"/>
  <c r="F12" i="8"/>
  <c r="C12" i="8"/>
  <c r="AJ11" i="8"/>
  <c r="AG11" i="8"/>
  <c r="AD11" i="8"/>
  <c r="AA11" i="8"/>
  <c r="X11" i="8"/>
  <c r="U11" i="8"/>
  <c r="R11" i="8"/>
  <c r="O11" i="8"/>
  <c r="L11" i="8"/>
  <c r="I11" i="8"/>
  <c r="F11" i="8"/>
  <c r="C11" i="8"/>
  <c r="AJ10" i="8"/>
  <c r="AG10" i="8"/>
  <c r="AD10" i="8"/>
  <c r="AA10" i="8"/>
  <c r="X10" i="8"/>
  <c r="U10" i="8"/>
  <c r="R10" i="8"/>
  <c r="O10" i="8"/>
  <c r="L10" i="8"/>
  <c r="I10" i="8"/>
  <c r="F10" i="8"/>
  <c r="C10" i="8"/>
  <c r="AJ9" i="8"/>
  <c r="AG9" i="8"/>
  <c r="AD9" i="8"/>
  <c r="AA9" i="8"/>
  <c r="X9" i="8"/>
  <c r="U9" i="8"/>
  <c r="R9" i="8"/>
  <c r="O9" i="8"/>
  <c r="L9" i="8"/>
  <c r="I9" i="8"/>
  <c r="F9" i="8"/>
  <c r="C9" i="8"/>
  <c r="AJ8" i="8"/>
  <c r="AG8" i="8"/>
  <c r="AD8" i="8"/>
  <c r="AA8" i="8"/>
  <c r="X8" i="8"/>
  <c r="U8" i="8"/>
  <c r="R8" i="8"/>
  <c r="O8" i="8"/>
  <c r="L8" i="8"/>
  <c r="I8" i="8"/>
  <c r="F8" i="8"/>
  <c r="C8" i="8"/>
  <c r="AJ7" i="8"/>
  <c r="AG7" i="8"/>
  <c r="AD7" i="8"/>
  <c r="AA7" i="8"/>
  <c r="X7" i="8"/>
  <c r="U7" i="8"/>
  <c r="R7" i="8"/>
  <c r="O7" i="8"/>
  <c r="L7" i="8"/>
  <c r="I7" i="8"/>
  <c r="F7" i="8"/>
  <c r="C7" i="8"/>
  <c r="A6" i="8"/>
  <c r="AJ5" i="8"/>
  <c r="AG5" i="8"/>
  <c r="AD5" i="8"/>
  <c r="AA5" i="8"/>
  <c r="X5" i="8"/>
  <c r="U5" i="8"/>
  <c r="R5" i="8"/>
  <c r="O5" i="8"/>
  <c r="L5" i="8"/>
  <c r="I5" i="8"/>
  <c r="F5" i="8"/>
  <c r="C5" i="8"/>
  <c r="AJ4" i="8"/>
  <c r="AG4" i="8"/>
  <c r="AD4" i="8"/>
  <c r="AA4" i="8"/>
  <c r="X4" i="8"/>
  <c r="U4" i="8"/>
  <c r="R4" i="8"/>
  <c r="O4" i="8"/>
  <c r="L4" i="8"/>
  <c r="I4" i="8"/>
  <c r="F4" i="8"/>
  <c r="C4" i="8"/>
  <c r="B54" i="7"/>
  <c r="AH49" i="5"/>
  <c r="X49" i="5"/>
  <c r="U49" i="5"/>
  <c r="AI50" i="8"/>
  <c r="AF50" i="8"/>
  <c r="AC50" i="8"/>
  <c r="Z50" i="8"/>
  <c r="W50" i="8"/>
  <c r="Q50" i="8"/>
  <c r="N50" i="8"/>
  <c r="K50" i="8"/>
  <c r="E50" i="8"/>
  <c r="A49" i="7"/>
  <c r="A49" i="15" s="1"/>
  <c r="O49" i="15" s="1"/>
  <c r="AC49" i="15" s="1"/>
  <c r="AN48" i="5"/>
  <c r="AY23" i="6" s="1"/>
  <c r="AK48" i="5"/>
  <c r="AV23" i="6" s="1"/>
  <c r="V48" i="5"/>
  <c r="AC23" i="6" s="1"/>
  <c r="AI49" i="8"/>
  <c r="AC49" i="8"/>
  <c r="Z49" i="8"/>
  <c r="W49" i="8"/>
  <c r="Q49" i="8"/>
  <c r="N49" i="8"/>
  <c r="K49" i="8"/>
  <c r="E49" i="8"/>
  <c r="A48" i="7"/>
  <c r="O48" i="7" s="1"/>
  <c r="AC48" i="7" s="1"/>
  <c r="AK47" i="5"/>
  <c r="AA47" i="5"/>
  <c r="X47" i="5"/>
  <c r="AI48" i="8"/>
  <c r="AC48" i="8"/>
  <c r="Z48" i="8"/>
  <c r="W48" i="8"/>
  <c r="T48" i="8"/>
  <c r="Q48" i="8"/>
  <c r="N48" i="8"/>
  <c r="K48" i="8"/>
  <c r="H48" i="8"/>
  <c r="E48" i="8"/>
  <c r="A47" i="7"/>
  <c r="O47" i="7" s="1"/>
  <c r="AC47" i="7" s="1"/>
  <c r="AM46" i="5"/>
  <c r="AX40" i="6" s="1"/>
  <c r="AH46" i="5"/>
  <c r="AS40" i="6" s="1"/>
  <c r="AE46" i="5"/>
  <c r="AP40" i="6" s="1"/>
  <c r="X46" i="5"/>
  <c r="AE40" i="6" s="1"/>
  <c r="U46" i="5"/>
  <c r="AB40" i="6" s="1"/>
  <c r="AI47" i="8"/>
  <c r="AK47" i="8" s="1"/>
  <c r="AF47" i="8"/>
  <c r="AC47" i="8"/>
  <c r="Z47" i="8"/>
  <c r="W47" i="8"/>
  <c r="T47" i="8"/>
  <c r="Q47" i="8"/>
  <c r="K47" i="8"/>
  <c r="E47" i="8"/>
  <c r="A46" i="7"/>
  <c r="O46" i="7" s="1"/>
  <c r="AC46" i="7" s="1"/>
  <c r="U45" i="5"/>
  <c r="AB41" i="6" s="1"/>
  <c r="T50" i="7"/>
  <c r="T50" i="5" s="1"/>
  <c r="R45" i="5"/>
  <c r="Y41" i="6" s="1"/>
  <c r="N46" i="8"/>
  <c r="A45" i="7"/>
  <c r="O45" i="7" s="1"/>
  <c r="AC45" i="7" s="1"/>
  <c r="AM43" i="5"/>
  <c r="AE43" i="5"/>
  <c r="W43" i="5"/>
  <c r="U43" i="5"/>
  <c r="AI44" i="8"/>
  <c r="AC44" i="8"/>
  <c r="W44" i="8"/>
  <c r="Q44" i="8"/>
  <c r="N44" i="8"/>
  <c r="K44" i="8"/>
  <c r="A43" i="7"/>
  <c r="O43" i="7" s="1"/>
  <c r="AC43" i="7" s="1"/>
  <c r="AL42" i="5"/>
  <c r="Z42" i="5"/>
  <c r="AI43" i="8"/>
  <c r="AC43" i="8"/>
  <c r="Z43" i="8"/>
  <c r="W43" i="8"/>
  <c r="T43" i="8"/>
  <c r="Q43" i="8"/>
  <c r="N43" i="8"/>
  <c r="K43" i="8"/>
  <c r="H43" i="8"/>
  <c r="E43" i="8"/>
  <c r="A42" i="7"/>
  <c r="O42" i="7" s="1"/>
  <c r="AC42" i="7" s="1"/>
  <c r="AI42" i="8"/>
  <c r="AF42" i="8"/>
  <c r="AC42" i="8"/>
  <c r="Z42" i="8"/>
  <c r="W42" i="8"/>
  <c r="T42" i="8"/>
  <c r="Q42" i="8"/>
  <c r="N42" i="8"/>
  <c r="K42" i="8"/>
  <c r="E42" i="8"/>
  <c r="A41" i="7"/>
  <c r="O41" i="7" s="1"/>
  <c r="AC41" i="7" s="1"/>
  <c r="AI41" i="8"/>
  <c r="AF41" i="8"/>
  <c r="AC41" i="8"/>
  <c r="Z41" i="8"/>
  <c r="W41" i="8"/>
  <c r="Q41" i="8"/>
  <c r="N41" i="8"/>
  <c r="K41" i="8"/>
  <c r="E41" i="8"/>
  <c r="A40" i="7"/>
  <c r="O40" i="7" s="1"/>
  <c r="AC40" i="7" s="1"/>
  <c r="AH44" i="7"/>
  <c r="AH44" i="5" s="1"/>
  <c r="AC40" i="8"/>
  <c r="AE40" i="8" s="1"/>
  <c r="W40" i="8"/>
  <c r="N40" i="8"/>
  <c r="P40" i="8" s="1"/>
  <c r="K40" i="8"/>
  <c r="H40" i="8"/>
  <c r="E40" i="8"/>
  <c r="A39" i="7"/>
  <c r="O39" i="7" s="1"/>
  <c r="AC39" i="7" s="1"/>
  <c r="AI37" i="8"/>
  <c r="AC37" i="8"/>
  <c r="Z37" i="8"/>
  <c r="W37" i="8"/>
  <c r="T37" i="8"/>
  <c r="Q37" i="8"/>
  <c r="K37" i="8"/>
  <c r="H37" i="8"/>
  <c r="A36" i="7"/>
  <c r="O36" i="7" s="1"/>
  <c r="AC36" i="7" s="1"/>
  <c r="AI36" i="8"/>
  <c r="AF36" i="8"/>
  <c r="AC36" i="8"/>
  <c r="Z36" i="8"/>
  <c r="W36" i="8"/>
  <c r="T36" i="8"/>
  <c r="Q36" i="8"/>
  <c r="N36" i="8"/>
  <c r="E36" i="8"/>
  <c r="A35" i="7"/>
  <c r="A35" i="5" s="1"/>
  <c r="A36" i="8" s="1"/>
  <c r="AI35" i="8"/>
  <c r="AC35" i="8"/>
  <c r="Z35" i="8"/>
  <c r="W35" i="8"/>
  <c r="Q35" i="8"/>
  <c r="K35" i="8"/>
  <c r="E35" i="8"/>
  <c r="A34" i="7"/>
  <c r="O34" i="7" s="1"/>
  <c r="AC34" i="7" s="1"/>
  <c r="AK37" i="7"/>
  <c r="AK37" i="5" s="1"/>
  <c r="AI37" i="7"/>
  <c r="AI37" i="5" s="1"/>
  <c r="AA37" i="7"/>
  <c r="AA37" i="5" s="1"/>
  <c r="Y37" i="7"/>
  <c r="Y37" i="5" s="1"/>
  <c r="R33" i="5"/>
  <c r="Y42" i="6" s="1"/>
  <c r="Q37" i="7"/>
  <c r="Q37" i="5" s="1"/>
  <c r="AI34" i="8"/>
  <c r="AC34" i="8"/>
  <c r="Z34" i="8"/>
  <c r="W34" i="8"/>
  <c r="Q34" i="8"/>
  <c r="K34" i="8"/>
  <c r="H34" i="8"/>
  <c r="E34" i="8"/>
  <c r="A33" i="7"/>
  <c r="O33" i="7" s="1"/>
  <c r="AC33" i="7" s="1"/>
  <c r="AN31" i="5"/>
  <c r="W31" i="5"/>
  <c r="AF32" i="8"/>
  <c r="Z32" i="8"/>
  <c r="W32" i="8"/>
  <c r="T32" i="8"/>
  <c r="N32" i="8"/>
  <c r="K32" i="8"/>
  <c r="H32" i="8"/>
  <c r="B32" i="8"/>
  <c r="A31" i="7"/>
  <c r="A31" i="15" s="1"/>
  <c r="O31" i="15" s="1"/>
  <c r="AC31" i="15" s="1"/>
  <c r="AJ30" i="5"/>
  <c r="AA30" i="5"/>
  <c r="S30" i="5"/>
  <c r="AI31" i="8"/>
  <c r="AC31" i="8"/>
  <c r="Z31" i="8"/>
  <c r="W31" i="8"/>
  <c r="T31" i="8"/>
  <c r="K31" i="8"/>
  <c r="E31" i="8"/>
  <c r="A30" i="7"/>
  <c r="O30" i="7" s="1"/>
  <c r="AC30" i="7" s="1"/>
  <c r="AK29" i="5"/>
  <c r="AV26" i="6" s="1"/>
  <c r="Q29" i="5"/>
  <c r="X26" i="6" s="1"/>
  <c r="AI30" i="8"/>
  <c r="Z30" i="8"/>
  <c r="T30" i="8"/>
  <c r="N30" i="8"/>
  <c r="H30" i="8"/>
  <c r="B30" i="8"/>
  <c r="A29" i="7"/>
  <c r="O29" i="7" s="1"/>
  <c r="AC29" i="7" s="1"/>
  <c r="Z29" i="8"/>
  <c r="W29" i="8"/>
  <c r="T29" i="8"/>
  <c r="Q29" i="8"/>
  <c r="H29" i="8"/>
  <c r="E29" i="8"/>
  <c r="B29" i="8"/>
  <c r="A28" i="7"/>
  <c r="O28" i="7" s="1"/>
  <c r="AC28" i="7" s="1"/>
  <c r="AO25" i="5"/>
  <c r="AG25" i="5"/>
  <c r="W25" i="5"/>
  <c r="AI26" i="8"/>
  <c r="AF26" i="8"/>
  <c r="AC26" i="8"/>
  <c r="Z26" i="8"/>
  <c r="W26" i="8"/>
  <c r="T26" i="8"/>
  <c r="Q26" i="8"/>
  <c r="N26" i="8"/>
  <c r="K26" i="8"/>
  <c r="E26" i="8"/>
  <c r="B26" i="8"/>
  <c r="A25" i="7"/>
  <c r="O25" i="7" s="1"/>
  <c r="AC25" i="7" s="1"/>
  <c r="AI25" i="8"/>
  <c r="AF25" i="8"/>
  <c r="AC25" i="8"/>
  <c r="Z25" i="8"/>
  <c r="W25" i="8"/>
  <c r="T25" i="8"/>
  <c r="Q25" i="8"/>
  <c r="E25" i="8"/>
  <c r="B25" i="8"/>
  <c r="A24" i="7"/>
  <c r="A24" i="15" s="1"/>
  <c r="O24" i="15" s="1"/>
  <c r="AC24" i="15" s="1"/>
  <c r="AJ23" i="5"/>
  <c r="AH23" i="5"/>
  <c r="X23" i="5"/>
  <c r="R23" i="5"/>
  <c r="P23" i="5"/>
  <c r="AI24" i="8"/>
  <c r="AC24" i="8"/>
  <c r="W24" i="8"/>
  <c r="T24" i="8"/>
  <c r="Q24" i="8"/>
  <c r="K24" i="8"/>
  <c r="H24" i="8"/>
  <c r="E24" i="8"/>
  <c r="B24" i="8"/>
  <c r="A23" i="7"/>
  <c r="O23" i="7" s="1"/>
  <c r="AC23" i="7" s="1"/>
  <c r="AO22" i="5"/>
  <c r="AM22" i="5"/>
  <c r="AG22" i="5"/>
  <c r="U22" i="5"/>
  <c r="AI23" i="8"/>
  <c r="AC23" i="8"/>
  <c r="Z23" i="8"/>
  <c r="W23" i="8"/>
  <c r="Q23" i="8"/>
  <c r="K23" i="8"/>
  <c r="H23" i="8"/>
  <c r="A22" i="7"/>
  <c r="O22" i="7" s="1"/>
  <c r="AC22" i="7" s="1"/>
  <c r="AL21" i="5"/>
  <c r="AH21" i="5"/>
  <c r="T21" i="5"/>
  <c r="AF22" i="8"/>
  <c r="Z22" i="8"/>
  <c r="W22" i="8"/>
  <c r="E22" i="8"/>
  <c r="A21" i="7"/>
  <c r="O21" i="7" s="1"/>
  <c r="AC21" i="7" s="1"/>
  <c r="AH20" i="5"/>
  <c r="X20" i="5"/>
  <c r="P20" i="5"/>
  <c r="AI21" i="8"/>
  <c r="T21" i="8"/>
  <c r="N21" i="8"/>
  <c r="K21" i="8"/>
  <c r="E21" i="8"/>
  <c r="B21" i="8"/>
  <c r="A20" i="7"/>
  <c r="A20" i="15" s="1"/>
  <c r="O20" i="15" s="1"/>
  <c r="AC20" i="15" s="1"/>
  <c r="AN19" i="5"/>
  <c r="AM19" i="5"/>
  <c r="AL19" i="5"/>
  <c r="AJ19" i="5"/>
  <c r="AH19" i="5"/>
  <c r="X19" i="5"/>
  <c r="V19" i="5"/>
  <c r="S19" i="5"/>
  <c r="Q19" i="5"/>
  <c r="P19" i="5"/>
  <c r="AI20" i="8"/>
  <c r="AC20" i="8"/>
  <c r="Z20" i="8"/>
  <c r="W20" i="8"/>
  <c r="T20" i="8"/>
  <c r="Q20" i="8"/>
  <c r="N20" i="8"/>
  <c r="K20" i="8"/>
  <c r="E20" i="8"/>
  <c r="B20" i="8"/>
  <c r="A19" i="7"/>
  <c r="O19" i="7" s="1"/>
  <c r="AC19" i="7" s="1"/>
  <c r="AO18" i="5"/>
  <c r="AM18" i="5"/>
  <c r="AK18" i="5"/>
  <c r="AG18" i="5"/>
  <c r="AE18" i="5"/>
  <c r="AA18" i="5"/>
  <c r="Z18" i="5"/>
  <c r="U18" i="5"/>
  <c r="S18" i="5"/>
  <c r="R18" i="5"/>
  <c r="AI19" i="8"/>
  <c r="AC19" i="8"/>
  <c r="Q19" i="8"/>
  <c r="K19" i="8"/>
  <c r="H19" i="8"/>
  <c r="E19" i="8"/>
  <c r="B19" i="8"/>
  <c r="A18" i="7"/>
  <c r="O18" i="7" s="1"/>
  <c r="AC18" i="7" s="1"/>
  <c r="AO17" i="5"/>
  <c r="AJ17" i="5"/>
  <c r="AH17" i="5"/>
  <c r="AG17" i="5"/>
  <c r="AE17" i="5"/>
  <c r="AD17" i="5"/>
  <c r="Z17" i="5"/>
  <c r="W17" i="5"/>
  <c r="R17" i="5"/>
  <c r="P17" i="5"/>
  <c r="AI18" i="8"/>
  <c r="AF18" i="8"/>
  <c r="Z18" i="8"/>
  <c r="W18" i="8"/>
  <c r="Q18" i="8"/>
  <c r="N18" i="8"/>
  <c r="K18" i="8"/>
  <c r="A17" i="7"/>
  <c r="A17" i="15" s="1"/>
  <c r="O17" i="15" s="1"/>
  <c r="AC17" i="15" s="1"/>
  <c r="AO16" i="5"/>
  <c r="AM16" i="5"/>
  <c r="AL16" i="5"/>
  <c r="AK16" i="5"/>
  <c r="AI16" i="5"/>
  <c r="AG16" i="5"/>
  <c r="AF16" i="5"/>
  <c r="AE16" i="5"/>
  <c r="X16" i="5"/>
  <c r="U16" i="5"/>
  <c r="Q16" i="5"/>
  <c r="AF17" i="8"/>
  <c r="AC17" i="8"/>
  <c r="Z17" i="8"/>
  <c r="W17" i="8"/>
  <c r="T17" i="8"/>
  <c r="E17" i="8"/>
  <c r="A16" i="7"/>
  <c r="O16" i="7" s="1"/>
  <c r="AC16" i="7" s="1"/>
  <c r="AO15" i="5"/>
  <c r="AN15" i="5"/>
  <c r="AM15" i="5"/>
  <c r="AK15" i="5"/>
  <c r="AG15" i="5"/>
  <c r="AE15" i="5"/>
  <c r="AA15" i="5"/>
  <c r="Y15" i="5"/>
  <c r="V15" i="5"/>
  <c r="U15" i="5"/>
  <c r="T15" i="5"/>
  <c r="S15" i="5"/>
  <c r="R15" i="5"/>
  <c r="T16" i="8"/>
  <c r="Q16" i="8"/>
  <c r="N16" i="8"/>
  <c r="K16" i="8"/>
  <c r="H16" i="8"/>
  <c r="E16" i="8"/>
  <c r="B16" i="8"/>
  <c r="A15" i="7"/>
  <c r="O15" i="7" s="1"/>
  <c r="AC15" i="7" s="1"/>
  <c r="AO14" i="5"/>
  <c r="AI14" i="5"/>
  <c r="AG14" i="5"/>
  <c r="AF14" i="5"/>
  <c r="AE14" i="5"/>
  <c r="AD14" i="5"/>
  <c r="Y14" i="5"/>
  <c r="X14" i="5"/>
  <c r="W14" i="5"/>
  <c r="T14" i="5"/>
  <c r="AC15" i="8"/>
  <c r="H15" i="8"/>
  <c r="E15" i="8"/>
  <c r="B15" i="8"/>
  <c r="A14" i="7"/>
  <c r="O14" i="7" s="1"/>
  <c r="AC14" i="7" s="1"/>
  <c r="AO13" i="5"/>
  <c r="AM13" i="5"/>
  <c r="AL13" i="5"/>
  <c r="AG13" i="5"/>
  <c r="AE13" i="5"/>
  <c r="AD13" i="5"/>
  <c r="W13" i="5"/>
  <c r="U13" i="5"/>
  <c r="AI14" i="8"/>
  <c r="AF14" i="8"/>
  <c r="AC14" i="8"/>
  <c r="Z14" i="8"/>
  <c r="W14" i="8"/>
  <c r="Q14" i="8"/>
  <c r="A13" i="7"/>
  <c r="O13" i="7" s="1"/>
  <c r="AC13" i="7" s="1"/>
  <c r="AL12" i="5"/>
  <c r="AI12" i="5"/>
  <c r="AE12" i="5"/>
  <c r="Y12" i="5"/>
  <c r="R12" i="5"/>
  <c r="Q12" i="5"/>
  <c r="AI13" i="8"/>
  <c r="AC13" i="8"/>
  <c r="Z13" i="8"/>
  <c r="W13" i="8"/>
  <c r="Q13" i="8"/>
  <c r="N13" i="8"/>
  <c r="K13" i="8"/>
  <c r="E13" i="8"/>
  <c r="A12" i="7"/>
  <c r="O12" i="7" s="1"/>
  <c r="AC12" i="7" s="1"/>
  <c r="AO11" i="5"/>
  <c r="AN11" i="5"/>
  <c r="AK11" i="5"/>
  <c r="AI11" i="5"/>
  <c r="AG11" i="5"/>
  <c r="Y11" i="5"/>
  <c r="W11" i="5"/>
  <c r="AC12" i="8"/>
  <c r="Z12" i="8"/>
  <c r="W12" i="8"/>
  <c r="Y12" i="8" s="1"/>
  <c r="E12" i="8"/>
  <c r="B12" i="8"/>
  <c r="A11" i="7"/>
  <c r="O11" i="7" s="1"/>
  <c r="AC11" i="7" s="1"/>
  <c r="AL10" i="5"/>
  <c r="AA10" i="5"/>
  <c r="S10" i="5"/>
  <c r="P10" i="5"/>
  <c r="AI11" i="8"/>
  <c r="AF11" i="8"/>
  <c r="AC11" i="8"/>
  <c r="Z11" i="8"/>
  <c r="W11" i="8"/>
  <c r="Q11" i="8"/>
  <c r="E11" i="8"/>
  <c r="A10" i="7"/>
  <c r="O10" i="7" s="1"/>
  <c r="AC10" i="7" s="1"/>
  <c r="AL9" i="5"/>
  <c r="AK9" i="5"/>
  <c r="AI9" i="5"/>
  <c r="AA9" i="5"/>
  <c r="Y9" i="5"/>
  <c r="U9" i="5"/>
  <c r="S9" i="5"/>
  <c r="Q9" i="5"/>
  <c r="P9" i="5"/>
  <c r="AI10" i="8"/>
  <c r="AF10" i="8"/>
  <c r="AC10" i="8"/>
  <c r="Z10" i="8"/>
  <c r="Q10" i="8"/>
  <c r="E10" i="8"/>
  <c r="B10" i="8"/>
  <c r="A9" i="7"/>
  <c r="O9" i="7" s="1"/>
  <c r="AC9" i="7" s="1"/>
  <c r="AO8" i="5"/>
  <c r="AZ21" i="6" s="1"/>
  <c r="AE8" i="5"/>
  <c r="AP21" i="6" s="1"/>
  <c r="AA8" i="5"/>
  <c r="AH21" i="6" s="1"/>
  <c r="X8" i="5"/>
  <c r="AE21" i="6" s="1"/>
  <c r="U8" i="5"/>
  <c r="AB21" i="6" s="1"/>
  <c r="P8" i="5"/>
  <c r="W21" i="6" s="1"/>
  <c r="AI9" i="8"/>
  <c r="Q9" i="8"/>
  <c r="K9" i="8"/>
  <c r="B9" i="8"/>
  <c r="A8" i="7"/>
  <c r="O8" i="7" s="1"/>
  <c r="AC8" i="7" s="1"/>
  <c r="AK7" i="5"/>
  <c r="AE7" i="5"/>
  <c r="AA7" i="5"/>
  <c r="U7" i="5"/>
  <c r="S7" i="5"/>
  <c r="AI8" i="8"/>
  <c r="AF8" i="8"/>
  <c r="AC8" i="8"/>
  <c r="Z8" i="8"/>
  <c r="K8" i="8"/>
  <c r="H8" i="8"/>
  <c r="E8" i="8"/>
  <c r="B8" i="8"/>
  <c r="A7" i="7"/>
  <c r="O7" i="7" s="1"/>
  <c r="AC7" i="7" s="1"/>
  <c r="Z6" i="5"/>
  <c r="AG17" i="6" s="1"/>
  <c r="Y6" i="5"/>
  <c r="AF17" i="6" s="1"/>
  <c r="X6" i="5"/>
  <c r="AE17" i="6" s="1"/>
  <c r="P6" i="5"/>
  <c r="W17" i="6" s="1"/>
  <c r="Q7" i="8"/>
  <c r="H7" i="8"/>
  <c r="A6" i="7"/>
  <c r="O6" i="7" s="1"/>
  <c r="AC6" i="7" s="1"/>
  <c r="S4" i="5"/>
  <c r="Z14" i="6" s="1"/>
  <c r="Q5" i="8"/>
  <c r="H5" i="8"/>
  <c r="E5" i="8"/>
  <c r="A4" i="7"/>
  <c r="A4" i="15" s="1"/>
  <c r="O4" i="15" s="1"/>
  <c r="AC4" i="15" s="1"/>
  <c r="AM5" i="7"/>
  <c r="AL5" i="7"/>
  <c r="AL5" i="5" s="1"/>
  <c r="AG5" i="7"/>
  <c r="AG5" i="5" s="1"/>
  <c r="AE5" i="7"/>
  <c r="AE5" i="5" s="1"/>
  <c r="U5" i="7"/>
  <c r="U5" i="5" s="1"/>
  <c r="AI4" i="8"/>
  <c r="A3" i="7"/>
  <c r="O3" i="7" s="1"/>
  <c r="AC3" i="7" s="1"/>
  <c r="AL2" i="7"/>
  <c r="Q2" i="7"/>
  <c r="M2" i="7"/>
  <c r="L2" i="7"/>
  <c r="K2" i="7"/>
  <c r="J2" i="7"/>
  <c r="I2" i="7"/>
  <c r="H2" i="7"/>
  <c r="G2" i="7"/>
  <c r="F2" i="7"/>
  <c r="E2" i="7"/>
  <c r="D2" i="7"/>
  <c r="C2" i="7"/>
  <c r="B2" i="7"/>
  <c r="BA31" i="6"/>
  <c r="AI31" i="6"/>
  <c r="Q31" i="6"/>
  <c r="BA20" i="6"/>
  <c r="AI20" i="6"/>
  <c r="Q20" i="6"/>
  <c r="BA19" i="6"/>
  <c r="AI19" i="6"/>
  <c r="Q19" i="6"/>
  <c r="BA18" i="6"/>
  <c r="AI18" i="6"/>
  <c r="Q18" i="6"/>
  <c r="BA16" i="6"/>
  <c r="AI16" i="6"/>
  <c r="Q16" i="6"/>
  <c r="BA13" i="6"/>
  <c r="AI13" i="6"/>
  <c r="Q13" i="6"/>
  <c r="BA12" i="6"/>
  <c r="AI12" i="6"/>
  <c r="Q12" i="6"/>
  <c r="BA11" i="6"/>
  <c r="AI11" i="6"/>
  <c r="Q11" i="6"/>
  <c r="BA10" i="6"/>
  <c r="AI10" i="6"/>
  <c r="Q10" i="6"/>
  <c r="BA9" i="6"/>
  <c r="AI9" i="6"/>
  <c r="Q9" i="6"/>
  <c r="BA7" i="6"/>
  <c r="AI7" i="6"/>
  <c r="Q7" i="6"/>
  <c r="O56" i="5"/>
  <c r="AC56" i="5" s="1"/>
  <c r="B56" i="5"/>
  <c r="E6" i="6" s="1"/>
  <c r="O55" i="5"/>
  <c r="AC55" i="5" s="1"/>
  <c r="O54" i="5"/>
  <c r="AC54" i="5" s="1"/>
  <c r="O51" i="5"/>
  <c r="AC51" i="5" s="1"/>
  <c r="O50" i="5"/>
  <c r="AC50" i="5" s="1"/>
  <c r="AO49" i="5"/>
  <c r="AM49" i="5"/>
  <c r="AL49" i="5"/>
  <c r="AK49" i="5"/>
  <c r="AJ49" i="5"/>
  <c r="AI49" i="5"/>
  <c r="AG49" i="5"/>
  <c r="AF49" i="5"/>
  <c r="AE49" i="5"/>
  <c r="AA49" i="5"/>
  <c r="Z49" i="5"/>
  <c r="Y49" i="5"/>
  <c r="W49" i="5"/>
  <c r="T49" i="5"/>
  <c r="S49" i="5"/>
  <c r="R49" i="5"/>
  <c r="Q49" i="5"/>
  <c r="AO48" i="5"/>
  <c r="AZ23" i="6" s="1"/>
  <c r="AM48" i="5"/>
  <c r="AX23" i="6" s="1"/>
  <c r="AL48" i="5"/>
  <c r="AW23" i="6" s="1"/>
  <c r="AJ48" i="5"/>
  <c r="AU23" i="6" s="1"/>
  <c r="AI48" i="5"/>
  <c r="AT23" i="6" s="1"/>
  <c r="AH48" i="5"/>
  <c r="AS23" i="6" s="1"/>
  <c r="AG48" i="5"/>
  <c r="AR23" i="6" s="1"/>
  <c r="AE48" i="5"/>
  <c r="AP23" i="6" s="1"/>
  <c r="AA48" i="5"/>
  <c r="AH23" i="6" s="1"/>
  <c r="Y48" i="5"/>
  <c r="AF23" i="6" s="1"/>
  <c r="X48" i="5"/>
  <c r="AE23" i="6" s="1"/>
  <c r="W48" i="5"/>
  <c r="AD23" i="6" s="1"/>
  <c r="U48" i="5"/>
  <c r="AB23" i="6" s="1"/>
  <c r="T48" i="5"/>
  <c r="AA23" i="6" s="1"/>
  <c r="S48" i="5"/>
  <c r="Z23" i="6" s="1"/>
  <c r="R48" i="5"/>
  <c r="Y23" i="6" s="1"/>
  <c r="Q48" i="5"/>
  <c r="P48" i="5"/>
  <c r="W23" i="6" s="1"/>
  <c r="AO47" i="5"/>
  <c r="AN47" i="5"/>
  <c r="AM47" i="5"/>
  <c r="AL47" i="5"/>
  <c r="AJ47" i="5"/>
  <c r="AI47" i="5"/>
  <c r="AH47" i="5"/>
  <c r="AG47" i="5"/>
  <c r="AE47" i="5"/>
  <c r="Z47" i="5"/>
  <c r="Y47" i="5"/>
  <c r="W47" i="5"/>
  <c r="V47" i="5"/>
  <c r="U47" i="5"/>
  <c r="T47" i="5"/>
  <c r="Q47" i="5"/>
  <c r="AO46" i="5"/>
  <c r="AZ40" i="6" s="1"/>
  <c r="AL46" i="5"/>
  <c r="AW40" i="6" s="1"/>
  <c r="AK46" i="5"/>
  <c r="AV40" i="6" s="1"/>
  <c r="AI46" i="5"/>
  <c r="AT40" i="6" s="1"/>
  <c r="AG46" i="5"/>
  <c r="AR40" i="6" s="1"/>
  <c r="AF46" i="5"/>
  <c r="AQ40" i="6" s="1"/>
  <c r="AA46" i="5"/>
  <c r="AH40" i="6" s="1"/>
  <c r="Z46" i="5"/>
  <c r="AG40" i="6" s="1"/>
  <c r="Y46" i="5"/>
  <c r="AF40" i="6" s="1"/>
  <c r="W46" i="5"/>
  <c r="AD40" i="6" s="1"/>
  <c r="T46" i="5"/>
  <c r="AA40" i="6" s="1"/>
  <c r="S46" i="5"/>
  <c r="Z40" i="6" s="1"/>
  <c r="Q46" i="5"/>
  <c r="X40" i="6" s="1"/>
  <c r="P40" i="6"/>
  <c r="AO45" i="5"/>
  <c r="AZ41" i="6" s="1"/>
  <c r="AL45" i="5"/>
  <c r="AW41" i="6" s="1"/>
  <c r="AK45" i="5"/>
  <c r="AV41" i="6" s="1"/>
  <c r="AJ45" i="5"/>
  <c r="AU41" i="6" s="1"/>
  <c r="AI45" i="5"/>
  <c r="AT41" i="6" s="1"/>
  <c r="AH45" i="5"/>
  <c r="AS41" i="6" s="1"/>
  <c r="AG45" i="5"/>
  <c r="AR41" i="6" s="1"/>
  <c r="AF45" i="5"/>
  <c r="AQ41" i="6" s="1"/>
  <c r="AA45" i="5"/>
  <c r="AH41" i="6" s="1"/>
  <c r="Y45" i="5"/>
  <c r="AF41" i="6" s="1"/>
  <c r="X45" i="5"/>
  <c r="AE41" i="6" s="1"/>
  <c r="W45" i="5"/>
  <c r="AD41" i="6" s="1"/>
  <c r="T45" i="5"/>
  <c r="AA41" i="6" s="1"/>
  <c r="S45" i="5"/>
  <c r="Z41" i="6" s="1"/>
  <c r="Q45" i="5"/>
  <c r="X41" i="6" s="1"/>
  <c r="O44" i="5"/>
  <c r="AC44" i="5" s="1"/>
  <c r="AO43" i="5"/>
  <c r="AN43" i="5"/>
  <c r="AL43" i="5"/>
  <c r="AK43" i="5"/>
  <c r="AJ43" i="5"/>
  <c r="AI43" i="5"/>
  <c r="AH43" i="5"/>
  <c r="AG43" i="5"/>
  <c r="AA43" i="5"/>
  <c r="Y43" i="5"/>
  <c r="X43" i="5"/>
  <c r="V43" i="5"/>
  <c r="T43" i="5"/>
  <c r="S43" i="5"/>
  <c r="R43" i="5"/>
  <c r="Q43" i="5"/>
  <c r="P43" i="5"/>
  <c r="AO42" i="5"/>
  <c r="AN42" i="5"/>
  <c r="AM42" i="5"/>
  <c r="AK42" i="5"/>
  <c r="AI42" i="5"/>
  <c r="AH42" i="5"/>
  <c r="AG42" i="5"/>
  <c r="AE42" i="5"/>
  <c r="AA42" i="5"/>
  <c r="Y42" i="5"/>
  <c r="X42" i="5"/>
  <c r="W42" i="5"/>
  <c r="V42" i="5"/>
  <c r="U42" i="5"/>
  <c r="T42" i="5"/>
  <c r="S42" i="5"/>
  <c r="Q42" i="5"/>
  <c r="AO41" i="5"/>
  <c r="AM41" i="5"/>
  <c r="AL41" i="5"/>
  <c r="AK41" i="5"/>
  <c r="AI41" i="5"/>
  <c r="AH41" i="5"/>
  <c r="AG41" i="5"/>
  <c r="AF41" i="5"/>
  <c r="AE41" i="5"/>
  <c r="AA41" i="5"/>
  <c r="Z41" i="5"/>
  <c r="Y41" i="5"/>
  <c r="X41" i="5"/>
  <c r="W41" i="5"/>
  <c r="U41" i="5"/>
  <c r="T41" i="5"/>
  <c r="S41" i="5"/>
  <c r="Q41" i="5"/>
  <c r="AO40" i="5"/>
  <c r="AZ35" i="6" s="1"/>
  <c r="AM40" i="5"/>
  <c r="AX35" i="6" s="1"/>
  <c r="AL40" i="5"/>
  <c r="AW35" i="6" s="1"/>
  <c r="AK40" i="5"/>
  <c r="AV35" i="6" s="1"/>
  <c r="AJ40" i="5"/>
  <c r="AU35" i="6" s="1"/>
  <c r="AI40" i="5"/>
  <c r="AT35" i="6" s="1"/>
  <c r="AH40" i="5"/>
  <c r="AS35" i="6" s="1"/>
  <c r="AG40" i="5"/>
  <c r="AR35" i="6" s="1"/>
  <c r="AF40" i="5"/>
  <c r="AQ35" i="6" s="1"/>
  <c r="AE40" i="5"/>
  <c r="AP35" i="6" s="1"/>
  <c r="AA40" i="5"/>
  <c r="AH35" i="6" s="1"/>
  <c r="Y40" i="5"/>
  <c r="AF35" i="6" s="1"/>
  <c r="W40" i="5"/>
  <c r="AD35" i="6" s="1"/>
  <c r="U40" i="5"/>
  <c r="AB35" i="6" s="1"/>
  <c r="T40" i="5"/>
  <c r="AA35" i="6" s="1"/>
  <c r="S40" i="5"/>
  <c r="Z35" i="6" s="1"/>
  <c r="R40" i="5"/>
  <c r="Y35" i="6" s="1"/>
  <c r="Q40" i="5"/>
  <c r="X35" i="6" s="1"/>
  <c r="AO39" i="5"/>
  <c r="AZ36" i="6" s="1"/>
  <c r="AN39" i="5"/>
  <c r="AY36" i="6" s="1"/>
  <c r="AM39" i="5"/>
  <c r="AX36" i="6" s="1"/>
  <c r="AL39" i="5"/>
  <c r="AW36" i="6" s="1"/>
  <c r="AK39" i="5"/>
  <c r="AV36" i="6" s="1"/>
  <c r="AJ39" i="5"/>
  <c r="AU36" i="6" s="1"/>
  <c r="AI39" i="5"/>
  <c r="AT36" i="6" s="1"/>
  <c r="AH39" i="5"/>
  <c r="AS36" i="6" s="1"/>
  <c r="AG39" i="5"/>
  <c r="AR36" i="6" s="1"/>
  <c r="AF39" i="5"/>
  <c r="AQ36" i="6" s="1"/>
  <c r="AE39" i="5"/>
  <c r="AP36" i="6" s="1"/>
  <c r="AA39" i="5"/>
  <c r="AH36" i="6" s="1"/>
  <c r="Y39" i="5"/>
  <c r="AF36" i="6" s="1"/>
  <c r="X39" i="5"/>
  <c r="AE36" i="6" s="1"/>
  <c r="W39" i="5"/>
  <c r="AD36" i="6" s="1"/>
  <c r="V39" i="5"/>
  <c r="AC36" i="6" s="1"/>
  <c r="U39" i="5"/>
  <c r="AB36" i="6" s="1"/>
  <c r="T39" i="5"/>
  <c r="AA36" i="6" s="1"/>
  <c r="S39" i="5"/>
  <c r="Z36" i="6" s="1"/>
  <c r="R39" i="5"/>
  <c r="Y36" i="6" s="1"/>
  <c r="Q39" i="5"/>
  <c r="X36" i="6" s="1"/>
  <c r="O38" i="5"/>
  <c r="AC38" i="5" s="1"/>
  <c r="O37" i="5"/>
  <c r="AC37" i="5" s="1"/>
  <c r="AO36" i="5"/>
  <c r="AN36" i="5"/>
  <c r="AM36" i="5"/>
  <c r="AL36" i="5"/>
  <c r="AK36" i="5"/>
  <c r="AI36" i="5"/>
  <c r="AH36" i="5"/>
  <c r="AG36" i="5"/>
  <c r="AE36" i="5"/>
  <c r="AA36" i="5"/>
  <c r="Z36" i="5"/>
  <c r="Y36" i="5"/>
  <c r="X36" i="5"/>
  <c r="W36" i="5"/>
  <c r="V36" i="5"/>
  <c r="U36" i="5"/>
  <c r="T36" i="5"/>
  <c r="S36" i="5"/>
  <c r="Q36" i="5"/>
  <c r="AO35" i="5"/>
  <c r="AM35" i="5"/>
  <c r="AK35" i="5"/>
  <c r="AI35" i="5"/>
  <c r="AH35" i="5"/>
  <c r="AG35" i="5"/>
  <c r="AF35" i="5"/>
  <c r="AE35" i="5"/>
  <c r="AD35" i="5"/>
  <c r="AA35" i="5"/>
  <c r="Z35" i="5"/>
  <c r="Y35" i="5"/>
  <c r="X35" i="5"/>
  <c r="W35" i="5"/>
  <c r="U35" i="5"/>
  <c r="S35" i="5"/>
  <c r="Q35" i="5"/>
  <c r="P35" i="5"/>
  <c r="AO34" i="5"/>
  <c r="AZ30" i="6" s="1"/>
  <c r="AM34" i="5"/>
  <c r="AX30" i="6" s="1"/>
  <c r="AL34" i="5"/>
  <c r="AW30" i="6" s="1"/>
  <c r="AK34" i="5"/>
  <c r="AV30" i="6" s="1"/>
  <c r="AJ34" i="5"/>
  <c r="AU30" i="6" s="1"/>
  <c r="AI34" i="5"/>
  <c r="AT30" i="6" s="1"/>
  <c r="AH34" i="5"/>
  <c r="AS30" i="6" s="1"/>
  <c r="AG34" i="5"/>
  <c r="AR30" i="6" s="1"/>
  <c r="AF34" i="5"/>
  <c r="AQ30" i="6" s="1"/>
  <c r="AE34" i="5"/>
  <c r="AP30" i="6" s="1"/>
  <c r="AA34" i="5"/>
  <c r="AH30" i="6" s="1"/>
  <c r="Y34" i="5"/>
  <c r="AF30" i="6" s="1"/>
  <c r="W34" i="5"/>
  <c r="AD30" i="6" s="1"/>
  <c r="V34" i="5"/>
  <c r="AC30" i="6" s="1"/>
  <c r="U34" i="5"/>
  <c r="AB30" i="6" s="1"/>
  <c r="T34" i="5"/>
  <c r="AA30" i="6" s="1"/>
  <c r="S34" i="5"/>
  <c r="Z30" i="6" s="1"/>
  <c r="R34" i="5"/>
  <c r="Y30" i="6" s="1"/>
  <c r="Q34" i="5"/>
  <c r="X30" i="6" s="1"/>
  <c r="AO33" i="5"/>
  <c r="AZ42" i="6" s="1"/>
  <c r="AN33" i="5"/>
  <c r="AY42" i="6" s="1"/>
  <c r="AM33" i="5"/>
  <c r="AX42" i="6" s="1"/>
  <c r="AL33" i="5"/>
  <c r="AW42" i="6" s="1"/>
  <c r="AK33" i="5"/>
  <c r="AV42" i="6" s="1"/>
  <c r="AJ33" i="5"/>
  <c r="AU42" i="6" s="1"/>
  <c r="AI33" i="5"/>
  <c r="AT42" i="6" s="1"/>
  <c r="AH33" i="5"/>
  <c r="AS42" i="6" s="1"/>
  <c r="AE33" i="5"/>
  <c r="AP42" i="6" s="1"/>
  <c r="AA33" i="5"/>
  <c r="AH42" i="6" s="1"/>
  <c r="Z33" i="5"/>
  <c r="AG42" i="6" s="1"/>
  <c r="Y33" i="5"/>
  <c r="AF42" i="6" s="1"/>
  <c r="X33" i="5"/>
  <c r="AE42" i="6" s="1"/>
  <c r="W33" i="5"/>
  <c r="AD42" i="6" s="1"/>
  <c r="V33" i="5"/>
  <c r="AC42" i="6" s="1"/>
  <c r="U33" i="5"/>
  <c r="AB42" i="6" s="1"/>
  <c r="T33" i="5"/>
  <c r="AA42" i="6" s="1"/>
  <c r="S33" i="5"/>
  <c r="O32" i="5"/>
  <c r="AC32" i="5" s="1"/>
  <c r="AO31" i="5"/>
  <c r="AM31" i="5"/>
  <c r="AL31" i="5"/>
  <c r="AI31" i="5"/>
  <c r="AH31" i="5"/>
  <c r="AG31" i="5"/>
  <c r="AE31" i="5"/>
  <c r="AA31" i="5"/>
  <c r="Z31" i="5"/>
  <c r="X31" i="5"/>
  <c r="V31" i="5"/>
  <c r="U31" i="5"/>
  <c r="R31" i="5"/>
  <c r="P31" i="5"/>
  <c r="AN30" i="5"/>
  <c r="AL30" i="5"/>
  <c r="AI30" i="5"/>
  <c r="AH30" i="5"/>
  <c r="AG30" i="5"/>
  <c r="AF30" i="5"/>
  <c r="AD30" i="5"/>
  <c r="Z30" i="5"/>
  <c r="Y30" i="5"/>
  <c r="W30" i="5"/>
  <c r="U30" i="5"/>
  <c r="Q30" i="5"/>
  <c r="P30" i="5"/>
  <c r="AO29" i="5"/>
  <c r="AZ26" i="6" s="1"/>
  <c r="AN29" i="5"/>
  <c r="AY26" i="6" s="1"/>
  <c r="AM29" i="5"/>
  <c r="AX26" i="6" s="1"/>
  <c r="AL29" i="5"/>
  <c r="AW26" i="6" s="1"/>
  <c r="AI29" i="5"/>
  <c r="AT26" i="6" s="1"/>
  <c r="AG29" i="5"/>
  <c r="AR26" i="6" s="1"/>
  <c r="AE29" i="5"/>
  <c r="AP26" i="6" s="1"/>
  <c r="AA29" i="5"/>
  <c r="AH26" i="6" s="1"/>
  <c r="Z29" i="5"/>
  <c r="AG26" i="6" s="1"/>
  <c r="X29" i="5"/>
  <c r="AE26" i="6" s="1"/>
  <c r="W29" i="5"/>
  <c r="AD26" i="6" s="1"/>
  <c r="V29" i="5"/>
  <c r="AC26" i="6" s="1"/>
  <c r="U29" i="5"/>
  <c r="AB26" i="6" s="1"/>
  <c r="T29" i="5"/>
  <c r="AA26" i="6" s="1"/>
  <c r="R29" i="5"/>
  <c r="Y26" i="6" s="1"/>
  <c r="P29" i="5"/>
  <c r="W26" i="6" s="1"/>
  <c r="M26" i="6"/>
  <c r="AO28" i="5"/>
  <c r="AZ37" i="6" s="1"/>
  <c r="AM28" i="5"/>
  <c r="AX37" i="6" s="1"/>
  <c r="AL28" i="5"/>
  <c r="AW37" i="6" s="1"/>
  <c r="AK28" i="5"/>
  <c r="AV37" i="6" s="1"/>
  <c r="AJ28" i="5"/>
  <c r="AU37" i="6" s="1"/>
  <c r="AH28" i="5"/>
  <c r="AS37" i="6" s="1"/>
  <c r="AD28" i="5"/>
  <c r="AO37" i="6" s="1"/>
  <c r="AA28" i="5"/>
  <c r="AH37" i="6" s="1"/>
  <c r="Y28" i="5"/>
  <c r="AF37" i="6" s="1"/>
  <c r="X28" i="5"/>
  <c r="AE37" i="6" s="1"/>
  <c r="W28" i="5"/>
  <c r="AD37" i="6" s="1"/>
  <c r="V28" i="5"/>
  <c r="AC37" i="6" s="1"/>
  <c r="U28" i="5"/>
  <c r="AB37" i="6" s="1"/>
  <c r="S28" i="5"/>
  <c r="Z37" i="6" s="1"/>
  <c r="Q28" i="5"/>
  <c r="X37" i="6" s="1"/>
  <c r="P28" i="5"/>
  <c r="O27" i="5"/>
  <c r="AC27" i="5" s="1"/>
  <c r="O26" i="5"/>
  <c r="AC26" i="5" s="1"/>
  <c r="AM25" i="5"/>
  <c r="AL25" i="5"/>
  <c r="AK25" i="5"/>
  <c r="AI25" i="5"/>
  <c r="AH25" i="5"/>
  <c r="AF25" i="5"/>
  <c r="AE25" i="5"/>
  <c r="AD25" i="5"/>
  <c r="AA25" i="5"/>
  <c r="Z25" i="5"/>
  <c r="Y25" i="5"/>
  <c r="X25" i="5"/>
  <c r="U25" i="5"/>
  <c r="T25" i="5"/>
  <c r="S25" i="5"/>
  <c r="Q25" i="5"/>
  <c r="P25" i="5"/>
  <c r="AM24" i="5"/>
  <c r="AK24" i="5"/>
  <c r="AI24" i="5"/>
  <c r="AG24" i="5"/>
  <c r="AE24" i="5"/>
  <c r="AA24" i="5"/>
  <c r="Z24" i="5"/>
  <c r="Y24" i="5"/>
  <c r="X24" i="5"/>
  <c r="U24" i="5"/>
  <c r="S24" i="5"/>
  <c r="Q24" i="5"/>
  <c r="P24" i="5"/>
  <c r="AO23" i="5"/>
  <c r="AN23" i="5"/>
  <c r="AM23" i="5"/>
  <c r="AL23" i="5"/>
  <c r="AK23" i="5"/>
  <c r="AI23" i="5"/>
  <c r="AG23" i="5"/>
  <c r="AE23" i="5"/>
  <c r="AD23" i="5"/>
  <c r="Y23" i="5"/>
  <c r="W23" i="5"/>
  <c r="V23" i="5"/>
  <c r="U23" i="5"/>
  <c r="T23" i="5"/>
  <c r="S23" i="5"/>
  <c r="Q23" i="5"/>
  <c r="AK22" i="5"/>
  <c r="AI22" i="5"/>
  <c r="AH22" i="5"/>
  <c r="AF22" i="5"/>
  <c r="AD22" i="5"/>
  <c r="Z22" i="5"/>
  <c r="Y22" i="5"/>
  <c r="X22" i="5"/>
  <c r="W22" i="5"/>
  <c r="V22" i="5"/>
  <c r="R22" i="5"/>
  <c r="Q22" i="5"/>
  <c r="P22" i="5"/>
  <c r="AO21" i="5"/>
  <c r="AN21" i="5"/>
  <c r="AM21" i="5"/>
  <c r="AI21" i="5"/>
  <c r="AG21" i="5"/>
  <c r="AE21" i="5"/>
  <c r="Y21" i="5"/>
  <c r="V21" i="5"/>
  <c r="U21" i="5"/>
  <c r="Q21" i="5"/>
  <c r="P21" i="5"/>
  <c r="AO20" i="5"/>
  <c r="AM20" i="5"/>
  <c r="AL20" i="5"/>
  <c r="AI20" i="5"/>
  <c r="AF20" i="5"/>
  <c r="AD20" i="5"/>
  <c r="Y20" i="5"/>
  <c r="U20" i="5"/>
  <c r="Q20" i="5"/>
  <c r="AO19" i="5"/>
  <c r="AK19" i="5"/>
  <c r="AI19" i="5"/>
  <c r="AG19" i="5"/>
  <c r="AE19" i="5"/>
  <c r="AD19" i="5"/>
  <c r="AA19" i="5"/>
  <c r="Y19" i="5"/>
  <c r="W19" i="5"/>
  <c r="U19" i="5"/>
  <c r="T19" i="5"/>
  <c r="R19" i="5"/>
  <c r="AL18" i="5"/>
  <c r="AI18" i="5"/>
  <c r="AF18" i="5"/>
  <c r="AD18" i="5"/>
  <c r="Y18" i="5"/>
  <c r="X18" i="5"/>
  <c r="W18" i="5"/>
  <c r="V18" i="5"/>
  <c r="T18" i="5"/>
  <c r="Q18" i="5"/>
  <c r="AN17" i="5"/>
  <c r="AM17" i="5"/>
  <c r="AL17" i="5"/>
  <c r="AK17" i="5"/>
  <c r="AI17" i="5"/>
  <c r="AA17" i="5"/>
  <c r="Y17" i="5"/>
  <c r="V17" i="5"/>
  <c r="U17" i="5"/>
  <c r="T17" i="5"/>
  <c r="S17" i="5"/>
  <c r="Q17" i="5"/>
  <c r="AD16" i="5"/>
  <c r="AA16" i="5"/>
  <c r="Z16" i="5"/>
  <c r="Y16" i="5"/>
  <c r="W16" i="5"/>
  <c r="T16" i="5"/>
  <c r="S16" i="5"/>
  <c r="AI15" i="5"/>
  <c r="AH15" i="5"/>
  <c r="Q15" i="5"/>
  <c r="P15" i="5"/>
  <c r="AM14" i="5"/>
  <c r="V14" i="5"/>
  <c r="U14" i="5"/>
  <c r="S14" i="5"/>
  <c r="Q14" i="5"/>
  <c r="AI13" i="5"/>
  <c r="AF13" i="5"/>
  <c r="Y13" i="5"/>
  <c r="S13" i="5"/>
  <c r="Q13" i="5"/>
  <c r="P13" i="5"/>
  <c r="AO12" i="5"/>
  <c r="AM12" i="5"/>
  <c r="AK12" i="5"/>
  <c r="AA12" i="5"/>
  <c r="X12" i="5"/>
  <c r="W12" i="5"/>
  <c r="U12" i="5"/>
  <c r="S12" i="5"/>
  <c r="P12" i="5"/>
  <c r="AM11" i="5"/>
  <c r="AL11" i="5"/>
  <c r="AH11" i="5"/>
  <c r="AE11" i="5"/>
  <c r="AD11" i="5"/>
  <c r="AA11" i="5"/>
  <c r="X11" i="5"/>
  <c r="U11" i="5"/>
  <c r="S11" i="5"/>
  <c r="R11" i="5"/>
  <c r="Q11" i="5"/>
  <c r="P11" i="5"/>
  <c r="AM10" i="5"/>
  <c r="AI10" i="5"/>
  <c r="AG10" i="5"/>
  <c r="Z10" i="5"/>
  <c r="Y10" i="5"/>
  <c r="X10" i="5"/>
  <c r="W10" i="5"/>
  <c r="U10" i="5"/>
  <c r="Q10" i="5"/>
  <c r="AO9" i="5"/>
  <c r="AM9" i="5"/>
  <c r="AG9" i="5"/>
  <c r="AF9" i="5"/>
  <c r="AE9" i="5"/>
  <c r="AD9" i="5"/>
  <c r="W9" i="5"/>
  <c r="T9" i="5"/>
  <c r="R9" i="5"/>
  <c r="AL8" i="5"/>
  <c r="AW21" i="6" s="1"/>
  <c r="AI8" i="5"/>
  <c r="AT21" i="6" s="1"/>
  <c r="Y8" i="5"/>
  <c r="AF21" i="6" s="1"/>
  <c r="W8" i="5"/>
  <c r="AD21" i="6" s="1"/>
  <c r="R8" i="5"/>
  <c r="Y21" i="6" s="1"/>
  <c r="Q8" i="5"/>
  <c r="X21" i="6" s="1"/>
  <c r="AO7" i="5"/>
  <c r="AN7" i="5"/>
  <c r="AM7" i="5"/>
  <c r="AL7" i="5"/>
  <c r="AI7" i="5"/>
  <c r="AD7" i="5"/>
  <c r="X7" i="5"/>
  <c r="W7" i="5"/>
  <c r="Q7" i="5"/>
  <c r="AI6" i="5"/>
  <c r="AT17" i="6" s="1"/>
  <c r="U6" i="5"/>
  <c r="AB17" i="6" s="1"/>
  <c r="S6" i="5"/>
  <c r="Z17" i="6" s="1"/>
  <c r="Q6" i="5"/>
  <c r="X17" i="6" s="1"/>
  <c r="O5" i="5"/>
  <c r="AC5" i="5" s="1"/>
  <c r="AO4" i="5"/>
  <c r="AZ14" i="6" s="1"/>
  <c r="AM4" i="5"/>
  <c r="AX14" i="6" s="1"/>
  <c r="AL4" i="5"/>
  <c r="AW14" i="6" s="1"/>
  <c r="AF4" i="5"/>
  <c r="AQ14" i="6" s="1"/>
  <c r="AE4" i="5"/>
  <c r="AP14" i="6" s="1"/>
  <c r="AD4" i="5"/>
  <c r="AO14" i="6" s="1"/>
  <c r="AA4" i="5"/>
  <c r="AH14" i="6" s="1"/>
  <c r="U4" i="5"/>
  <c r="AB14" i="6" s="1"/>
  <c r="AL3" i="5"/>
  <c r="AW8" i="6" s="1"/>
  <c r="AI3" i="5"/>
  <c r="AT8" i="6" s="1"/>
  <c r="AD3" i="5"/>
  <c r="AO8" i="6" s="1"/>
  <c r="AA3" i="5"/>
  <c r="AH8" i="6" s="1"/>
  <c r="Y3" i="5"/>
  <c r="AF8" i="6" s="1"/>
  <c r="Q3" i="5"/>
  <c r="X8" i="6" s="1"/>
  <c r="Q2" i="5"/>
  <c r="O122" i="5" s="1"/>
  <c r="M2" i="5"/>
  <c r="M122" i="5" s="1"/>
  <c r="L2" i="5"/>
  <c r="K2" i="5"/>
  <c r="J2" i="5"/>
  <c r="I2" i="5"/>
  <c r="L3" i="6" s="1"/>
  <c r="H2" i="5"/>
  <c r="G2" i="5"/>
  <c r="G125" i="5" s="1"/>
  <c r="F2" i="5"/>
  <c r="E2" i="5"/>
  <c r="H3" i="6" s="1"/>
  <c r="D2" i="5"/>
  <c r="C2" i="5"/>
  <c r="C122" i="5" s="1"/>
  <c r="B2" i="5"/>
  <c r="AI32" i="8" l="1"/>
  <c r="R5" i="7"/>
  <c r="R5" i="5" s="1"/>
  <c r="L36" i="5"/>
  <c r="L42" i="5"/>
  <c r="L47" i="5"/>
  <c r="AN4" i="5"/>
  <c r="AY14" i="6" s="1"/>
  <c r="AF12" i="8"/>
  <c r="AD2" i="15"/>
  <c r="AE2" i="15" s="1"/>
  <c r="AF2" i="15" s="1"/>
  <c r="AG2" i="15" s="1"/>
  <c r="AH2" i="15" s="1"/>
  <c r="AI2" i="15" s="1"/>
  <c r="AJ2" i="15" s="1"/>
  <c r="AK2" i="15" s="1"/>
  <c r="AL2" i="15" s="1"/>
  <c r="AM2" i="15" s="1"/>
  <c r="AN2" i="15" s="1"/>
  <c r="AO2" i="15" s="1"/>
  <c r="Z37" i="7"/>
  <c r="Z37" i="5" s="1"/>
  <c r="AF29" i="8"/>
  <c r="S37" i="7"/>
  <c r="S37" i="5" s="1"/>
  <c r="C5" i="7"/>
  <c r="J8" i="8"/>
  <c r="H29" i="6"/>
  <c r="G49" i="8"/>
  <c r="A16" i="5"/>
  <c r="A17" i="8" s="1"/>
  <c r="L43" i="5"/>
  <c r="R3" i="5"/>
  <c r="Y8" i="6" s="1"/>
  <c r="Z34" i="5"/>
  <c r="AG30" i="6" s="1"/>
  <c r="Z3" i="5"/>
  <c r="AG8" i="6" s="1"/>
  <c r="AF13" i="8"/>
  <c r="L48" i="5"/>
  <c r="O23" i="6" s="1"/>
  <c r="L29" i="5"/>
  <c r="O26" i="6" s="1"/>
  <c r="L30" i="5"/>
  <c r="AF40" i="8"/>
  <c r="X37" i="7"/>
  <c r="X37" i="5" s="1"/>
  <c r="L33" i="5"/>
  <c r="O42" i="6" s="1"/>
  <c r="O43" i="6" s="1"/>
  <c r="X44" i="7"/>
  <c r="X44" i="5" s="1"/>
  <c r="AF9" i="8"/>
  <c r="AF7" i="8"/>
  <c r="D24" i="8"/>
  <c r="AE14" i="8"/>
  <c r="Y32" i="8"/>
  <c r="L29" i="6"/>
  <c r="Y16" i="8"/>
  <c r="AB24" i="8"/>
  <c r="J22" i="8"/>
  <c r="D9" i="8"/>
  <c r="P42" i="8"/>
  <c r="A46" i="5"/>
  <c r="A47" i="8" s="1"/>
  <c r="X6" i="12"/>
  <c r="L17" i="5"/>
  <c r="M14" i="5"/>
  <c r="K28" i="5"/>
  <c r="N37" i="6" s="1"/>
  <c r="L18" i="5"/>
  <c r="M15" i="5"/>
  <c r="L19" i="5"/>
  <c r="M16" i="5"/>
  <c r="L20" i="5"/>
  <c r="M17" i="5"/>
  <c r="K31" i="5"/>
  <c r="N27" i="6" s="1"/>
  <c r="N28" i="6" s="1"/>
  <c r="L4" i="5"/>
  <c r="O14" i="6" s="1"/>
  <c r="L21" i="5"/>
  <c r="M18" i="5"/>
  <c r="AC15" i="6"/>
  <c r="K14" i="5"/>
  <c r="L22" i="5"/>
  <c r="N22" i="5" s="1"/>
  <c r="M19" i="5"/>
  <c r="W5" i="7"/>
  <c r="W5" i="5" s="1"/>
  <c r="K15" i="5"/>
  <c r="L23" i="5"/>
  <c r="M20" i="5"/>
  <c r="K16" i="5"/>
  <c r="M21" i="5"/>
  <c r="K17" i="5"/>
  <c r="M22" i="5"/>
  <c r="K18" i="5"/>
  <c r="M23" i="5"/>
  <c r="K20" i="5"/>
  <c r="M25" i="5"/>
  <c r="K4" i="5"/>
  <c r="N14" i="6" s="1"/>
  <c r="N15" i="6" s="1"/>
  <c r="K21" i="5"/>
  <c r="M4" i="5"/>
  <c r="P14" i="6" s="1"/>
  <c r="L14" i="5"/>
  <c r="K23" i="5"/>
  <c r="L15" i="5"/>
  <c r="M11" i="5"/>
  <c r="L16" i="5"/>
  <c r="A25" i="5"/>
  <c r="A26" i="8" s="1"/>
  <c r="V13" i="8"/>
  <c r="D26" i="8"/>
  <c r="AB26" i="8"/>
  <c r="AB35" i="8"/>
  <c r="A8" i="5"/>
  <c r="A9" i="8" s="1"/>
  <c r="A18" i="5"/>
  <c r="A19" i="8" s="1"/>
  <c r="AB48" i="8"/>
  <c r="J50" i="8"/>
  <c r="AH50" i="8"/>
  <c r="P5" i="8"/>
  <c r="J18" i="8"/>
  <c r="AH18" i="8"/>
  <c r="S30" i="12"/>
  <c r="AE33" i="12"/>
  <c r="A4" i="5"/>
  <c r="A5" i="8" s="1"/>
  <c r="A6" i="5"/>
  <c r="A7" i="8" s="1"/>
  <c r="V24" i="8"/>
  <c r="S37" i="8"/>
  <c r="S41" i="8"/>
  <c r="S43" i="8"/>
  <c r="O24" i="7"/>
  <c r="AC24" i="7" s="1"/>
  <c r="S26" i="8"/>
  <c r="A7" i="5"/>
  <c r="A8" i="8" s="1"/>
  <c r="S36" i="12"/>
  <c r="A21" i="5"/>
  <c r="A22" i="8" s="1"/>
  <c r="AA6" i="8"/>
  <c r="AH7" i="8"/>
  <c r="J11" i="8"/>
  <c r="AE49" i="8"/>
  <c r="AA45" i="8"/>
  <c r="S40" i="12"/>
  <c r="G41" i="12"/>
  <c r="AE19" i="12"/>
  <c r="S20" i="12"/>
  <c r="S22" i="12"/>
  <c r="Y5" i="12"/>
  <c r="AE29" i="6"/>
  <c r="AB27" i="6"/>
  <c r="AP29" i="6"/>
  <c r="AB29" i="6"/>
  <c r="AR43" i="6"/>
  <c r="AA29" i="6"/>
  <c r="AP27" i="6"/>
  <c r="AX29" i="6"/>
  <c r="AZ29" i="6"/>
  <c r="AW27" i="6"/>
  <c r="AW28" i="6" s="1"/>
  <c r="AU43" i="6"/>
  <c r="AU29" i="6"/>
  <c r="A45" i="5"/>
  <c r="Y14" i="8"/>
  <c r="Y42" i="8"/>
  <c r="I6" i="12"/>
  <c r="AH45" i="12"/>
  <c r="J47" i="12"/>
  <c r="Y22" i="8"/>
  <c r="F38" i="12"/>
  <c r="AK8" i="8"/>
  <c r="AH9" i="8"/>
  <c r="J25" i="8"/>
  <c r="L45" i="8"/>
  <c r="AJ45" i="8"/>
  <c r="AK10" i="8"/>
  <c r="AK9" i="8"/>
  <c r="M17" i="8"/>
  <c r="AK17" i="8"/>
  <c r="AH31" i="8"/>
  <c r="J36" i="8"/>
  <c r="AH36" i="8"/>
  <c r="AE23" i="12"/>
  <c r="J7" i="8"/>
  <c r="M8" i="8"/>
  <c r="AH11" i="8"/>
  <c r="Y44" i="8"/>
  <c r="A48" i="5"/>
  <c r="A49" i="8" s="1"/>
  <c r="M9" i="8"/>
  <c r="V20" i="8"/>
  <c r="Y26" i="8"/>
  <c r="U38" i="8"/>
  <c r="AG38" i="8"/>
  <c r="M10" i="12"/>
  <c r="Y10" i="12"/>
  <c r="AK12" i="12"/>
  <c r="M13" i="12"/>
  <c r="AB5" i="8"/>
  <c r="P18" i="8"/>
  <c r="O20" i="7"/>
  <c r="AC20" i="7" s="1"/>
  <c r="A36" i="5"/>
  <c r="A37" i="8" s="1"/>
  <c r="AB29" i="8"/>
  <c r="AA6" i="12"/>
  <c r="M8" i="12"/>
  <c r="Y8" i="12"/>
  <c r="G19" i="12"/>
  <c r="A3" i="5"/>
  <c r="A4" i="8" s="1"/>
  <c r="A29" i="5"/>
  <c r="A30" i="8" s="1"/>
  <c r="D29" i="8"/>
  <c r="AE32" i="8"/>
  <c r="P35" i="8"/>
  <c r="O49" i="7"/>
  <c r="AC49" i="7" s="1"/>
  <c r="L6" i="8"/>
  <c r="AJ6" i="8"/>
  <c r="R33" i="8"/>
  <c r="Y30" i="12"/>
  <c r="A9" i="5"/>
  <c r="A10" i="8" s="1"/>
  <c r="A13" i="5"/>
  <c r="A14" i="8" s="1"/>
  <c r="A24" i="5"/>
  <c r="A25" i="8" s="1"/>
  <c r="A30" i="5"/>
  <c r="A31" i="8" s="1"/>
  <c r="Y13" i="8"/>
  <c r="M19" i="8"/>
  <c r="AK19" i="8"/>
  <c r="G21" i="8"/>
  <c r="M47" i="8"/>
  <c r="O6" i="8"/>
  <c r="AK4" i="12"/>
  <c r="M5" i="12"/>
  <c r="AE25" i="12"/>
  <c r="G26" i="12"/>
  <c r="N35" i="5"/>
  <c r="A17" i="5"/>
  <c r="A18" i="8" s="1"/>
  <c r="A49" i="5"/>
  <c r="O49" i="5" s="1"/>
  <c r="AC49" i="5" s="1"/>
  <c r="N36" i="5"/>
  <c r="L15" i="6"/>
  <c r="A34" i="5"/>
  <c r="A35" i="8" s="1"/>
  <c r="A19" i="5"/>
  <c r="A20" i="8" s="1"/>
  <c r="A22" i="5"/>
  <c r="A23" i="8" s="1"/>
  <c r="Y4" i="8"/>
  <c r="AH8" i="8"/>
  <c r="M21" i="8"/>
  <c r="AK21" i="8"/>
  <c r="M24" i="8"/>
  <c r="AK24" i="8"/>
  <c r="AK30" i="8"/>
  <c r="O31" i="7"/>
  <c r="AC31" i="7" s="1"/>
  <c r="M34" i="8"/>
  <c r="O35" i="7"/>
  <c r="AC35" i="7" s="1"/>
  <c r="V47" i="8"/>
  <c r="S48" i="8"/>
  <c r="Y50" i="8"/>
  <c r="O17" i="7"/>
  <c r="AC17" i="7" s="1"/>
  <c r="G35" i="8"/>
  <c r="AE35" i="8"/>
  <c r="G15" i="12"/>
  <c r="S16" i="12"/>
  <c r="G17" i="12"/>
  <c r="AE45" i="12"/>
  <c r="A11" i="5"/>
  <c r="A12" i="8" s="1"/>
  <c r="A20" i="5"/>
  <c r="A21" i="8" s="1"/>
  <c r="A40" i="5"/>
  <c r="A41" i="8" s="1"/>
  <c r="A47" i="5"/>
  <c r="A48" i="8" s="1"/>
  <c r="AB9" i="8"/>
  <c r="AB14" i="8"/>
  <c r="J15" i="8"/>
  <c r="AH15" i="8"/>
  <c r="AK18" i="8"/>
  <c r="S19" i="8"/>
  <c r="Y25" i="8"/>
  <c r="AB30" i="8"/>
  <c r="M32" i="8"/>
  <c r="AK32" i="8"/>
  <c r="AK34" i="8"/>
  <c r="M36" i="8"/>
  <c r="AK36" i="8"/>
  <c r="Y41" i="8"/>
  <c r="AE44" i="8"/>
  <c r="V49" i="8"/>
  <c r="R6" i="8"/>
  <c r="AG45" i="8"/>
  <c r="M4" i="12"/>
  <c r="AG6" i="12"/>
  <c r="AH6" i="12" s="1"/>
  <c r="AK8" i="12"/>
  <c r="M9" i="12"/>
  <c r="AE21" i="12"/>
  <c r="G31" i="12"/>
  <c r="O27" i="6"/>
  <c r="A35" i="15"/>
  <c r="O35" i="15" s="1"/>
  <c r="AC35" i="15" s="1"/>
  <c r="S30" i="8"/>
  <c r="A9" i="15"/>
  <c r="O9" i="15" s="1"/>
  <c r="AC9" i="15" s="1"/>
  <c r="A12" i="15"/>
  <c r="O12" i="15" s="1"/>
  <c r="AC12" i="15" s="1"/>
  <c r="A25" i="15"/>
  <c r="O25" i="15" s="1"/>
  <c r="AC25" i="15" s="1"/>
  <c r="A46" i="15"/>
  <c r="O46" i="15" s="1"/>
  <c r="AC46" i="15" s="1"/>
  <c r="A28" i="5"/>
  <c r="A29" i="8" s="1"/>
  <c r="A41" i="5"/>
  <c r="A42" i="8" s="1"/>
  <c r="O4" i="7"/>
  <c r="AC4" i="7" s="1"/>
  <c r="S18" i="8"/>
  <c r="G23" i="8"/>
  <c r="AE25" i="8"/>
  <c r="O45" i="8"/>
  <c r="AG34" i="12"/>
  <c r="AH34" i="12" s="1"/>
  <c r="AK12" i="8"/>
  <c r="A6" i="15"/>
  <c r="O6" i="15" s="1"/>
  <c r="AC6" i="15" s="1"/>
  <c r="A30" i="15"/>
  <c r="O30" i="15" s="1"/>
  <c r="AC30" i="15" s="1"/>
  <c r="A39" i="15"/>
  <c r="O39" i="15" s="1"/>
  <c r="AC39" i="15" s="1"/>
  <c r="A23" i="5"/>
  <c r="A10" i="5"/>
  <c r="A11" i="8" s="1"/>
  <c r="A31" i="5"/>
  <c r="A43" i="5"/>
  <c r="A44" i="8" s="1"/>
  <c r="M10" i="8"/>
  <c r="P13" i="8"/>
  <c r="V18" i="8"/>
  <c r="D22" i="8"/>
  <c r="AB22" i="8"/>
  <c r="AH25" i="8"/>
  <c r="V32" i="8"/>
  <c r="V36" i="8"/>
  <c r="J41" i="8"/>
  <c r="AH41" i="8"/>
  <c r="Y48" i="8"/>
  <c r="G50" i="8"/>
  <c r="AE50" i="8"/>
  <c r="C6" i="8"/>
  <c r="U33" i="8"/>
  <c r="R45" i="8"/>
  <c r="Y11" i="12"/>
  <c r="AK11" i="12"/>
  <c r="G25" i="12"/>
  <c r="AH47" i="12"/>
  <c r="L27" i="6"/>
  <c r="L28" i="6" s="1"/>
  <c r="P29" i="8"/>
  <c r="J31" i="8"/>
  <c r="D34" i="8"/>
  <c r="A11" i="15"/>
  <c r="O11" i="15" s="1"/>
  <c r="AC11" i="15" s="1"/>
  <c r="A14" i="15"/>
  <c r="O14" i="15" s="1"/>
  <c r="AC14" i="15" s="1"/>
  <c r="A19" i="15"/>
  <c r="O19" i="15" s="1"/>
  <c r="AC19" i="15" s="1"/>
  <c r="A22" i="15"/>
  <c r="O22" i="15" s="1"/>
  <c r="AC22" i="15" s="1"/>
  <c r="A28" i="15"/>
  <c r="O28" i="15" s="1"/>
  <c r="AC28" i="15" s="1"/>
  <c r="A29" i="15"/>
  <c r="O29" i="15" s="1"/>
  <c r="AC29" i="15" s="1"/>
  <c r="A36" i="15"/>
  <c r="O36" i="15" s="1"/>
  <c r="AC36" i="15" s="1"/>
  <c r="A41" i="15"/>
  <c r="O41" i="15" s="1"/>
  <c r="AC41" i="15" s="1"/>
  <c r="A45" i="15"/>
  <c r="O45" i="15" s="1"/>
  <c r="AC45" i="15" s="1"/>
  <c r="A48" i="15"/>
  <c r="O48" i="15" s="1"/>
  <c r="AC48" i="15" s="1"/>
  <c r="AE17" i="8"/>
  <c r="Y49" i="8"/>
  <c r="S10" i="8"/>
  <c r="P17" i="8"/>
  <c r="G19" i="8"/>
  <c r="G25" i="8"/>
  <c r="C34" i="12"/>
  <c r="D34" i="12" s="1"/>
  <c r="AA38" i="12"/>
  <c r="AB38" i="12" s="1"/>
  <c r="I44" i="12"/>
  <c r="J44" i="12" s="1"/>
  <c r="S42" i="12"/>
  <c r="A3" i="15"/>
  <c r="O3" i="15" s="1"/>
  <c r="AC3" i="15" s="1"/>
  <c r="A7" i="15"/>
  <c r="O7" i="15" s="1"/>
  <c r="AC7" i="15" s="1"/>
  <c r="A43" i="15"/>
  <c r="O43" i="15" s="1"/>
  <c r="AC43" i="15" s="1"/>
  <c r="S12" i="8"/>
  <c r="O6" i="5"/>
  <c r="AC6" i="5" s="1"/>
  <c r="A12" i="5"/>
  <c r="A13" i="8" s="1"/>
  <c r="S14" i="8"/>
  <c r="S20" i="8"/>
  <c r="P30" i="8"/>
  <c r="AB34" i="8"/>
  <c r="I6" i="8"/>
  <c r="X38" i="8"/>
  <c r="R6" i="12"/>
  <c r="S6" i="12" s="1"/>
  <c r="Y13" i="12"/>
  <c r="AK13" i="12"/>
  <c r="S18" i="12"/>
  <c r="S26" i="12"/>
  <c r="D30" i="12"/>
  <c r="G43" i="12"/>
  <c r="V12" i="8"/>
  <c r="A8" i="15"/>
  <c r="O8" i="15" s="1"/>
  <c r="AC8" i="15" s="1"/>
  <c r="A13" i="15"/>
  <c r="O13" i="15" s="1"/>
  <c r="AC13" i="15" s="1"/>
  <c r="A16" i="15"/>
  <c r="O16" i="15" s="1"/>
  <c r="AC16" i="15" s="1"/>
  <c r="A21" i="15"/>
  <c r="O21" i="15" s="1"/>
  <c r="AC21" i="15" s="1"/>
  <c r="A40" i="15"/>
  <c r="O40" i="15" s="1"/>
  <c r="AC40" i="15" s="1"/>
  <c r="Y8" i="8"/>
  <c r="AH30" i="8"/>
  <c r="A47" i="15"/>
  <c r="O47" i="15" s="1"/>
  <c r="AC47" i="15" s="1"/>
  <c r="A14" i="5"/>
  <c r="A15" i="8" s="1"/>
  <c r="A33" i="5"/>
  <c r="A34" i="8" s="1"/>
  <c r="G15" i="8"/>
  <c r="AE15" i="8"/>
  <c r="P19" i="8"/>
  <c r="Y30" i="8"/>
  <c r="AB44" i="8"/>
  <c r="F49" i="12"/>
  <c r="P9" i="8"/>
  <c r="P11" i="8"/>
  <c r="D48" i="8"/>
  <c r="A10" i="15"/>
  <c r="O10" i="15" s="1"/>
  <c r="AC10" i="15" s="1"/>
  <c r="A15" i="15"/>
  <c r="O15" i="15" s="1"/>
  <c r="AC15" i="15" s="1"/>
  <c r="A18" i="15"/>
  <c r="O18" i="15" s="1"/>
  <c r="AC18" i="15" s="1"/>
  <c r="A23" i="15"/>
  <c r="O23" i="15" s="1"/>
  <c r="AC23" i="15" s="1"/>
  <c r="A33" i="15"/>
  <c r="O33" i="15" s="1"/>
  <c r="AC33" i="15" s="1"/>
  <c r="A34" i="15"/>
  <c r="O34" i="15" s="1"/>
  <c r="AC34" i="15" s="1"/>
  <c r="A42" i="15"/>
  <c r="O42" i="15" s="1"/>
  <c r="AC42" i="15" s="1"/>
  <c r="L38" i="15"/>
  <c r="K38" i="15"/>
  <c r="I51" i="15"/>
  <c r="I38" i="15"/>
  <c r="H38" i="15"/>
  <c r="D27" i="15"/>
  <c r="D124" i="15" s="1"/>
  <c r="AM52" i="15"/>
  <c r="AN52" i="15"/>
  <c r="AO52" i="15"/>
  <c r="AE52" i="15"/>
  <c r="AF52" i="15"/>
  <c r="AG52" i="15"/>
  <c r="AD51" i="15"/>
  <c r="AP51" i="15" s="1"/>
  <c r="AD38" i="15"/>
  <c r="AP38" i="15" s="1"/>
  <c r="P124" i="15"/>
  <c r="Y124" i="15"/>
  <c r="AA52" i="15"/>
  <c r="X124" i="15"/>
  <c r="Z52" i="15"/>
  <c r="W124" i="15"/>
  <c r="Y52" i="15"/>
  <c r="W52" i="15"/>
  <c r="Q124" i="15"/>
  <c r="V52" i="15"/>
  <c r="U52" i="15"/>
  <c r="T52" i="15"/>
  <c r="AB52" i="15" s="1"/>
  <c r="AB5" i="15"/>
  <c r="AB27" i="15" s="1"/>
  <c r="X52" i="15"/>
  <c r="AB51" i="15"/>
  <c r="AB50" i="15"/>
  <c r="AB38" i="15"/>
  <c r="AB37" i="15"/>
  <c r="AP26" i="15"/>
  <c r="AP27" i="15"/>
  <c r="M51" i="15"/>
  <c r="K51" i="15"/>
  <c r="M38" i="15"/>
  <c r="J38" i="15"/>
  <c r="N37" i="15"/>
  <c r="F38" i="15"/>
  <c r="C27" i="15"/>
  <c r="C124" i="15" s="1"/>
  <c r="F27" i="15"/>
  <c r="F124" i="15" s="1"/>
  <c r="M27" i="15"/>
  <c r="N5" i="15"/>
  <c r="G27" i="15"/>
  <c r="G124" i="15" s="1"/>
  <c r="I27" i="15"/>
  <c r="I124" i="15" s="1"/>
  <c r="L51" i="15"/>
  <c r="H124" i="15"/>
  <c r="H52" i="15"/>
  <c r="B51" i="15"/>
  <c r="N44" i="15"/>
  <c r="C51" i="15"/>
  <c r="D51" i="15"/>
  <c r="E51" i="15"/>
  <c r="J27" i="15"/>
  <c r="F51" i="15"/>
  <c r="C38" i="15"/>
  <c r="G51" i="15"/>
  <c r="K27" i="15"/>
  <c r="D38" i="15"/>
  <c r="E27" i="15"/>
  <c r="L27" i="15"/>
  <c r="G38" i="15"/>
  <c r="E38" i="15"/>
  <c r="J51" i="15"/>
  <c r="N50" i="15"/>
  <c r="B120" i="15"/>
  <c r="N120" i="15"/>
  <c r="N124" i="15"/>
  <c r="B32" i="15"/>
  <c r="N34" i="15"/>
  <c r="C120" i="15"/>
  <c r="O120" i="15"/>
  <c r="D120" i="15"/>
  <c r="P120" i="15"/>
  <c r="B26" i="15"/>
  <c r="N26" i="15" s="1"/>
  <c r="N39" i="15"/>
  <c r="E120" i="15"/>
  <c r="Q120" i="15"/>
  <c r="F120" i="15"/>
  <c r="R120" i="15"/>
  <c r="G120" i="15"/>
  <c r="S120" i="15"/>
  <c r="H120" i="15"/>
  <c r="T120" i="15"/>
  <c r="I120" i="15"/>
  <c r="U120" i="15"/>
  <c r="J120" i="15"/>
  <c r="V120" i="15"/>
  <c r="K120" i="15"/>
  <c r="W120" i="15"/>
  <c r="L120" i="15"/>
  <c r="X120" i="15"/>
  <c r="M120" i="15"/>
  <c r="Y120" i="15"/>
  <c r="D47" i="14"/>
  <c r="E47" i="14"/>
  <c r="AV15" i="6"/>
  <c r="AC43" i="6"/>
  <c r="AC27" i="6"/>
  <c r="AC28" i="6" s="1"/>
  <c r="M29" i="6"/>
  <c r="W29" i="6"/>
  <c r="AD43" i="6"/>
  <c r="X32" i="6"/>
  <c r="AO27" i="6"/>
  <c r="AW29" i="6"/>
  <c r="AX27" i="6"/>
  <c r="AR29" i="6"/>
  <c r="Z29" i="6"/>
  <c r="AH15" i="6"/>
  <c r="AV29" i="6"/>
  <c r="K29" i="6"/>
  <c r="F41" i="6"/>
  <c r="F43" i="6" s="1"/>
  <c r="P29" i="6"/>
  <c r="N29" i="6"/>
  <c r="G21" i="6"/>
  <c r="AM2" i="7"/>
  <c r="R2" i="7"/>
  <c r="R2" i="5"/>
  <c r="P122" i="5" s="1"/>
  <c r="P2" i="7"/>
  <c r="I29" i="6"/>
  <c r="E29" i="6"/>
  <c r="AI21" i="6"/>
  <c r="E8" i="6"/>
  <c r="AG37" i="7"/>
  <c r="AG37" i="5" s="1"/>
  <c r="AR32" i="6" s="1"/>
  <c r="AO37" i="7"/>
  <c r="AO37" i="5" s="1"/>
  <c r="AZ32" i="6" s="1"/>
  <c r="AZ33" i="6" s="1"/>
  <c r="AT32" i="6"/>
  <c r="AV38" i="6"/>
  <c r="AV39" i="6" s="1"/>
  <c r="Q5" i="7"/>
  <c r="Q5" i="5" s="1"/>
  <c r="AE3" i="5"/>
  <c r="AP8" i="6" s="1"/>
  <c r="AP15" i="6" s="1"/>
  <c r="AM3" i="5"/>
  <c r="AX8" i="6" s="1"/>
  <c r="AX15" i="6" s="1"/>
  <c r="I14" i="6"/>
  <c r="U3" i="5"/>
  <c r="AB8" i="6" s="1"/>
  <c r="AB15" i="6" s="1"/>
  <c r="AF3" i="5"/>
  <c r="AQ8" i="6" s="1"/>
  <c r="AQ15" i="6" s="1"/>
  <c r="AN3" i="5"/>
  <c r="AY8" i="6" s="1"/>
  <c r="AY15" i="6" s="1"/>
  <c r="AY27" i="6"/>
  <c r="Y5" i="7"/>
  <c r="Y5" i="5" s="1"/>
  <c r="AG3" i="5"/>
  <c r="AR8" i="6" s="1"/>
  <c r="AR15" i="6" s="1"/>
  <c r="AO3" i="5"/>
  <c r="AZ8" i="6" s="1"/>
  <c r="AZ15" i="6" s="1"/>
  <c r="AQ27" i="6"/>
  <c r="AQ28" i="6" s="1"/>
  <c r="AE43" i="6"/>
  <c r="E26" i="6"/>
  <c r="Q26" i="6" s="1"/>
  <c r="AT38" i="6"/>
  <c r="AT39" i="6" s="1"/>
  <c r="F8" i="6"/>
  <c r="F15" i="6" s="1"/>
  <c r="AF38" i="6"/>
  <c r="AI5" i="7"/>
  <c r="AI5" i="5" s="1"/>
  <c r="X38" i="6"/>
  <c r="X39" i="6" s="1"/>
  <c r="AY43" i="6"/>
  <c r="E5" i="5"/>
  <c r="W3" i="5"/>
  <c r="AD8" i="6" s="1"/>
  <c r="AD15" i="6" s="1"/>
  <c r="K38" i="6"/>
  <c r="AQ43" i="6"/>
  <c r="AZ43" i="6"/>
  <c r="V32" i="7"/>
  <c r="V32" i="5" s="1"/>
  <c r="G27" i="6"/>
  <c r="G28" i="6" s="1"/>
  <c r="W32" i="7"/>
  <c r="W32" i="5" s="1"/>
  <c r="AF32" i="7"/>
  <c r="AF32" i="5" s="1"/>
  <c r="AN32" i="7"/>
  <c r="AN32" i="5" s="1"/>
  <c r="Z27" i="6"/>
  <c r="AH27" i="6"/>
  <c r="AH28" i="6" s="1"/>
  <c r="AU27" i="6"/>
  <c r="AV27" i="6"/>
  <c r="AV28" i="6" s="1"/>
  <c r="AP35" i="5"/>
  <c r="AP22" i="7"/>
  <c r="Q44" i="7"/>
  <c r="Q44" i="5" s="1"/>
  <c r="Y44" i="7"/>
  <c r="Y44" i="5" s="1"/>
  <c r="AI44" i="7"/>
  <c r="AI44" i="5" s="1"/>
  <c r="AP40" i="7"/>
  <c r="AL44" i="7"/>
  <c r="AL44" i="5" s="1"/>
  <c r="Y38" i="6"/>
  <c r="Y39" i="6" s="1"/>
  <c r="AU38" i="6"/>
  <c r="Z15" i="6"/>
  <c r="J29" i="6"/>
  <c r="X29" i="6"/>
  <c r="AF29" i="6"/>
  <c r="AE27" i="6"/>
  <c r="AE28" i="6" s="1"/>
  <c r="Q33" i="5"/>
  <c r="X42" i="6" s="1"/>
  <c r="X43" i="6" s="1"/>
  <c r="P43" i="6"/>
  <c r="J5" i="7"/>
  <c r="Z6" i="8" s="1"/>
  <c r="AB6" i="8" s="1"/>
  <c r="AP9" i="7"/>
  <c r="AH9" i="5"/>
  <c r="AP9" i="5" s="1"/>
  <c r="H12" i="8"/>
  <c r="AJ26" i="7"/>
  <c r="AJ26" i="5" s="1"/>
  <c r="AP18" i="5"/>
  <c r="AM50" i="7"/>
  <c r="AM50" i="5" s="1"/>
  <c r="AM45" i="5"/>
  <c r="AX41" i="6" s="1"/>
  <c r="AX43" i="6" s="1"/>
  <c r="AB17" i="5"/>
  <c r="AH5" i="7"/>
  <c r="AW15" i="6"/>
  <c r="AZ27" i="6"/>
  <c r="AZ28" i="6" s="1"/>
  <c r="H50" i="5"/>
  <c r="AW43" i="6"/>
  <c r="U26" i="7"/>
  <c r="U26" i="5" s="1"/>
  <c r="M15" i="6"/>
  <c r="AA15" i="6"/>
  <c r="H5" i="5"/>
  <c r="Z5" i="5"/>
  <c r="AJ6" i="5"/>
  <c r="AU17" i="6" s="1"/>
  <c r="N7" i="5"/>
  <c r="I21" i="6"/>
  <c r="AB9" i="5"/>
  <c r="AP20" i="5"/>
  <c r="AE22" i="5"/>
  <c r="AP22" i="5" s="1"/>
  <c r="AF28" i="5"/>
  <c r="AQ37" i="6" s="1"/>
  <c r="AN28" i="5"/>
  <c r="AY37" i="6" s="1"/>
  <c r="AR27" i="6"/>
  <c r="AR28" i="6" s="1"/>
  <c r="E125" i="5"/>
  <c r="AB11" i="5"/>
  <c r="E9" i="8"/>
  <c r="G9" i="8" s="1"/>
  <c r="F21" i="6"/>
  <c r="E32" i="8"/>
  <c r="AB49" i="7"/>
  <c r="K12" i="8"/>
  <c r="M12" i="8" s="1"/>
  <c r="N15" i="8"/>
  <c r="H17" i="8"/>
  <c r="J17" i="8" s="1"/>
  <c r="H20" i="8"/>
  <c r="AG44" i="7"/>
  <c r="AO44" i="7"/>
  <c r="N10" i="8"/>
  <c r="P10" i="8" s="1"/>
  <c r="N9" i="5"/>
  <c r="AE50" i="7"/>
  <c r="AE50" i="5" s="1"/>
  <c r="AE45" i="5"/>
  <c r="AP41" i="6" s="1"/>
  <c r="X50" i="7"/>
  <c r="X50" i="5" s="1"/>
  <c r="B11" i="8"/>
  <c r="D11" i="8" s="1"/>
  <c r="E14" i="8"/>
  <c r="G14" i="8" s="1"/>
  <c r="AP23" i="5"/>
  <c r="AB25" i="5"/>
  <c r="AP31" i="5"/>
  <c r="AO38" i="6"/>
  <c r="P49" i="5"/>
  <c r="N47" i="8"/>
  <c r="P47" i="8" s="1"/>
  <c r="I40" i="6"/>
  <c r="Q40" i="6" s="1"/>
  <c r="AB47" i="7"/>
  <c r="S47" i="5"/>
  <c r="AB47" i="5" s="1"/>
  <c r="AT15" i="6"/>
  <c r="Z26" i="7"/>
  <c r="Z26" i="5" s="1"/>
  <c r="Q40" i="8"/>
  <c r="G44" i="7"/>
  <c r="K15" i="8"/>
  <c r="M15" i="8" s="1"/>
  <c r="T32" i="7"/>
  <c r="T32" i="5" s="1"/>
  <c r="T31" i="5"/>
  <c r="AA27" i="6" s="1"/>
  <c r="AA28" i="6" s="1"/>
  <c r="H49" i="8"/>
  <c r="G23" i="6"/>
  <c r="Q23" i="6" s="1"/>
  <c r="AB8" i="7"/>
  <c r="AG15" i="6"/>
  <c r="AU15" i="6"/>
  <c r="AB7" i="5"/>
  <c r="AP10" i="5"/>
  <c r="AB35" i="5"/>
  <c r="B14" i="8"/>
  <c r="D14" i="8" s="1"/>
  <c r="AP14" i="5"/>
  <c r="AP17" i="5"/>
  <c r="AB46" i="7"/>
  <c r="P46" i="5"/>
  <c r="W40" i="6" s="1"/>
  <c r="AH26" i="7"/>
  <c r="AH26" i="5" s="1"/>
  <c r="AH6" i="5"/>
  <c r="AS17" i="6" s="1"/>
  <c r="R26" i="7"/>
  <c r="R26" i="5" s="1"/>
  <c r="AP21" i="5"/>
  <c r="AP15" i="5"/>
  <c r="AC29" i="6"/>
  <c r="AQ29" i="6"/>
  <c r="AY29" i="6"/>
  <c r="AF32" i="6"/>
  <c r="AB16" i="7"/>
  <c r="AP16" i="7"/>
  <c r="AP21" i="7"/>
  <c r="U32" i="7"/>
  <c r="AD32" i="7"/>
  <c r="AD32" i="5" s="1"/>
  <c r="AL32" i="7"/>
  <c r="AL32" i="5" s="1"/>
  <c r="AB36" i="7"/>
  <c r="G37" i="7"/>
  <c r="Q38" i="8" s="1"/>
  <c r="W44" i="7"/>
  <c r="AB42" i="7"/>
  <c r="AP42" i="7"/>
  <c r="AB21" i="7"/>
  <c r="AB34" i="7"/>
  <c r="AD50" i="7"/>
  <c r="AD50" i="5" s="1"/>
  <c r="AL50" i="7"/>
  <c r="AL50" i="5" s="1"/>
  <c r="Y26" i="7"/>
  <c r="Y26" i="5" s="1"/>
  <c r="AD26" i="7"/>
  <c r="AD26" i="5" s="1"/>
  <c r="AO22" i="6" s="1"/>
  <c r="AL26" i="7"/>
  <c r="AL26" i="5" s="1"/>
  <c r="AB9" i="7"/>
  <c r="AP15" i="7"/>
  <c r="P32" i="7"/>
  <c r="P32" i="5" s="1"/>
  <c r="X32" i="7"/>
  <c r="AB35" i="7"/>
  <c r="AP35" i="7"/>
  <c r="R44" i="7"/>
  <c r="Z44" i="7"/>
  <c r="V50" i="7"/>
  <c r="V50" i="5" s="1"/>
  <c r="AF50" i="7"/>
  <c r="AF50" i="5" s="1"/>
  <c r="AN50" i="7"/>
  <c r="AN50" i="5" s="1"/>
  <c r="AP47" i="7"/>
  <c r="AP48" i="7"/>
  <c r="AB19" i="7"/>
  <c r="Q32" i="7"/>
  <c r="Y32" i="7"/>
  <c r="Y32" i="5" s="1"/>
  <c r="AP28" i="7"/>
  <c r="AP30" i="7"/>
  <c r="AL37" i="7"/>
  <c r="AL37" i="5" s="1"/>
  <c r="AW32" i="6" s="1"/>
  <c r="S44" i="7"/>
  <c r="S44" i="5" s="1"/>
  <c r="AA44" i="7"/>
  <c r="AA44" i="5" s="1"/>
  <c r="AK44" i="7"/>
  <c r="AK44" i="5" s="1"/>
  <c r="W50" i="7"/>
  <c r="W50" i="5" s="1"/>
  <c r="AG50" i="7"/>
  <c r="AG50" i="5" s="1"/>
  <c r="AO50" i="7"/>
  <c r="AO50" i="5" s="1"/>
  <c r="AB48" i="7"/>
  <c r="AP16" i="5"/>
  <c r="AB21" i="5"/>
  <c r="AP25" i="5"/>
  <c r="AB28" i="6"/>
  <c r="W27" i="6"/>
  <c r="W28" i="6" s="1"/>
  <c r="AP41" i="5"/>
  <c r="AW38" i="6"/>
  <c r="AW39" i="6" s="1"/>
  <c r="AJ5" i="7"/>
  <c r="S26" i="7"/>
  <c r="S26" i="5" s="1"/>
  <c r="AA26" i="7"/>
  <c r="AA26" i="5" s="1"/>
  <c r="AK26" i="7"/>
  <c r="AK26" i="5" s="1"/>
  <c r="AP18" i="7"/>
  <c r="AP25" i="7"/>
  <c r="R32" i="7"/>
  <c r="R32" i="5" s="1"/>
  <c r="Z32" i="7"/>
  <c r="AE37" i="7"/>
  <c r="AE37" i="5" s="1"/>
  <c r="AM37" i="7"/>
  <c r="AM37" i="5" s="1"/>
  <c r="U37" i="7"/>
  <c r="U37" i="5" s="1"/>
  <c r="AB32" i="6" s="1"/>
  <c r="AB33" i="6" s="1"/>
  <c r="AB43" i="7"/>
  <c r="P50" i="7"/>
  <c r="P50" i="5" s="1"/>
  <c r="AH50" i="7"/>
  <c r="AH50" i="5" s="1"/>
  <c r="AB13" i="5"/>
  <c r="AY28" i="6"/>
  <c r="AT27" i="6"/>
  <c r="AT28" i="6" s="1"/>
  <c r="AI30" i="6"/>
  <c r="AB38" i="6"/>
  <c r="AB39" i="6" s="1"/>
  <c r="AP38" i="6"/>
  <c r="AP39" i="6" s="1"/>
  <c r="AT43" i="6"/>
  <c r="S5" i="7"/>
  <c r="AA5" i="7"/>
  <c r="AK5" i="7"/>
  <c r="T26" i="7"/>
  <c r="T26" i="5" s="1"/>
  <c r="AP20" i="7"/>
  <c r="AJ32" i="7"/>
  <c r="AJ32" i="5" s="1"/>
  <c r="V37" i="7"/>
  <c r="V37" i="5" s="1"/>
  <c r="AC32" i="6" s="1"/>
  <c r="AF37" i="7"/>
  <c r="AF37" i="5" s="1"/>
  <c r="AQ32" i="6" s="1"/>
  <c r="AN37" i="7"/>
  <c r="AN37" i="5" s="1"/>
  <c r="AY32" i="6" s="1"/>
  <c r="U44" i="7"/>
  <c r="U44" i="5" s="1"/>
  <c r="AE44" i="7"/>
  <c r="AM44" i="7"/>
  <c r="AB40" i="7"/>
  <c r="AP46" i="7"/>
  <c r="AK35" i="8"/>
  <c r="K27" i="6"/>
  <c r="K28" i="6" s="1"/>
  <c r="J37" i="5"/>
  <c r="M32" i="6" s="1"/>
  <c r="AV32" i="6"/>
  <c r="AV33" i="6" s="1"/>
  <c r="AG38" i="6"/>
  <c r="AG39" i="6" s="1"/>
  <c r="AC38" i="6"/>
  <c r="AC39" i="6" s="1"/>
  <c r="AC44" i="6" s="1"/>
  <c r="AQ38" i="6"/>
  <c r="AY38" i="6"/>
  <c r="AB13" i="7"/>
  <c r="AK32" i="7"/>
  <c r="AP29" i="7"/>
  <c r="F32" i="7"/>
  <c r="N33" i="8" s="1"/>
  <c r="W37" i="7"/>
  <c r="W37" i="5" s="1"/>
  <c r="AD32" i="6" s="1"/>
  <c r="V44" i="7"/>
  <c r="AF44" i="7"/>
  <c r="AN44" i="7"/>
  <c r="AB41" i="7"/>
  <c r="AP41" i="7"/>
  <c r="R50" i="7"/>
  <c r="R50" i="5" s="1"/>
  <c r="Z50" i="7"/>
  <c r="Z50" i="5" s="1"/>
  <c r="AJ50" i="7"/>
  <c r="AJ50" i="5" s="1"/>
  <c r="E43" i="6"/>
  <c r="G43" i="6"/>
  <c r="K15" i="6"/>
  <c r="I5" i="5"/>
  <c r="O11" i="5"/>
  <c r="AC11" i="5" s="1"/>
  <c r="A15" i="5"/>
  <c r="H27" i="6"/>
  <c r="H28" i="6" s="1"/>
  <c r="P27" i="6"/>
  <c r="P28" i="6" s="1"/>
  <c r="B37" i="5"/>
  <c r="E32" i="6" s="1"/>
  <c r="A39" i="5"/>
  <c r="A42" i="5"/>
  <c r="A43" i="8" s="1"/>
  <c r="L38" i="6"/>
  <c r="L39" i="6" s="1"/>
  <c r="M4" i="8"/>
  <c r="AK4" i="8"/>
  <c r="V19" i="8"/>
  <c r="V22" i="8"/>
  <c r="Y23" i="8"/>
  <c r="AE37" i="8"/>
  <c r="M41" i="8"/>
  <c r="AK41" i="8"/>
  <c r="S42" i="8"/>
  <c r="AB43" i="8"/>
  <c r="U6" i="8"/>
  <c r="AD27" i="8"/>
  <c r="U45" i="8"/>
  <c r="L6" i="12"/>
  <c r="M6" i="12" s="1"/>
  <c r="Y4" i="12"/>
  <c r="AH4" i="12"/>
  <c r="M12" i="12"/>
  <c r="Y12" i="12"/>
  <c r="AE17" i="12"/>
  <c r="G21" i="12"/>
  <c r="S25" i="12"/>
  <c r="M31" i="12"/>
  <c r="G33" i="12"/>
  <c r="X34" i="12"/>
  <c r="AD38" i="12"/>
  <c r="R44" i="12"/>
  <c r="AG49" i="12"/>
  <c r="V46" i="12"/>
  <c r="U51" i="8"/>
  <c r="G15" i="6"/>
  <c r="J5" i="5"/>
  <c r="I32" i="5"/>
  <c r="O35" i="5"/>
  <c r="AC35" i="5" s="1"/>
  <c r="V5" i="8"/>
  <c r="S11" i="8"/>
  <c r="V15" i="8"/>
  <c r="G16" i="8"/>
  <c r="AE16" i="8"/>
  <c r="AH20" i="8"/>
  <c r="S21" i="8"/>
  <c r="V25" i="8"/>
  <c r="J37" i="8"/>
  <c r="AH37" i="8"/>
  <c r="G43" i="8"/>
  <c r="AE43" i="8"/>
  <c r="X6" i="8"/>
  <c r="I27" i="8"/>
  <c r="I38" i="12"/>
  <c r="J38" i="12" s="1"/>
  <c r="C33" i="8"/>
  <c r="AA34" i="12"/>
  <c r="O15" i="6"/>
  <c r="O10" i="5"/>
  <c r="AC10" i="5" s="1"/>
  <c r="O28" i="6"/>
  <c r="J27" i="6"/>
  <c r="J28" i="6" s="1"/>
  <c r="C44" i="5"/>
  <c r="N43" i="5"/>
  <c r="I44" i="5"/>
  <c r="O46" i="5"/>
  <c r="AC46" i="5" s="1"/>
  <c r="Y5" i="8"/>
  <c r="V11" i="8"/>
  <c r="J16" i="8"/>
  <c r="AH16" i="8"/>
  <c r="S31" i="8"/>
  <c r="J40" i="8"/>
  <c r="AH40" i="8"/>
  <c r="I38" i="8"/>
  <c r="AJ6" i="12"/>
  <c r="AK31" i="12"/>
  <c r="C49" i="12"/>
  <c r="D49" i="12" s="1"/>
  <c r="AJ49" i="12"/>
  <c r="AK49" i="12" s="1"/>
  <c r="G29" i="6"/>
  <c r="O29" i="6"/>
  <c r="N43" i="6"/>
  <c r="I37" i="5"/>
  <c r="L32" i="6" s="1"/>
  <c r="L33" i="6" s="1"/>
  <c r="O38" i="6"/>
  <c r="O39" i="6" s="1"/>
  <c r="G8" i="8"/>
  <c r="AE8" i="8"/>
  <c r="D15" i="8"/>
  <c r="AB15" i="8"/>
  <c r="M16" i="8"/>
  <c r="AK16" i="8"/>
  <c r="P20" i="8"/>
  <c r="J23" i="8"/>
  <c r="AH23" i="8"/>
  <c r="J26" i="8"/>
  <c r="AH26" i="8"/>
  <c r="V31" i="8"/>
  <c r="P37" i="8"/>
  <c r="V41" i="8"/>
  <c r="D42" i="8"/>
  <c r="AB42" i="8"/>
  <c r="Y47" i="8"/>
  <c r="O33" i="8"/>
  <c r="AA33" i="8"/>
  <c r="AK5" i="12"/>
  <c r="Y9" i="12"/>
  <c r="M14" i="12"/>
  <c r="X28" i="12"/>
  <c r="G27" i="12"/>
  <c r="S27" i="12"/>
  <c r="AB31" i="12"/>
  <c r="AH43" i="12"/>
  <c r="D45" i="12"/>
  <c r="AA49" i="12"/>
  <c r="AB49" i="12" s="1"/>
  <c r="V48" i="12"/>
  <c r="N28" i="5"/>
  <c r="J44" i="5"/>
  <c r="H38" i="6"/>
  <c r="P38" i="6"/>
  <c r="P39" i="6" s="1"/>
  <c r="C50" i="5"/>
  <c r="AK9" i="12"/>
  <c r="J19" i="12"/>
  <c r="G23" i="12"/>
  <c r="C38" i="12"/>
  <c r="D38" i="12" s="1"/>
  <c r="G45" i="12"/>
  <c r="N23" i="5"/>
  <c r="K50" i="5"/>
  <c r="D17" i="8"/>
  <c r="S40" i="8"/>
  <c r="AD28" i="12"/>
  <c r="AE28" i="12" s="1"/>
  <c r="O34" i="12"/>
  <c r="P34" i="12" s="1"/>
  <c r="O38" i="12"/>
  <c r="P38" i="12" s="1"/>
  <c r="O44" i="12"/>
  <c r="P44" i="12" s="1"/>
  <c r="X44" i="12"/>
  <c r="Y44" i="12" s="1"/>
  <c r="N12" i="5"/>
  <c r="H32" i="5"/>
  <c r="O33" i="5"/>
  <c r="AC33" i="5" s="1"/>
  <c r="J38" i="6"/>
  <c r="O48" i="5"/>
  <c r="AC48" i="5" s="1"/>
  <c r="G10" i="8"/>
  <c r="AE10" i="8"/>
  <c r="D13" i="8"/>
  <c r="AB13" i="8"/>
  <c r="S23" i="8"/>
  <c r="S36" i="8"/>
  <c r="M42" i="8"/>
  <c r="D49" i="8"/>
  <c r="AB49" i="8"/>
  <c r="J4" i="12"/>
  <c r="I28" i="12"/>
  <c r="J28" i="12" s="1"/>
  <c r="AK10" i="12"/>
  <c r="M11" i="12"/>
  <c r="S24" i="12"/>
  <c r="P30" i="12"/>
  <c r="S32" i="12"/>
  <c r="AB35" i="12"/>
  <c r="P40" i="12"/>
  <c r="J45" i="12"/>
  <c r="AD49" i="12"/>
  <c r="AE49" i="12" s="1"/>
  <c r="AS15" i="6"/>
  <c r="AI17" i="6"/>
  <c r="A46" i="8"/>
  <c r="O45" i="5"/>
  <c r="AC45" i="5" s="1"/>
  <c r="AP7" i="5"/>
  <c r="BA21" i="6"/>
  <c r="AP19" i="5"/>
  <c r="AP24" i="5"/>
  <c r="AO29" i="6"/>
  <c r="AO42" i="6"/>
  <c r="BA42" i="6" s="1"/>
  <c r="AP33" i="5"/>
  <c r="Q35" i="6"/>
  <c r="AB40" i="5"/>
  <c r="AU39" i="6"/>
  <c r="AR38" i="6"/>
  <c r="AR39" i="6" s="1"/>
  <c r="AR44" i="6" s="1"/>
  <c r="AZ38" i="6"/>
  <c r="AZ39" i="6" s="1"/>
  <c r="AB43" i="6"/>
  <c r="K41" i="6"/>
  <c r="K43" i="6" s="1"/>
  <c r="N41" i="5"/>
  <c r="J8" i="6"/>
  <c r="J15" i="6" s="1"/>
  <c r="G5" i="5"/>
  <c r="AB42" i="5"/>
  <c r="W38" i="6"/>
  <c r="AP29" i="5"/>
  <c r="AO26" i="6"/>
  <c r="AM5" i="5"/>
  <c r="Q30" i="6"/>
  <c r="AB10" i="5"/>
  <c r="N24" i="5"/>
  <c r="E32" i="5"/>
  <c r="Y27" i="6"/>
  <c r="Y28" i="6" s="1"/>
  <c r="AG27" i="6"/>
  <c r="AG28" i="6" s="1"/>
  <c r="I42" i="6"/>
  <c r="F37" i="5"/>
  <c r="I32" i="6" s="1"/>
  <c r="N33" i="5"/>
  <c r="H37" i="5"/>
  <c r="K32" i="6" s="1"/>
  <c r="I2" i="12"/>
  <c r="I2" i="8"/>
  <c r="AG2" i="12"/>
  <c r="AG2" i="8"/>
  <c r="Q4" i="8"/>
  <c r="S4" i="8" s="1"/>
  <c r="G5" i="7"/>
  <c r="P5" i="7"/>
  <c r="AB3" i="7"/>
  <c r="P3" i="5"/>
  <c r="X5" i="7"/>
  <c r="X3" i="5"/>
  <c r="AE8" i="6" s="1"/>
  <c r="AE15" i="6" s="1"/>
  <c r="AI14" i="6"/>
  <c r="AF15" i="6"/>
  <c r="N8" i="5"/>
  <c r="AE38" i="6"/>
  <c r="AE39" i="6" s="1"/>
  <c r="X15" i="6"/>
  <c r="AP4" i="5"/>
  <c r="K122" i="5"/>
  <c r="K125" i="5"/>
  <c r="N3" i="6"/>
  <c r="Y15" i="6"/>
  <c r="I26" i="5"/>
  <c r="L17" i="6"/>
  <c r="AB12" i="5"/>
  <c r="AB15" i="5"/>
  <c r="J42" i="6"/>
  <c r="J43" i="6" s="1"/>
  <c r="G37" i="5"/>
  <c r="J32" i="6" s="1"/>
  <c r="AG32" i="6"/>
  <c r="D44" i="5"/>
  <c r="AO36" i="6"/>
  <c r="BA36" i="6" s="1"/>
  <c r="AP39" i="5"/>
  <c r="AB41" i="5"/>
  <c r="O125" i="5"/>
  <c r="X3" i="6"/>
  <c r="L41" i="6"/>
  <c r="L43" i="6" s="1"/>
  <c r="I50" i="5"/>
  <c r="Y3" i="6"/>
  <c r="G26" i="5"/>
  <c r="J17" i="6"/>
  <c r="A32" i="8"/>
  <c r="O31" i="5"/>
  <c r="AC31" i="5" s="1"/>
  <c r="E3" i="14"/>
  <c r="E3" i="6"/>
  <c r="B125" i="5"/>
  <c r="B122" i="5"/>
  <c r="M3" i="6"/>
  <c r="J125" i="5"/>
  <c r="J122" i="5"/>
  <c r="C125" i="5"/>
  <c r="F3" i="6"/>
  <c r="G3" i="6"/>
  <c r="D125" i="5"/>
  <c r="D122" i="5"/>
  <c r="O3" i="6"/>
  <c r="L125" i="5"/>
  <c r="L122" i="5"/>
  <c r="E14" i="6"/>
  <c r="AB4" i="5"/>
  <c r="AP8" i="5"/>
  <c r="AB14" i="5"/>
  <c r="AB16" i="5"/>
  <c r="AB19" i="5"/>
  <c r="AS29" i="6"/>
  <c r="J26" i="5"/>
  <c r="AG22" i="6"/>
  <c r="AG24" i="6" s="1"/>
  <c r="G32" i="5"/>
  <c r="J37" i="6"/>
  <c r="W37" i="6"/>
  <c r="AI37" i="6" s="1"/>
  <c r="AB28" i="5"/>
  <c r="N30" i="5"/>
  <c r="AB30" i="5"/>
  <c r="AH32" i="6"/>
  <c r="Z38" i="6"/>
  <c r="Z39" i="6" s="1"/>
  <c r="AI41" i="6"/>
  <c r="AG43" i="6"/>
  <c r="J3" i="6"/>
  <c r="G122" i="5"/>
  <c r="H122" i="5"/>
  <c r="H125" i="5"/>
  <c r="K17" i="6"/>
  <c r="H26" i="5"/>
  <c r="AB6" i="5"/>
  <c r="D5" i="5"/>
  <c r="AP12" i="5"/>
  <c r="AB18" i="5"/>
  <c r="AB23" i="5"/>
  <c r="AG29" i="6"/>
  <c r="AG33" i="6" s="1"/>
  <c r="N25" i="5"/>
  <c r="Z28" i="6"/>
  <c r="AU28" i="6"/>
  <c r="N34" i="5"/>
  <c r="AB34" i="5"/>
  <c r="F44" i="5"/>
  <c r="I36" i="6"/>
  <c r="N39" i="5"/>
  <c r="AP42" i="5"/>
  <c r="I8" i="6"/>
  <c r="P8" i="6"/>
  <c r="I122" i="5"/>
  <c r="I125" i="5"/>
  <c r="AO15" i="6"/>
  <c r="BA14" i="6"/>
  <c r="AB8" i="5"/>
  <c r="AP11" i="5"/>
  <c r="AP13" i="5"/>
  <c r="AB20" i="5"/>
  <c r="AB22" i="5"/>
  <c r="J36" i="6"/>
  <c r="G44" i="5"/>
  <c r="AI35" i="6"/>
  <c r="K3" i="6"/>
  <c r="L2" i="12"/>
  <c r="L2" i="8"/>
  <c r="AJ2" i="12"/>
  <c r="AJ2" i="8"/>
  <c r="T4" i="8"/>
  <c r="V4" i="8" s="1"/>
  <c r="H5" i="7"/>
  <c r="O8" i="5"/>
  <c r="AC8" i="5" s="1"/>
  <c r="O16" i="5"/>
  <c r="AC16" i="5" s="1"/>
  <c r="O20" i="5"/>
  <c r="AC20" i="5" s="1"/>
  <c r="O24" i="5"/>
  <c r="AC24" i="5" s="1"/>
  <c r="AD29" i="6"/>
  <c r="AP28" i="6"/>
  <c r="AX28" i="6"/>
  <c r="B32" i="5"/>
  <c r="J32" i="5"/>
  <c r="BA30" i="6"/>
  <c r="C37" i="5"/>
  <c r="F32" i="6" s="1"/>
  <c r="K37" i="5"/>
  <c r="N32" i="6" s="1"/>
  <c r="Z32" i="6"/>
  <c r="K36" i="6"/>
  <c r="H44" i="5"/>
  <c r="AI36" i="6"/>
  <c r="N40" i="5"/>
  <c r="BA35" i="6"/>
  <c r="E38" i="6"/>
  <c r="M38" i="6"/>
  <c r="M39" i="6" s="1"/>
  <c r="AS38" i="6"/>
  <c r="B44" i="5"/>
  <c r="K44" i="5"/>
  <c r="B50" i="5"/>
  <c r="N45" i="5"/>
  <c r="J50" i="5"/>
  <c r="M41" i="6"/>
  <c r="M43" i="6" s="1"/>
  <c r="AS43" i="6"/>
  <c r="AP46" i="5"/>
  <c r="E50" i="5"/>
  <c r="E122" i="5"/>
  <c r="H17" i="6"/>
  <c r="Z42" i="6"/>
  <c r="Z43" i="6" s="1"/>
  <c r="I3" i="6"/>
  <c r="F125" i="5"/>
  <c r="F122" i="5"/>
  <c r="W3" i="6"/>
  <c r="N125" i="5"/>
  <c r="N122" i="5"/>
  <c r="I27" i="6"/>
  <c r="I28" i="6" s="1"/>
  <c r="K32" i="5"/>
  <c r="D37" i="5"/>
  <c r="G32" i="6" s="1"/>
  <c r="F38" i="6"/>
  <c r="F39" i="6" s="1"/>
  <c r="N38" i="6"/>
  <c r="N39" i="6" s="1"/>
  <c r="AH38" i="6"/>
  <c r="AH39" i="6" s="1"/>
  <c r="L44" i="5"/>
  <c r="AB45" i="5"/>
  <c r="Y43" i="6"/>
  <c r="AB48" i="5"/>
  <c r="P3" i="6"/>
  <c r="X23" i="6"/>
  <c r="AI23" i="6" s="1"/>
  <c r="AI26" i="6"/>
  <c r="G37" i="6"/>
  <c r="O21" i="5"/>
  <c r="AC21" i="5" s="1"/>
  <c r="O25" i="5"/>
  <c r="AC25" i="5" s="1"/>
  <c r="O30" i="5"/>
  <c r="AC30" i="5" s="1"/>
  <c r="AD27" i="6"/>
  <c r="AD28" i="6" s="1"/>
  <c r="D32" i="5"/>
  <c r="L32" i="5"/>
  <c r="E37" i="5"/>
  <c r="H32" i="6" s="1"/>
  <c r="H33" i="6" s="1"/>
  <c r="M37" i="5"/>
  <c r="P32" i="6" s="1"/>
  <c r="G38" i="6"/>
  <c r="AA38" i="6"/>
  <c r="AA39" i="6" s="1"/>
  <c r="M44" i="5"/>
  <c r="L50" i="5"/>
  <c r="AH43" i="6"/>
  <c r="G50" i="5"/>
  <c r="H37" i="6"/>
  <c r="W43" i="6"/>
  <c r="AI40" i="6"/>
  <c r="E6" i="8"/>
  <c r="AB4" i="7"/>
  <c r="Y29" i="6"/>
  <c r="M32" i="5"/>
  <c r="AF39" i="6"/>
  <c r="O41" i="5"/>
  <c r="AC41" i="5" s="1"/>
  <c r="E44" i="5"/>
  <c r="AA43" i="6"/>
  <c r="AV43" i="6"/>
  <c r="M125" i="5"/>
  <c r="X2" i="12"/>
  <c r="X2" i="8"/>
  <c r="H4" i="8"/>
  <c r="D5" i="7"/>
  <c r="AF4" i="8"/>
  <c r="L5" i="7"/>
  <c r="F29" i="6"/>
  <c r="AH29" i="6"/>
  <c r="AT29" i="6"/>
  <c r="X27" i="6"/>
  <c r="X28" i="6" s="1"/>
  <c r="AF27" i="6"/>
  <c r="AF28" i="6" s="1"/>
  <c r="F32" i="5"/>
  <c r="AP34" i="5"/>
  <c r="AP32" i="6"/>
  <c r="AP33" i="6" s="1"/>
  <c r="AX32" i="6"/>
  <c r="AB39" i="5"/>
  <c r="AP40" i="5"/>
  <c r="I38" i="6"/>
  <c r="N42" i="5"/>
  <c r="H43" i="6"/>
  <c r="BA40" i="6"/>
  <c r="N4" i="7"/>
  <c r="AB24" i="5"/>
  <c r="AB29" i="5"/>
  <c r="E27" i="6"/>
  <c r="M27" i="6"/>
  <c r="M28" i="6" s="1"/>
  <c r="AS27" i="6"/>
  <c r="AS28" i="6" s="1"/>
  <c r="AP30" i="5"/>
  <c r="AE32" i="6"/>
  <c r="AE33" i="6" s="1"/>
  <c r="AD38" i="6"/>
  <c r="AD39" i="6" s="1"/>
  <c r="AD44" i="6" s="1"/>
  <c r="AX38" i="6"/>
  <c r="AX39" i="6" s="1"/>
  <c r="AP47" i="5"/>
  <c r="AO23" i="6"/>
  <c r="BA23" i="6" s="1"/>
  <c r="AP48" i="5"/>
  <c r="M50" i="5"/>
  <c r="AF43" i="6"/>
  <c r="T5" i="7"/>
  <c r="W7" i="8"/>
  <c r="Y7" i="8" s="1"/>
  <c r="I26" i="7"/>
  <c r="W27" i="8" s="1"/>
  <c r="B7" i="8"/>
  <c r="D7" i="8" s="1"/>
  <c r="B26" i="7"/>
  <c r="N6" i="7"/>
  <c r="Z7" i="8"/>
  <c r="AB7" i="8" s="1"/>
  <c r="J26" i="7"/>
  <c r="Z27" i="8" s="1"/>
  <c r="O2" i="12"/>
  <c r="O2" i="8"/>
  <c r="AE26" i="7"/>
  <c r="AE26" i="5" s="1"/>
  <c r="AM26" i="7"/>
  <c r="AM26" i="5" s="1"/>
  <c r="N7" i="7"/>
  <c r="B5" i="8"/>
  <c r="D5" i="8" s="1"/>
  <c r="B5" i="7"/>
  <c r="E5" i="7"/>
  <c r="AB39" i="7"/>
  <c r="P44" i="7"/>
  <c r="U2" i="12"/>
  <c r="U2" i="8"/>
  <c r="E4" i="8"/>
  <c r="G4" i="8" s="1"/>
  <c r="N3" i="7"/>
  <c r="AC4" i="8"/>
  <c r="AE4" i="8" s="1"/>
  <c r="K5" i="7"/>
  <c r="I5" i="7"/>
  <c r="K7" i="8"/>
  <c r="M7" i="8" s="1"/>
  <c r="E26" i="7"/>
  <c r="K27" i="8" s="1"/>
  <c r="AI7" i="8"/>
  <c r="AK7" i="8" s="1"/>
  <c r="M26" i="7"/>
  <c r="AI27" i="8" s="1"/>
  <c r="W26" i="7"/>
  <c r="W26" i="5" s="1"/>
  <c r="AG26" i="7"/>
  <c r="AG26" i="5" s="1"/>
  <c r="AO26" i="7"/>
  <c r="AO26" i="5" s="1"/>
  <c r="C2" i="12"/>
  <c r="C2" i="8"/>
  <c r="AA2" i="12"/>
  <c r="AA2" i="8"/>
  <c r="V5" i="7"/>
  <c r="AP4" i="7"/>
  <c r="AD5" i="7"/>
  <c r="M5" i="7"/>
  <c r="Q26" i="7"/>
  <c r="Q26" i="5" s="1"/>
  <c r="AB6" i="7"/>
  <c r="F2" i="12"/>
  <c r="F2" i="8"/>
  <c r="AD2" i="12"/>
  <c r="AD2" i="8"/>
  <c r="N4" i="8"/>
  <c r="P4" i="8" s="1"/>
  <c r="F5" i="7"/>
  <c r="AP3" i="7"/>
  <c r="P26" i="7"/>
  <c r="X26" i="7"/>
  <c r="X26" i="5" s="1"/>
  <c r="AP6" i="7"/>
  <c r="AF26" i="7"/>
  <c r="AF26" i="5" s="1"/>
  <c r="AN26" i="7"/>
  <c r="AN26" i="5" s="1"/>
  <c r="AB7" i="7"/>
  <c r="AP7" i="7"/>
  <c r="AP11" i="7"/>
  <c r="AP17" i="7"/>
  <c r="N22" i="7"/>
  <c r="S32" i="7"/>
  <c r="AA32" i="7"/>
  <c r="AI32" i="7"/>
  <c r="R37" i="7"/>
  <c r="R37" i="5" s="1"/>
  <c r="Y32" i="6" s="1"/>
  <c r="AJ37" i="7"/>
  <c r="AJ37" i="5" s="1"/>
  <c r="AU32" i="6" s="1"/>
  <c r="AP34" i="7"/>
  <c r="Q45" i="8"/>
  <c r="AP13" i="7"/>
  <c r="AB17" i="7"/>
  <c r="N23" i="7"/>
  <c r="AB23" i="7"/>
  <c r="E30" i="8"/>
  <c r="G30" i="8" s="1"/>
  <c r="C32" i="7"/>
  <c r="AC30" i="8"/>
  <c r="AE30" i="8" s="1"/>
  <c r="K32" i="7"/>
  <c r="AF35" i="8"/>
  <c r="AH35" i="8" s="1"/>
  <c r="L37" i="7"/>
  <c r="AF38" i="8" s="1"/>
  <c r="P37" i="7"/>
  <c r="P37" i="5" s="1"/>
  <c r="T40" i="8"/>
  <c r="V40" i="8" s="1"/>
  <c r="H44" i="7"/>
  <c r="AJ44" i="7"/>
  <c r="T7" i="8"/>
  <c r="V7" i="8" s="1"/>
  <c r="H26" i="7"/>
  <c r="T27" i="8" s="1"/>
  <c r="T37" i="7"/>
  <c r="T37" i="5" s="1"/>
  <c r="AA32" i="6" s="1"/>
  <c r="AA33" i="6" s="1"/>
  <c r="AD37" i="7"/>
  <c r="AP33" i="7"/>
  <c r="AI26" i="7"/>
  <c r="AI26" i="5" s="1"/>
  <c r="N11" i="7"/>
  <c r="AB15" i="7"/>
  <c r="AB24" i="7"/>
  <c r="AP24" i="7"/>
  <c r="K29" i="8"/>
  <c r="M29" i="8" s="1"/>
  <c r="E32" i="7"/>
  <c r="AI29" i="8"/>
  <c r="AK29" i="8" s="1"/>
  <c r="M32" i="7"/>
  <c r="V38" i="7"/>
  <c r="V38" i="5" s="1"/>
  <c r="T44" i="7"/>
  <c r="AD44" i="7"/>
  <c r="Q46" i="8"/>
  <c r="S46" i="8" s="1"/>
  <c r="G50" i="7"/>
  <c r="Q51" i="8" s="1"/>
  <c r="H9" i="8"/>
  <c r="J9" i="8" s="1"/>
  <c r="N8" i="7"/>
  <c r="AP8" i="7"/>
  <c r="AP10" i="7"/>
  <c r="AB11" i="7"/>
  <c r="AP14" i="7"/>
  <c r="AB20" i="7"/>
  <c r="AB22" i="7"/>
  <c r="AE32" i="7"/>
  <c r="AM32" i="7"/>
  <c r="N34" i="8"/>
  <c r="P34" i="8" s="1"/>
  <c r="F37" i="7"/>
  <c r="N38" i="8" s="1"/>
  <c r="N33" i="7"/>
  <c r="AP36" i="7"/>
  <c r="N40" i="7"/>
  <c r="AP43" i="7"/>
  <c r="E7" i="8"/>
  <c r="G7" i="8" s="1"/>
  <c r="C26" i="7"/>
  <c r="E27" i="8" s="1"/>
  <c r="AC7" i="8"/>
  <c r="AE7" i="8" s="1"/>
  <c r="K26" i="7"/>
  <c r="AC27" i="8" s="1"/>
  <c r="N9" i="7"/>
  <c r="AB18" i="7"/>
  <c r="AP23" i="7"/>
  <c r="AB25" i="7"/>
  <c r="D26" i="7"/>
  <c r="H27" i="8" s="1"/>
  <c r="B36" i="8"/>
  <c r="D36" i="8" s="1"/>
  <c r="N35" i="7"/>
  <c r="B43" i="8"/>
  <c r="D43" i="8" s="1"/>
  <c r="N42" i="7"/>
  <c r="V26" i="7"/>
  <c r="V26" i="5" s="1"/>
  <c r="AB10" i="7"/>
  <c r="AB12" i="7"/>
  <c r="AP12" i="7"/>
  <c r="AB14" i="7"/>
  <c r="AP19" i="7"/>
  <c r="L26" i="7"/>
  <c r="AF27" i="8" s="1"/>
  <c r="AG32" i="7"/>
  <c r="AO32" i="7"/>
  <c r="AP31" i="7"/>
  <c r="AB33" i="7"/>
  <c r="AH37" i="7"/>
  <c r="AH37" i="5" s="1"/>
  <c r="AS32" i="6" s="1"/>
  <c r="F6" i="8"/>
  <c r="AB8" i="8"/>
  <c r="J10" i="8"/>
  <c r="M11" i="8"/>
  <c r="P12" i="8"/>
  <c r="S13" i="8"/>
  <c r="V14" i="8"/>
  <c r="Y15" i="8"/>
  <c r="G17" i="8"/>
  <c r="M18" i="8"/>
  <c r="D21" i="8"/>
  <c r="AB31" i="8"/>
  <c r="N13" i="7"/>
  <c r="N17" i="7"/>
  <c r="N21" i="7"/>
  <c r="N25" i="7"/>
  <c r="N28" i="7"/>
  <c r="G32" i="7"/>
  <c r="H37" i="7"/>
  <c r="T38" i="8" s="1"/>
  <c r="T46" i="8"/>
  <c r="V46" i="8" s="1"/>
  <c r="H50" i="7"/>
  <c r="T51" i="8" s="1"/>
  <c r="N46" i="7"/>
  <c r="G5" i="8"/>
  <c r="AE9" i="8"/>
  <c r="AB16" i="8"/>
  <c r="AB21" i="8"/>
  <c r="P22" i="8"/>
  <c r="G24" i="8"/>
  <c r="M25" i="8"/>
  <c r="F26" i="7"/>
  <c r="N27" i="8" s="1"/>
  <c r="H32" i="7"/>
  <c r="AH32" i="7"/>
  <c r="N34" i="7"/>
  <c r="I37" i="7"/>
  <c r="W38" i="8" s="1"/>
  <c r="AP39" i="7"/>
  <c r="N41" i="7"/>
  <c r="I44" i="7"/>
  <c r="W46" i="8"/>
  <c r="Y46" i="8" s="1"/>
  <c r="I50" i="7"/>
  <c r="W51" i="8" s="1"/>
  <c r="Q50" i="7"/>
  <c r="Q50" i="5" s="1"/>
  <c r="Y50" i="7"/>
  <c r="Y50" i="5" s="1"/>
  <c r="AB4" i="8"/>
  <c r="J5" i="8"/>
  <c r="AH10" i="8"/>
  <c r="AK11" i="8"/>
  <c r="AH17" i="8"/>
  <c r="Y20" i="8"/>
  <c r="J21" i="8"/>
  <c r="AE21" i="8"/>
  <c r="B23" i="8"/>
  <c r="D23" i="8" s="1"/>
  <c r="AE24" i="8"/>
  <c r="P25" i="8"/>
  <c r="AK25" i="8"/>
  <c r="N10" i="7"/>
  <c r="N14" i="7"/>
  <c r="N18" i="7"/>
  <c r="G26" i="7"/>
  <c r="Q27" i="8" s="1"/>
  <c r="N29" i="7"/>
  <c r="I32" i="7"/>
  <c r="B37" i="7"/>
  <c r="B38" i="8" s="1"/>
  <c r="J37" i="7"/>
  <c r="Z38" i="8" s="1"/>
  <c r="B44" i="7"/>
  <c r="J44" i="7"/>
  <c r="B46" i="8"/>
  <c r="D46" i="8" s="1"/>
  <c r="B50" i="7"/>
  <c r="B51" i="8" s="1"/>
  <c r="Z46" i="8"/>
  <c r="AB46" i="8" s="1"/>
  <c r="J50" i="7"/>
  <c r="Z51" i="8" s="1"/>
  <c r="AP45" i="7"/>
  <c r="N47" i="7"/>
  <c r="F50" i="7"/>
  <c r="N51" i="8" s="1"/>
  <c r="M5" i="8"/>
  <c r="AE5" i="8"/>
  <c r="P7" i="8"/>
  <c r="O27" i="8"/>
  <c r="O28" i="8" s="1"/>
  <c r="P8" i="8"/>
  <c r="D12" i="8"/>
  <c r="G13" i="8"/>
  <c r="J14" i="8"/>
  <c r="D20" i="8"/>
  <c r="AB20" i="8"/>
  <c r="R2" i="12"/>
  <c r="R2" i="8"/>
  <c r="B32" i="7"/>
  <c r="J32" i="7"/>
  <c r="C37" i="7"/>
  <c r="E38" i="8" s="1"/>
  <c r="K37" i="7"/>
  <c r="AC38" i="8" s="1"/>
  <c r="C44" i="7"/>
  <c r="K44" i="7"/>
  <c r="E46" i="8"/>
  <c r="G46" i="8" s="1"/>
  <c r="C50" i="7"/>
  <c r="E51" i="8" s="1"/>
  <c r="AC46" i="8"/>
  <c r="K50" i="7"/>
  <c r="AC51" i="8" s="1"/>
  <c r="S50" i="7"/>
  <c r="S50" i="5" s="1"/>
  <c r="AA50" i="7"/>
  <c r="AA50" i="5" s="1"/>
  <c r="AI50" i="7"/>
  <c r="AI50" i="5" s="1"/>
  <c r="AD6" i="8"/>
  <c r="AH5" i="8"/>
  <c r="S8" i="8"/>
  <c r="S9" i="8"/>
  <c r="G12" i="8"/>
  <c r="J13" i="8"/>
  <c r="M14" i="8"/>
  <c r="P15" i="8"/>
  <c r="P16" i="8"/>
  <c r="Y19" i="8"/>
  <c r="AB23" i="8"/>
  <c r="N24" i="8"/>
  <c r="P24" i="8" s="1"/>
  <c r="N15" i="7"/>
  <c r="N19" i="7"/>
  <c r="N30" i="7"/>
  <c r="D37" i="7"/>
  <c r="H38" i="8" s="1"/>
  <c r="D44" i="7"/>
  <c r="L44" i="7"/>
  <c r="D50" i="7"/>
  <c r="H51" i="8" s="1"/>
  <c r="H46" i="8"/>
  <c r="J46" i="8" s="1"/>
  <c r="AF46" i="8"/>
  <c r="AH46" i="8" s="1"/>
  <c r="L50" i="7"/>
  <c r="AF51" i="8" s="1"/>
  <c r="AB45" i="7"/>
  <c r="N48" i="7"/>
  <c r="AG6" i="8"/>
  <c r="AK5" i="8"/>
  <c r="V8" i="8"/>
  <c r="V9" i="8"/>
  <c r="D10" i="8"/>
  <c r="V10" i="8"/>
  <c r="G11" i="8"/>
  <c r="Y11" i="8"/>
  <c r="J12" i="8"/>
  <c r="AB12" i="8"/>
  <c r="M13" i="8"/>
  <c r="AE13" i="8"/>
  <c r="P14" i="8"/>
  <c r="AH14" i="8"/>
  <c r="S15" i="8"/>
  <c r="AK15" i="8"/>
  <c r="S16" i="8"/>
  <c r="S17" i="8"/>
  <c r="D18" i="8"/>
  <c r="J20" i="8"/>
  <c r="G32" i="8"/>
  <c r="D32" i="7"/>
  <c r="L32" i="7"/>
  <c r="N36" i="7"/>
  <c r="E37" i="7"/>
  <c r="K38" i="8" s="1"/>
  <c r="M37" i="7"/>
  <c r="AI38" i="8" s="1"/>
  <c r="N39" i="7"/>
  <c r="N43" i="7"/>
  <c r="E44" i="7"/>
  <c r="M44" i="7"/>
  <c r="K46" i="8"/>
  <c r="M46" i="8" s="1"/>
  <c r="E50" i="7"/>
  <c r="K51" i="8" s="1"/>
  <c r="AI46" i="8"/>
  <c r="AK46" i="8" s="1"/>
  <c r="M50" i="7"/>
  <c r="AI51" i="8" s="1"/>
  <c r="U50" i="7"/>
  <c r="U50" i="5" s="1"/>
  <c r="AK50" i="7"/>
  <c r="AK50" i="5" s="1"/>
  <c r="D4" i="8"/>
  <c r="S5" i="8"/>
  <c r="D8" i="8"/>
  <c r="Y9" i="8"/>
  <c r="Y10" i="8"/>
  <c r="AB11" i="8"/>
  <c r="AE12" i="8"/>
  <c r="AH13" i="8"/>
  <c r="AG27" i="8"/>
  <c r="AK14" i="8"/>
  <c r="V16" i="8"/>
  <c r="V17" i="8"/>
  <c r="AB18" i="8"/>
  <c r="M20" i="8"/>
  <c r="G22" i="8"/>
  <c r="N12" i="7"/>
  <c r="N16" i="7"/>
  <c r="N20" i="7"/>
  <c r="N24" i="7"/>
  <c r="N31" i="7"/>
  <c r="F44" i="7"/>
  <c r="N45" i="7"/>
  <c r="N49" i="7"/>
  <c r="AP49" i="7"/>
  <c r="F27" i="8"/>
  <c r="AB10" i="8"/>
  <c r="AE11" i="8"/>
  <c r="AH12" i="8"/>
  <c r="AK13" i="8"/>
  <c r="D16" i="8"/>
  <c r="Y17" i="8"/>
  <c r="AE19" i="8"/>
  <c r="V21" i="8"/>
  <c r="AE22" i="8"/>
  <c r="P23" i="8"/>
  <c r="M26" i="8"/>
  <c r="AK26" i="8"/>
  <c r="AB19" i="8"/>
  <c r="M23" i="8"/>
  <c r="AK23" i="8"/>
  <c r="Y24" i="8"/>
  <c r="V26" i="8"/>
  <c r="L33" i="8"/>
  <c r="M31" i="8"/>
  <c r="Y31" i="8"/>
  <c r="D32" i="8"/>
  <c r="S32" i="8"/>
  <c r="P36" i="8"/>
  <c r="Y43" i="8"/>
  <c r="E38" i="10"/>
  <c r="K37" i="10"/>
  <c r="AD33" i="8"/>
  <c r="AE29" i="8"/>
  <c r="AH32" i="8"/>
  <c r="M50" i="8"/>
  <c r="X27" i="8"/>
  <c r="Y18" i="8"/>
  <c r="J30" i="8"/>
  <c r="P31" i="8"/>
  <c r="F38" i="8"/>
  <c r="G34" i="8"/>
  <c r="V34" i="8"/>
  <c r="S35" i="8"/>
  <c r="AB37" i="8"/>
  <c r="M44" i="8"/>
  <c r="J19" i="8"/>
  <c r="AK20" i="8"/>
  <c r="AH21" i="8"/>
  <c r="S24" i="8"/>
  <c r="D25" i="8"/>
  <c r="AB25" i="8"/>
  <c r="F33" i="8"/>
  <c r="G29" i="8"/>
  <c r="S29" i="8"/>
  <c r="AG33" i="8"/>
  <c r="AE31" i="8"/>
  <c r="J32" i="8"/>
  <c r="D35" i="8"/>
  <c r="P44" i="8"/>
  <c r="J47" i="8"/>
  <c r="AE48" i="8"/>
  <c r="AH49" i="8"/>
  <c r="S50" i="8"/>
  <c r="R27" i="8"/>
  <c r="G20" i="8"/>
  <c r="S22" i="8"/>
  <c r="AE23" i="8"/>
  <c r="P26" i="8"/>
  <c r="V30" i="8"/>
  <c r="D31" i="8"/>
  <c r="G36" i="8"/>
  <c r="AB36" i="8"/>
  <c r="M37" i="8"/>
  <c r="D40" i="8"/>
  <c r="P43" i="8"/>
  <c r="M48" i="8"/>
  <c r="P49" i="8"/>
  <c r="AK49" i="8"/>
  <c r="N42" i="10"/>
  <c r="C47" i="10" s="1"/>
  <c r="AB37" i="10"/>
  <c r="J6" i="12"/>
  <c r="J4" i="8"/>
  <c r="AH4" i="8"/>
  <c r="C27" i="8"/>
  <c r="C28" i="8" s="1"/>
  <c r="S7" i="8"/>
  <c r="AA27" i="8"/>
  <c r="G18" i="8"/>
  <c r="AH19" i="8"/>
  <c r="Y21" i="8"/>
  <c r="S25" i="8"/>
  <c r="I33" i="8"/>
  <c r="V29" i="8"/>
  <c r="G31" i="8"/>
  <c r="AE36" i="8"/>
  <c r="AK37" i="8"/>
  <c r="F45" i="8"/>
  <c r="G40" i="8"/>
  <c r="P48" i="8"/>
  <c r="AK48" i="8"/>
  <c r="D50" i="8"/>
  <c r="L27" i="8"/>
  <c r="AJ27" i="8"/>
  <c r="D19" i="8"/>
  <c r="AE20" i="8"/>
  <c r="P21" i="8"/>
  <c r="AH22" i="8"/>
  <c r="V23" i="8"/>
  <c r="J24" i="8"/>
  <c r="AH24" i="8"/>
  <c r="G26" i="8"/>
  <c r="AE26" i="8"/>
  <c r="M30" i="8"/>
  <c r="X33" i="8"/>
  <c r="Y29" i="8"/>
  <c r="AJ33" i="8"/>
  <c r="AK31" i="8"/>
  <c r="P32" i="8"/>
  <c r="AB32" i="8"/>
  <c r="AD38" i="8"/>
  <c r="AE34" i="8"/>
  <c r="J35" i="8"/>
  <c r="O38" i="8"/>
  <c r="AD51" i="8"/>
  <c r="AH47" i="8"/>
  <c r="S37" i="10"/>
  <c r="U27" i="8"/>
  <c r="AB17" i="8"/>
  <c r="AE18" i="8"/>
  <c r="M22" i="8"/>
  <c r="AK22" i="8"/>
  <c r="D30" i="8"/>
  <c r="AH34" i="8"/>
  <c r="M35" i="8"/>
  <c r="AK42" i="8"/>
  <c r="AG51" i="8"/>
  <c r="S47" i="8"/>
  <c r="AB50" i="8"/>
  <c r="V43" i="8"/>
  <c r="AH43" i="8"/>
  <c r="AB47" i="8"/>
  <c r="AH48" i="8"/>
  <c r="J49" i="8"/>
  <c r="P50" i="8"/>
  <c r="I51" i="8"/>
  <c r="AB8" i="12"/>
  <c r="V37" i="8"/>
  <c r="AK40" i="8"/>
  <c r="AE42" i="8"/>
  <c r="AK43" i="8"/>
  <c r="X51" i="8"/>
  <c r="AE47" i="8"/>
  <c r="G48" i="8"/>
  <c r="M49" i="8"/>
  <c r="R50" i="10"/>
  <c r="X43" i="10"/>
  <c r="AB6" i="12"/>
  <c r="AE7" i="12"/>
  <c r="Y34" i="8"/>
  <c r="V35" i="8"/>
  <c r="Y37" i="8"/>
  <c r="I45" i="8"/>
  <c r="P41" i="8"/>
  <c r="AB41" i="8"/>
  <c r="AH42" i="8"/>
  <c r="J43" i="8"/>
  <c r="S44" i="8"/>
  <c r="AA51" i="8"/>
  <c r="D47" i="8"/>
  <c r="J48" i="8"/>
  <c r="V48" i="8"/>
  <c r="AF34" i="10"/>
  <c r="J29" i="8"/>
  <c r="AH29" i="8"/>
  <c r="J34" i="8"/>
  <c r="R38" i="8"/>
  <c r="M40" i="8"/>
  <c r="X45" i="8"/>
  <c r="Y40" i="8"/>
  <c r="AE41" i="8"/>
  <c r="G42" i="8"/>
  <c r="M43" i="8"/>
  <c r="V44" i="8"/>
  <c r="AH44" i="8"/>
  <c r="O51" i="8"/>
  <c r="G47" i="8"/>
  <c r="C25" i="10"/>
  <c r="N45" i="10"/>
  <c r="AB58" i="10"/>
  <c r="D14" i="12"/>
  <c r="AH36" i="12"/>
  <c r="AG38" i="12"/>
  <c r="AH38" i="12" s="1"/>
  <c r="AE37" i="12"/>
  <c r="C38" i="8"/>
  <c r="S34" i="8"/>
  <c r="AA38" i="8"/>
  <c r="Y35" i="8"/>
  <c r="AB40" i="8"/>
  <c r="D41" i="8"/>
  <c r="J42" i="8"/>
  <c r="V42" i="8"/>
  <c r="AK44" i="8"/>
  <c r="P46" i="8"/>
  <c r="AE46" i="8"/>
  <c r="V50" i="8"/>
  <c r="Q41" i="10"/>
  <c r="X33" i="10"/>
  <c r="Q37" i="10"/>
  <c r="X42" i="10"/>
  <c r="R49" i="10"/>
  <c r="L38" i="8"/>
  <c r="AJ38" i="8"/>
  <c r="Y36" i="8"/>
  <c r="AD45" i="8"/>
  <c r="G41" i="8"/>
  <c r="C45" i="8"/>
  <c r="F51" i="8"/>
  <c r="S49" i="8"/>
  <c r="AK50" i="8"/>
  <c r="R45" i="10"/>
  <c r="R37" i="10"/>
  <c r="U37" i="10"/>
  <c r="C6" i="12"/>
  <c r="AI6" i="12"/>
  <c r="R51" i="8"/>
  <c r="C51" i="8"/>
  <c r="D51" i="8" s="1"/>
  <c r="AB36" i="10"/>
  <c r="W37" i="10"/>
  <c r="W28" i="12"/>
  <c r="Y28" i="12" s="1"/>
  <c r="Y7" i="12"/>
  <c r="P9" i="12"/>
  <c r="D12" i="12"/>
  <c r="AE15" i="12"/>
  <c r="Y24" i="12"/>
  <c r="V25" i="12"/>
  <c r="E38" i="12"/>
  <c r="G38" i="12" s="1"/>
  <c r="G35" i="12"/>
  <c r="X38" i="12"/>
  <c r="Y38" i="12" s="1"/>
  <c r="Y36" i="12"/>
  <c r="AF36" i="10"/>
  <c r="T45" i="10"/>
  <c r="N6" i="12"/>
  <c r="N29" i="12" s="1"/>
  <c r="N51" i="12" s="1"/>
  <c r="X29" i="12"/>
  <c r="Y6" i="12"/>
  <c r="K6" i="12"/>
  <c r="N28" i="12"/>
  <c r="AH40" i="12"/>
  <c r="AG44" i="12"/>
  <c r="L51" i="8"/>
  <c r="AJ51" i="8"/>
  <c r="AD38" i="10"/>
  <c r="N46" i="10"/>
  <c r="N52" i="10" s="1"/>
  <c r="AD36" i="10"/>
  <c r="X35" i="10"/>
  <c r="AC35" i="10"/>
  <c r="AC37" i="10"/>
  <c r="AF37" i="10" s="1"/>
  <c r="AC38" i="10"/>
  <c r="AF38" i="10" s="1"/>
  <c r="E29" i="12"/>
  <c r="O28" i="12"/>
  <c r="P28" i="12" s="1"/>
  <c r="P7" i="12"/>
  <c r="D10" i="12"/>
  <c r="AB12" i="12"/>
  <c r="AH22" i="12"/>
  <c r="Y34" i="12"/>
  <c r="N36" i="10"/>
  <c r="C38" i="10" s="1"/>
  <c r="AB38" i="10"/>
  <c r="AB34" i="10"/>
  <c r="AD35" i="10"/>
  <c r="L37" i="10"/>
  <c r="AD37" i="10"/>
  <c r="V45" i="10"/>
  <c r="Q48" i="10"/>
  <c r="F28" i="12"/>
  <c r="AC39" i="12"/>
  <c r="H29" i="12"/>
  <c r="AC29" i="12"/>
  <c r="P13" i="12"/>
  <c r="J20" i="12"/>
  <c r="L49" i="12"/>
  <c r="M49" i="12" s="1"/>
  <c r="F47" i="14"/>
  <c r="G28" i="14"/>
  <c r="V45" i="12"/>
  <c r="J48" i="12"/>
  <c r="V15" i="12"/>
  <c r="J18" i="12"/>
  <c r="AC38" i="12"/>
  <c r="AE35" i="12"/>
  <c r="V37" i="12"/>
  <c r="AH42" i="12"/>
  <c r="S46" i="12"/>
  <c r="AE33" i="10"/>
  <c r="AF33" i="10" s="1"/>
  <c r="AE34" i="10"/>
  <c r="AB57" i="10" s="1"/>
  <c r="AB63" i="10" s="1"/>
  <c r="AB64" i="10" s="1"/>
  <c r="AE35" i="10"/>
  <c r="AE37" i="10"/>
  <c r="U6" i="12"/>
  <c r="AG28" i="12"/>
  <c r="AH28" i="12" s="1"/>
  <c r="T38" i="12"/>
  <c r="AE38" i="12"/>
  <c r="E44" i="12"/>
  <c r="E50" i="12" s="1"/>
  <c r="Y40" i="12"/>
  <c r="AE41" i="12"/>
  <c r="AH48" i="12"/>
  <c r="U49" i="12"/>
  <c r="V49" i="12" s="1"/>
  <c r="F6" i="12"/>
  <c r="AD6" i="12"/>
  <c r="B28" i="12"/>
  <c r="B29" i="12" s="1"/>
  <c r="B51" i="12" s="1"/>
  <c r="B52" i="12" s="1"/>
  <c r="J7" i="12"/>
  <c r="R28" i="12"/>
  <c r="S28" i="12" s="1"/>
  <c r="Z28" i="12"/>
  <c r="Z29" i="12" s="1"/>
  <c r="Z51" i="12" s="1"/>
  <c r="AE14" i="12"/>
  <c r="J16" i="12"/>
  <c r="AH18" i="12"/>
  <c r="J30" i="12"/>
  <c r="T34" i="12"/>
  <c r="U38" i="12"/>
  <c r="V35" i="12"/>
  <c r="V41" i="12"/>
  <c r="AE43" i="12"/>
  <c r="G47" i="12"/>
  <c r="O6" i="12"/>
  <c r="W6" i="12"/>
  <c r="C28" i="12"/>
  <c r="K28" i="12"/>
  <c r="S7" i="12"/>
  <c r="AA28" i="12"/>
  <c r="AB28" i="12" s="1"/>
  <c r="AI28" i="12"/>
  <c r="V21" i="12"/>
  <c r="J24" i="12"/>
  <c r="AH26" i="12"/>
  <c r="L38" i="12"/>
  <c r="M38" i="12" s="1"/>
  <c r="V43" i="12"/>
  <c r="Q44" i="12"/>
  <c r="Q50" i="12" s="1"/>
  <c r="Q51" i="12" s="1"/>
  <c r="AK45" i="12"/>
  <c r="AH46" i="12"/>
  <c r="D7" i="12"/>
  <c r="L28" i="12"/>
  <c r="T28" i="12"/>
  <c r="T29" i="12" s="1"/>
  <c r="AB7" i="12"/>
  <c r="AJ28" i="12"/>
  <c r="AH14" i="12"/>
  <c r="AH16" i="12"/>
  <c r="AE27" i="12"/>
  <c r="AH32" i="12"/>
  <c r="I34" i="12"/>
  <c r="M35" i="12"/>
  <c r="J36" i="12"/>
  <c r="J40" i="12"/>
  <c r="T44" i="12"/>
  <c r="T50" i="12" s="1"/>
  <c r="AC44" i="12"/>
  <c r="AC50" i="12" s="1"/>
  <c r="Q49" i="12"/>
  <c r="AE47" i="12"/>
  <c r="E28" i="12"/>
  <c r="M7" i="12"/>
  <c r="U28" i="12"/>
  <c r="V28" i="12" s="1"/>
  <c r="AC28" i="12"/>
  <c r="AK7" i="12"/>
  <c r="J22" i="12"/>
  <c r="AH24" i="12"/>
  <c r="V27" i="12"/>
  <c r="AH31" i="12"/>
  <c r="AH30" i="12"/>
  <c r="AJ38" i="12"/>
  <c r="AK38" i="12" s="1"/>
  <c r="G37" i="12"/>
  <c r="K50" i="12"/>
  <c r="U44" i="12"/>
  <c r="J42" i="12"/>
  <c r="V47" i="12"/>
  <c r="E49" i="12"/>
  <c r="G49" i="12" s="1"/>
  <c r="V31" i="12"/>
  <c r="R34" i="12"/>
  <c r="R38" i="12"/>
  <c r="S38" i="12" s="1"/>
  <c r="G29" i="14"/>
  <c r="AE31" i="12"/>
  <c r="C44" i="12"/>
  <c r="AA44" i="12"/>
  <c r="O49" i="12"/>
  <c r="P49" i="12" s="1"/>
  <c r="G32" i="14"/>
  <c r="G41" i="14"/>
  <c r="G43" i="14"/>
  <c r="G45" i="14"/>
  <c r="P31" i="12"/>
  <c r="L34" i="12"/>
  <c r="AJ34" i="12"/>
  <c r="P35" i="12"/>
  <c r="L44" i="12"/>
  <c r="AJ44" i="12"/>
  <c r="H49" i="12"/>
  <c r="H50" i="12" s="1"/>
  <c r="X49" i="12"/>
  <c r="Y49" i="12" s="1"/>
  <c r="AF49" i="12"/>
  <c r="G30" i="14"/>
  <c r="G34" i="14"/>
  <c r="U34" i="12"/>
  <c r="G36" i="14"/>
  <c r="F34" i="12"/>
  <c r="AD34" i="12"/>
  <c r="F44" i="12"/>
  <c r="AD44" i="12"/>
  <c r="R49" i="12"/>
  <c r="S49" i="12" s="1"/>
  <c r="G38" i="14"/>
  <c r="G40" i="14"/>
  <c r="G42" i="14"/>
  <c r="G44" i="14"/>
  <c r="G46" i="14"/>
  <c r="G27" i="14"/>
  <c r="G31" i="14"/>
  <c r="G33" i="14"/>
  <c r="G35" i="14"/>
  <c r="G37" i="14"/>
  <c r="G39" i="14"/>
  <c r="AK27" i="8" l="1"/>
  <c r="AB27" i="8"/>
  <c r="M38" i="8"/>
  <c r="AW33" i="6"/>
  <c r="I28" i="8"/>
  <c r="AE27" i="8"/>
  <c r="L37" i="5"/>
  <c r="O32" i="6" s="1"/>
  <c r="I29" i="12"/>
  <c r="AL52" i="5"/>
  <c r="Y38" i="8"/>
  <c r="AB38" i="8"/>
  <c r="AA39" i="12"/>
  <c r="AB39" i="12" s="1"/>
  <c r="K26" i="5"/>
  <c r="N22" i="6" s="1"/>
  <c r="N24" i="6" s="1"/>
  <c r="N25" i="6" s="1"/>
  <c r="N31" i="5"/>
  <c r="N17" i="5"/>
  <c r="M5" i="5"/>
  <c r="M52" i="5" s="1"/>
  <c r="P15" i="6"/>
  <c r="N4" i="5"/>
  <c r="L5" i="5"/>
  <c r="L52" i="5" s="1"/>
  <c r="K5" i="5"/>
  <c r="N18" i="5"/>
  <c r="AG27" i="7"/>
  <c r="N21" i="5"/>
  <c r="L26" i="5"/>
  <c r="O22" i="6" s="1"/>
  <c r="O24" i="6" s="1"/>
  <c r="O25" i="6" s="1"/>
  <c r="N20" i="5"/>
  <c r="M26" i="5"/>
  <c r="AD38" i="7"/>
  <c r="AH22" i="6"/>
  <c r="AH24" i="6" s="1"/>
  <c r="AH25" i="6" s="1"/>
  <c r="AA53" i="5"/>
  <c r="AC22" i="6"/>
  <c r="AC24" i="6" s="1"/>
  <c r="AC25" i="6" s="1"/>
  <c r="V53" i="5"/>
  <c r="Z53" i="5"/>
  <c r="AW22" i="6"/>
  <c r="AW24" i="6" s="1"/>
  <c r="AW25" i="6" s="1"/>
  <c r="AL53" i="5"/>
  <c r="AL54" i="5" s="1"/>
  <c r="AZ22" i="6"/>
  <c r="AZ24" i="6" s="1"/>
  <c r="AZ25" i="6" s="1"/>
  <c r="AO53" i="5"/>
  <c r="AR22" i="6"/>
  <c r="AR24" i="6" s="1"/>
  <c r="AR25" i="6" s="1"/>
  <c r="AG53" i="5"/>
  <c r="AD22" i="6"/>
  <c r="AD24" i="6" s="1"/>
  <c r="AD25" i="6" s="1"/>
  <c r="W53" i="5"/>
  <c r="AF22" i="6"/>
  <c r="AF24" i="6" s="1"/>
  <c r="Y53" i="5"/>
  <c r="AF33" i="6"/>
  <c r="AL38" i="7"/>
  <c r="AL38" i="5" s="1"/>
  <c r="AA22" i="6"/>
  <c r="AA24" i="6" s="1"/>
  <c r="AA25" i="6" s="1"/>
  <c r="T53" i="5"/>
  <c r="Y52" i="5"/>
  <c r="AE53" i="5"/>
  <c r="AJ53" i="5"/>
  <c r="AX22" i="6"/>
  <c r="AX24" i="6" s="1"/>
  <c r="AX25" i="6" s="1"/>
  <c r="AM53" i="5"/>
  <c r="AB46" i="5"/>
  <c r="X22" i="6"/>
  <c r="X24" i="6" s="1"/>
  <c r="X25" i="6" s="1"/>
  <c r="Q53" i="5"/>
  <c r="AE22" i="6"/>
  <c r="AE24" i="6" s="1"/>
  <c r="X53" i="5"/>
  <c r="Z22" i="6"/>
  <c r="Z24" i="6" s="1"/>
  <c r="S53" i="5"/>
  <c r="Y22" i="6"/>
  <c r="Y24" i="6" s="1"/>
  <c r="R53" i="5"/>
  <c r="AT22" i="6"/>
  <c r="AT24" i="6" s="1"/>
  <c r="AT25" i="6" s="1"/>
  <c r="AI53" i="5"/>
  <c r="AY22" i="6"/>
  <c r="AY24" i="6" s="1"/>
  <c r="AY25" i="6" s="1"/>
  <c r="AN53" i="5"/>
  <c r="AQ22" i="6"/>
  <c r="AQ24" i="6" s="1"/>
  <c r="AQ25" i="6" s="1"/>
  <c r="AF53" i="5"/>
  <c r="AV22" i="6"/>
  <c r="AV24" i="6" s="1"/>
  <c r="AV25" i="6" s="1"/>
  <c r="AK53" i="5"/>
  <c r="AH53" i="5"/>
  <c r="AB22" i="6"/>
  <c r="AB24" i="6" s="1"/>
  <c r="U53" i="5"/>
  <c r="V38" i="8"/>
  <c r="O17" i="5"/>
  <c r="AC17" i="5" s="1"/>
  <c r="O7" i="5"/>
  <c r="AC7" i="5" s="1"/>
  <c r="I50" i="12"/>
  <c r="J50" i="12" s="1"/>
  <c r="U39" i="8"/>
  <c r="O29" i="5"/>
  <c r="AC29" i="5" s="1"/>
  <c r="O4" i="5"/>
  <c r="AC4" i="5" s="1"/>
  <c r="O18" i="5"/>
  <c r="AC18" i="5" s="1"/>
  <c r="J52" i="5"/>
  <c r="J53" i="5"/>
  <c r="K22" i="6"/>
  <c r="K24" i="6" s="1"/>
  <c r="K25" i="6" s="1"/>
  <c r="H53" i="5"/>
  <c r="G52" i="5"/>
  <c r="I52" i="5"/>
  <c r="H52" i="5"/>
  <c r="E52" i="5"/>
  <c r="J22" i="6"/>
  <c r="J24" i="6" s="1"/>
  <c r="J25" i="6" s="1"/>
  <c r="G53" i="5"/>
  <c r="J27" i="8"/>
  <c r="K53" i="5"/>
  <c r="D52" i="5"/>
  <c r="L22" i="6"/>
  <c r="L24" i="6" s="1"/>
  <c r="L25" i="6" s="1"/>
  <c r="I53" i="5"/>
  <c r="O22" i="5"/>
  <c r="AC22" i="5" s="1"/>
  <c r="AW44" i="6"/>
  <c r="AH44" i="6"/>
  <c r="O28" i="5"/>
  <c r="AC28" i="5" s="1"/>
  <c r="O47" i="5"/>
  <c r="AC47" i="5" s="1"/>
  <c r="M33" i="6"/>
  <c r="AX33" i="6"/>
  <c r="AX34" i="6" s="1"/>
  <c r="X33" i="6"/>
  <c r="X34" i="6" s="1"/>
  <c r="Z33" i="6"/>
  <c r="Z34" i="6" s="1"/>
  <c r="AQ33" i="6"/>
  <c r="AQ34" i="6" s="1"/>
  <c r="A50" i="8"/>
  <c r="AU44" i="6"/>
  <c r="AR33" i="6"/>
  <c r="AE44" i="6"/>
  <c r="O9" i="5"/>
  <c r="AC9" i="5" s="1"/>
  <c r="AP28" i="5"/>
  <c r="O3" i="5"/>
  <c r="AC3" i="5" s="1"/>
  <c r="AU33" i="6"/>
  <c r="AU34" i="6" s="1"/>
  <c r="O12" i="5"/>
  <c r="AC12" i="5" s="1"/>
  <c r="AB34" i="6"/>
  <c r="O14" i="5"/>
  <c r="AC14" i="5" s="1"/>
  <c r="AW34" i="6"/>
  <c r="O13" i="5"/>
  <c r="AC13" i="5" s="1"/>
  <c r="AH38" i="8"/>
  <c r="O36" i="5"/>
  <c r="AC36" i="5" s="1"/>
  <c r="U52" i="8"/>
  <c r="L29" i="12"/>
  <c r="AG39" i="12"/>
  <c r="AH39" i="12" s="1"/>
  <c r="O40" i="5"/>
  <c r="AC40" i="5" s="1"/>
  <c r="O19" i="5"/>
  <c r="AC19" i="5" s="1"/>
  <c r="O43" i="5"/>
  <c r="AC43" i="5" s="1"/>
  <c r="V51" i="8"/>
  <c r="S45" i="8"/>
  <c r="O34" i="5"/>
  <c r="AC34" i="5" s="1"/>
  <c r="H51" i="5"/>
  <c r="O42" i="5"/>
  <c r="AC42" i="5" s="1"/>
  <c r="O39" i="12"/>
  <c r="P39" i="12" s="1"/>
  <c r="P33" i="6"/>
  <c r="P34" i="6" s="1"/>
  <c r="N33" i="6"/>
  <c r="N34" i="6" s="1"/>
  <c r="C39" i="12"/>
  <c r="D39" i="12" s="1"/>
  <c r="AK6" i="12"/>
  <c r="J38" i="8"/>
  <c r="AB34" i="12"/>
  <c r="I51" i="5"/>
  <c r="P33" i="8"/>
  <c r="J33" i="6"/>
  <c r="J34" i="6" s="1"/>
  <c r="X39" i="12"/>
  <c r="Y39" i="12" s="1"/>
  <c r="A24" i="8"/>
  <c r="O23" i="5"/>
  <c r="AC23" i="5" s="1"/>
  <c r="AH49" i="12"/>
  <c r="K33" i="6"/>
  <c r="K34" i="6" s="1"/>
  <c r="M52" i="15"/>
  <c r="M124" i="15"/>
  <c r="AD52" i="15"/>
  <c r="C52" i="15"/>
  <c r="G52" i="15"/>
  <c r="N51" i="15"/>
  <c r="F52" i="15"/>
  <c r="D52" i="15"/>
  <c r="I52" i="15"/>
  <c r="K124" i="15"/>
  <c r="K52" i="15"/>
  <c r="B27" i="15"/>
  <c r="J124" i="15"/>
  <c r="J52" i="15"/>
  <c r="L124" i="15"/>
  <c r="L52" i="15"/>
  <c r="B38" i="15"/>
  <c r="N38" i="15" s="1"/>
  <c r="N32" i="15"/>
  <c r="E124" i="15"/>
  <c r="E52" i="15"/>
  <c r="AK38" i="8"/>
  <c r="X51" i="7"/>
  <c r="X51" i="5" s="1"/>
  <c r="AS22" i="6"/>
  <c r="AS24" i="6" s="1"/>
  <c r="AS25" i="6" s="1"/>
  <c r="BA41" i="6"/>
  <c r="AD33" i="6"/>
  <c r="AD34" i="6" s="1"/>
  <c r="Q21" i="6"/>
  <c r="BA17" i="6"/>
  <c r="AY33" i="6"/>
  <c r="AY34" i="6" s="1"/>
  <c r="S27" i="8"/>
  <c r="AT33" i="6"/>
  <c r="AT34" i="6" s="1"/>
  <c r="E51" i="5"/>
  <c r="BA37" i="6"/>
  <c r="V27" i="8"/>
  <c r="AB33" i="5"/>
  <c r="J51" i="8"/>
  <c r="T38" i="7"/>
  <c r="T38" i="5" s="1"/>
  <c r="AZ44" i="6"/>
  <c r="P44" i="6"/>
  <c r="AQ39" i="6"/>
  <c r="AQ44" i="6" s="1"/>
  <c r="F44" i="6"/>
  <c r="K39" i="6"/>
  <c r="K44" i="6" s="1"/>
  <c r="Q14" i="6"/>
  <c r="I33" i="6"/>
  <c r="I34" i="6" s="1"/>
  <c r="E33" i="6"/>
  <c r="AO2" i="7"/>
  <c r="AN2" i="7"/>
  <c r="S2" i="7"/>
  <c r="S2" i="5"/>
  <c r="P125" i="5"/>
  <c r="N29" i="5"/>
  <c r="N44" i="6"/>
  <c r="F50" i="5"/>
  <c r="F51" i="5" s="1"/>
  <c r="N10" i="5"/>
  <c r="F26" i="5"/>
  <c r="O44" i="6"/>
  <c r="N46" i="5"/>
  <c r="I43" i="6"/>
  <c r="Q43" i="6" s="1"/>
  <c r="N13" i="5"/>
  <c r="D50" i="5"/>
  <c r="N48" i="5"/>
  <c r="H8" i="6"/>
  <c r="H15" i="6" s="1"/>
  <c r="C5" i="5"/>
  <c r="N3" i="5"/>
  <c r="I15" i="6"/>
  <c r="F5" i="5"/>
  <c r="F52" i="5" s="1"/>
  <c r="J27" i="7"/>
  <c r="Z28" i="8" s="1"/>
  <c r="G33" i="6"/>
  <c r="G34" i="6" s="1"/>
  <c r="N6" i="5"/>
  <c r="E26" i="5"/>
  <c r="I17" i="6"/>
  <c r="Q17" i="6" s="1"/>
  <c r="B26" i="5"/>
  <c r="Q42" i="6"/>
  <c r="C32" i="5"/>
  <c r="C38" i="5" s="1"/>
  <c r="B5" i="5"/>
  <c r="B52" i="5" s="1"/>
  <c r="N14" i="5"/>
  <c r="D38" i="5"/>
  <c r="C51" i="5"/>
  <c r="AF34" i="6"/>
  <c r="AB44" i="7"/>
  <c r="I39" i="6"/>
  <c r="Z25" i="6"/>
  <c r="AP3" i="5"/>
  <c r="Y38" i="7"/>
  <c r="Y38" i="5" s="1"/>
  <c r="G51" i="7"/>
  <c r="Q52" i="8" s="1"/>
  <c r="P38" i="8"/>
  <c r="Y51" i="8"/>
  <c r="AB37" i="7"/>
  <c r="AL27" i="7"/>
  <c r="AA44" i="6"/>
  <c r="J51" i="5"/>
  <c r="F27" i="6"/>
  <c r="F28" i="6" s="1"/>
  <c r="AC33" i="6"/>
  <c r="AC34" i="6" s="1"/>
  <c r="N15" i="5"/>
  <c r="Q41" i="6"/>
  <c r="AY39" i="6"/>
  <c r="AY44" i="6" s="1"/>
  <c r="AI42" i="6"/>
  <c r="D26" i="5"/>
  <c r="BA8" i="6"/>
  <c r="BA15" i="6" s="1"/>
  <c r="AH51" i="8"/>
  <c r="G27" i="8"/>
  <c r="AE34" i="6"/>
  <c r="J38" i="5"/>
  <c r="AP6" i="5"/>
  <c r="N19" i="5"/>
  <c r="AV44" i="6"/>
  <c r="AE38" i="8"/>
  <c r="H39" i="6"/>
  <c r="H44" i="6" s="1"/>
  <c r="AP45" i="5"/>
  <c r="AP43" i="6"/>
  <c r="AP44" i="6" s="1"/>
  <c r="AT44" i="6"/>
  <c r="N11" i="5"/>
  <c r="S51" i="8"/>
  <c r="AO43" i="6"/>
  <c r="N47" i="5"/>
  <c r="N16" i="5"/>
  <c r="AH51" i="7"/>
  <c r="AH51" i="5" s="1"/>
  <c r="U27" i="7"/>
  <c r="U27" i="5" s="1"/>
  <c r="S126" i="5" s="1"/>
  <c r="AB50" i="7"/>
  <c r="AA51" i="7"/>
  <c r="AA51" i="5" s="1"/>
  <c r="AF44" i="6"/>
  <c r="Y44" i="6"/>
  <c r="AF25" i="6"/>
  <c r="V51" i="7"/>
  <c r="V51" i="5" s="1"/>
  <c r="V44" i="5"/>
  <c r="X38" i="7"/>
  <c r="X38" i="5" s="1"/>
  <c r="X32" i="5"/>
  <c r="Y27" i="7"/>
  <c r="Y27" i="5" s="1"/>
  <c r="W126" i="5" s="1"/>
  <c r="AO51" i="7"/>
  <c r="AO51" i="5" s="1"/>
  <c r="AO44" i="5"/>
  <c r="AU22" i="6"/>
  <c r="AU24" i="6" s="1"/>
  <c r="AU25" i="6" s="1"/>
  <c r="M51" i="8"/>
  <c r="AP50" i="5"/>
  <c r="AE27" i="7"/>
  <c r="AE27" i="5" s="1"/>
  <c r="H27" i="5"/>
  <c r="H126" i="5" s="1"/>
  <c r="C26" i="5"/>
  <c r="AJ27" i="7"/>
  <c r="AJ27" i="5" s="1"/>
  <c r="AJ5" i="5"/>
  <c r="W51" i="7"/>
  <c r="W51" i="5" s="1"/>
  <c r="W44" i="5"/>
  <c r="W52" i="5" s="1"/>
  <c r="AL51" i="7"/>
  <c r="AL51" i="5" s="1"/>
  <c r="AG51" i="7"/>
  <c r="AG51" i="5" s="1"/>
  <c r="AG44" i="5"/>
  <c r="AV34" i="6"/>
  <c r="AZ34" i="6"/>
  <c r="Z27" i="7"/>
  <c r="N50" i="7"/>
  <c r="W39" i="6"/>
  <c r="E15" i="6"/>
  <c r="AE51" i="7"/>
  <c r="AE51" i="5" s="1"/>
  <c r="AE44" i="5"/>
  <c r="AK27" i="7"/>
  <c r="AK27" i="5" s="1"/>
  <c r="AK5" i="5"/>
  <c r="AH27" i="7"/>
  <c r="AH27" i="5" s="1"/>
  <c r="AH5" i="5"/>
  <c r="AB50" i="5"/>
  <c r="G51" i="8"/>
  <c r="D38" i="8"/>
  <c r="AA34" i="6"/>
  <c r="M27" i="8"/>
  <c r="AO39" i="6"/>
  <c r="AB31" i="5"/>
  <c r="AG25" i="6"/>
  <c r="AK38" i="7"/>
  <c r="AK38" i="5" s="1"/>
  <c r="AK32" i="5"/>
  <c r="AA27" i="7"/>
  <c r="AA27" i="5" s="1"/>
  <c r="Y126" i="5" s="1"/>
  <c r="AA5" i="5"/>
  <c r="Z51" i="7"/>
  <c r="Z51" i="5" s="1"/>
  <c r="Z44" i="5"/>
  <c r="AM51" i="7"/>
  <c r="AM51" i="5" s="1"/>
  <c r="AM44" i="5"/>
  <c r="Z38" i="7"/>
  <c r="Z38" i="5" s="1"/>
  <c r="Z32" i="5"/>
  <c r="Z52" i="5" s="1"/>
  <c r="S38" i="8"/>
  <c r="AX44" i="6"/>
  <c r="K51" i="5"/>
  <c r="Q27" i="7"/>
  <c r="AO24" i="6"/>
  <c r="S27" i="7"/>
  <c r="S27" i="5" s="1"/>
  <c r="Q126" i="5" s="1"/>
  <c r="S5" i="5"/>
  <c r="Q38" i="7"/>
  <c r="Q38" i="5" s="1"/>
  <c r="Q32" i="5"/>
  <c r="Q52" i="5" s="1"/>
  <c r="Q54" i="5" s="1"/>
  <c r="R51" i="7"/>
  <c r="R51" i="5" s="1"/>
  <c r="R44" i="5"/>
  <c r="R52" i="5" s="1"/>
  <c r="AF38" i="7"/>
  <c r="AF38" i="5" s="1"/>
  <c r="W38" i="7"/>
  <c r="W38" i="5" s="1"/>
  <c r="AN51" i="7"/>
  <c r="AN51" i="5" s="1"/>
  <c r="AN44" i="5"/>
  <c r="AN52" i="5" s="1"/>
  <c r="U38" i="7"/>
  <c r="U38" i="5" s="1"/>
  <c r="U32" i="5"/>
  <c r="U52" i="5" s="1"/>
  <c r="U54" i="5" s="1"/>
  <c r="R27" i="7"/>
  <c r="R27" i="5" s="1"/>
  <c r="P126" i="5" s="1"/>
  <c r="P38" i="7"/>
  <c r="P38" i="5" s="1"/>
  <c r="Y51" i="7"/>
  <c r="Y51" i="5" s="1"/>
  <c r="BA38" i="6"/>
  <c r="AG34" i="6"/>
  <c r="AF51" i="7"/>
  <c r="AF51" i="5" s="1"/>
  <c r="AF44" i="5"/>
  <c r="AF52" i="5" s="1"/>
  <c r="AN38" i="7"/>
  <c r="AN38" i="5" s="1"/>
  <c r="R29" i="12"/>
  <c r="S29" i="12" s="1"/>
  <c r="A16" i="8"/>
  <c r="O15" i="5"/>
  <c r="AC15" i="5" s="1"/>
  <c r="AG52" i="8"/>
  <c r="M38" i="5"/>
  <c r="Q37" i="6"/>
  <c r="I38" i="5"/>
  <c r="A40" i="8"/>
  <c r="O39" i="5"/>
  <c r="AC39" i="5" s="1"/>
  <c r="M44" i="6"/>
  <c r="M34" i="6"/>
  <c r="F38" i="5"/>
  <c r="L34" i="6"/>
  <c r="O33" i="6"/>
  <c r="O34" i="6" s="1"/>
  <c r="Q32" i="6"/>
  <c r="J39" i="6"/>
  <c r="J44" i="6" s="1"/>
  <c r="R39" i="8"/>
  <c r="X50" i="12"/>
  <c r="Y50" i="12" s="1"/>
  <c r="R28" i="8"/>
  <c r="AD38" i="5"/>
  <c r="H31" i="14"/>
  <c r="C29" i="12"/>
  <c r="D6" i="12"/>
  <c r="H27" i="14"/>
  <c r="G47" i="14"/>
  <c r="V34" i="12"/>
  <c r="U39" i="12"/>
  <c r="D44" i="12"/>
  <c r="C50" i="12"/>
  <c r="D50" i="12" s="1"/>
  <c r="AK28" i="12"/>
  <c r="C52" i="8"/>
  <c r="H44" i="14"/>
  <c r="M44" i="12"/>
  <c r="L50" i="12"/>
  <c r="M50" i="12" s="1"/>
  <c r="V6" i="12"/>
  <c r="U29" i="12"/>
  <c r="X52" i="8"/>
  <c r="AE44" i="12"/>
  <c r="AD50" i="12"/>
  <c r="AE50" i="12" s="1"/>
  <c r="H41" i="14"/>
  <c r="V44" i="12"/>
  <c r="U50" i="12"/>
  <c r="V50" i="12" s="1"/>
  <c r="S44" i="12"/>
  <c r="G28" i="12"/>
  <c r="E39" i="12"/>
  <c r="E51" i="12" s="1"/>
  <c r="E52" i="12" s="1"/>
  <c r="H52" i="12" s="1"/>
  <c r="K52" i="12" s="1"/>
  <c r="N52" i="12" s="1"/>
  <c r="Q52" i="12" s="1"/>
  <c r="T52" i="12" s="1"/>
  <c r="W52" i="12" s="1"/>
  <c r="Z52" i="12" s="1"/>
  <c r="AC52" i="12" s="1"/>
  <c r="AF52" i="12" s="1"/>
  <c r="AI52" i="12" s="1"/>
  <c r="P51" i="8"/>
  <c r="H39" i="14"/>
  <c r="H30" i="14"/>
  <c r="AK34" i="12"/>
  <c r="AJ39" i="12"/>
  <c r="AK39" i="12" s="1"/>
  <c r="I39" i="12"/>
  <c r="J39" i="12" s="1"/>
  <c r="J34" i="12"/>
  <c r="C48" i="10"/>
  <c r="X37" i="10"/>
  <c r="I52" i="8"/>
  <c r="AA29" i="12"/>
  <c r="L52" i="8"/>
  <c r="X39" i="8"/>
  <c r="AG39" i="8"/>
  <c r="L39" i="8"/>
  <c r="E45" i="8"/>
  <c r="G45" i="8" s="1"/>
  <c r="C51" i="7"/>
  <c r="E52" i="8" s="1"/>
  <c r="Q33" i="8"/>
  <c r="S33" i="8" s="1"/>
  <c r="G38" i="7"/>
  <c r="Q39" i="8" s="1"/>
  <c r="S39" i="8" s="1"/>
  <c r="AO38" i="7"/>
  <c r="AO38" i="5" s="1"/>
  <c r="AO32" i="5"/>
  <c r="AM38" i="7"/>
  <c r="AM38" i="5" s="1"/>
  <c r="AM32" i="5"/>
  <c r="AM52" i="5" s="1"/>
  <c r="W32" i="6"/>
  <c r="AB37" i="5"/>
  <c r="Q51" i="7"/>
  <c r="Q51" i="5" s="1"/>
  <c r="AB26" i="7"/>
  <c r="P26" i="5"/>
  <c r="P53" i="5" s="1"/>
  <c r="K6" i="8"/>
  <c r="M6" i="8" s="1"/>
  <c r="E27" i="7"/>
  <c r="AP22" i="6"/>
  <c r="AP24" i="6" s="1"/>
  <c r="AP25" i="6" s="1"/>
  <c r="AP26" i="5"/>
  <c r="W27" i="7"/>
  <c r="AH33" i="6"/>
  <c r="AH34" i="6" s="1"/>
  <c r="AH45" i="6" s="1"/>
  <c r="L51" i="5"/>
  <c r="Q38" i="6"/>
  <c r="AP34" i="6"/>
  <c r="H27" i="7"/>
  <c r="T6" i="8"/>
  <c r="V6" i="8" s="1"/>
  <c r="BA27" i="6"/>
  <c r="Y25" i="6"/>
  <c r="E39" i="6"/>
  <c r="E38" i="5"/>
  <c r="BA29" i="6"/>
  <c r="H46" i="14"/>
  <c r="AK44" i="12"/>
  <c r="AJ50" i="12"/>
  <c r="AK50" i="12" s="1"/>
  <c r="AF35" i="10"/>
  <c r="AG29" i="12"/>
  <c r="H34" i="14"/>
  <c r="O50" i="12"/>
  <c r="P50" i="12" s="1"/>
  <c r="J49" i="12"/>
  <c r="H29" i="14"/>
  <c r="AF50" i="12"/>
  <c r="AF51" i="12" s="1"/>
  <c r="H42" i="14"/>
  <c r="G44" i="12"/>
  <c r="F50" i="12"/>
  <c r="G50" i="12" s="1"/>
  <c r="M28" i="12"/>
  <c r="D28" i="12"/>
  <c r="V38" i="12"/>
  <c r="H37" i="14"/>
  <c r="AE34" i="12"/>
  <c r="AD39" i="12"/>
  <c r="AE39" i="12" s="1"/>
  <c r="M34" i="12"/>
  <c r="L39" i="12"/>
  <c r="M39" i="12" s="1"/>
  <c r="H32" i="14"/>
  <c r="W29" i="12"/>
  <c r="W51" i="12" s="1"/>
  <c r="H28" i="14"/>
  <c r="AJ29" i="12"/>
  <c r="K29" i="12"/>
  <c r="K51" i="12" s="1"/>
  <c r="Q45" i="10"/>
  <c r="X41" i="10"/>
  <c r="R48" i="10"/>
  <c r="AB51" i="8"/>
  <c r="AA52" i="8"/>
  <c r="S50" i="10"/>
  <c r="F52" i="8"/>
  <c r="Y27" i="8"/>
  <c r="O52" i="8"/>
  <c r="AP50" i="7"/>
  <c r="AH27" i="8"/>
  <c r="AF33" i="8"/>
  <c r="AH33" i="8" s="1"/>
  <c r="L38" i="7"/>
  <c r="AF39" i="8" s="1"/>
  <c r="AG28" i="8"/>
  <c r="AA39" i="8"/>
  <c r="AA28" i="8"/>
  <c r="X28" i="8"/>
  <c r="AG38" i="7"/>
  <c r="AG38" i="5" s="1"/>
  <c r="AG32" i="5"/>
  <c r="AE38" i="7"/>
  <c r="AE38" i="5" s="1"/>
  <c r="AE32" i="5"/>
  <c r="F38" i="7"/>
  <c r="N39" i="8" s="1"/>
  <c r="B6" i="8"/>
  <c r="D6" i="8" s="1"/>
  <c r="B27" i="7"/>
  <c r="N5" i="7"/>
  <c r="AO27" i="7"/>
  <c r="F33" i="6"/>
  <c r="X44" i="6"/>
  <c r="Q29" i="6"/>
  <c r="AB25" i="6"/>
  <c r="G38" i="5"/>
  <c r="AG44" i="6"/>
  <c r="P27" i="7"/>
  <c r="AB5" i="7"/>
  <c r="P5" i="5"/>
  <c r="AI38" i="6"/>
  <c r="N37" i="5"/>
  <c r="T50" i="10"/>
  <c r="T57" i="10" s="1"/>
  <c r="T63" i="10" s="1"/>
  <c r="J29" i="12"/>
  <c r="AD39" i="8"/>
  <c r="AI45" i="8"/>
  <c r="AK45" i="8" s="1"/>
  <c r="M51" i="7"/>
  <c r="AI52" i="8" s="1"/>
  <c r="H33" i="8"/>
  <c r="J33" i="8" s="1"/>
  <c r="D38" i="7"/>
  <c r="H39" i="8" s="1"/>
  <c r="AF45" i="8"/>
  <c r="AH45" i="8" s="1"/>
  <c r="L51" i="7"/>
  <c r="AF52" i="8" s="1"/>
  <c r="AH38" i="7"/>
  <c r="AH32" i="5"/>
  <c r="AI33" i="8"/>
  <c r="AK33" i="8" s="1"/>
  <c r="M38" i="7"/>
  <c r="AI39" i="8" s="1"/>
  <c r="N6" i="8"/>
  <c r="P6" i="8" s="1"/>
  <c r="F27" i="7"/>
  <c r="AI6" i="8"/>
  <c r="AK6" i="8" s="1"/>
  <c r="M27" i="7"/>
  <c r="AG27" i="5"/>
  <c r="AI43" i="6"/>
  <c r="M51" i="5"/>
  <c r="Q6" i="8"/>
  <c r="S6" i="8" s="1"/>
  <c r="G27" i="7"/>
  <c r="Q36" i="6"/>
  <c r="AO28" i="6"/>
  <c r="BA26" i="6"/>
  <c r="H40" i="14"/>
  <c r="AK51" i="8"/>
  <c r="AJ52" i="8"/>
  <c r="H33" i="14"/>
  <c r="H36" i="14"/>
  <c r="H45" i="14"/>
  <c r="T39" i="12"/>
  <c r="T51" i="12" s="1"/>
  <c r="H51" i="12"/>
  <c r="AI29" i="12"/>
  <c r="AI51" i="12" s="1"/>
  <c r="F39" i="8"/>
  <c r="G38" i="8"/>
  <c r="N45" i="8"/>
  <c r="P45" i="8" s="1"/>
  <c r="F51" i="7"/>
  <c r="N52" i="8" s="1"/>
  <c r="K45" i="8"/>
  <c r="M45" i="8" s="1"/>
  <c r="E51" i="7"/>
  <c r="K52" i="8" s="1"/>
  <c r="H45" i="8"/>
  <c r="J45" i="8" s="1"/>
  <c r="D51" i="7"/>
  <c r="H52" i="8" s="1"/>
  <c r="Z33" i="8"/>
  <c r="AB33" i="8" s="1"/>
  <c r="J38" i="7"/>
  <c r="Z39" i="8" s="1"/>
  <c r="Z45" i="8"/>
  <c r="AB45" i="8" s="1"/>
  <c r="J51" i="7"/>
  <c r="Z52" i="8" s="1"/>
  <c r="T33" i="8"/>
  <c r="V33" i="8" s="1"/>
  <c r="H38" i="7"/>
  <c r="T39" i="8" s="1"/>
  <c r="V39" i="8" s="1"/>
  <c r="U51" i="7"/>
  <c r="AK51" i="7"/>
  <c r="AC33" i="8"/>
  <c r="AE33" i="8" s="1"/>
  <c r="K38" i="7"/>
  <c r="AC39" i="8" s="1"/>
  <c r="AD27" i="7"/>
  <c r="AP5" i="7"/>
  <c r="AD5" i="5"/>
  <c r="AI27" i="7"/>
  <c r="AF6" i="8"/>
  <c r="AH6" i="8" s="1"/>
  <c r="L27" i="7"/>
  <c r="L38" i="5"/>
  <c r="K38" i="5"/>
  <c r="AS39" i="6"/>
  <c r="AS44" i="6" s="1"/>
  <c r="M22" i="6"/>
  <c r="M24" i="6" s="1"/>
  <c r="M25" i="6" s="1"/>
  <c r="J27" i="5"/>
  <c r="AI27" i="6"/>
  <c r="H35" i="14"/>
  <c r="G34" i="12"/>
  <c r="F39" i="12"/>
  <c r="G39" i="12" s="1"/>
  <c r="R39" i="12"/>
  <c r="S39" i="12" s="1"/>
  <c r="S34" i="12"/>
  <c r="O29" i="12"/>
  <c r="P6" i="12"/>
  <c r="AC51" i="12"/>
  <c r="N48" i="10"/>
  <c r="N51" i="10"/>
  <c r="N54" i="10" s="1"/>
  <c r="C49" i="10" s="1"/>
  <c r="B33" i="8"/>
  <c r="D33" i="8" s="1"/>
  <c r="B38" i="7"/>
  <c r="N32" i="7"/>
  <c r="B45" i="8"/>
  <c r="D45" i="8" s="1"/>
  <c r="B51" i="7"/>
  <c r="F28" i="8"/>
  <c r="G6" i="8"/>
  <c r="AD51" i="7"/>
  <c r="AP44" i="7"/>
  <c r="AD44" i="5"/>
  <c r="K33" i="8"/>
  <c r="M33" i="8" s="1"/>
  <c r="E38" i="7"/>
  <c r="K39" i="8" s="1"/>
  <c r="AI38" i="7"/>
  <c r="AI38" i="5" s="1"/>
  <c r="AI32" i="5"/>
  <c r="AI52" i="5" s="1"/>
  <c r="AI54" i="5" s="1"/>
  <c r="Y33" i="6"/>
  <c r="Y34" i="6" s="1"/>
  <c r="AP26" i="7"/>
  <c r="AS33" i="6"/>
  <c r="AS34" i="6" s="1"/>
  <c r="F3" i="14"/>
  <c r="E26" i="14"/>
  <c r="G39" i="6"/>
  <c r="G44" i="6" s="1"/>
  <c r="H38" i="5"/>
  <c r="AB44" i="12"/>
  <c r="AA50" i="12"/>
  <c r="AB50" i="12" s="1"/>
  <c r="AD29" i="12"/>
  <c r="AE6" i="12"/>
  <c r="M29" i="12"/>
  <c r="H43" i="14"/>
  <c r="F29" i="12"/>
  <c r="G6" i="12"/>
  <c r="AH44" i="12"/>
  <c r="AG50" i="12"/>
  <c r="AH50" i="12" s="1"/>
  <c r="S49" i="10"/>
  <c r="T49" i="10" s="1"/>
  <c r="T56" i="10" s="1"/>
  <c r="T62" i="10" s="1"/>
  <c r="AT74" i="10"/>
  <c r="F4" i="10"/>
  <c r="O39" i="8"/>
  <c r="U28" i="8"/>
  <c r="N44" i="7"/>
  <c r="W45" i="8"/>
  <c r="Y45" i="8" s="1"/>
  <c r="I51" i="7"/>
  <c r="W52" i="8" s="1"/>
  <c r="N37" i="7"/>
  <c r="T51" i="7"/>
  <c r="T51" i="5" s="1"/>
  <c r="T44" i="5"/>
  <c r="S51" i="7"/>
  <c r="S51" i="5" s="1"/>
  <c r="AJ51" i="7"/>
  <c r="AJ51" i="5" s="1"/>
  <c r="AJ44" i="5"/>
  <c r="E33" i="8"/>
  <c r="G33" i="8" s="1"/>
  <c r="C38" i="7"/>
  <c r="E39" i="8" s="1"/>
  <c r="AA38" i="7"/>
  <c r="AA32" i="5"/>
  <c r="W6" i="8"/>
  <c r="Y6" i="8" s="1"/>
  <c r="I27" i="7"/>
  <c r="P51" i="7"/>
  <c r="P44" i="5"/>
  <c r="T27" i="7"/>
  <c r="T5" i="5"/>
  <c r="Z44" i="6"/>
  <c r="H6" i="8"/>
  <c r="J6" i="8" s="1"/>
  <c r="D27" i="7"/>
  <c r="N44" i="5"/>
  <c r="B51" i="5"/>
  <c r="E28" i="6"/>
  <c r="AE25" i="6"/>
  <c r="AE51" i="8"/>
  <c r="AJ39" i="8"/>
  <c r="I39" i="8"/>
  <c r="R52" i="8"/>
  <c r="S52" i="8" s="1"/>
  <c r="L28" i="8"/>
  <c r="AB32" i="7"/>
  <c r="T45" i="8"/>
  <c r="V45" i="8" s="1"/>
  <c r="H51" i="7"/>
  <c r="T52" i="8" s="1"/>
  <c r="AI51" i="7"/>
  <c r="AI51" i="5" s="1"/>
  <c r="S38" i="7"/>
  <c r="S32" i="5"/>
  <c r="V27" i="7"/>
  <c r="V5" i="5"/>
  <c r="V52" i="5" s="1"/>
  <c r="AN27" i="7"/>
  <c r="AI39" i="6"/>
  <c r="W44" i="6"/>
  <c r="AI28" i="6"/>
  <c r="B38" i="5"/>
  <c r="G51" i="5"/>
  <c r="AB44" i="6"/>
  <c r="X27" i="7"/>
  <c r="X5" i="5"/>
  <c r="G27" i="5"/>
  <c r="L44" i="6"/>
  <c r="H34" i="6"/>
  <c r="AI29" i="6"/>
  <c r="I27" i="5"/>
  <c r="H38" i="14"/>
  <c r="R50" i="12"/>
  <c r="S50" i="12" s="1"/>
  <c r="AD52" i="8"/>
  <c r="AJ28" i="8"/>
  <c r="AD28" i="8"/>
  <c r="AC45" i="8"/>
  <c r="AE45" i="8" s="1"/>
  <c r="K51" i="7"/>
  <c r="AC52" i="8" s="1"/>
  <c r="P27" i="8"/>
  <c r="W33" i="8"/>
  <c r="Y33" i="8" s="1"/>
  <c r="I38" i="7"/>
  <c r="W39" i="8" s="1"/>
  <c r="C39" i="8"/>
  <c r="AP32" i="7"/>
  <c r="AP37" i="7"/>
  <c r="AD37" i="5"/>
  <c r="AD53" i="5" s="1"/>
  <c r="AJ38" i="7"/>
  <c r="AC6" i="8"/>
  <c r="AE6" i="8" s="1"/>
  <c r="K27" i="7"/>
  <c r="R38" i="7"/>
  <c r="B27" i="8"/>
  <c r="D27" i="8" s="1"/>
  <c r="N26" i="7"/>
  <c r="AF27" i="7"/>
  <c r="C27" i="7"/>
  <c r="Q27" i="5"/>
  <c r="O126" i="5" s="1"/>
  <c r="W8" i="6"/>
  <c r="AB3" i="5"/>
  <c r="AR34" i="6"/>
  <c r="AM27" i="7"/>
  <c r="AG52" i="5" l="1"/>
  <c r="AG54" i="5" s="1"/>
  <c r="X52" i="5"/>
  <c r="P39" i="8"/>
  <c r="K27" i="5"/>
  <c r="V54" i="5"/>
  <c r="T52" i="5"/>
  <c r="Y52" i="7"/>
  <c r="W54" i="5"/>
  <c r="L27" i="5"/>
  <c r="X54" i="5"/>
  <c r="AJ52" i="5"/>
  <c r="AJ54" i="5" s="1"/>
  <c r="AO52" i="5"/>
  <c r="AK52" i="5"/>
  <c r="AK54" i="5" s="1"/>
  <c r="AL52" i="7"/>
  <c r="T54" i="5"/>
  <c r="M27" i="5"/>
  <c r="M126" i="5" s="1"/>
  <c r="S52" i="5"/>
  <c r="S54" i="5" s="1"/>
  <c r="K52" i="5"/>
  <c r="K54" i="5" s="1"/>
  <c r="L53" i="5"/>
  <c r="L54" i="5" s="1"/>
  <c r="J54" i="5"/>
  <c r="Y54" i="5"/>
  <c r="AC45" i="6"/>
  <c r="AM54" i="5"/>
  <c r="M53" i="5"/>
  <c r="P22" i="6"/>
  <c r="P24" i="6" s="1"/>
  <c r="P25" i="6" s="1"/>
  <c r="P45" i="6" s="1"/>
  <c r="N45" i="6"/>
  <c r="AN54" i="5"/>
  <c r="AO54" i="5"/>
  <c r="AA52" i="5"/>
  <c r="AA54" i="5" s="1"/>
  <c r="R54" i="5"/>
  <c r="Z54" i="5"/>
  <c r="AL27" i="5"/>
  <c r="P52" i="5"/>
  <c r="AE52" i="5"/>
  <c r="AE54" i="5" s="1"/>
  <c r="AB53" i="5"/>
  <c r="AD52" i="5"/>
  <c r="AD54" i="5" s="1"/>
  <c r="AR45" i="6"/>
  <c r="AH52" i="5"/>
  <c r="AH54" i="5" s="1"/>
  <c r="AF54" i="5"/>
  <c r="V52" i="8"/>
  <c r="M54" i="5"/>
  <c r="C52" i="5"/>
  <c r="E22" i="6"/>
  <c r="E24" i="6" s="1"/>
  <c r="E25" i="6" s="1"/>
  <c r="B53" i="5"/>
  <c r="B54" i="5" s="1"/>
  <c r="I22" i="6"/>
  <c r="I24" i="6" s="1"/>
  <c r="I25" i="6" s="1"/>
  <c r="F53" i="5"/>
  <c r="F54" i="5" s="1"/>
  <c r="I54" i="5"/>
  <c r="H22" i="6"/>
  <c r="H24" i="6" s="1"/>
  <c r="H25" i="6" s="1"/>
  <c r="H45" i="6" s="1"/>
  <c r="E53" i="5"/>
  <c r="E54" i="5" s="1"/>
  <c r="F22" i="6"/>
  <c r="F24" i="6" s="1"/>
  <c r="F25" i="6" s="1"/>
  <c r="C53" i="5"/>
  <c r="G54" i="5"/>
  <c r="G22" i="6"/>
  <c r="G24" i="6" s="1"/>
  <c r="G25" i="6" s="1"/>
  <c r="G45" i="6" s="1"/>
  <c r="D53" i="5"/>
  <c r="D54" i="5" s="1"/>
  <c r="H54" i="5"/>
  <c r="AE45" i="6"/>
  <c r="AZ45" i="6"/>
  <c r="AO44" i="6"/>
  <c r="BA44" i="6" s="1"/>
  <c r="AU45" i="6"/>
  <c r="AD45" i="6"/>
  <c r="AW45" i="6"/>
  <c r="AV45" i="6"/>
  <c r="BA43" i="6"/>
  <c r="AQ45" i="6"/>
  <c r="AH52" i="8"/>
  <c r="N50" i="5"/>
  <c r="I44" i="6"/>
  <c r="X51" i="12"/>
  <c r="Y51" i="12" s="1"/>
  <c r="AP52" i="15"/>
  <c r="N27" i="15"/>
  <c r="B124" i="15"/>
  <c r="B52" i="15"/>
  <c r="J39" i="8"/>
  <c r="AG52" i="7"/>
  <c r="Q52" i="7"/>
  <c r="AY45" i="6"/>
  <c r="D51" i="5"/>
  <c r="N51" i="5" s="1"/>
  <c r="Q125" i="5"/>
  <c r="Z3" i="6"/>
  <c r="Q122" i="5"/>
  <c r="T2" i="7"/>
  <c r="T2" i="5"/>
  <c r="F27" i="5"/>
  <c r="F126" i="5" s="1"/>
  <c r="Q8" i="6"/>
  <c r="Q15" i="6" s="1"/>
  <c r="N32" i="5"/>
  <c r="Q27" i="6"/>
  <c r="B27" i="5"/>
  <c r="O45" i="6"/>
  <c r="N5" i="5"/>
  <c r="F34" i="6"/>
  <c r="E27" i="5"/>
  <c r="E126" i="5" s="1"/>
  <c r="C27" i="5"/>
  <c r="C126" i="5" s="1"/>
  <c r="L45" i="6"/>
  <c r="AA45" i="6"/>
  <c r="AB44" i="5"/>
  <c r="N26" i="5"/>
  <c r="AP5" i="5"/>
  <c r="AB32" i="5"/>
  <c r="BA22" i="6"/>
  <c r="BA24" i="6"/>
  <c r="AF45" i="6"/>
  <c r="AX45" i="6"/>
  <c r="Z45" i="6"/>
  <c r="G52" i="8"/>
  <c r="D27" i="5"/>
  <c r="AT45" i="6"/>
  <c r="Q33" i="6"/>
  <c r="M45" i="6"/>
  <c r="M39" i="8"/>
  <c r="AK39" i="8"/>
  <c r="AO25" i="6"/>
  <c r="BA25" i="6" s="1"/>
  <c r="M52" i="8"/>
  <c r="G39" i="8"/>
  <c r="AK52" i="8"/>
  <c r="AG45" i="6"/>
  <c r="AB52" i="8"/>
  <c r="Z27" i="5"/>
  <c r="X126" i="5" s="1"/>
  <c r="Z52" i="7"/>
  <c r="O53" i="8"/>
  <c r="J45" i="6"/>
  <c r="W28" i="8"/>
  <c r="Y28" i="8" s="1"/>
  <c r="I52" i="7"/>
  <c r="W53" i="8" s="1"/>
  <c r="AH38" i="5"/>
  <c r="AH52" i="7"/>
  <c r="R53" i="8"/>
  <c r="E28" i="8"/>
  <c r="G28" i="8" s="1"/>
  <c r="C52" i="7"/>
  <c r="E53" i="8" s="1"/>
  <c r="H28" i="8"/>
  <c r="J28" i="8" s="1"/>
  <c r="D52" i="7"/>
  <c r="H53" i="8" s="1"/>
  <c r="U53" i="8"/>
  <c r="B39" i="8"/>
  <c r="D39" i="8" s="1"/>
  <c r="N38" i="7"/>
  <c r="U51" i="5"/>
  <c r="U52" i="7"/>
  <c r="AI28" i="8"/>
  <c r="AK28" i="8" s="1"/>
  <c r="M52" i="7"/>
  <c r="AI53" i="8" s="1"/>
  <c r="B28" i="8"/>
  <c r="D28" i="8" s="1"/>
  <c r="B52" i="7"/>
  <c r="N27" i="7"/>
  <c r="AA53" i="8"/>
  <c r="AB28" i="8"/>
  <c r="W52" i="7"/>
  <c r="W27" i="5"/>
  <c r="U126" i="5" s="1"/>
  <c r="AJ38" i="5"/>
  <c r="AJ52" i="7"/>
  <c r="AE52" i="8"/>
  <c r="S38" i="5"/>
  <c r="S52" i="7"/>
  <c r="L51" i="12"/>
  <c r="M51" i="12" s="1"/>
  <c r="AI52" i="7"/>
  <c r="AI27" i="5"/>
  <c r="I45" i="14"/>
  <c r="I40" i="14"/>
  <c r="X45" i="6"/>
  <c r="AE39" i="8"/>
  <c r="AB45" i="6"/>
  <c r="AB39" i="8"/>
  <c r="P52" i="8"/>
  <c r="AG51" i="12"/>
  <c r="AH51" i="12" s="1"/>
  <c r="AH29" i="12"/>
  <c r="AI32" i="6"/>
  <c r="W33" i="6"/>
  <c r="AA51" i="12"/>
  <c r="AB51" i="12" s="1"/>
  <c r="AB29" i="12"/>
  <c r="Y52" i="8"/>
  <c r="AE52" i="7"/>
  <c r="AO32" i="6"/>
  <c r="AP37" i="5"/>
  <c r="G126" i="5"/>
  <c r="AI44" i="6"/>
  <c r="E34" i="6"/>
  <c r="Q28" i="6"/>
  <c r="J52" i="7"/>
  <c r="Z53" i="8" s="1"/>
  <c r="AP51" i="7"/>
  <c r="AD51" i="5"/>
  <c r="I53" i="8"/>
  <c r="N28" i="8"/>
  <c r="P28" i="8" s="1"/>
  <c r="F52" i="7"/>
  <c r="N53" i="8" s="1"/>
  <c r="I51" i="12"/>
  <c r="J51" i="12" s="1"/>
  <c r="AB5" i="5"/>
  <c r="X45" i="10"/>
  <c r="S48" i="10"/>
  <c r="T48" i="10" s="1"/>
  <c r="I32" i="14"/>
  <c r="AP45" i="6"/>
  <c r="J52" i="8"/>
  <c r="I30" i="14"/>
  <c r="V29" i="12"/>
  <c r="U51" i="12"/>
  <c r="V51" i="12" s="1"/>
  <c r="AT84" i="10"/>
  <c r="AV84" i="10" s="1"/>
  <c r="AT77" i="10"/>
  <c r="AV77" i="10" s="1"/>
  <c r="AT83" i="10"/>
  <c r="AV83" i="10" s="1"/>
  <c r="AT76" i="10"/>
  <c r="AV76" i="10" s="1"/>
  <c r="AF52" i="7"/>
  <c r="AF27" i="5"/>
  <c r="AD51" i="12"/>
  <c r="AE51" i="12" s="1"/>
  <c r="AE29" i="12"/>
  <c r="C53" i="8"/>
  <c r="I36" i="14"/>
  <c r="AP32" i="5"/>
  <c r="AG53" i="8"/>
  <c r="I29" i="14"/>
  <c r="E44" i="6"/>
  <c r="Q39" i="6"/>
  <c r="T28" i="8"/>
  <c r="V28" i="8" s="1"/>
  <c r="H52" i="7"/>
  <c r="T53" i="8" s="1"/>
  <c r="K28" i="8"/>
  <c r="M28" i="8" s="1"/>
  <c r="E52" i="7"/>
  <c r="K53" i="8" s="1"/>
  <c r="C51" i="12"/>
  <c r="D29" i="12"/>
  <c r="AI8" i="6"/>
  <c r="AI15" i="6" s="1"/>
  <c r="W15" i="6"/>
  <c r="I38" i="14"/>
  <c r="T52" i="7"/>
  <c r="T27" i="5"/>
  <c r="R126" i="5" s="1"/>
  <c r="AA38" i="5"/>
  <c r="AA52" i="7"/>
  <c r="R51" i="12"/>
  <c r="S51" i="12" s="1"/>
  <c r="F53" i="8"/>
  <c r="J126" i="5"/>
  <c r="AD52" i="7"/>
  <c r="AP27" i="7"/>
  <c r="AD27" i="5"/>
  <c r="P52" i="7"/>
  <c r="AB27" i="7"/>
  <c r="P27" i="5"/>
  <c r="K126" i="5"/>
  <c r="I39" i="14"/>
  <c r="I41" i="14"/>
  <c r="I31" i="14"/>
  <c r="AM52" i="7"/>
  <c r="AM27" i="5"/>
  <c r="X52" i="7"/>
  <c r="X27" i="5"/>
  <c r="V126" i="5" s="1"/>
  <c r="BA28" i="6"/>
  <c r="AN52" i="7"/>
  <c r="AN27" i="5"/>
  <c r="G29" i="12"/>
  <c r="F51" i="12"/>
  <c r="G51" i="12" s="1"/>
  <c r="B52" i="8"/>
  <c r="D52" i="8" s="1"/>
  <c r="N51" i="7"/>
  <c r="I35" i="14"/>
  <c r="I33" i="14"/>
  <c r="AJ51" i="12"/>
  <c r="AK51" i="12" s="1"/>
  <c r="AK29" i="12"/>
  <c r="I46" i="14"/>
  <c r="Y45" i="6"/>
  <c r="W22" i="6"/>
  <c r="AB26" i="5"/>
  <c r="AH39" i="8"/>
  <c r="I49" i="10"/>
  <c r="V5" i="11" s="1"/>
  <c r="C50" i="10"/>
  <c r="G49" i="10" s="1"/>
  <c r="P5" i="11" s="1"/>
  <c r="J49" i="10"/>
  <c r="Y5" i="11" s="1"/>
  <c r="Y8" i="11" s="1"/>
  <c r="H49" i="10"/>
  <c r="S5" i="11" s="1"/>
  <c r="S8" i="11" s="1"/>
  <c r="V39" i="12"/>
  <c r="AP38" i="7"/>
  <c r="R38" i="5"/>
  <c r="R52" i="7"/>
  <c r="AB38" i="7"/>
  <c r="AD53" i="8"/>
  <c r="I126" i="5"/>
  <c r="N38" i="5"/>
  <c r="L53" i="8"/>
  <c r="AB51" i="7"/>
  <c r="P51" i="5"/>
  <c r="I43" i="14"/>
  <c r="AS45" i="6"/>
  <c r="G3" i="14"/>
  <c r="F26" i="14"/>
  <c r="F49" i="14" s="1"/>
  <c r="F50" i="14" s="1"/>
  <c r="C3" i="11"/>
  <c r="AF28" i="8"/>
  <c r="AH28" i="8" s="1"/>
  <c r="L52" i="7"/>
  <c r="AF53" i="8" s="1"/>
  <c r="Y29" i="12"/>
  <c r="Q28" i="8"/>
  <c r="S28" i="8" s="1"/>
  <c r="G52" i="7"/>
  <c r="Q53" i="8" s="1"/>
  <c r="AO52" i="7"/>
  <c r="AO27" i="5"/>
  <c r="I44" i="14"/>
  <c r="V52" i="7"/>
  <c r="V27" i="5"/>
  <c r="T126" i="5" s="1"/>
  <c r="I28" i="14"/>
  <c r="I42" i="14"/>
  <c r="I34" i="14"/>
  <c r="Y39" i="8"/>
  <c r="AC28" i="8"/>
  <c r="AE28" i="8" s="1"/>
  <c r="K52" i="7"/>
  <c r="AC53" i="8" s="1"/>
  <c r="AK51" i="5"/>
  <c r="AK52" i="7"/>
  <c r="K45" i="6"/>
  <c r="H47" i="14"/>
  <c r="I27" i="14"/>
  <c r="AJ53" i="8"/>
  <c r="X53" i="8"/>
  <c r="L126" i="5"/>
  <c r="AP44" i="5"/>
  <c r="O51" i="12"/>
  <c r="P51" i="12" s="1"/>
  <c r="P29" i="12"/>
  <c r="I37" i="14"/>
  <c r="BA39" i="6"/>
  <c r="N52" i="5" l="1"/>
  <c r="N53" i="5"/>
  <c r="C54" i="5"/>
  <c r="F45" i="6"/>
  <c r="P54" i="5"/>
  <c r="AB52" i="5"/>
  <c r="Q44" i="6"/>
  <c r="Q22" i="6"/>
  <c r="P53" i="8"/>
  <c r="I45" i="6"/>
  <c r="B53" i="15"/>
  <c r="N52" i="15"/>
  <c r="AP38" i="5"/>
  <c r="AB38" i="5"/>
  <c r="Q24" i="6"/>
  <c r="Q25" i="6"/>
  <c r="B126" i="5"/>
  <c r="R122" i="5"/>
  <c r="AA3" i="6"/>
  <c r="R125" i="5"/>
  <c r="U2" i="5"/>
  <c r="U2" i="7"/>
  <c r="G53" i="8"/>
  <c r="AK53" i="8"/>
  <c r="N27" i="5"/>
  <c r="C6" i="13" s="1"/>
  <c r="C34" i="13" s="1"/>
  <c r="D126" i="5"/>
  <c r="AH53" i="8"/>
  <c r="J53" i="8"/>
  <c r="AB51" i="5"/>
  <c r="M53" i="8"/>
  <c r="AP51" i="5"/>
  <c r="T51" i="10"/>
  <c r="T55" i="10"/>
  <c r="J28" i="14"/>
  <c r="J35" i="14"/>
  <c r="J40" i="14"/>
  <c r="B55" i="5"/>
  <c r="AV78" i="10"/>
  <c r="BA32" i="6"/>
  <c r="AO33" i="6"/>
  <c r="J34" i="14"/>
  <c r="J44" i="14"/>
  <c r="AE53" i="8"/>
  <c r="J39" i="14"/>
  <c r="AP27" i="5"/>
  <c r="C54" i="8"/>
  <c r="AV86" i="10"/>
  <c r="F10" i="10" s="1"/>
  <c r="J45" i="14"/>
  <c r="AB53" i="8"/>
  <c r="N126" i="5"/>
  <c r="AB27" i="5"/>
  <c r="D6" i="13" s="1"/>
  <c r="D34" i="13" s="1"/>
  <c r="I47" i="14"/>
  <c r="J27" i="14"/>
  <c r="J46" i="14"/>
  <c r="J41" i="14"/>
  <c r="J29" i="14"/>
  <c r="S53" i="8"/>
  <c r="J38" i="14"/>
  <c r="J42" i="14"/>
  <c r="F68" i="14"/>
  <c r="F67" i="14"/>
  <c r="F56" i="14"/>
  <c r="F60" i="14"/>
  <c r="F52" i="14"/>
  <c r="F64" i="14"/>
  <c r="F51" i="14"/>
  <c r="F54" i="14"/>
  <c r="F66" i="14"/>
  <c r="F57" i="14"/>
  <c r="F65" i="14"/>
  <c r="F63" i="14"/>
  <c r="F70" i="14"/>
  <c r="F53" i="14"/>
  <c r="F59" i="14"/>
  <c r="F58" i="14"/>
  <c r="F61" i="14"/>
  <c r="F62" i="14"/>
  <c r="F69" i="14"/>
  <c r="F55" i="14"/>
  <c r="Q34" i="6"/>
  <c r="E46" i="6"/>
  <c r="E45" i="6"/>
  <c r="J37" i="14"/>
  <c r="J33" i="14"/>
  <c r="AP52" i="7"/>
  <c r="AP54" i="5"/>
  <c r="C52" i="12"/>
  <c r="D51" i="12"/>
  <c r="J32" i="14"/>
  <c r="B53" i="8"/>
  <c r="D53" i="8" s="1"/>
  <c r="N52" i="7"/>
  <c r="B53" i="7"/>
  <c r="V53" i="8"/>
  <c r="Y53" i="8"/>
  <c r="G26" i="14"/>
  <c r="G49" i="14" s="1"/>
  <c r="G50" i="14" s="1"/>
  <c r="H3" i="14"/>
  <c r="D3" i="11"/>
  <c r="AT85" i="10"/>
  <c r="AV85" i="10" s="1"/>
  <c r="J31" i="14"/>
  <c r="AI33" i="6"/>
  <c r="W34" i="6"/>
  <c r="AI34" i="6" s="1"/>
  <c r="J43" i="14"/>
  <c r="AI22" i="6"/>
  <c r="W24" i="6"/>
  <c r="AI24" i="6" s="1"/>
  <c r="AB52" i="7"/>
  <c r="AB54" i="5"/>
  <c r="J36" i="14"/>
  <c r="J30" i="14"/>
  <c r="C53" i="15" l="1"/>
  <c r="B121" i="15"/>
  <c r="Q45" i="6"/>
  <c r="N54" i="5"/>
  <c r="V2" i="7"/>
  <c r="V2" i="5"/>
  <c r="S125" i="5"/>
  <c r="AB3" i="6"/>
  <c r="S122" i="5"/>
  <c r="B54" i="8"/>
  <c r="D54" i="8" s="1"/>
  <c r="C53" i="7"/>
  <c r="K33" i="14"/>
  <c r="K29" i="14"/>
  <c r="F54" i="8"/>
  <c r="K34" i="14"/>
  <c r="K40" i="14"/>
  <c r="K31" i="14"/>
  <c r="H10" i="10"/>
  <c r="F11" i="10"/>
  <c r="H11" i="10" s="1"/>
  <c r="K30" i="14"/>
  <c r="K43" i="14"/>
  <c r="K32" i="14"/>
  <c r="K37" i="14"/>
  <c r="K41" i="14"/>
  <c r="BA33" i="6"/>
  <c r="AO34" i="6"/>
  <c r="K35" i="14"/>
  <c r="K36" i="14"/>
  <c r="H26" i="14"/>
  <c r="H49" i="14" s="1"/>
  <c r="H50" i="14" s="1"/>
  <c r="I3" i="14"/>
  <c r="E3" i="11"/>
  <c r="K42" i="14"/>
  <c r="K39" i="14"/>
  <c r="G58" i="14"/>
  <c r="G52" i="14"/>
  <c r="G68" i="14"/>
  <c r="G70" i="14"/>
  <c r="G57" i="14"/>
  <c r="G59" i="14"/>
  <c r="G55" i="14"/>
  <c r="G65" i="14"/>
  <c r="G63" i="14"/>
  <c r="G62" i="14"/>
  <c r="G60" i="14"/>
  <c r="G53" i="14"/>
  <c r="G54" i="14"/>
  <c r="G56" i="14"/>
  <c r="G64" i="14"/>
  <c r="G69" i="14"/>
  <c r="G51" i="14"/>
  <c r="G61" i="14"/>
  <c r="G66" i="14"/>
  <c r="G67" i="14"/>
  <c r="F71" i="14"/>
  <c r="F74" i="14" s="1"/>
  <c r="K46" i="14"/>
  <c r="K45" i="14"/>
  <c r="AV79" i="10"/>
  <c r="F5" i="10"/>
  <c r="F8" i="10" s="1"/>
  <c r="K28" i="14"/>
  <c r="F52" i="12"/>
  <c r="D52" i="12"/>
  <c r="F46" i="6"/>
  <c r="F6" i="6"/>
  <c r="K38" i="14"/>
  <c r="W25" i="6"/>
  <c r="J47" i="14"/>
  <c r="K27" i="14"/>
  <c r="K44" i="14"/>
  <c r="B123" i="5"/>
  <c r="C55" i="5"/>
  <c r="T58" i="10"/>
  <c r="T61" i="10"/>
  <c r="T64" i="10" s="1"/>
  <c r="D53" i="15" l="1"/>
  <c r="C121" i="15"/>
  <c r="W2" i="5"/>
  <c r="W2" i="7"/>
  <c r="T122" i="5"/>
  <c r="AC3" i="6"/>
  <c r="T125" i="5"/>
  <c r="H65" i="14"/>
  <c r="H70" i="14"/>
  <c r="H59" i="14"/>
  <c r="H52" i="14"/>
  <c r="H56" i="14"/>
  <c r="H57" i="14"/>
  <c r="H66" i="14"/>
  <c r="H61" i="14"/>
  <c r="H58" i="14"/>
  <c r="H55" i="14"/>
  <c r="H53" i="14"/>
  <c r="H67" i="14"/>
  <c r="H69" i="14"/>
  <c r="H63" i="14"/>
  <c r="H68" i="14"/>
  <c r="H62" i="14"/>
  <c r="H51" i="14"/>
  <c r="H64" i="14"/>
  <c r="H54" i="14"/>
  <c r="H60" i="14"/>
  <c r="L45" i="14"/>
  <c r="K47" i="14"/>
  <c r="L27" i="14"/>
  <c r="G71" i="14"/>
  <c r="G74" i="14" s="1"/>
  <c r="L36" i="14"/>
  <c r="L37" i="14"/>
  <c r="G52" i="12"/>
  <c r="I52" i="12"/>
  <c r="L39" i="14"/>
  <c r="I54" i="8"/>
  <c r="L31" i="14"/>
  <c r="W45" i="6"/>
  <c r="AI25" i="6"/>
  <c r="AI45" i="6" s="1"/>
  <c r="L42" i="14"/>
  <c r="G46" i="6"/>
  <c r="G6" i="6"/>
  <c r="L46" i="14"/>
  <c r="L35" i="14"/>
  <c r="L32" i="14"/>
  <c r="L29" i="14"/>
  <c r="D55" i="5"/>
  <c r="C123" i="5"/>
  <c r="L38" i="14"/>
  <c r="L28" i="14"/>
  <c r="BA34" i="6"/>
  <c r="BA45" i="6" s="1"/>
  <c r="AO45" i="6"/>
  <c r="L43" i="14"/>
  <c r="L40" i="14"/>
  <c r="L33" i="14"/>
  <c r="L44" i="14"/>
  <c r="I10" i="10"/>
  <c r="I12" i="10"/>
  <c r="F9" i="10"/>
  <c r="H9" i="10" s="1"/>
  <c r="F12" i="10"/>
  <c r="H12" i="10" s="1"/>
  <c r="I8" i="10"/>
  <c r="I11" i="10"/>
  <c r="H8" i="10"/>
  <c r="I26" i="14"/>
  <c r="I49" i="14" s="1"/>
  <c r="I50" i="14" s="1"/>
  <c r="J3" i="14"/>
  <c r="F3" i="11"/>
  <c r="L41" i="14"/>
  <c r="L30" i="14"/>
  <c r="L34" i="14"/>
  <c r="E54" i="8"/>
  <c r="G54" i="8" s="1"/>
  <c r="D53" i="7"/>
  <c r="E53" i="15" l="1"/>
  <c r="D121" i="15"/>
  <c r="U125" i="5"/>
  <c r="U122" i="5"/>
  <c r="AD3" i="6"/>
  <c r="X2" i="7"/>
  <c r="X2" i="5"/>
  <c r="J26" i="14"/>
  <c r="J49" i="14" s="1"/>
  <c r="J50" i="14" s="1"/>
  <c r="K3" i="14"/>
  <c r="G3" i="11"/>
  <c r="H71" i="14"/>
  <c r="H74" i="14" s="1"/>
  <c r="M34" i="14"/>
  <c r="L52" i="12"/>
  <c r="J52" i="12"/>
  <c r="L47" i="14"/>
  <c r="M27" i="14"/>
  <c r="I62" i="14"/>
  <c r="I52" i="14"/>
  <c r="I69" i="14"/>
  <c r="I70" i="14"/>
  <c r="I63" i="14"/>
  <c r="I66" i="14"/>
  <c r="I59" i="14"/>
  <c r="I65" i="14"/>
  <c r="I61" i="14"/>
  <c r="I56" i="14"/>
  <c r="I67" i="14"/>
  <c r="I54" i="14"/>
  <c r="I60" i="14"/>
  <c r="I64" i="14"/>
  <c r="I58" i="14"/>
  <c r="I53" i="14"/>
  <c r="I57" i="14"/>
  <c r="I51" i="14"/>
  <c r="I55" i="14"/>
  <c r="I68" i="14"/>
  <c r="M43" i="14"/>
  <c r="M46" i="14"/>
  <c r="H13" i="10"/>
  <c r="P4" i="11" s="1"/>
  <c r="P8" i="11" s="1"/>
  <c r="F13" i="10"/>
  <c r="F14" i="10" s="1"/>
  <c r="D123" i="5"/>
  <c r="E55" i="5"/>
  <c r="M44" i="14"/>
  <c r="M29" i="14"/>
  <c r="M31" i="14"/>
  <c r="I13" i="10"/>
  <c r="V4" i="11" s="1"/>
  <c r="V8" i="11" s="1"/>
  <c r="M30" i="14"/>
  <c r="M37" i="14"/>
  <c r="M45" i="14"/>
  <c r="M41" i="14"/>
  <c r="M33" i="14"/>
  <c r="M28" i="14"/>
  <c r="M32" i="14"/>
  <c r="L54" i="8"/>
  <c r="M36" i="14"/>
  <c r="H46" i="6"/>
  <c r="H6" i="6"/>
  <c r="H54" i="8"/>
  <c r="J54" i="8" s="1"/>
  <c r="E53" i="7"/>
  <c r="I9" i="10"/>
  <c r="M40" i="14"/>
  <c r="M38" i="14"/>
  <c r="M35" i="14"/>
  <c r="M42" i="14"/>
  <c r="M39" i="14"/>
  <c r="F53" i="15" l="1"/>
  <c r="E121" i="15"/>
  <c r="V122" i="5"/>
  <c r="AE3" i="6"/>
  <c r="V125" i="5"/>
  <c r="Y2" i="7"/>
  <c r="Y2" i="5"/>
  <c r="N44" i="14"/>
  <c r="N43" i="14"/>
  <c r="N39" i="14"/>
  <c r="N40" i="14"/>
  <c r="J57" i="14"/>
  <c r="J64" i="14"/>
  <c r="J67" i="14"/>
  <c r="J52" i="14"/>
  <c r="J62" i="14"/>
  <c r="J66" i="14"/>
  <c r="J63" i="14"/>
  <c r="J68" i="14"/>
  <c r="J53" i="14"/>
  <c r="J55" i="14"/>
  <c r="J56" i="14"/>
  <c r="J59" i="14"/>
  <c r="J70" i="14"/>
  <c r="J51" i="14"/>
  <c r="J61" i="14"/>
  <c r="J60" i="14"/>
  <c r="J69" i="14"/>
  <c r="J58" i="14"/>
  <c r="J54" i="14"/>
  <c r="J65" i="14"/>
  <c r="N41" i="14"/>
  <c r="N30" i="14"/>
  <c r="N42" i="14"/>
  <c r="O54" i="8"/>
  <c r="F55" i="5"/>
  <c r="E123" i="5"/>
  <c r="O52" i="12"/>
  <c r="M52" i="12"/>
  <c r="K54" i="8"/>
  <c r="M54" i="8" s="1"/>
  <c r="F53" i="7"/>
  <c r="N32" i="14"/>
  <c r="N45" i="14"/>
  <c r="N35" i="14"/>
  <c r="N31" i="14"/>
  <c r="I71" i="14"/>
  <c r="I74" i="14" s="1"/>
  <c r="N34" i="14"/>
  <c r="N28" i="14"/>
  <c r="N37" i="14"/>
  <c r="N38" i="14"/>
  <c r="I6" i="6"/>
  <c r="I46" i="6"/>
  <c r="N29" i="14"/>
  <c r="N46" i="14"/>
  <c r="M47" i="14"/>
  <c r="N27" i="14"/>
  <c r="N36" i="14"/>
  <c r="N33" i="14"/>
  <c r="K26" i="14"/>
  <c r="K49" i="14" s="1"/>
  <c r="K50" i="14" s="1"/>
  <c r="L3" i="14"/>
  <c r="H3" i="11"/>
  <c r="G53" i="15" l="1"/>
  <c r="F121" i="15"/>
  <c r="Z2" i="5"/>
  <c r="Z2" i="7"/>
  <c r="W122" i="5"/>
  <c r="AF3" i="6"/>
  <c r="W125" i="5"/>
  <c r="J71" i="14"/>
  <c r="J74" i="14" s="1"/>
  <c r="O36" i="14"/>
  <c r="O41" i="14"/>
  <c r="O46" i="14"/>
  <c r="O37" i="14"/>
  <c r="O35" i="14"/>
  <c r="O40" i="14"/>
  <c r="O33" i="14"/>
  <c r="O30" i="14"/>
  <c r="O29" i="14"/>
  <c r="O28" i="14"/>
  <c r="P52" i="12"/>
  <c r="R52" i="12"/>
  <c r="J46" i="6"/>
  <c r="J6" i="6"/>
  <c r="O45" i="14"/>
  <c r="O39" i="14"/>
  <c r="O34" i="14"/>
  <c r="F123" i="5"/>
  <c r="G55" i="5"/>
  <c r="L26" i="14"/>
  <c r="L49" i="14" s="1"/>
  <c r="L50" i="14" s="1"/>
  <c r="M3" i="14"/>
  <c r="I3" i="11"/>
  <c r="N47" i="14"/>
  <c r="O27" i="14"/>
  <c r="O32" i="14"/>
  <c r="O43" i="14"/>
  <c r="K60" i="14"/>
  <c r="K56" i="14"/>
  <c r="K52" i="14"/>
  <c r="K57" i="14"/>
  <c r="K65" i="14"/>
  <c r="K54" i="14"/>
  <c r="K69" i="14"/>
  <c r="K61" i="14"/>
  <c r="K55" i="14"/>
  <c r="K53" i="14"/>
  <c r="K68" i="14"/>
  <c r="K51" i="14"/>
  <c r="K70" i="14"/>
  <c r="K67" i="14"/>
  <c r="K58" i="14"/>
  <c r="K63" i="14"/>
  <c r="K66" i="14"/>
  <c r="K59" i="14"/>
  <c r="K62" i="14"/>
  <c r="K64" i="14"/>
  <c r="O38" i="14"/>
  <c r="R54" i="8"/>
  <c r="O31" i="14"/>
  <c r="N54" i="8"/>
  <c r="P54" i="8" s="1"/>
  <c r="G53" i="7"/>
  <c r="O42" i="14"/>
  <c r="O44" i="14"/>
  <c r="H53" i="15" l="1"/>
  <c r="G121" i="15"/>
  <c r="X122" i="5"/>
  <c r="X125" i="5"/>
  <c r="AG3" i="6"/>
  <c r="AA2" i="7"/>
  <c r="AA2" i="5"/>
  <c r="K71" i="14"/>
  <c r="K74" i="14" s="1"/>
  <c r="P34" i="14"/>
  <c r="S52" i="12"/>
  <c r="U52" i="12"/>
  <c r="P33" i="14"/>
  <c r="P37" i="14"/>
  <c r="P28" i="14"/>
  <c r="P46" i="14"/>
  <c r="P31" i="14"/>
  <c r="P39" i="14"/>
  <c r="P27" i="14"/>
  <c r="O47" i="14"/>
  <c r="U54" i="8"/>
  <c r="N3" i="14"/>
  <c r="M26" i="14"/>
  <c r="M49" i="14" s="1"/>
  <c r="M50" i="14" s="1"/>
  <c r="J3" i="11"/>
  <c r="P45" i="14"/>
  <c r="P29" i="14"/>
  <c r="P40" i="14"/>
  <c r="P41" i="14"/>
  <c r="L70" i="14"/>
  <c r="L53" i="14"/>
  <c r="L62" i="14"/>
  <c r="L61" i="14"/>
  <c r="L52" i="14"/>
  <c r="L55" i="14"/>
  <c r="L59" i="14"/>
  <c r="L69" i="14"/>
  <c r="L66" i="14"/>
  <c r="L58" i="14"/>
  <c r="L56" i="14"/>
  <c r="L54" i="14"/>
  <c r="L65" i="14"/>
  <c r="L67" i="14"/>
  <c r="L63" i="14"/>
  <c r="L57" i="14"/>
  <c r="L60" i="14"/>
  <c r="L68" i="14"/>
  <c r="L64" i="14"/>
  <c r="L51" i="14"/>
  <c r="P42" i="14"/>
  <c r="P38" i="14"/>
  <c r="P32" i="14"/>
  <c r="G123" i="5"/>
  <c r="H55" i="5"/>
  <c r="P30" i="14"/>
  <c r="P35" i="14"/>
  <c r="P36" i="14"/>
  <c r="H53" i="7"/>
  <c r="Q54" i="8"/>
  <c r="S54" i="8" s="1"/>
  <c r="P44" i="14"/>
  <c r="P43" i="14"/>
  <c r="K6" i="6"/>
  <c r="K46" i="6"/>
  <c r="H121" i="15" l="1"/>
  <c r="I53" i="15"/>
  <c r="AD2" i="7"/>
  <c r="AD2" i="5"/>
  <c r="Y122" i="5"/>
  <c r="Y125" i="5"/>
  <c r="AH3" i="6"/>
  <c r="Q40" i="14"/>
  <c r="O3" i="14"/>
  <c r="N26" i="14"/>
  <c r="N49" i="14" s="1"/>
  <c r="N50" i="14" s="1"/>
  <c r="K3" i="11"/>
  <c r="Q31" i="14"/>
  <c r="Q37" i="14"/>
  <c r="Q30" i="14"/>
  <c r="Q29" i="14"/>
  <c r="X54" i="8"/>
  <c r="Q46" i="14"/>
  <c r="Q33" i="14"/>
  <c r="I55" i="5"/>
  <c r="H123" i="5"/>
  <c r="T54" i="8"/>
  <c r="V54" i="8" s="1"/>
  <c r="I53" i="7"/>
  <c r="V52" i="12"/>
  <c r="X52" i="12"/>
  <c r="L6" i="6"/>
  <c r="L46" i="6"/>
  <c r="Q32" i="14"/>
  <c r="Q45" i="14"/>
  <c r="P47" i="14"/>
  <c r="Q27" i="14"/>
  <c r="Q43" i="14"/>
  <c r="Q35" i="14"/>
  <c r="Q38" i="14"/>
  <c r="Q41" i="14"/>
  <c r="Q39" i="14"/>
  <c r="Q28" i="14"/>
  <c r="Q34" i="14"/>
  <c r="Q44" i="14"/>
  <c r="Q42" i="14"/>
  <c r="L71" i="14"/>
  <c r="L74" i="14" s="1"/>
  <c r="Q36" i="14"/>
  <c r="M62" i="14"/>
  <c r="M51" i="14"/>
  <c r="M67" i="14"/>
  <c r="M56" i="14"/>
  <c r="M58" i="14"/>
  <c r="M60" i="14"/>
  <c r="M53" i="14"/>
  <c r="M63" i="14"/>
  <c r="M65" i="14"/>
  <c r="M69" i="14"/>
  <c r="M64" i="14"/>
  <c r="M54" i="14"/>
  <c r="M59" i="14"/>
  <c r="M57" i="14"/>
  <c r="M61" i="14"/>
  <c r="M70" i="14"/>
  <c r="M68" i="14"/>
  <c r="M66" i="14"/>
  <c r="M55" i="14"/>
  <c r="M52" i="14"/>
  <c r="I121" i="15" l="1"/>
  <c r="J53" i="15"/>
  <c r="AE2" i="7"/>
  <c r="AO3" i="6"/>
  <c r="AE2" i="5"/>
  <c r="R45" i="14"/>
  <c r="R28" i="14"/>
  <c r="R35" i="14"/>
  <c r="W54" i="8"/>
  <c r="Y54" i="8" s="1"/>
  <c r="J53" i="7"/>
  <c r="R31" i="14"/>
  <c r="R39" i="14"/>
  <c r="AA54" i="8"/>
  <c r="R42" i="14"/>
  <c r="R43" i="14"/>
  <c r="R32" i="14"/>
  <c r="R29" i="14"/>
  <c r="N60" i="14"/>
  <c r="N59" i="14"/>
  <c r="N54" i="14"/>
  <c r="N56" i="14"/>
  <c r="N62" i="14"/>
  <c r="N66" i="14"/>
  <c r="N51" i="14"/>
  <c r="N65" i="14"/>
  <c r="N64" i="14"/>
  <c r="N53" i="14"/>
  <c r="N69" i="14"/>
  <c r="N67" i="14"/>
  <c r="N68" i="14"/>
  <c r="N70" i="14"/>
  <c r="N52" i="14"/>
  <c r="N63" i="14"/>
  <c r="N55" i="14"/>
  <c r="N61" i="14"/>
  <c r="N57" i="14"/>
  <c r="N58" i="14"/>
  <c r="R44" i="14"/>
  <c r="R41" i="14"/>
  <c r="I123" i="5"/>
  <c r="J55" i="5"/>
  <c r="M71" i="14"/>
  <c r="M74" i="14" s="1"/>
  <c r="O26" i="14"/>
  <c r="O49" i="14" s="1"/>
  <c r="O50" i="14" s="1"/>
  <c r="P3" i="14"/>
  <c r="L3" i="11"/>
  <c r="R34" i="14"/>
  <c r="R38" i="14"/>
  <c r="Q47" i="14"/>
  <c r="R27" i="14"/>
  <c r="R40" i="14"/>
  <c r="M6" i="6"/>
  <c r="M46" i="6"/>
  <c r="R33" i="14"/>
  <c r="R30" i="14"/>
  <c r="R36" i="14"/>
  <c r="AA52" i="12"/>
  <c r="Y52" i="12"/>
  <c r="R46" i="14"/>
  <c r="R37" i="14"/>
  <c r="J121" i="15" l="1"/>
  <c r="K53" i="15"/>
  <c r="AF2" i="7"/>
  <c r="AP3" i="6"/>
  <c r="AF2" i="5"/>
  <c r="S38" i="14"/>
  <c r="S42" i="14"/>
  <c r="Z54" i="8"/>
  <c r="AB54" i="8" s="1"/>
  <c r="K53" i="7"/>
  <c r="AD54" i="8"/>
  <c r="S35" i="14"/>
  <c r="N46" i="6"/>
  <c r="N6" i="6"/>
  <c r="AD52" i="12"/>
  <c r="AB52" i="12"/>
  <c r="S36" i="14"/>
  <c r="S39" i="14"/>
  <c r="S28" i="14"/>
  <c r="S34" i="14"/>
  <c r="S29" i="14"/>
  <c r="S37" i="14"/>
  <c r="S44" i="14"/>
  <c r="S32" i="14"/>
  <c r="S30" i="14"/>
  <c r="R47" i="14"/>
  <c r="S27" i="14"/>
  <c r="C7" i="13"/>
  <c r="C35" i="13" s="1"/>
  <c r="O58" i="14"/>
  <c r="O52" i="14"/>
  <c r="O63" i="14"/>
  <c r="O65" i="14"/>
  <c r="O62" i="14"/>
  <c r="O59" i="14"/>
  <c r="O67" i="14"/>
  <c r="O60" i="14"/>
  <c r="O51" i="14"/>
  <c r="O69" i="14"/>
  <c r="O56" i="14"/>
  <c r="O68" i="14"/>
  <c r="O57" i="14"/>
  <c r="O70" i="14"/>
  <c r="O53" i="14"/>
  <c r="O66" i="14"/>
  <c r="O61" i="14"/>
  <c r="O55" i="14"/>
  <c r="O64" i="14"/>
  <c r="O54" i="14"/>
  <c r="S43" i="14"/>
  <c r="S31" i="14"/>
  <c r="S45" i="14"/>
  <c r="J123" i="5"/>
  <c r="K55" i="5"/>
  <c r="S41" i="14"/>
  <c r="S40" i="14"/>
  <c r="N71" i="14"/>
  <c r="N74" i="14" s="1"/>
  <c r="P26" i="14"/>
  <c r="P49" i="14" s="1"/>
  <c r="P50" i="14" s="1"/>
  <c r="Q3" i="14"/>
  <c r="M3" i="11"/>
  <c r="S46" i="14"/>
  <c r="S33" i="14"/>
  <c r="K121" i="15" l="1"/>
  <c r="L53" i="15"/>
  <c r="AG2" i="7"/>
  <c r="AQ3" i="6"/>
  <c r="AG2" i="5"/>
  <c r="Q26" i="14"/>
  <c r="Q49" i="14" s="1"/>
  <c r="Q50" i="14" s="1"/>
  <c r="R3" i="14"/>
  <c r="N3" i="11"/>
  <c r="T30" i="14"/>
  <c r="T29" i="14"/>
  <c r="T36" i="14"/>
  <c r="T45" i="14"/>
  <c r="AG54" i="8"/>
  <c r="T32" i="14"/>
  <c r="AC54" i="8"/>
  <c r="AE54" i="8" s="1"/>
  <c r="L53" i="7"/>
  <c r="P64" i="14"/>
  <c r="P62" i="14"/>
  <c r="P58" i="14"/>
  <c r="P65" i="14"/>
  <c r="P53" i="14"/>
  <c r="P56" i="14"/>
  <c r="P54" i="14"/>
  <c r="P57" i="14"/>
  <c r="P52" i="14"/>
  <c r="P68" i="14"/>
  <c r="P67" i="14"/>
  <c r="P63" i="14"/>
  <c r="P66" i="14"/>
  <c r="P59" i="14"/>
  <c r="P55" i="14"/>
  <c r="P69" i="14"/>
  <c r="P61" i="14"/>
  <c r="P70" i="14"/>
  <c r="P51" i="14"/>
  <c r="P60" i="14"/>
  <c r="AE52" i="12"/>
  <c r="AG52" i="12"/>
  <c r="T42" i="14"/>
  <c r="T31" i="14"/>
  <c r="O71" i="14"/>
  <c r="O74" i="14" s="1"/>
  <c r="T34" i="14"/>
  <c r="T33" i="14"/>
  <c r="T40" i="14"/>
  <c r="T44" i="14"/>
  <c r="T41" i="14"/>
  <c r="O46" i="6"/>
  <c r="O6" i="6"/>
  <c r="T37" i="14"/>
  <c r="T39" i="14"/>
  <c r="T35" i="14"/>
  <c r="T38" i="14"/>
  <c r="T28" i="14"/>
  <c r="T46" i="14"/>
  <c r="T43" i="14"/>
  <c r="S47" i="14"/>
  <c r="T27" i="14"/>
  <c r="K123" i="5"/>
  <c r="L55" i="5"/>
  <c r="L121" i="15" l="1"/>
  <c r="M53" i="15"/>
  <c r="AR3" i="6"/>
  <c r="AH2" i="5"/>
  <c r="AH2" i="7"/>
  <c r="U29" i="14"/>
  <c r="AJ52" i="12"/>
  <c r="AK52" i="12" s="1"/>
  <c r="AH52" i="12"/>
  <c r="U34" i="14"/>
  <c r="P46" i="6"/>
  <c r="W6" i="6" s="1"/>
  <c r="W46" i="6" s="1"/>
  <c r="P6" i="6"/>
  <c r="U30" i="14"/>
  <c r="U38" i="14"/>
  <c r="U43" i="14"/>
  <c r="U46" i="14"/>
  <c r="AJ54" i="8"/>
  <c r="P71" i="14"/>
  <c r="P74" i="14" s="1"/>
  <c r="U45" i="14"/>
  <c r="U32" i="14"/>
  <c r="U35" i="14"/>
  <c r="U44" i="14"/>
  <c r="L123" i="5"/>
  <c r="M55" i="5"/>
  <c r="U31" i="14"/>
  <c r="U28" i="14"/>
  <c r="U37" i="14"/>
  <c r="U40" i="14"/>
  <c r="R26" i="14"/>
  <c r="R49" i="14" s="1"/>
  <c r="R50" i="14" s="1"/>
  <c r="S3" i="14"/>
  <c r="O3" i="11"/>
  <c r="U33" i="14"/>
  <c r="U41" i="14"/>
  <c r="U39" i="14"/>
  <c r="T47" i="14"/>
  <c r="U27" i="14"/>
  <c r="U42" i="14"/>
  <c r="AF54" i="8"/>
  <c r="AH54" i="8" s="1"/>
  <c r="M53" i="7"/>
  <c r="U36" i="14"/>
  <c r="Q69" i="14"/>
  <c r="Q55" i="14"/>
  <c r="Q67" i="14"/>
  <c r="Q51" i="14"/>
  <c r="Q54" i="14"/>
  <c r="Q63" i="14"/>
  <c r="Q64" i="14"/>
  <c r="Q60" i="14"/>
  <c r="Q62" i="14"/>
  <c r="Q61" i="14"/>
  <c r="Q56" i="14"/>
  <c r="Q68" i="14"/>
  <c r="Q52" i="14"/>
  <c r="Q65" i="14"/>
  <c r="Q59" i="14"/>
  <c r="Q53" i="14"/>
  <c r="Q58" i="14"/>
  <c r="Q66" i="14"/>
  <c r="Q57" i="14"/>
  <c r="Q70" i="14"/>
  <c r="M121" i="15" l="1"/>
  <c r="P54" i="15"/>
  <c r="P53" i="15"/>
  <c r="AI2" i="7"/>
  <c r="AI2" i="5"/>
  <c r="AS3" i="6"/>
  <c r="V46" i="14"/>
  <c r="X46" i="6"/>
  <c r="X6" i="6"/>
  <c r="V34" i="14"/>
  <c r="C3" i="13"/>
  <c r="C31" i="13" s="1"/>
  <c r="C9" i="13" s="1"/>
  <c r="C4" i="13"/>
  <c r="C32" i="13" s="1"/>
  <c r="P55" i="5"/>
  <c r="M123" i="5"/>
  <c r="P56" i="5"/>
  <c r="C5" i="13"/>
  <c r="C33" i="13" s="1"/>
  <c r="S26" i="14"/>
  <c r="S49" i="14" s="1"/>
  <c r="S50" i="14" s="1"/>
  <c r="T3" i="14"/>
  <c r="P3" i="11"/>
  <c r="V32" i="14"/>
  <c r="V40" i="14"/>
  <c r="V38" i="14"/>
  <c r="V43" i="14"/>
  <c r="V37" i="14"/>
  <c r="R62" i="14"/>
  <c r="R59" i="14"/>
  <c r="R63" i="14"/>
  <c r="R61" i="14"/>
  <c r="R51" i="14"/>
  <c r="R52" i="14"/>
  <c r="R64" i="14"/>
  <c r="R60" i="14"/>
  <c r="R67" i="14"/>
  <c r="R65" i="14"/>
  <c r="R70" i="14"/>
  <c r="R68" i="14"/>
  <c r="R55" i="14"/>
  <c r="R57" i="14"/>
  <c r="R69" i="14"/>
  <c r="R53" i="14"/>
  <c r="R66" i="14"/>
  <c r="R56" i="14"/>
  <c r="R58" i="14"/>
  <c r="R54" i="14"/>
  <c r="V45" i="14"/>
  <c r="V41" i="14"/>
  <c r="V42" i="14"/>
  <c r="V33" i="14"/>
  <c r="V30" i="14"/>
  <c r="V29" i="14"/>
  <c r="V36" i="14"/>
  <c r="V31" i="14"/>
  <c r="V39" i="14"/>
  <c r="AI54" i="8"/>
  <c r="AK54" i="8" s="1"/>
  <c r="P54" i="7"/>
  <c r="P53" i="7" s="1"/>
  <c r="Q53" i="7" s="1"/>
  <c r="R53" i="7" s="1"/>
  <c r="S53" i="7" s="1"/>
  <c r="T53" i="7" s="1"/>
  <c r="U53" i="7" s="1"/>
  <c r="V53" i="7" s="1"/>
  <c r="W53" i="7" s="1"/>
  <c r="X53" i="7" s="1"/>
  <c r="Y53" i="7" s="1"/>
  <c r="Z53" i="7" s="1"/>
  <c r="AA53" i="7" s="1"/>
  <c r="AD54" i="7" s="1"/>
  <c r="AD53" i="7" s="1"/>
  <c r="AE53" i="7" s="1"/>
  <c r="AF53" i="7" s="1"/>
  <c r="AG53" i="7" s="1"/>
  <c r="AH53" i="7" s="1"/>
  <c r="AI53" i="7" s="1"/>
  <c r="AJ53" i="7" s="1"/>
  <c r="AK53" i="7" s="1"/>
  <c r="AL53" i="7" s="1"/>
  <c r="AM53" i="7" s="1"/>
  <c r="AN53" i="7" s="1"/>
  <c r="AO53" i="7" s="1"/>
  <c r="Q71" i="14"/>
  <c r="Q74" i="14" s="1"/>
  <c r="V44" i="14"/>
  <c r="U47" i="14"/>
  <c r="V27" i="14"/>
  <c r="V28" i="14"/>
  <c r="V35" i="14"/>
  <c r="Q53" i="15" l="1"/>
  <c r="N121" i="15"/>
  <c r="AT3" i="6"/>
  <c r="AJ2" i="5"/>
  <c r="AJ2" i="7"/>
  <c r="AK2" i="7"/>
  <c r="W39" i="14"/>
  <c r="T26" i="14"/>
  <c r="T49" i="14" s="1"/>
  <c r="T50" i="14" s="1"/>
  <c r="U3" i="14"/>
  <c r="Q3" i="11"/>
  <c r="W34" i="14"/>
  <c r="S64" i="14"/>
  <c r="S61" i="14"/>
  <c r="S52" i="14"/>
  <c r="S68" i="14"/>
  <c r="S70" i="14"/>
  <c r="S59" i="14"/>
  <c r="S62" i="14"/>
  <c r="S69" i="14"/>
  <c r="S55" i="14"/>
  <c r="S63" i="14"/>
  <c r="S58" i="14"/>
  <c r="S67" i="14"/>
  <c r="S51" i="14"/>
  <c r="S54" i="14"/>
  <c r="S57" i="14"/>
  <c r="S66" i="14"/>
  <c r="S65" i="14"/>
  <c r="S53" i="14"/>
  <c r="S56" i="14"/>
  <c r="S60" i="14"/>
  <c r="V47" i="14"/>
  <c r="W27" i="14"/>
  <c r="R71" i="14"/>
  <c r="R74" i="14" s="1"/>
  <c r="W33" i="14"/>
  <c r="W36" i="14"/>
  <c r="Y6" i="6"/>
  <c r="Y46" i="6"/>
  <c r="W45" i="14"/>
  <c r="W43" i="14"/>
  <c r="W31" i="14"/>
  <c r="W38" i="14"/>
  <c r="W44" i="14"/>
  <c r="W35" i="14"/>
  <c r="W42" i="14"/>
  <c r="W40" i="14"/>
  <c r="W46" i="14"/>
  <c r="W30" i="14"/>
  <c r="W28" i="14"/>
  <c r="W29" i="14"/>
  <c r="W41" i="14"/>
  <c r="W37" i="14"/>
  <c r="W32" i="14"/>
  <c r="N123" i="5"/>
  <c r="Q55" i="5"/>
  <c r="R53" i="15" l="1"/>
  <c r="O121" i="15"/>
  <c r="AU3" i="6"/>
  <c r="AK2" i="5"/>
  <c r="W47" i="14"/>
  <c r="X27" i="14"/>
  <c r="X41" i="14"/>
  <c r="R55" i="5"/>
  <c r="O123" i="5"/>
  <c r="V3" i="14"/>
  <c r="U26" i="14"/>
  <c r="U49" i="14" s="1"/>
  <c r="U50" i="14" s="1"/>
  <c r="R3" i="11"/>
  <c r="X46" i="14"/>
  <c r="X40" i="14"/>
  <c r="S71" i="14"/>
  <c r="S74" i="14" s="1"/>
  <c r="X42" i="14"/>
  <c r="X44" i="14"/>
  <c r="X34" i="14"/>
  <c r="X29" i="14"/>
  <c r="X38" i="14"/>
  <c r="T53" i="14"/>
  <c r="T54" i="14"/>
  <c r="T57" i="14"/>
  <c r="T69" i="14"/>
  <c r="T67" i="14"/>
  <c r="T70" i="14"/>
  <c r="T68" i="14"/>
  <c r="T61" i="14"/>
  <c r="T66" i="14"/>
  <c r="T62" i="14"/>
  <c r="T65" i="14"/>
  <c r="T64" i="14"/>
  <c r="T63" i="14"/>
  <c r="T56" i="14"/>
  <c r="T59" i="14"/>
  <c r="T55" i="14"/>
  <c r="T60" i="14"/>
  <c r="T58" i="14"/>
  <c r="T51" i="14"/>
  <c r="T52" i="14"/>
  <c r="X39" i="14"/>
  <c r="X45" i="14"/>
  <c r="Z46" i="6"/>
  <c r="Z6" i="6"/>
  <c r="X32" i="14"/>
  <c r="X28" i="14"/>
  <c r="X31" i="14"/>
  <c r="X36" i="14"/>
  <c r="X37" i="14"/>
  <c r="X30" i="14"/>
  <c r="X35" i="14"/>
  <c r="X43" i="14"/>
  <c r="X33" i="14"/>
  <c r="S53" i="15" l="1"/>
  <c r="P121" i="15"/>
  <c r="AV3" i="6"/>
  <c r="AL2" i="5"/>
  <c r="W3" i="14"/>
  <c r="V26" i="14"/>
  <c r="V49" i="14" s="1"/>
  <c r="V50" i="14" s="1"/>
  <c r="S3" i="11"/>
  <c r="Y37" i="14"/>
  <c r="Y41" i="14"/>
  <c r="Y28" i="14"/>
  <c r="Y33" i="14"/>
  <c r="Y46" i="14"/>
  <c r="Y40" i="14"/>
  <c r="T71" i="14"/>
  <c r="T74" i="14" s="1"/>
  <c r="X47" i="14"/>
  <c r="Y27" i="14"/>
  <c r="Y30" i="14"/>
  <c r="Y39" i="14"/>
  <c r="Y29" i="14"/>
  <c r="Y32" i="14"/>
  <c r="Y34" i="14"/>
  <c r="Y43" i="14"/>
  <c r="Y36" i="14"/>
  <c r="Y44" i="14"/>
  <c r="AA6" i="6"/>
  <c r="AA46" i="6"/>
  <c r="S55" i="5"/>
  <c r="P123" i="5"/>
  <c r="Y35" i="14"/>
  <c r="Y31" i="14"/>
  <c r="Y45" i="14"/>
  <c r="Y38" i="14"/>
  <c r="Y42" i="14"/>
  <c r="U70" i="14"/>
  <c r="U54" i="14"/>
  <c r="U56" i="14"/>
  <c r="U65" i="14"/>
  <c r="U64" i="14"/>
  <c r="U66" i="14"/>
  <c r="U60" i="14"/>
  <c r="U59" i="14"/>
  <c r="U68" i="14"/>
  <c r="U62" i="14"/>
  <c r="U57" i="14"/>
  <c r="U51" i="14"/>
  <c r="U67" i="14"/>
  <c r="U69" i="14"/>
  <c r="U63" i="14"/>
  <c r="U61" i="14"/>
  <c r="U53" i="14"/>
  <c r="U52" i="14"/>
  <c r="U55" i="14"/>
  <c r="U58" i="14"/>
  <c r="T53" i="15" l="1"/>
  <c r="Q121" i="15"/>
  <c r="AW3" i="6"/>
  <c r="AM2" i="5"/>
  <c r="T55" i="5"/>
  <c r="Q123" i="5"/>
  <c r="Z41" i="14"/>
  <c r="Z46" i="14"/>
  <c r="Z37" i="14"/>
  <c r="U71" i="14"/>
  <c r="U74" i="14" s="1"/>
  <c r="Z39" i="14"/>
  <c r="AB46" i="6"/>
  <c r="AB6" i="6"/>
  <c r="Z38" i="14"/>
  <c r="Z40" i="14"/>
  <c r="Z30" i="14"/>
  <c r="Z44" i="14"/>
  <c r="Z32" i="14"/>
  <c r="Z27" i="14"/>
  <c r="Y47" i="14"/>
  <c r="V63" i="14"/>
  <c r="V54" i="14"/>
  <c r="V60" i="14"/>
  <c r="V55" i="14"/>
  <c r="V66" i="14"/>
  <c r="V52" i="14"/>
  <c r="V56" i="14"/>
  <c r="V51" i="14"/>
  <c r="V62" i="14"/>
  <c r="V64" i="14"/>
  <c r="V58" i="14"/>
  <c r="V69" i="14"/>
  <c r="V70" i="14"/>
  <c r="V68" i="14"/>
  <c r="V65" i="14"/>
  <c r="V57" i="14"/>
  <c r="V61" i="14"/>
  <c r="V53" i="14"/>
  <c r="V67" i="14"/>
  <c r="V59" i="14"/>
  <c r="Z43" i="14"/>
  <c r="Z45" i="14"/>
  <c r="Z34" i="14"/>
  <c r="Z31" i="14"/>
  <c r="Z33" i="14"/>
  <c r="Z42" i="14"/>
  <c r="Z35" i="14"/>
  <c r="Z36" i="14"/>
  <c r="Z29" i="14"/>
  <c r="Z28" i="14"/>
  <c r="W26" i="14"/>
  <c r="W49" i="14" s="1"/>
  <c r="W50" i="14" s="1"/>
  <c r="X3" i="14"/>
  <c r="T3" i="11"/>
  <c r="U53" i="15" l="1"/>
  <c r="R121" i="15"/>
  <c r="AN2" i="5"/>
  <c r="AX3" i="6"/>
  <c r="AA37" i="14"/>
  <c r="AA33" i="14"/>
  <c r="AA43" i="14"/>
  <c r="AA36" i="14"/>
  <c r="AA32" i="14"/>
  <c r="AA46" i="14"/>
  <c r="AA35" i="14"/>
  <c r="AA41" i="14"/>
  <c r="AA38" i="14"/>
  <c r="X26" i="14"/>
  <c r="X49" i="14" s="1"/>
  <c r="X50" i="14" s="1"/>
  <c r="Y3" i="14"/>
  <c r="U3" i="11"/>
  <c r="AA34" i="14"/>
  <c r="AA39" i="14"/>
  <c r="AA31" i="14"/>
  <c r="W51" i="14"/>
  <c r="W57" i="14"/>
  <c r="W66" i="14"/>
  <c r="W59" i="14"/>
  <c r="W68" i="14"/>
  <c r="W60" i="14"/>
  <c r="W67" i="14"/>
  <c r="W61" i="14"/>
  <c r="W53" i="14"/>
  <c r="W52" i="14"/>
  <c r="W70" i="14"/>
  <c r="W65" i="14"/>
  <c r="W58" i="14"/>
  <c r="W56" i="14"/>
  <c r="W54" i="14"/>
  <c r="W64" i="14"/>
  <c r="W69" i="14"/>
  <c r="W63" i="14"/>
  <c r="W62" i="14"/>
  <c r="W55" i="14"/>
  <c r="AA28" i="14"/>
  <c r="AA42" i="14"/>
  <c r="AA45" i="14"/>
  <c r="V71" i="14"/>
  <c r="V74" i="14" s="1"/>
  <c r="AA29" i="14"/>
  <c r="AA44" i="14"/>
  <c r="AC46" i="6"/>
  <c r="AC6" i="6"/>
  <c r="AA30" i="14"/>
  <c r="AA27" i="14"/>
  <c r="Z47" i="14"/>
  <c r="AA40" i="14"/>
  <c r="R123" i="5"/>
  <c r="U55" i="5"/>
  <c r="S121" i="15" l="1"/>
  <c r="V53" i="15"/>
  <c r="AY3" i="6"/>
  <c r="AO2" i="5"/>
  <c r="AZ3" i="6" s="1"/>
  <c r="AB29" i="14"/>
  <c r="AB41" i="14"/>
  <c r="AB36" i="14"/>
  <c r="AB34" i="14"/>
  <c r="AB30" i="14"/>
  <c r="V55" i="5"/>
  <c r="S123" i="5"/>
  <c r="AB46" i="14"/>
  <c r="AB27" i="14"/>
  <c r="AA47" i="14"/>
  <c r="X51" i="14"/>
  <c r="X58" i="14"/>
  <c r="X65" i="14"/>
  <c r="X67" i="14"/>
  <c r="X60" i="14"/>
  <c r="X57" i="14"/>
  <c r="X56" i="14"/>
  <c r="X68" i="14"/>
  <c r="X55" i="14"/>
  <c r="X69" i="14"/>
  <c r="X64" i="14"/>
  <c r="X62" i="14"/>
  <c r="X53" i="14"/>
  <c r="X63" i="14"/>
  <c r="X61" i="14"/>
  <c r="X70" i="14"/>
  <c r="X54" i="14"/>
  <c r="X59" i="14"/>
  <c r="X52" i="14"/>
  <c r="X66" i="14"/>
  <c r="AB43" i="14"/>
  <c r="Y26" i="14"/>
  <c r="Y49" i="14" s="1"/>
  <c r="Y50" i="14" s="1"/>
  <c r="Z3" i="14"/>
  <c r="V3" i="11"/>
  <c r="AB33" i="14"/>
  <c r="AB40" i="14"/>
  <c r="AB42" i="14"/>
  <c r="AB38" i="14"/>
  <c r="AB32" i="14"/>
  <c r="AB37" i="14"/>
  <c r="AB35" i="14"/>
  <c r="AB45" i="14"/>
  <c r="W71" i="14"/>
  <c r="W74" i="14" s="1"/>
  <c r="AD46" i="6"/>
  <c r="AD6" i="6"/>
  <c r="AB31" i="14"/>
  <c r="AB44" i="14"/>
  <c r="AB28" i="14"/>
  <c r="AB39" i="14"/>
  <c r="T121" i="15" l="1"/>
  <c r="W53" i="15"/>
  <c r="AC42" i="14"/>
  <c r="AC34" i="14"/>
  <c r="AC35" i="14"/>
  <c r="AC31" i="14"/>
  <c r="AC40" i="14"/>
  <c r="AC32" i="14"/>
  <c r="AC41" i="14"/>
  <c r="AC27" i="14"/>
  <c r="AB47" i="14"/>
  <c r="AC43" i="14"/>
  <c r="AC36" i="14"/>
  <c r="AC28" i="14"/>
  <c r="T123" i="5"/>
  <c r="W55" i="5"/>
  <c r="Y69" i="14"/>
  <c r="Y66" i="14"/>
  <c r="Y52" i="14"/>
  <c r="Y59" i="14"/>
  <c r="Y61" i="14"/>
  <c r="Y63" i="14"/>
  <c r="Y54" i="14"/>
  <c r="Y58" i="14"/>
  <c r="Y60" i="14"/>
  <c r="Y62" i="14"/>
  <c r="Y57" i="14"/>
  <c r="Y65" i="14"/>
  <c r="Y68" i="14"/>
  <c r="Y64" i="14"/>
  <c r="Y55" i="14"/>
  <c r="Y67" i="14"/>
  <c r="Y51" i="14"/>
  <c r="Y70" i="14"/>
  <c r="Y53" i="14"/>
  <c r="Y56" i="14"/>
  <c r="AC37" i="14"/>
  <c r="AC39" i="14"/>
  <c r="AC33" i="14"/>
  <c r="AC45" i="14"/>
  <c r="AC38" i="14"/>
  <c r="X71" i="14"/>
  <c r="X74" i="14" s="1"/>
  <c r="AC30" i="14"/>
  <c r="AC29" i="14"/>
  <c r="AC46" i="14"/>
  <c r="AE6" i="6"/>
  <c r="AE46" i="6"/>
  <c r="AC44" i="14"/>
  <c r="Z26" i="14"/>
  <c r="Z49" i="14" s="1"/>
  <c r="Z50" i="14" s="1"/>
  <c r="AA3" i="14"/>
  <c r="W3" i="11"/>
  <c r="U121" i="15" l="1"/>
  <c r="X53" i="15"/>
  <c r="AF46" i="6"/>
  <c r="AF6" i="6"/>
  <c r="Z61" i="14"/>
  <c r="Z56" i="14"/>
  <c r="Z62" i="14"/>
  <c r="Z68" i="14"/>
  <c r="Z57" i="14"/>
  <c r="Z59" i="14"/>
  <c r="Z63" i="14"/>
  <c r="Z55" i="14"/>
  <c r="Z66" i="14"/>
  <c r="Z64" i="14"/>
  <c r="Z70" i="14"/>
  <c r="Z65" i="14"/>
  <c r="Z51" i="14"/>
  <c r="Z52" i="14"/>
  <c r="Z54" i="14"/>
  <c r="Z60" i="14"/>
  <c r="Z69" i="14"/>
  <c r="Z53" i="14"/>
  <c r="Z67" i="14"/>
  <c r="Z58" i="14"/>
  <c r="Y71" i="14"/>
  <c r="Y74" i="14" s="1"/>
  <c r="AC47" i="14"/>
  <c r="AA26" i="14"/>
  <c r="AA49" i="14" s="1"/>
  <c r="AA50" i="14" s="1"/>
  <c r="AB3" i="14"/>
  <c r="X3" i="11"/>
  <c r="X55" i="5"/>
  <c r="U123" i="5"/>
  <c r="V121" i="15" l="1"/>
  <c r="Y53" i="15"/>
  <c r="V123" i="5"/>
  <c r="Y55" i="5"/>
  <c r="AA53" i="14"/>
  <c r="AA54" i="14"/>
  <c r="AA62" i="14"/>
  <c r="AA69" i="14"/>
  <c r="AA56" i="14"/>
  <c r="AA59" i="14"/>
  <c r="AA52" i="14"/>
  <c r="AA57" i="14"/>
  <c r="AA63" i="14"/>
  <c r="AA64" i="14"/>
  <c r="AA51" i="14"/>
  <c r="AA66" i="14"/>
  <c r="AA65" i="14"/>
  <c r="AA61" i="14"/>
  <c r="AA67" i="14"/>
  <c r="AA58" i="14"/>
  <c r="AA68" i="14"/>
  <c r="AA60" i="14"/>
  <c r="AA70" i="14"/>
  <c r="AA55" i="14"/>
  <c r="Z71" i="14"/>
  <c r="Z74" i="14" s="1"/>
  <c r="D7" i="13"/>
  <c r="D35" i="13" s="1"/>
  <c r="AG6" i="6"/>
  <c r="AG46" i="6"/>
  <c r="AB26" i="14"/>
  <c r="AB49" i="14" s="1"/>
  <c r="AB50" i="14" s="1"/>
  <c r="AC3" i="14"/>
  <c r="Y3" i="11"/>
  <c r="W121" i="15" l="1"/>
  <c r="Z53" i="15"/>
  <c r="AB66" i="14"/>
  <c r="AB64" i="14"/>
  <c r="AB54" i="14"/>
  <c r="AB68" i="14"/>
  <c r="AB53" i="14"/>
  <c r="AB60" i="14"/>
  <c r="AB62" i="14"/>
  <c r="AB51" i="14"/>
  <c r="AB63" i="14"/>
  <c r="AB67" i="14"/>
  <c r="AB57" i="14"/>
  <c r="AB56" i="14"/>
  <c r="AB70" i="14"/>
  <c r="AB58" i="14"/>
  <c r="AB69" i="14"/>
  <c r="AB52" i="14"/>
  <c r="AB61" i="14"/>
  <c r="AB55" i="14"/>
  <c r="AB59" i="14"/>
  <c r="AB65" i="14"/>
  <c r="AC26" i="14"/>
  <c r="AC49" i="14" s="1"/>
  <c r="AC50" i="14" s="1"/>
  <c r="Z3" i="11"/>
  <c r="AA71" i="14"/>
  <c r="AA74" i="14" s="1"/>
  <c r="AH46" i="6"/>
  <c r="AO6" i="6" s="1"/>
  <c r="AO46" i="6" s="1"/>
  <c r="AH6" i="6"/>
  <c r="Z55" i="5"/>
  <c r="W123" i="5"/>
  <c r="X121" i="15" l="1"/>
  <c r="AA53" i="15"/>
  <c r="AD53" i="15" s="1"/>
  <c r="AE53" i="15" s="1"/>
  <c r="AF53" i="15" s="1"/>
  <c r="AG53" i="15" s="1"/>
  <c r="AH53" i="15" s="1"/>
  <c r="AI53" i="15" s="1"/>
  <c r="AJ53" i="15" s="1"/>
  <c r="AK53" i="15" s="1"/>
  <c r="AL53" i="15" s="1"/>
  <c r="AM53" i="15" s="1"/>
  <c r="AN53" i="15" s="1"/>
  <c r="AO53" i="15" s="1"/>
  <c r="AP46" i="6"/>
  <c r="AP6" i="6"/>
  <c r="AC55" i="14"/>
  <c r="AC61" i="14"/>
  <c r="AC66" i="14"/>
  <c r="AC60" i="14"/>
  <c r="AC57" i="14"/>
  <c r="AC67" i="14"/>
  <c r="AC64" i="14"/>
  <c r="AC70" i="14"/>
  <c r="AC51" i="14"/>
  <c r="AC56" i="14"/>
  <c r="AC63" i="14"/>
  <c r="AC65" i="14"/>
  <c r="AC69" i="14"/>
  <c r="AC52" i="14"/>
  <c r="AC54" i="14"/>
  <c r="AC62" i="14"/>
  <c r="AC53" i="14"/>
  <c r="AC68" i="14"/>
  <c r="AC59" i="14"/>
  <c r="AC58" i="14"/>
  <c r="X123" i="5"/>
  <c r="AA55" i="5"/>
  <c r="AB71" i="14"/>
  <c r="AB74" i="14" s="1"/>
  <c r="Y121" i="15" l="1"/>
  <c r="AD54" i="15"/>
  <c r="AC71" i="14"/>
  <c r="AC74" i="14" s="1"/>
  <c r="D4" i="13"/>
  <c r="D32" i="13" s="1"/>
  <c r="D3" i="13"/>
  <c r="D31" i="13" s="1"/>
  <c r="D9" i="13" s="1"/>
  <c r="Y123" i="5"/>
  <c r="AD55" i="5"/>
  <c r="AE55" i="5" s="1"/>
  <c r="AF55" i="5" s="1"/>
  <c r="AG55" i="5" s="1"/>
  <c r="AH55" i="5" s="1"/>
  <c r="AI55" i="5" s="1"/>
  <c r="AJ55" i="5" s="1"/>
  <c r="AK55" i="5" s="1"/>
  <c r="AL55" i="5" s="1"/>
  <c r="AM55" i="5" s="1"/>
  <c r="AN55" i="5" s="1"/>
  <c r="AO55" i="5" s="1"/>
  <c r="AD56" i="5"/>
  <c r="D5" i="13"/>
  <c r="D33" i="13" s="1"/>
  <c r="AQ46" i="6"/>
  <c r="AQ6" i="6"/>
  <c r="AR6" i="6" l="1"/>
  <c r="AR46" i="6"/>
  <c r="AS46" i="6" l="1"/>
  <c r="AS6" i="6"/>
  <c r="AT6" i="6" l="1"/>
  <c r="AT46" i="6"/>
  <c r="AU6" i="6" l="1"/>
  <c r="AU46" i="6"/>
  <c r="AV46" i="6" l="1"/>
  <c r="AV6" i="6"/>
  <c r="AW6" i="6" l="1"/>
  <c r="AW46" i="6"/>
  <c r="AX46" i="6" l="1"/>
  <c r="AX6" i="6"/>
  <c r="AY46" i="6" l="1"/>
  <c r="AY6" i="6"/>
  <c r="AZ46" i="6" l="1"/>
  <c r="AZ6" i="6"/>
</calcChain>
</file>

<file path=xl/sharedStrings.xml><?xml version="1.0" encoding="utf-8"?>
<sst xmlns="http://schemas.openxmlformats.org/spreadsheetml/2006/main" count="1904" uniqueCount="841">
  <si>
    <t>振込手数料</t>
  </si>
  <si>
    <t>科目</t>
  </si>
  <si>
    <t>売上入金</t>
  </si>
  <si>
    <t>その他経常収入</t>
  </si>
  <si>
    <t>仕入支払い</t>
  </si>
  <si>
    <t>外注費</t>
  </si>
  <si>
    <t>給与・賞与</t>
  </si>
  <si>
    <t>社会保険料・源泉所得税・住民税</t>
  </si>
  <si>
    <t>広告宣伝費・販売費</t>
  </si>
  <si>
    <t>交際費・福利厚生費</t>
  </si>
  <si>
    <t>旅費交通費・車両関連費</t>
  </si>
  <si>
    <t>地代家賃・水道光熱費</t>
  </si>
  <si>
    <t>保険料</t>
  </si>
  <si>
    <t>会費・顧問料・手数料・システム利用料</t>
  </si>
  <si>
    <t>研修費・研究開発費</t>
  </si>
  <si>
    <t>リース料・割賦支払い</t>
  </si>
  <si>
    <t>修繕費・設備管理費・消耗品費</t>
  </si>
  <si>
    <t>雑費・銀行手数料</t>
  </si>
  <si>
    <t>その他販管費</t>
  </si>
  <si>
    <t>その他経常支出</t>
  </si>
  <si>
    <t>現金引出し・QR決済</t>
  </si>
  <si>
    <t>クレジットカード支払い</t>
  </si>
  <si>
    <t>消費税・租税公課</t>
  </si>
  <si>
    <t>事業主貸（個人事業）</t>
  </si>
  <si>
    <t>定期預金解約</t>
  </si>
  <si>
    <t>固定資産売却</t>
  </si>
  <si>
    <t>補助金・助成金等</t>
  </si>
  <si>
    <t>その他経常外収入</t>
  </si>
  <si>
    <t>定期預金・投資等</t>
  </si>
  <si>
    <t>固定資産の取得</t>
  </si>
  <si>
    <t>法人税等</t>
  </si>
  <si>
    <t>その他経常外支出</t>
  </si>
  <si>
    <t>短期借入金</t>
  </si>
  <si>
    <t>長期借入金</t>
  </si>
  <si>
    <t>役員・関係会社から入金</t>
  </si>
  <si>
    <t>受取利息・配当</t>
  </si>
  <si>
    <t>その他財務収入</t>
  </si>
  <si>
    <t>短期借入金返済</t>
  </si>
  <si>
    <t>長期借入金返済</t>
  </si>
  <si>
    <t>役員・関係会社へ支出</t>
  </si>
  <si>
    <t>支払利息・保証料</t>
  </si>
  <si>
    <t>その他財務支出</t>
  </si>
  <si>
    <t>期首・期末現預金残高</t>
  </si>
  <si>
    <t>﻿科目</t>
  </si>
  <si>
    <t>摘要</t>
  </si>
  <si>
    <t>資金繰り実績表・予定表</t>
  </si>
  <si>
    <t>資金繰り予定表2</t>
  </si>
  <si>
    <t>資金繰り予定表3</t>
  </si>
  <si>
    <t>合計</t>
  </si>
  <si>
    <t>①経常収入合計</t>
  </si>
  <si>
    <t>②経常支出合計</t>
  </si>
  <si>
    <t>③経常収支</t>
  </si>
  <si>
    <t>④経常外収入合計</t>
  </si>
  <si>
    <t>⑤経常外支出合計</t>
  </si>
  <si>
    <t>⑥経常外収支</t>
  </si>
  <si>
    <t>⑦財務収入合計</t>
  </si>
  <si>
    <t>⑧財務支出合計</t>
  </si>
  <si>
    <t>⑨財務収支</t>
  </si>
  <si>
    <t>⑩総合収支</t>
  </si>
  <si>
    <t>当月現預金残高</t>
  </si>
  <si>
    <t>現預金残高</t>
  </si>
  <si>
    <t>経常収支</t>
  </si>
  <si>
    <t>資金繰り予定表</t>
  </si>
  <si>
    <t>売上高</t>
  </si>
  <si>
    <t>仕入・外注費</t>
  </si>
  <si>
    <t>前期繰越現金・当座預金</t>
  </si>
  <si>
    <t>現金売上</t>
  </si>
  <si>
    <t>売</t>
  </si>
  <si>
    <t>売掛金現金回収</t>
  </si>
  <si>
    <t>収</t>
  </si>
  <si>
    <t>上</t>
  </si>
  <si>
    <t>手形期日落</t>
  </si>
  <si>
    <t>（手形回収）</t>
  </si>
  <si>
    <t>代</t>
  </si>
  <si>
    <t>手形割引</t>
  </si>
  <si>
    <t>経</t>
  </si>
  <si>
    <t>金</t>
  </si>
  <si>
    <t>入</t>
  </si>
  <si>
    <t>その他収入</t>
  </si>
  <si>
    <t>常</t>
  </si>
  <si>
    <t>収入合計</t>
  </si>
  <si>
    <t>仕</t>
  </si>
  <si>
    <t>現金仕入</t>
  </si>
  <si>
    <t>買掛金支払</t>
  </si>
  <si>
    <t>買掛金現金支払</t>
  </si>
  <si>
    <t>支</t>
  </si>
  <si>
    <t>手形決済</t>
  </si>
  <si>
    <t>（手形支払）</t>
  </si>
  <si>
    <t>賃金給与</t>
  </si>
  <si>
    <t>出</t>
  </si>
  <si>
    <t>その他経費</t>
  </si>
  <si>
    <t>支払利息・割引料</t>
  </si>
  <si>
    <t>支出合計</t>
  </si>
  <si>
    <t>固定資産等売却収入</t>
  </si>
  <si>
    <t>税金</t>
  </si>
  <si>
    <t>外</t>
  </si>
  <si>
    <t>固定資産等購入支払</t>
  </si>
  <si>
    <t>経常外収支</t>
  </si>
  <si>
    <t>長期借入金調達</t>
  </si>
  <si>
    <t>財</t>
  </si>
  <si>
    <t>短期借入金調達</t>
  </si>
  <si>
    <t>定期性預金取り崩し</t>
  </si>
  <si>
    <t>務</t>
  </si>
  <si>
    <t>定期性預金預け入れ</t>
  </si>
  <si>
    <t>財務収支</t>
  </si>
  <si>
    <t>総合収支</t>
  </si>
  <si>
    <t>翌月繰越現金・当座預金</t>
  </si>
  <si>
    <t>↑資金繰り実績表から転記</t>
  </si>
  <si>
    <t>資金繰り予実対比</t>
  </si>
  <si>
    <t>予定</t>
  </si>
  <si>
    <t>実績</t>
  </si>
  <si>
    <t>差異</t>
  </si>
  <si>
    <t>法人税等概算</t>
  </si>
  <si>
    <t xml:space="preserve">  1 税引前当期利益(OR)欠損</t>
  </si>
  <si>
    <t>法人税等の計算</t>
  </si>
  <si>
    <t>当期中間納税</t>
  </si>
  <si>
    <t>確定納付額</t>
  </si>
  <si>
    <t>来期予定納付額</t>
  </si>
  <si>
    <t>（税務調整　加算）</t>
  </si>
  <si>
    <t>法人所得金額</t>
  </si>
  <si>
    <t>　減価償却の償却超過額</t>
  </si>
  <si>
    <t>法人税税額控除前</t>
  </si>
  <si>
    <t>　役員給与の損金不算入額</t>
  </si>
  <si>
    <t>　税額控除</t>
  </si>
  <si>
    <t>　交際費等の損金不算入額</t>
  </si>
  <si>
    <t xml:space="preserve">  控除所得税額</t>
  </si>
  <si>
    <t>法人税</t>
  </si>
  <si>
    <t>地方法人税</t>
  </si>
  <si>
    <t>事業税</t>
  </si>
  <si>
    <t>地方法人特別税</t>
  </si>
  <si>
    <t>法人住民税</t>
  </si>
  <si>
    <t>（税務調整　加算計）</t>
  </si>
  <si>
    <t>法人税金合計</t>
  </si>
  <si>
    <t>（税務調整　減算）</t>
  </si>
  <si>
    <t>平均税率</t>
  </si>
  <si>
    <t xml:space="preserve"> 　減価償却超過額当期認容額</t>
  </si>
  <si>
    <t>中小企業の場合</t>
  </si>
  <si>
    <t>令和１年９月末以前開始事業年度</t>
  </si>
  <si>
    <t>　前期確定事業税、所得税</t>
  </si>
  <si>
    <t>　当期中間事業税等</t>
  </si>
  <si>
    <t>８００万円以下</t>
  </si>
  <si>
    <t>　受取配当等の益金不算入額</t>
  </si>
  <si>
    <t>８００万円超</t>
  </si>
  <si>
    <t>※</t>
  </si>
  <si>
    <t>特別法人事業税率</t>
  </si>
  <si>
    <t>４００万円以下</t>
  </si>
  <si>
    <t>（税務調整　減算計）</t>
  </si>
  <si>
    <t>源泉所得税</t>
  </si>
  <si>
    <t>　欠損金の当期控除額</t>
  </si>
  <si>
    <t>　所得金額又は欠損金額</t>
  </si>
  <si>
    <t>都道府県民税</t>
  </si>
  <si>
    <t>市町村民税</t>
  </si>
  <si>
    <t>6%または8.4％　市町村によります。</t>
  </si>
  <si>
    <t>均等割</t>
  </si>
  <si>
    <t>税込みの場合</t>
  </si>
  <si>
    <t>消費税概算</t>
  </si>
  <si>
    <t>2割特例の場合簡易課税ボタンをクリックしてください。</t>
  </si>
  <si>
    <t>（本則課税）</t>
  </si>
  <si>
    <t>簡易課税</t>
  </si>
  <si>
    <t>（課税売上）</t>
  </si>
  <si>
    <t>１種卸売業90％</t>
  </si>
  <si>
    <t>２種小売業80％</t>
  </si>
  <si>
    <t>３種製造業等70％</t>
  </si>
  <si>
    <t>４種その他60％</t>
  </si>
  <si>
    <t>５種サービス業50％</t>
  </si>
  <si>
    <t>6種小売業40％</t>
  </si>
  <si>
    <t>２割特例</t>
  </si>
  <si>
    <t>計</t>
  </si>
  <si>
    <t>差額</t>
  </si>
  <si>
    <t>消費税額</t>
  </si>
  <si>
    <t>税抜売上</t>
  </si>
  <si>
    <t>2割特例</t>
  </si>
  <si>
    <t>特例</t>
  </si>
  <si>
    <t>課税売上（税抜き）　標準</t>
  </si>
  <si>
    <r>
      <rPr>
        <sz val="9"/>
        <color theme="1"/>
        <rFont val="游ゴシック"/>
        <family val="3"/>
        <charset val="128"/>
      </rPr>
      <t>課税売上（税抜き）　</t>
    </r>
    <r>
      <rPr>
        <sz val="9"/>
        <color rgb="FFFF0000"/>
        <rFont val="游ゴシック"/>
        <family val="3"/>
        <charset val="128"/>
      </rPr>
      <t>軽減</t>
    </r>
  </si>
  <si>
    <t>（課税売上合計） 消費税込み</t>
  </si>
  <si>
    <t>消費税額　</t>
  </si>
  <si>
    <t>仕入税額控除額</t>
  </si>
  <si>
    <t>（課税仕入）</t>
  </si>
  <si>
    <t>課税仕入（税抜き）　標準</t>
  </si>
  <si>
    <t>簡易課税仕入税額控除（原則）</t>
  </si>
  <si>
    <t>簡易課税１種類で75％以上の仕入れ税額控除の特例</t>
  </si>
  <si>
    <r>
      <rPr>
        <sz val="9"/>
        <color theme="1"/>
        <rFont val="游ゴシック"/>
        <family val="3"/>
        <charset val="128"/>
      </rPr>
      <t>課税仕入（税抜き）　</t>
    </r>
    <r>
      <rPr>
        <sz val="9"/>
        <color rgb="FFFF0000"/>
        <rFont val="游ゴシック"/>
        <family val="3"/>
        <charset val="128"/>
      </rPr>
      <t>軽減</t>
    </r>
  </si>
  <si>
    <t>国税</t>
  </si>
  <si>
    <t>地方税</t>
  </si>
  <si>
    <t>本則</t>
  </si>
  <si>
    <t>差し引き税額</t>
  </si>
  <si>
    <t>（課税仕入合計）　消費税込み</t>
  </si>
  <si>
    <t>仕入税額控除</t>
  </si>
  <si>
    <t>④</t>
  </si>
  <si>
    <t>⑬</t>
  </si>
  <si>
    <t>原則計算による控除対象仕入税額</t>
  </si>
  <si>
    <t>当期予定納税１</t>
  </si>
  <si>
    <t>当期中間納税2</t>
  </si>
  <si>
    <t>当期予定納税３</t>
  </si>
  <si>
    <t>来期予定納税1</t>
  </si>
  <si>
    <t>来期予定納税2</t>
  </si>
  <si>
    <t>来期予定納税３</t>
  </si>
  <si>
    <t>地方消費税額</t>
  </si>
  <si>
    <t>消費税及び地方消費税　合計</t>
  </si>
  <si>
    <t>譲渡割額</t>
  </si>
  <si>
    <t>簡易の原則</t>
  </si>
  <si>
    <t>簡易</t>
  </si>
  <si>
    <t>法人税等計算</t>
  </si>
  <si>
    <t>(法人所得）</t>
  </si>
  <si>
    <t>法人税額</t>
  </si>
  <si>
    <t>事業税計算</t>
  </si>
  <si>
    <t>納税予定表</t>
  </si>
  <si>
    <t>消費税</t>
  </si>
  <si>
    <t>固定資産税</t>
  </si>
  <si>
    <t>資金繰り前年度対比</t>
  </si>
  <si>
    <t>前年度</t>
  </si>
  <si>
    <t>役員事業主貸</t>
  </si>
  <si>
    <t>役員・関係会社借入金</t>
  </si>
  <si>
    <t>役員・関係会社返済</t>
  </si>
  <si>
    <t>資金繰り安全性指標</t>
  </si>
  <si>
    <t>指標</t>
  </si>
  <si>
    <t>当期</t>
  </si>
  <si>
    <t>来期予想</t>
  </si>
  <si>
    <t>説明</t>
  </si>
  <si>
    <t>目標値</t>
  </si>
  <si>
    <t>入力　当期</t>
  </si>
  <si>
    <t>入力　来期</t>
  </si>
  <si>
    <t>資金余裕率　現預金残/月商</t>
  </si>
  <si>
    <t>現金預金が、月間売上の何か月分に相当するか</t>
  </si>
  <si>
    <t>2ヶ月分以上: 理想的　1.5ヶ月分: 標準　1ヶ月分未満: 危険水域</t>
  </si>
  <si>
    <t>平均月商</t>
  </si>
  <si>
    <t>危機対応力　現預金残/固定費（月）</t>
  </si>
  <si>
    <t>売上がゼロになった時に何ヶ月間持ちこたえられるか？</t>
  </si>
  <si>
    <t>理想3ヶ月以上</t>
  </si>
  <si>
    <t>月固定費額</t>
  </si>
  <si>
    <t>＊売上0でも発生する費用　返済額は除く</t>
  </si>
  <si>
    <t>借入金・現預金倍率　借入金残/現預金残</t>
  </si>
  <si>
    <t>現預金の何倍有利子負債があるか？1の時に実質無借金</t>
  </si>
  <si>
    <t>目標１（無借金経営）</t>
  </si>
  <si>
    <t>借入返済負担力　経常収支/年間返済額</t>
  </si>
  <si>
    <t>借入金の返済力　１の時に経常収支で返済可能</t>
  </si>
  <si>
    <t>最低１以上</t>
  </si>
  <si>
    <t>債務返済年数　借入金残/経常収支</t>
  </si>
  <si>
    <t>借入金の返済に何年かかるか？</t>
  </si>
  <si>
    <t>１０年以下</t>
  </si>
  <si>
    <t>当期点数</t>
  </si>
  <si>
    <t>来期点数</t>
  </si>
  <si>
    <t>(50点満点）</t>
  </si>
  <si>
    <t>点数</t>
  </si>
  <si>
    <t>資金余裕率</t>
  </si>
  <si>
    <t>危機対応力</t>
  </si>
  <si>
    <t>借入金・現預金倍率</t>
  </si>
  <si>
    <t>借入返済負担力</t>
  </si>
  <si>
    <t>借入返済負担率</t>
  </si>
  <si>
    <t>債務返済年数</t>
  </si>
  <si>
    <t>返済又は新規借入</t>
  </si>
  <si>
    <t>残高</t>
  </si>
  <si>
    <t>返済額</t>
  </si>
  <si>
    <t>新規借入はマイナス入力</t>
  </si>
  <si>
    <t>金融機関名</t>
  </si>
  <si>
    <t>当初借入額</t>
  </si>
  <si>
    <t>合計　返済額</t>
  </si>
  <si>
    <t>合計　残高</t>
  </si>
  <si>
    <t>支払利息</t>
  </si>
  <si>
    <t>利率</t>
  </si>
  <si>
    <t>合計　支払利息</t>
  </si>
  <si>
    <t>現金</t>
  </si>
  <si>
    <t>ﾌﾘｺﾐﾃｽｳﾘﾖｳ 支払手数料</t>
  </si>
  <si>
    <t>⑩総収入</t>
    <rPh sb="2" eb="4">
      <t>シュウニュウ</t>
    </rPh>
    <phoneticPr fontId="14"/>
  </si>
  <si>
    <t>⑪総支出</t>
    <rPh sb="1" eb="4">
      <t>ソウシシュツ</t>
    </rPh>
    <phoneticPr fontId="14"/>
  </si>
  <si>
    <t>⑩総合収支</t>
    <phoneticPr fontId="14"/>
  </si>
  <si>
    <t>資金繰り予定表</t>
    <rPh sb="0" eb="3">
      <t>シキング</t>
    </rPh>
    <rPh sb="4" eb="7">
      <t>ヨテイヒョウ</t>
    </rPh>
    <phoneticPr fontId="14"/>
  </si>
  <si>
    <t>実績予定表からコピー　数値編集可</t>
    <rPh sb="0" eb="2">
      <t>ジッセキ</t>
    </rPh>
    <rPh sb="2" eb="5">
      <t>ヨテイヒョウ</t>
    </rPh>
    <rPh sb="11" eb="13">
      <t>スウチ</t>
    </rPh>
    <rPh sb="13" eb="15">
      <t>ヘンシュウ</t>
    </rPh>
    <rPh sb="15" eb="16">
      <t>カ</t>
    </rPh>
    <phoneticPr fontId="14"/>
  </si>
  <si>
    <t>お振込　カ）リクルートペイメン 売掛金</t>
  </si>
  <si>
    <t>お振込　ＵＢＥＲＥＡＴＳＪＡＰ カフェ売上高</t>
  </si>
  <si>
    <t>Ｂお振込　コジヨウマコト 売上高</t>
  </si>
  <si>
    <t>ＢＵＢＥＲ　ＥＡＴＳＪＡＰ カフェ売上高</t>
  </si>
  <si>
    <t>Ｂお振込　カ）リクルートペイメン カフェ売掛金</t>
  </si>
  <si>
    <t>Ｂ 売上高</t>
  </si>
  <si>
    <t>Ｂお振込　ユ）ヘイセイシヨウサン 売掛金</t>
  </si>
  <si>
    <t>Ｂお振込　カ）バデイー 売掛金</t>
  </si>
  <si>
    <t>お振込　カ）リクルートペイメン カフェ売掛金</t>
  </si>
  <si>
    <t>フジモトトオル 売上高</t>
  </si>
  <si>
    <t>カ）ピーク 売掛金</t>
  </si>
  <si>
    <t>ＡＩＲＱＲ 売掛金</t>
  </si>
  <si>
    <t>カ）リクルートペイメン カフェ売掛金</t>
  </si>
  <si>
    <t>ﾊﾔｼﾀﾞ ﾕｳｷ 売上高</t>
  </si>
  <si>
    <t>ﾔﾏﾓﾄ ﾘﾕｳｾｲ 売掛金</t>
  </si>
  <si>
    <t>ｶ)ﾘｸﾙ-ﾄ ﾍﾟｲﾒﾝﾄ カフェ売掛金</t>
  </si>
  <si>
    <t>ｷﾀﾑﾗ ﾀﾏｴ 売掛金</t>
  </si>
  <si>
    <t>ｶ)ｼﾖｳｴﾝｿｳ 売掛金</t>
  </si>
  <si>
    <t>ｶ)ﾊﾞﾃﾞｲ- 売掛金</t>
  </si>
  <si>
    <t>ｺﾝﾄﾞｳ ﾚｲｺ 売掛金</t>
  </si>
  <si>
    <t>ｶ)ﾍﾞｽﾄﾚｲｸ 売掛金</t>
  </si>
  <si>
    <t>ﾕ)ﾊﾘﾏﾂｸﾘ-ﾆﾝｸﾞ 売掛金</t>
  </si>
  <si>
    <t>ｶ)ｽﾏｲﾉｿｳｿﾞｳｶﾝﾊﾞﾝﾌﾞ-ｱｲﾗﾝﾄﾞ 売掛金</t>
  </si>
  <si>
    <t>ｺｼﾞﾖｳ ﾐｷ 売掛金</t>
  </si>
  <si>
    <t>AIRﾍﾟｲQR ｶ)ﾃﾞｲ-ｼﾞ-ﾌｲﾅﾝｼﾔﾙﾃｸﾉﾛｼﾞ- カフェ売掛金</t>
  </si>
  <si>
    <t>ｴﾑｽﾞｸﾛｽ ﾆｼﾀﾞ 売掛金</t>
  </si>
  <si>
    <t>ﾌｼﾞﾓﾄ ﾄｵﾙ 売掛金</t>
  </si>
  <si>
    <t>ﾉﾉｸﾞﾁｾｷﾕ(ｶ 売掛金</t>
  </si>
  <si>
    <t>ﾀﾞｲﾜｲﾝﾀ-ﾃﾂｸ.ｶ 売掛金</t>
  </si>
  <si>
    <t>ﾏﾂｻﾞﾜｹﾝｾﾂｺｳｷﾞﾖｳ ﾏﾂｻﾞﾜ ﾐﾂﾓﾄ 売掛金</t>
  </si>
  <si>
    <t>UBER EATS JAPAN INC. カフェ売上高</t>
  </si>
  <si>
    <t>ｶ)ﾐﾗﾀﾂﾌﾟ 売上高</t>
  </si>
  <si>
    <t>ｻｶﾞﾗ ｱｹﾐ 売掛金</t>
  </si>
  <si>
    <t>ｲ)ｹｲｺ ﾋﾟﾕｱｸﾘﾆﾂｸ 売掛金</t>
  </si>
  <si>
    <t>ｲｼﾀﾞ ﾐﾂｿﾞｳ 売掛金</t>
  </si>
  <si>
    <t>ﾕｶﾜ ﾋﾃﾞｱｷ 売上高</t>
  </si>
  <si>
    <t>UBER EATS JAPAN (ﾄﾞ カフェ売上高</t>
  </si>
  <si>
    <t>ｷﾀ ﾔｽｼ 売掛金</t>
  </si>
  <si>
    <t>ﾕｶﾜ ﾋﾃﾞｱｷ 売掛金</t>
  </si>
  <si>
    <t>UBER EATS JAPAN (ﾄﾞ 【Airレジ】Uber</t>
  </si>
  <si>
    <t>ｲﾉｳｴ ﾀｹｼ 売上高</t>
  </si>
  <si>
    <t>ｶ)ﾘｸﾙ-ﾄ ﾍﾟｲﾒﾝﾄ Airレジ</t>
  </si>
  <si>
    <t>ｲ)ｹｲｺ 売掛金</t>
  </si>
  <si>
    <t>ﾅｶﾆｼ ﾖｼｵ 売掛金</t>
  </si>
  <si>
    <t>ｼﾔ)ｶﾝｷﾖｳｷﾖｳｿｳｲﾆｼｱﾁﾌﾞｺｳｺｳﾘﾂｷﾕｳﾄｳｷ 売上高</t>
  </si>
  <si>
    <t>ｵｼｳﾐ ｺｳｽｹ 売掛金</t>
  </si>
  <si>
    <t>ﾀﾞｲﾜｲﾝﾀ-ﾃﾂｸ(ｶ 売上高</t>
  </si>
  <si>
    <t>ﾌﾞﾚﾂﾀﾞ-(ｶ 売上高</t>
  </si>
  <si>
    <t>ｷﾀ ﾔｽｼ 売上高</t>
  </si>
  <si>
    <t>ｼﾔ)ｶﾝｷﾖｳｷﾖｳｿｳｲﾆｼｱﾁﾌﾞﾀﾞﾝﾈﾂﾏﾄﾞ 売上高</t>
  </si>
  <si>
    <t>(ｺｸ)ｺｿﾀﾞﾃｸﾞﾘ-ﾝｼﾞﾕｳﾀｸｼｴﾝｼﾞｷﾞﾖｳｼﾞﾑｷﾖｸ 売上高</t>
  </si>
  <si>
    <t>ｳﾉ ﾕｷｵ 売掛金</t>
  </si>
  <si>
    <t>ﾔﾏﾀﾞ ｴﾂｺ 売掛金</t>
  </si>
  <si>
    <t>AIRﾍﾟｲQR ｶ)ﾃﾞｲ-ｼﾞ-ﾌｲﾅﾝｼﾔﾙﾃｸﾉﾛｼﾞ- Airレジ</t>
  </si>
  <si>
    <t>ｲｸﾞｼｺｳﾑﾃﾝ(ｶ 資金移動</t>
  </si>
  <si>
    <t>ｲｲｼﾞﾏ ｺｳﾍｲ 売掛金</t>
  </si>
  <si>
    <t>ﾐﾔﾓﾄ ｼｹﾞｿﾞｳ 売掛金</t>
  </si>
  <si>
    <t>ﾋﾗﾏﾂ ﾉﾘﾕｷ 売掛金</t>
  </si>
  <si>
    <t>ｶ)ｶﾅﾔﾏｾｲｷｾｲｻｸｼﾖ 売上高</t>
  </si>
  <si>
    <t>ﾉﾑﾗ ﾏｻﾙ 売掛金</t>
  </si>
  <si>
    <t>ﾆｼﾀﾞ ﾋﾛｼ 売上高</t>
  </si>
  <si>
    <t>ｶ.ﾅｶﾑﾗｺ-ﾎﾟﾚ-ｼﾖﾝ 仕入高</t>
  </si>
  <si>
    <t>ｶ)ｶﾅﾔﾏｾｲｷｾｲｻｸｼﾖ 売掛金</t>
  </si>
  <si>
    <t>ｶ)ｺﾞ-ﾙﾄﾞｳｲﾝ 売掛金</t>
  </si>
  <si>
    <t>２月分 【Airレジ】Uber</t>
  </si>
  <si>
    <t>ﾐﾔｻﾞｷ ﾖｼﾀｶ 売掛金</t>
  </si>
  <si>
    <t>ﾋｵｷ ｻﾕﾘ 売掛金</t>
  </si>
  <si>
    <t>ﾌﾘｺﾐ ﾐﾔｻﾞｷ ﾑﾈｱｷ 売掛金</t>
  </si>
  <si>
    <t>ﾌﾘｺﾐ ﾕ)ﾅｶﾞｻﾜ 売掛金</t>
  </si>
  <si>
    <t>ﾌﾘｺﾐ ﾕｶﾜ ﾋﾃﾞｱｷ 売掛金</t>
  </si>
  <si>
    <t>ﾌﾘｺﾐ ﾏﾂｲ ｼﾖｳﾀ 売掛金</t>
  </si>
  <si>
    <t>ﾌﾘｺﾐ ｶ)ｱﾙﾌｱ 売掛金</t>
  </si>
  <si>
    <t>ﾌﾘｺﾐ ｱﾍﾞ ﾀﾞｲｷ 売掛金</t>
  </si>
  <si>
    <t>ﾌﾘｺﾐ ｶ) ｻｸﾗﾈﾝﾘﾖｳ 売上高</t>
  </si>
  <si>
    <t>ﾌﾘｺﾐ ｶ)ｺｼﾞﾏｼﾖｳﾃﾝ 売掛金</t>
  </si>
  <si>
    <t>ﾌﾘｺﾐ ｺｼﾞﾏ ﾘﾖｳ 売掛金</t>
  </si>
  <si>
    <t>ﾌﾘｺﾐ ﾊｾﾗｲﾗ 売上高</t>
  </si>
  <si>
    <t>ｺｲｽﾞﾐ ﾀｶｼ 売上高</t>
  </si>
  <si>
    <t>ｲﾉｳｴ ﾀｹｼ 売掛金</t>
  </si>
  <si>
    <t>ﾏﾂﾓﾄ ﾏｻｺ 売掛金</t>
  </si>
  <si>
    <t>カ）ベストレイク 家賃収入</t>
  </si>
  <si>
    <t>ｵﾌﾘｺﾐ  ｶ) ﾘｸｼﾙ 支払手数料</t>
  </si>
  <si>
    <t>ｵﾌﾘｺﾐ  ｼﾓﾀﾞ ﾋﾃﾞｵ 支払手数料</t>
  </si>
  <si>
    <t>ｶ)ﾍﾞｽﾄﾚｲｸ 家賃収入</t>
  </si>
  <si>
    <t>ﾌﾘｺﾐｼﾊﾗｲ ｴﾑｽﾞｸﾛｽ ﾆｼﾀﾞ 支払手数料</t>
  </si>
  <si>
    <t>FB ﾌｸｵｶ ﾔｽﾄﾓ 支払手数料</t>
  </si>
  <si>
    <t>ATMﾂｳﾁﾖｳ 現金</t>
  </si>
  <si>
    <t>ﾌﾘｺﾐｼﾊﾗｲ ｶ)ｲﾜｲ ｼｶﾞｴｲｷﾞﾖｳｼﾖ 支払手数料</t>
  </si>
  <si>
    <t>家賃収入</t>
  </si>
  <si>
    <t>IB ｶ) ﾆﾁｴｲｼｶﾞ 支払手数料</t>
  </si>
  <si>
    <t>ﾏﾂｲ ｼﾖｳﾀ 家賃収入</t>
  </si>
  <si>
    <t>ﾅｶﾑﾗ ｴｲｲﾁ 家賃収入</t>
  </si>
  <si>
    <t>ｶ)ﾃﾞﾝｷｺｳｼﾞﾂｼﾞ 家賃収入</t>
  </si>
  <si>
    <t>IB ﾕ)ｲｹﾀﾞｸﾗﾌﾄ 支払手数料</t>
  </si>
  <si>
    <t>IB ｶ) ﾊﾔｼ 支払手数料</t>
  </si>
  <si>
    <t>IB ｶ)ｷﾀﾑﾗｻｶﾝｺｳｷﾞﾖ 支払手数料</t>
  </si>
  <si>
    <t>IB ｸﾗﾝﾌﾟ(ｶ 支払手数料</t>
  </si>
  <si>
    <t>IB ﾆｼﾅｶ ｻﾄﾙ 支払手数料</t>
  </si>
  <si>
    <t>IB ｻﾜﾀﾞｺｳｷﾞﾖｳ ｻﾜﾀ 支払手数料</t>
  </si>
  <si>
    <t>IB ｶ) ｳｴｻﾞ-ﾘﾎﾟ-ﾄ 支払手数料</t>
  </si>
  <si>
    <t>ATMでの現金入金 現金</t>
  </si>
  <si>
    <t>AD 現金</t>
  </si>
  <si>
    <t>IB ｽｳｴﾂﾄ(ｶ 支払手数料</t>
  </si>
  <si>
    <t>IB ﾌｸｵｶ ﾔｽﾄﾓ 支払手数料</t>
  </si>
  <si>
    <t>ｼﾔ)ｶﾝｷﾖｳｷﾖｳｿｳｲﾆｼｱﾁﾌﾞﾀﾞﾝﾈﾂﾏﾄﾞ 預り金</t>
  </si>
  <si>
    <t>ｼﾔ)ｶﾝｷﾖｳｷﾖｳｿｳｲﾆｼｱﾁﾌﾞｺｳｺｳﾘﾂｷﾕｳﾄｳｷ 預り金</t>
  </si>
  <si>
    <t>(ｺｸ)ｺｿﾀﾞﾃｸﾞﾘ-ﾝｼﾞﾕｳﾀｸｼｴﾝｼﾞｷﾞﾖｳｼﾞﾑｷﾖｸ 預り金</t>
  </si>
  <si>
    <t>ｾﾞｲﾘｼﾎｳｼﾞﾝ ﾗｸﾗｸ 未確定勘定</t>
  </si>
  <si>
    <t>ｼﾖｳｶﾞｼ ｺﾞﾕｳｼｷﾝ 長期借入金</t>
  </si>
  <si>
    <t>ﾕｳｼﾖﾘﾌﾘｶｴ 長期借入金</t>
  </si>
  <si>
    <t>ｺﾞﾕｳｼ 長期借入金</t>
  </si>
  <si>
    <t>ｵﾘｿｸ   ｹﾂｻﾝ 受取利息</t>
  </si>
  <si>
    <t>ｹﾂｻﾝﾘｿｸ 受取利息</t>
  </si>
  <si>
    <t>ﾘｿｸ 受取利息</t>
  </si>
  <si>
    <t>受取利息</t>
  </si>
  <si>
    <t>利息　０８－０２－１３マデ 受取利息</t>
  </si>
  <si>
    <t>普通預金</t>
  </si>
  <si>
    <t>Ａ 現金</t>
  </si>
  <si>
    <t>お振込　カ）エフデイーエス 買掛金</t>
  </si>
  <si>
    <t>Ｅ　ブレンドヨシムラジヨ 買掛金</t>
  </si>
  <si>
    <t>Ｅお振込　オリエンタルカーペツト（カ 買掛金</t>
  </si>
  <si>
    <t>Ｅお振込　カ）ダイセンコウキヨウ 買掛金</t>
  </si>
  <si>
    <t>お振込　カ）オキシオカイハツ 買掛金</t>
  </si>
  <si>
    <t>Ｅお振込　スズキヤスフミ 買掛金</t>
  </si>
  <si>
    <t>Ｅお振込　カ）シガナカキ 買掛金</t>
  </si>
  <si>
    <t>Ｅお振込　エムズクロスニシダ 買掛金</t>
  </si>
  <si>
    <t>Ｅお振込　カ）イトゲン 買掛金</t>
  </si>
  <si>
    <t>買掛金</t>
  </si>
  <si>
    <t>Ｅ振替　ＭＨＦ）７９４０７－４ 買掛金</t>
  </si>
  <si>
    <t>Ｅお振込　カ）デイゴンクリーン 買掛金</t>
  </si>
  <si>
    <t>Ｅお振込　ウエソウゾウエンヨシタ 買掛金</t>
  </si>
  <si>
    <t>Ｅお振込　ヨシサトタカヒロ 買掛金</t>
  </si>
  <si>
    <t>Ｅお振込　カ）ジヤパンホワイト 買掛金</t>
  </si>
  <si>
    <t>Ｅお振込　ツジイモクザイセンター 買掛金</t>
  </si>
  <si>
    <t>Ｅお振込　リカヘデンキソガ 買掛金</t>
  </si>
  <si>
    <t>Ｅお振込　スキタチクサイ（ユ 買掛金</t>
  </si>
  <si>
    <t>Ｅお振込　カキモト 買掛金</t>
  </si>
  <si>
    <t>Ｅお振込　テイーエフナガオカ 買掛金</t>
  </si>
  <si>
    <t>Ｅお振込　カンカツラギ 買掛金</t>
  </si>
  <si>
    <t>Ｅお振込　カ）シガシユウセイザイ 買掛金</t>
  </si>
  <si>
    <t>Ｅお振込　アズマカズキ 買掛金</t>
  </si>
  <si>
    <t>Ｅ振替　ＭＨＦ）フクイコンピ 現金</t>
  </si>
  <si>
    <t>お振込　ユ）カワサキスダレ 買掛金</t>
  </si>
  <si>
    <t>お振込　ユ）カワダ 買掛金</t>
  </si>
  <si>
    <t>お振込　カワイソウシヨクカワイ 買掛金</t>
  </si>
  <si>
    <t>お振込　カ）ヨウトニツシヨウ 買掛金</t>
  </si>
  <si>
    <t>Ｅお振込　ランバーリペアセロ 買掛金</t>
  </si>
  <si>
    <t>Ｅお振込　キムラサトシ 買掛金</t>
  </si>
  <si>
    <t>Ｅお振込　カ）フオーラム 買掛金</t>
  </si>
  <si>
    <t>Ｅお振込　カ）アトツバン 買掛金</t>
  </si>
  <si>
    <t>Ｅお振込　フクオカヤストモ 買掛金</t>
  </si>
  <si>
    <t>Ｅお振込　カ）デンキコウシツジ 買掛金</t>
  </si>
  <si>
    <t>ユ）イケダクラフト 買掛金</t>
  </si>
  <si>
    <t>ユ）ハリマツクリーニング 買掛金</t>
  </si>
  <si>
    <t>ｵﾌﾘｺﾐ  ｷﾊﾞｺｽﾀｼﾞｵ(ﾄﾞ カフェ仕入高</t>
  </si>
  <si>
    <t>ｵﾌﾘｺﾐ  ｶ)ｷﾀﾑﾗｻｶﾝｺｳｷﾞﾖｳ 買掛金</t>
  </si>
  <si>
    <t>ｵﾌﾘｺﾐ  ﾔﾏﾌｼﾞﾓﾂｺｳ ﾔﾏﾌｼﾞ ﾋﾛｵ 買掛金</t>
  </si>
  <si>
    <t>ｵﾌﾘｺﾐ  ﾕ)ﾔﾅｷﾞﾋﾞｿｳ 買掛金</t>
  </si>
  <si>
    <t>ｵﾌﾘｺﾐ  ﾅｶﾀ ｼﾖｳｺﾞ 買掛金</t>
  </si>
  <si>
    <t>ｵﾌﾘｺﾐ  ﾂｼﾞｲﾓｸｻﾞｲｾﾝﾀ-(ｶ 買掛金</t>
  </si>
  <si>
    <t>ｵﾌﾘｺﾐ  ｹﾝﾄ ｼﾖｳﾒｲ (ｶ 買掛金</t>
  </si>
  <si>
    <t>ｵﾌﾘｺﾐ  ｸﾗﾝﾌﾟ(ｶ 買掛金</t>
  </si>
  <si>
    <t>ｵﾌﾘｺﾐ  ｱｽﾞﾏ ｶｽﾞｷ 諸口</t>
  </si>
  <si>
    <t>ｵﾌﾘｺﾐ  ｶ) ﾅﾊﾞﾀ カフェ仕入高</t>
  </si>
  <si>
    <t>ｵﾌﾘｺﾐ  ﾌﾞﾚﾝﾄﾞﾖｼﾑﾗｼﾞﾖｳ カフェ仕入高</t>
  </si>
  <si>
    <t>ｵﾌﾘｺﾐ  ｶ)ﾊﾔｼﾃﾞﾝｷｺｳｷﾞﾖｳ 買掛金</t>
  </si>
  <si>
    <t>ｵﾌﾘｺﾐ  ｶ)ｲﾜｲ ｼｶﾞｴｲｷﾞﾖｳｼﾖ 買掛金</t>
  </si>
  <si>
    <t>ｵﾌﾘｺﾐ  ﾖｼﾀﾞ ﾀｸﾐ 買掛金</t>
  </si>
  <si>
    <t>ｵﾌﾘｺﾐ  ｴﾑ ﾃﾂｸ ﾐﾔｼﾞ ﾋﾛｷ 買掛金</t>
  </si>
  <si>
    <t>ｵﾌﾘｺﾐ  ﾖｼｻﾄ ﾀｶﾋﾛ 買掛金</t>
  </si>
  <si>
    <t>ｵﾌﾘｺﾐ  ｶ)ｱﾄﾞﾊﾞﾝ 買掛金</t>
  </si>
  <si>
    <t>ｺﾞｿｳｷﾝ ｶ)ﾃｲ-ﾎﾞﾂｸｽ 諸口</t>
  </si>
  <si>
    <t>ｵﾌﾘｺﾐ  ｶ)ﾋﾗﾀﾀｲﾙ 買掛金</t>
  </si>
  <si>
    <t>ｵﾌﾘｺﾐ  ｽｽﾞｷ ﾔｽﾌﾐ 諸口</t>
  </si>
  <si>
    <t>ｵﾌﾘｺﾐ  ｶ)ｷﾖｳﾄﾆﾂｼﾖｳ 買掛金</t>
  </si>
  <si>
    <t>ｵﾌﾘｺﾐ  ｶ) ｵｷｼｵｶｲﾊﾂ 諸口</t>
  </si>
  <si>
    <t>ｵﾌﾘｺﾐ  ﾕ)ｷｸﾔ 仕入高</t>
  </si>
  <si>
    <t>ｵﾌﾘｺﾐ  ｶ)ﾀﾒﾄﾏ 買掛金</t>
  </si>
  <si>
    <t>ｵﾌﾘｺﾐ  ﾖｼﾀﾞ ﾖｼｶｽﾞ 買掛金</t>
  </si>
  <si>
    <t>ｵﾌﾘｺﾐ  ﾕ)ﾆｼﾔﾏ カフェ仕入高</t>
  </si>
  <si>
    <t>ｵﾌﾘｺﾐ  ｶ)ｼｶﾞﾅｶｷ 買掛金</t>
  </si>
  <si>
    <t>ｵﾌﾘｺﾐ  ｶ) ﾘｸｼﾙ 買掛金</t>
  </si>
  <si>
    <t>ｵﾌﾘｺﾐ  ﾏﾂｻﾞﾜｾｷｻﾞｲ ﾏﾂｻﾞﾜ ﾐﾂﾓﾄ 仕入高</t>
  </si>
  <si>
    <t>ｵﾌﾘｺﾐ  ﾌﾞﾚﾝﾄﾞﾖｼﾑﾗｼﾞﾖｳ 諸口</t>
  </si>
  <si>
    <t>ｵﾌﾘｺﾐ  ﾌｸｵｶ ﾔｽﾄﾓ 買掛金</t>
  </si>
  <si>
    <t>ｵﾌﾘｺﾐ  ｶ)ﾆｼｷﾞ 買掛金</t>
  </si>
  <si>
    <t>ｵﾌﾘｺﾐ  ｶ)ｲｼﾓﾄﾊﾞﾝｷﾝｺｳｷﾞﾖｳ 買掛金</t>
  </si>
  <si>
    <t>ｵﾌﾘｺﾐ  ﾃｲ-ｴﾌ ﾅｶﾞｵｶ ﾀｸﾐ 買掛金</t>
  </si>
  <si>
    <t>ｵﾌﾘｺﾐ  ｶ)ﾃﾞﾝｷｺｳｼﾞﾂｼﾞ 買掛金</t>
  </si>
  <si>
    <t>ｵﾌﾘｺﾐ  ｶ)ﾀﾞｲｾﾝｺｳｷﾞﾖｳ 買掛金</t>
  </si>
  <si>
    <t>ｵﾌﾘｺﾐ  ｶ)ｼﾏｸﾗﾌﾞﾛﾂｸﾃﾝ 買掛金</t>
  </si>
  <si>
    <t>ｵﾌﾘｺﾐ  ｶﾜｲｿｳｼﾖｸ ｶﾜｲ ﾖｼﾊﾙ 買掛金</t>
  </si>
  <si>
    <t>ｵﾌﾘｺﾐ  ｶ)ｵｷｼｵｶｲﾊﾂ 買掛金</t>
  </si>
  <si>
    <t>ｵﾌﾘｺﾐ  ｴﾑｽﾞｸﾛｽ ﾆｼﾀﾞ 買掛金</t>
  </si>
  <si>
    <t>ｵﾌﾘｺﾐ  ｱｽﾞﾏ ｶｽﾞｷ 買掛金</t>
  </si>
  <si>
    <t>ｵﾌﾘｺﾐ  ｼﾓﾀﾞ ﾋﾃﾞｵ 買掛金</t>
  </si>
  <si>
    <t>ｵﾌﾘｺﾐ  ｶ)ｲﾄｹﾞﾝ 買掛金</t>
  </si>
  <si>
    <t>ｵﾌﾘｺﾐ  ｿｶﾞﾍﾞﾃﾞﾝｷ ｿｶﾞﾍﾞ ﾖｳｽｹ 買掛金</t>
  </si>
  <si>
    <t>ｵﾌﾘｺﾐ  ﾗｲｽﾞｹﾝﾁｸｾﾂｹｲｼﾞﾑｼﾖ ｱｵﾔﾏ ﾔｽﾉﾘ 買掛金</t>
  </si>
  <si>
    <t>ｵﾌﾘｺﾐ  ﾅｶｲ ﾄｼﾊﾙ 買掛金</t>
  </si>
  <si>
    <t>ｵﾌﾘｺﾐ  ﾕ)ｲﾅﾀﾞｶﾞ-ﾃﾞﾝ 買掛金</t>
  </si>
  <si>
    <t>ｵﾌﾘｺﾐ  ﾕ)ｲｹﾀﾞｸﾗﾌﾄ 買掛金</t>
  </si>
  <si>
    <t>ｵﾌﾘｺﾐ  ｳｴﾑﾗｶﾞﾗｽ(ｶ 買掛金</t>
  </si>
  <si>
    <t>ｵﾌﾘｺﾐ  ﾕ)ｶﾜｻｷｽﾀﾞﾚ 買掛金</t>
  </si>
  <si>
    <t>ｵﾌﾘｺﾐ  ｶ)ｽｷﾞﾓﾄ 買掛金</t>
  </si>
  <si>
    <t>ｵﾌﾘｺﾐ  ﾕ)ﾀｶﾐｶﾅﾓﾉﾃﾝ 買掛金</t>
  </si>
  <si>
    <t>ｵﾌﾘｺﾐ  ｶ)ﾀｹﾔﾏｹﾝｾﾂ 買掛金</t>
  </si>
  <si>
    <t>ｵﾌﾘｺﾐ  ｶ)ﾀｹｻﾀﾞｼﾖｳﾃﾝ 買掛金</t>
  </si>
  <si>
    <t>ｵﾌﾘｺﾐ  ﾆｼﾀﾞ ﾖｼﾕｷ 買掛金</t>
  </si>
  <si>
    <t>ｵﾌﾘｺﾐ  ｶ)ﾊﾔｼ 買掛金</t>
  </si>
  <si>
    <t>ｵﾌﾘｺﾐ  ﾏﾂｻﾞﾜｹﾝｾﾂｺｳｷﾞﾖｳ ﾏﾂｻﾞﾜ ﾐﾂﾓﾄ 買掛金</t>
  </si>
  <si>
    <t>ﾌﾘｶｴ   SMBC(JIO 買掛金</t>
  </si>
  <si>
    <t>ｵﾌﾘｺﾐ  ﾕ)ｶﾜﾀﾞ 買掛金</t>
  </si>
  <si>
    <t>ｵﾌﾘｺﾐ  ｽｽﾞｷ ﾔｽﾌﾐ 買掛金</t>
  </si>
  <si>
    <t>ｵﾌﾘｺﾐ  ﾔﾏﾓﾄ ﾏｻﾋﾃﾞ 買掛金</t>
  </si>
  <si>
    <t>ｵﾌﾘｺﾐ  ﾅｶﾊﾏ ｼﾕﾝｷ 買掛金</t>
  </si>
  <si>
    <t>ｵﾌﾘｺﾐ  ｶ) ﾌｵ-ﾗﾑ 買掛金</t>
  </si>
  <si>
    <t>ｵﾌﾘｺﾐ  ﾔﾏﾓﾄ ﾖｳｲﾁ 買掛金</t>
  </si>
  <si>
    <t>ｵﾌﾘｺﾐ  ﾂｼﾞｲﾓｸｻﾞｲｾﾝﾀ-(ｶ 仕入高</t>
  </si>
  <si>
    <t>ｵﾌﾘｺﾐ  ｶ)ｶﾂﾗｷﾞ ｸｻﾂｴｲｷﾞﾖｳｼﾖ 買掛金</t>
  </si>
  <si>
    <t>ｵﾌﾘｺﾐ  ﾕ)ﾀｶﾐｶﾅﾓﾉﾃﾝ 仕入高</t>
  </si>
  <si>
    <t>ｵﾌﾘｺﾐ  ｶ)ｼｶﾞｼﾕｳｾｲｻﾞｲｾﾝﾀ- 仕入高</t>
  </si>
  <si>
    <t>ｵﾌﾘｺﾐ  ﾘﾍﾟｱｻ-ﾋﾞｽﾀﾞｲﾋﾖｳ ｻｶｸﾞﾁ ｻﾀﾞｵ 買掛金</t>
  </si>
  <si>
    <t>ｵﾌﾘｺﾐ  ﾕ)ｻｺﾞｲﾃﾂｺｳ 買掛金</t>
  </si>
  <si>
    <t>ｵﾌﾘｺﾐ  ｱﾏｶﾜ ｶｽﾞﾖｼ 買掛金</t>
  </si>
  <si>
    <t>ｵﾌﾘｺﾐ  ｻﾜ ﾀｶｼ 買掛金</t>
  </si>
  <si>
    <t>ｵﾌﾘｺﾐ  ｶ)ｼﾓﾀﾞ 買掛金</t>
  </si>
  <si>
    <t>ｵﾌﾘｺﾐ  ﾄﾐﾀ ｼﾝ 買掛金</t>
  </si>
  <si>
    <t>ｵﾌﾘｺﾐ  ｼﾐｽﾞ ﾕｷｶｽﾞ 買掛金</t>
  </si>
  <si>
    <t>ｵﾌﾘｺﾐ  ｲｼﾀﾞ ﾏｻﾅﾘ 買掛金</t>
  </si>
  <si>
    <t>ｵﾌﾘｺﾐ  ｶ) ｷﾉｼﾀｶﾝｾ- 買掛金</t>
  </si>
  <si>
    <t>ｵﾌﾘｺﾐ  ｶ)ｼｶﾞｼﾕｳｾｲｻﾞｲｾﾝﾀ- 買掛金</t>
  </si>
  <si>
    <t>ｵﾌﾘｺﾐ  ｶ)ｺﾝｽﾄﾗｸﾄｻﾎﾟ-ﾄ 買掛金</t>
  </si>
  <si>
    <t>ｵﾌﾘｺﾐ  ﾔｸｼｶﾞﾜ ﾅｵﾋﾛ 買掛金</t>
  </si>
  <si>
    <t>ｵﾌﾘｺﾐ  ｲﾃﾞｱ-ﾚ ｲｸﾞｼ ﾀﾞｲｽｹ 買掛金</t>
  </si>
  <si>
    <t>ｵﾌﾘｺﾐ  ｶｷﾓﾄ ﾔｽﾉﾘ 買掛金</t>
  </si>
  <si>
    <t>ｵﾌﾘｺﾐ  ﾕ)ｺｶﾄﾞｺﾝｽﾄﾗｸｼﾖﾝ 買掛金</t>
  </si>
  <si>
    <t>ｵﾌﾘｺﾐ  ｶ) ﾅﾊﾞﾀ 買掛金</t>
  </si>
  <si>
    <t>ﾌﾘｺﾐｼﾊﾗｲ ｶ)ｺｺﾛ 買掛金</t>
  </si>
  <si>
    <t>ﾌﾘｺﾐｼﾊﾗｲ ｶ)ﾀｹﾔﾏｹﾝｾﾂ 買掛金</t>
  </si>
  <si>
    <t>ﾌﾘｺﾐｼﾊﾗｲ ｴﾑｽﾞｸﾛｽ ﾆｼﾀﾞ 買掛金</t>
  </si>
  <si>
    <t>FB ｶ)ｱｶｲﾉﾛｼ カフェ仕入高</t>
  </si>
  <si>
    <t>FB ｶ)ｻﾄｳｶﾅﾓﾉ 買掛金</t>
  </si>
  <si>
    <t>FB ﾌｸｵｶ ﾔｽﾄﾓ 買掛金</t>
  </si>
  <si>
    <t>FB ｶ)ｻﾄｳｶﾅﾓﾉ 仕入高</t>
  </si>
  <si>
    <t>ﾌﾘｺﾐｼﾊﾗｲ ｶ)ｲﾜｲ ｼｶﾞｴｲｷﾞﾖｳｼﾖ 買掛金</t>
  </si>
  <si>
    <t>FB ｶ) ﾌｵ-ﾗﾑ 買掛金</t>
  </si>
  <si>
    <t>FB ｶ)ｹｲｴﾇ 買掛金</t>
  </si>
  <si>
    <t>FB ｶ) ﾅﾊﾞﾀ カフェ仕入高</t>
  </si>
  <si>
    <t>FB ﾔﾏﾀﾞ ﾋﾃﾞｵ 買掛金</t>
  </si>
  <si>
    <t>ﾌﾘｺﾐｼﾊﾗｲ ﾔﾈﾔｲﾏｲ ｲﾏｲ ﾅｵｷ 買掛金</t>
  </si>
  <si>
    <t>ﾌﾘｺﾐｼﾊﾗｲ ﾅｶﾊﾏ ｼﾕﾝｷ 買掛金</t>
  </si>
  <si>
    <t>FB ｶ)ｼﾞﾔﾊﾟﾝﾎﾜｲﾄ 買掛金</t>
  </si>
  <si>
    <t>FB ﾀﾆｸﾞﾁ ﾂｶｻ 買掛金</t>
  </si>
  <si>
    <t>カフェ仕入高</t>
  </si>
  <si>
    <t>IB ﾕ) ﾀｶﾐｶﾅﾓﾉﾃﾝ 買掛金</t>
  </si>
  <si>
    <t>IB ｶ) ﾆﾁｴｲｼｶﾞ 買掛金</t>
  </si>
  <si>
    <t>IB ｶ) ｽｷﾞﾓﾄ 買掛金</t>
  </si>
  <si>
    <t>IB ｶ) ｳｴｻﾞ-ﾘﾎﾟ-ﾄ 買掛金</t>
  </si>
  <si>
    <t>IB ｶ) ﾐﾅﾄｾｷｻﾞｲ 買掛金</t>
  </si>
  <si>
    <t>IB ﾖｼﾀﾞ ﾀｸﾐ 買掛金</t>
  </si>
  <si>
    <t>IB ｶ) ﾊﾔｼ 買掛金</t>
  </si>
  <si>
    <t>IB ｶ)ｷﾀﾑﾗｻｶﾝｺｳｷﾞﾖ 買掛金</t>
  </si>
  <si>
    <t>IB ﾕ)ｲｹﾀﾞｸﾗﾌﾄ 買掛金</t>
  </si>
  <si>
    <t>IB ｶ)ｵｷｼｵｶｲﾊﾂ 買掛金</t>
  </si>
  <si>
    <t>IB ｻﾜﾀﾞｺｳｷﾞﾖｳ ｻﾜﾀ 買掛金</t>
  </si>
  <si>
    <t>IB ﾆｼﾅｶ ｻﾄﾙ 買掛金</t>
  </si>
  <si>
    <t>IB ｶ) ｺｺﾛ 買掛金</t>
  </si>
  <si>
    <t>IB ｶ) ﾊﾔｼ 仕入高</t>
  </si>
  <si>
    <t>IB ｸﾗﾝﾌﾟ(ｶ 買掛金</t>
  </si>
  <si>
    <t>IB ﾙ-ﾑｸﾘﾂﾌﾟ (ｶ 仕入高</t>
  </si>
  <si>
    <t>IB ｹﾝﾄｼﾖｳﾒｲ.ｶ 買掛金</t>
  </si>
  <si>
    <t>IB ﾜﾀﾅﾍﾞﾊﾟｲﾌﾟ(ｶ ｵ 買掛金</t>
  </si>
  <si>
    <t>IB ﾜﾀﾅﾍﾞﾊﾟｲﾌﾟ(ｶ ｵ 仕入高</t>
  </si>
  <si>
    <t>IB ﾕ)ﾆｼﾔﾏ カフェ仕入高</t>
  </si>
  <si>
    <t>IB ﾌﾞﾚﾝﾄﾞﾖｼﾑﾗｼﾞﾖｳ 買掛金</t>
  </si>
  <si>
    <t>IB ｽｳｴﾂﾄ(ｶ 買掛金</t>
  </si>
  <si>
    <t>IB ｶ)ｼﾞﾔﾊﾟﾝﾎﾜｲﾄ 買掛金</t>
  </si>
  <si>
    <t>IB ﾌｸｵｶ ﾔｽﾄﾓ 買掛金</t>
  </si>
  <si>
    <t>IB ｶ) ﾅﾊﾞﾀ カフェ仕入高</t>
  </si>
  <si>
    <t>IB ｶ) ｺｺﾛ 仕入高</t>
  </si>
  <si>
    <t>Ｅお振込　カ）ニシギ 外注費</t>
  </si>
  <si>
    <t>Ｅお振込　ヤマフシモツコウヤマフ 外注費（売上原価）</t>
  </si>
  <si>
    <t>イクシハヤト 外注費（売上原価）</t>
  </si>
  <si>
    <t>ウエダマサキ 外注費（売上原価）</t>
  </si>
  <si>
    <t>ｵﾌﾘｺﾐ  ﾔｸｼｶﾞﾜ ﾅｵﾋﾛ 外注費（売上原価）</t>
  </si>
  <si>
    <t>ｵﾌﾘｺﾐ  ｶ)ﾀﾞｲｾﾝｺｳｷﾞﾖｳ 外注費（売上原価）</t>
  </si>
  <si>
    <t>ｵﾌﾘｺﾐ  ｶ) ｷﾉｼﾀｶﾝｾ- 外注費（売上原価）</t>
  </si>
  <si>
    <t>ｵﾌﾘｺﾐ  ﾕ)ｲｹﾀﾞｸﾗﾌﾄ 外注費（売上原価）</t>
  </si>
  <si>
    <t>ｵﾌﾘｺﾐ  ｶ)ﾃﾞﾝｷｺｳｼﾞﾂｼﾞ 外注費（売上原価）</t>
  </si>
  <si>
    <t>ｵﾌﾘｺﾐ  ｶ)ﾊﾔｼ 外注費（売上原価）</t>
  </si>
  <si>
    <t>ｵﾌﾘｺﾐ  ﾕ)ｻｺﾞｲﾃﾂｺｳ 外注費（売上原価）</t>
  </si>
  <si>
    <t>ｵﾌﾘｺﾐ  ｶ)ﾆｼｷﾞ 外注費（売上原価）</t>
  </si>
  <si>
    <t>ｵﾌﾘｺﾐ  ｶ)ｲｼﾓﾄﾊﾞﾝｷﾝｺｳｷﾞﾖｳ 外注費（売上原価）</t>
  </si>
  <si>
    <t>ｵﾌﾘｺﾐ  ｶ) ｻﾎﾟﾘｽ 外注費（売上原価）</t>
  </si>
  <si>
    <t>ｺﾞｿｳｷﾝ ｶ)ﾃｲ-ﾎﾞﾂｸｽ 外注費（売上原価）</t>
  </si>
  <si>
    <t>ﾌﾘｶｴ   MHF)ﾅｲｽ(ｶ 外注費（売上原価）</t>
  </si>
  <si>
    <t>ｵﾌﾘｺﾐ  ｶ)ｱﾄﾞﾊﾞﾝ 外注費（売上原価）</t>
  </si>
  <si>
    <t>ｵﾌﾘｺﾐ  ｱﾏｶﾜ ｶｽﾞﾖｼ 外注費（売上原価）</t>
  </si>
  <si>
    <t>ｵﾌﾘｺﾐ  ｲｸﾞｼ ﾊﾔﾄ 外注費（売上原価）</t>
  </si>
  <si>
    <t>ｵﾌﾘｺﾐ  ﾖｼﾀﾞ ﾖｼｶｽﾞ 外注費（売上原価）</t>
  </si>
  <si>
    <t>ｵﾌﾘｺﾐ  ﾆｼ ｺｳｲﾁﾛｳ 外注費（売上原価）</t>
  </si>
  <si>
    <t>ｵﾌﾘｺﾐ  ﾖｼｻﾄ ﾀｶﾋﾛ 外注費（売上原価）</t>
  </si>
  <si>
    <t>ｵﾌﾘｺﾐ  ｶ)ﾋﾟｺｲ 外注費（売上原価）</t>
  </si>
  <si>
    <t>ｵﾌﾘｺﾐ  ｻｻｷ ｺｳｼﾞ 外注費（売上原価）</t>
  </si>
  <si>
    <t>ｵﾌﾘｺﾐ  ｶ)ｶﾝﾄｳｿﾞｳｴﾝ 外注費（売上原価）</t>
  </si>
  <si>
    <t>ｵﾌﾘｺﾐ  ｶ)ﾆﾂﾎﾟﾝｹｲｿｳ 外注費（売上原価）</t>
  </si>
  <si>
    <t>ｵﾌﾘｺﾐ  ｶ)ｷﾉｼﾀｶﾝｾ- 外注費（売上原価）</t>
  </si>
  <si>
    <t>ｵﾌﾘｺﾐ  ｹﾝﾄｼﾖｳﾒｲ.ｶ 外注費（売上原価）</t>
  </si>
  <si>
    <t>ｵﾌﾘｺﾐ  ｱｽﾞﾏ ｶｽﾞｷ 外注費（売上原価）</t>
  </si>
  <si>
    <t>ｵﾌﾘｺﾐ  ｶ)ﾀｹﾔﾏｹﾝｾﾂ 外注費（売上原価）</t>
  </si>
  <si>
    <t>ｵﾌﾘｺﾐ  ｶ)ｷﾀﾑﾗｻｶﾝｺｳｷﾞﾖｳ 外注費（売上原価）</t>
  </si>
  <si>
    <t>ｵﾌﾘｺﾐ  ｶ)ﾋﾗﾀﾀｲﾙ 外注費（売上原価）</t>
  </si>
  <si>
    <t>ｵﾌﾘｺﾐ  ﾗｲｽﾞｹﾝﾁｸｾﾂｹｲｼﾞﾑｼﾖ ｱｵﾔﾏ ﾔｽﾉﾘ 外注費（売上原価）</t>
  </si>
  <si>
    <t>ｵﾌﾘｺﾐ  ｶ)ｽｷﾞﾓﾄ 外注費（売上原価）</t>
  </si>
  <si>
    <t>ｵﾌﾘｺﾐ  ﾅｶｲ ﾄｼﾊﾙ 外注費（売上原価）</t>
  </si>
  <si>
    <t>ｵﾌﾘｺﾐ  ﾏﾂｻﾞﾜｹﾝｾﾂｺｳｷﾞﾖｳ ﾏﾂｻﾞﾜ ﾐﾂﾓﾄ 外注費（売上原価）</t>
  </si>
  <si>
    <t>ｵﾌﾘｺﾐ  ﾃｲ-ｴﾌ ﾅｶﾞｵｶ ﾀｸﾐ 外注費（売上原価）</t>
  </si>
  <si>
    <t>ｵﾌﾘｺﾐ  ｽｷﾞﾔﾏ ｼﾝｲﾁ 外注費（売上原価）</t>
  </si>
  <si>
    <t>ｵﾌﾘｺﾐ  ｳｴｿｳｿﾞｳｴﾝ ﾖｼﾀﾞ ﾀｸｼﾞ 外注費（売上原価）</t>
  </si>
  <si>
    <t>ｵﾌﾘｺﾐ  ｶ)ｳｴｻﾞ-ﾘﾎﾟ-ﾄ 外注費（売上原価）</t>
  </si>
  <si>
    <t>ｵﾌﾘｺﾐ  ｶﾜｲｿｳｼﾖｸ ｶﾜｲ ﾖｼﾊﾙ 外注費（売上原価）</t>
  </si>
  <si>
    <t>ｵﾌﾘｺﾐ  ﾐﾔｻﾞｷ ﾑﾈｱｷ 外注費（売上原価）</t>
  </si>
  <si>
    <t>ｵﾌﾘｺﾐ  ｶ)ｱｽﾍﾟﾂｸ 外注費（売上原価）</t>
  </si>
  <si>
    <t>ｵﾌﾘｺﾐ  ｽｽﾞｷ ﾔｽﾌﾐ 外注費（売上原価）</t>
  </si>
  <si>
    <t>ﾌﾘｺﾐｼﾊﾗｲ ｷﾑﾗ ｻﾄｼ 外注費（売上原価）</t>
  </si>
  <si>
    <t>ﾌﾘｺﾐｼﾊﾗｲ ｲｸﾞｼ ﾊﾔﾄ 外注費（売上原価）</t>
  </si>
  <si>
    <t>ﾌﾘｺﾐｼﾊﾗｲ ﾔﾈﾔｲﾏｲ ｲﾏｲ ﾅｵｷ 外注費（売上原価）</t>
  </si>
  <si>
    <t>ﾌﾘｺﾐｼﾊﾗｲ ﾕ)ｺｶﾄﾞｺﾝｽﾄﾗｸｼﾖﾝ 外注費（売上原価）</t>
  </si>
  <si>
    <t>ﾌﾘｶｴ 外注費（売上原価）</t>
  </si>
  <si>
    <t>ﾌﾘｺﾐｼﾊﾗｲ ｴﾑｽﾞｸﾛｽ ﾆｼﾀﾞ 外注費（売上原価）</t>
  </si>
  <si>
    <t>FB ｽｳｴﾂﾄ(ｶ 外注費（売上原価）</t>
  </si>
  <si>
    <t>ﾌﾘｺﾐｼﾊﾗｲ ﾖｼﾀﾞ ﾖｼｶｽﾞ 外注費（売上原価）</t>
  </si>
  <si>
    <t>IB ｶ) ｽｷﾞﾓﾄ 外注費（売上原価）</t>
  </si>
  <si>
    <t>IB ｶ) ｳｴｻﾞ-ﾘﾎﾟ-ﾄ 外注費（売上原価）</t>
  </si>
  <si>
    <t>IB ﾖｼﾀﾞ ﾀｸﾐ 外注費（売上原価）</t>
  </si>
  <si>
    <t>IB ﾕ)ｲｹﾀﾞｸﾗﾌﾄ 外注費（売上原価）</t>
  </si>
  <si>
    <t>IB ｶ) ｻﾎﾟﾘｽ 外注費（売上原価）</t>
  </si>
  <si>
    <t>IB ｶ)ｷﾀﾑﾗｻｶﾝｺｳｷﾞﾖ 外注費（売上原価）</t>
  </si>
  <si>
    <t>お振込　フクハラカナ 未払金</t>
  </si>
  <si>
    <t>お振込　カワシマアヤネ 未払金</t>
  </si>
  <si>
    <t>お振込　マツオカマコト 未払金</t>
  </si>
  <si>
    <t>お振込　フクダリヨウヤ 未払金</t>
  </si>
  <si>
    <t>お振込　イノウエリン 未払金</t>
  </si>
  <si>
    <t>イクシキリコ 未払金</t>
  </si>
  <si>
    <t>イクシツネハル 未払金</t>
  </si>
  <si>
    <t>ｵﾌﾘｺﾐ  ﾋﾗﾀ ｱﾂｼ 未払金</t>
  </si>
  <si>
    <t>ｵﾌﾘｺﾐ  ﾌｸﾀﾞ ﾘﾖｳﾔ 未払金</t>
  </si>
  <si>
    <t>ｵﾌﾘｺﾐ  ﾌｸﾊﾗ ｶﾅ 未払金</t>
  </si>
  <si>
    <t>ｵﾌﾘｺﾐ  ｶﾜｼﾏ ｱﾔﾈ 未払金</t>
  </si>
  <si>
    <t>ｵﾌﾘｺﾐ  ﾏﾂｵｶ ﾏｺﾄ 未払金</t>
  </si>
  <si>
    <t>ｵﾌﾘｺﾐ  ｲﾉｳｴ ﾘﾝ 未払金</t>
  </si>
  <si>
    <t>ｵﾌﾘｺﾐ  ｲｸﾞｼ ﾂﾈﾊﾙ 未払金</t>
  </si>
  <si>
    <t>ｵﾌﾘｺﾐ  ﾅｶﾊﾗ ﾄｳﾜ 給料手当</t>
  </si>
  <si>
    <t>ｵﾌﾘｺﾐ  ｲｸﾞｼ ｷﾘｺ 未払金</t>
  </si>
  <si>
    <t>ｵﾌﾘｺﾐ  ﾔﾏﾓﾄ ﾖｳｲﾁ 給料手当</t>
  </si>
  <si>
    <t>ｵﾌﾘｺﾐ  ﾌｸﾊﾗ ｶﾅ 諸口</t>
  </si>
  <si>
    <t>ｵﾌﾘｺﾐ  ﾅｶﾞﾋﾗ ﾐｷﾄ 未払金</t>
  </si>
  <si>
    <t>ｵﾌﾘｺﾐ  ﾆｼﾑﾗ ﾔｽﾕｷ 諸口</t>
  </si>
  <si>
    <t>ｵﾌﾘｺﾐ  ｲｸﾞｼ ﾂﾈﾊﾙ 諸口</t>
  </si>
  <si>
    <t>FB ﾌｸﾀﾞ ﾐｵ 未払金</t>
  </si>
  <si>
    <t>FB ﾀｹﾔﾏ ｱｷ 未払金</t>
  </si>
  <si>
    <t>FB ﾑﾗﾔﾏ ｱｷ 未払金</t>
  </si>
  <si>
    <t>FB ｼﾊﾞﾀ ﾘﾉ 未払金</t>
  </si>
  <si>
    <t>ﾌﾘｺﾐｼﾊﾗｲ ﾅｶﾞﾋﾗ ﾐｷﾄ 未払金</t>
  </si>
  <si>
    <t>FB ﾋﾗﾀ ｱﾂｼ 未払金</t>
  </si>
  <si>
    <t>FB ﾅｶﾞﾋﾗ ﾐｷﾄ 未払金</t>
  </si>
  <si>
    <t>FB ｶﾜｼﾏ ｱﾔﾈ 未払金</t>
  </si>
  <si>
    <t>FB ﾎﾘｲ ｶｽﾞﾔ 修繕費</t>
  </si>
  <si>
    <t>ナガヒラミキト 未払金</t>
  </si>
  <si>
    <t>ヒラタアツシ 未払金</t>
  </si>
  <si>
    <t>春日　八重 未払金</t>
  </si>
  <si>
    <t>IB ｶｽｶﾞ ﾔｴ 未払金</t>
  </si>
  <si>
    <t>IB ﾋﾗﾀ ｱﾂｼ 未払金</t>
  </si>
  <si>
    <t>IB ﾄﾐｴ ｶﾅ 未払金</t>
  </si>
  <si>
    <t>ﾌﾘｶｴ   PE ﾛｳﾄﾞｳﾎｹﾝﾘﾖｳﾄｳ(ｺﾂｺｷﾝ) 法定福利費</t>
  </si>
  <si>
    <t>ﾌﾘｶｴ   PE ｵｵﾂｾﾞｲﾑｼﾖ 預り金</t>
  </si>
  <si>
    <t>ﾏﾙﾁﾍﾟｲﾒﾝﾄ ﾛｳﾄﾞｳﾎｹﾝﾘﾖｳﾄｳ(ｺﾂｺｷﾝ) 法定福利費</t>
  </si>
  <si>
    <t>法定福利費</t>
  </si>
  <si>
    <t>ｼﾔｶｲﾎｹﾝﾘﾖｳ 法定福利費</t>
  </si>
  <si>
    <t>お振込　カ）タメトマ 広告宣伝費</t>
  </si>
  <si>
    <t>ｵﾌﾘｺﾐ  ｶ)ﾀﾒﾄﾏ 広告宣伝費</t>
  </si>
  <si>
    <t>ﾌﾘｶｴ   RL)ｾﾞﾝﾘﾝﾄｳｶｲ 広告宣伝費</t>
  </si>
  <si>
    <t>ｵﾌﾘｺﾐ  ｶ) ﾈﾂﾄﾌﾟﾛﾃｸｼﾖﾝｽﾞ 広告宣伝費</t>
  </si>
  <si>
    <t>ﾌﾘｶｴ   SMBC(ｶﾝｻｲｺｳｺｸ 広告宣伝費</t>
  </si>
  <si>
    <t>ｵﾌﾘｺﾐ  ﾆｼﾑﾗ ｴﾂｺ 交際費</t>
  </si>
  <si>
    <t>福利厚生費</t>
  </si>
  <si>
    <t>AP(ﾘﾛｸﾗﾌﾞ 福利厚生費</t>
  </si>
  <si>
    <t>IB ｶ) ｾﾚﾏ 交際費</t>
  </si>
  <si>
    <t>振替　Ｉ３３７（ＳＭＣＣ 燃料費</t>
  </si>
  <si>
    <t>ｵﾌﾘｺﾐ  ﾉﾉｸﾞﾁｾｷﾕ(ｶ 燃料費</t>
  </si>
  <si>
    <t>ﾌﾘｶｴ   ｴﾈｸｽ(SMCC 燃料費</t>
  </si>
  <si>
    <t>地代家賃・水道光熱費・通信費</t>
  </si>
  <si>
    <t>ﾌﾘｶｴ   SMBC(OPTAGE.B 通信費</t>
  </si>
  <si>
    <t>ｵﾌﾘｺﾐ  ｴﾂｸｽｻ-ﾊﾞ- (ｶ 通信費</t>
  </si>
  <si>
    <t>ｵﾌﾘｺﾐ  ｶﾝｻｲﾃﾞﾝﾘﾖｸｿｳﾊｲﾃﾞﾝ(ｶ 諸口</t>
  </si>
  <si>
    <t>ﾌﾘｶｴ   MHF)ｱｽﾍﾞｽﾄONE 通信費</t>
  </si>
  <si>
    <t>ｵﾌﾘｺﾐ  ｶﾝｻｲﾃﾞﾝﾘﾖｸｿｳﾊｲﾃﾞﾝ(ｶ 水道光熱費</t>
  </si>
  <si>
    <t>ｵﾌﾘｺﾐ  ﾕ)ﾀﾅｶｾｷﾕﾃﾝ 水道光熱費</t>
  </si>
  <si>
    <t>ｵﾌﾘｺﾐ  ｻｶﾞﾜｷﾕｳﾋﾞﾝ(ｶ 通信費</t>
  </si>
  <si>
    <t>水道光熱費</t>
  </si>
  <si>
    <t>ﾏﾂｲｻﾝｷﾞﾖｳ(ｶ 水道光熱費</t>
  </si>
  <si>
    <t>ﾃﾞﾝｷ 水道光熱費</t>
  </si>
  <si>
    <t>ｶﾞｽ ｻｸﾗﾈﾝﾘﾖｳ 水道光熱費</t>
  </si>
  <si>
    <t>ｵｵﾂｼｷｷﾞﾖｳｷﾖ 水道光熱費</t>
  </si>
  <si>
    <t>タナカ石油店 水道光熱費</t>
  </si>
  <si>
    <t>通信費</t>
  </si>
  <si>
    <t>ガス　タナカセキユテン 水道光熱費</t>
  </si>
  <si>
    <t>電話　ドコモケイタイ 通信費</t>
  </si>
  <si>
    <t>振替　ＳＭＢＣ（２１５）Ｇ 保険料</t>
  </si>
  <si>
    <t>ＭＳＡＥＩＸ４（ＳＭＣＣ 保険料</t>
  </si>
  <si>
    <t>トウサンボウシヨウサイ 保険料</t>
  </si>
  <si>
    <t>保険料　ミツイスミトモカイシヨウ 保険料</t>
  </si>
  <si>
    <t>ﾌﾘｶｴ   SMBC(ｼﾖｳｺｳｶｲG 保険料</t>
  </si>
  <si>
    <t>ﾌﾘｶｴ   MSAｾｲﾒｲ(SMCC 保険料</t>
  </si>
  <si>
    <t>ﾎｹﾝﾘﾖｳ ﾐﾂｲｽﾐﾄﾓｶｲｼﾞﾖｳ 保険料</t>
  </si>
  <si>
    <t>ｶｹｷﾝ   ﾄｳｻﾝﾎﾞｳｼｷﾖｳｻｲ 保険料</t>
  </si>
  <si>
    <t>ｸﾚｼﾞﾂﾄ NS ｼﾖｳｺｳｶｲF 保険料</t>
  </si>
  <si>
    <t>保険料　ミツイスミトモカイジヨ 保険料</t>
  </si>
  <si>
    <t>お振込　チヤタニシヤカイホケンロウ 諸口</t>
  </si>
  <si>
    <t>クレジツト　ＮＳシヨウコウカイド 諸会費</t>
  </si>
  <si>
    <t>ｵﾌﾘｺﾐ  ﾁﾔﾀﾆｼﾔｶｲﾎｹﾝﾛｳﾑｼｼﾞﾑｼﾖ ﾁﾔﾀﾆ ﾏﾁ 諸口</t>
  </si>
  <si>
    <t>ｸﾚｼﾞﾂﾄ NS ｼﾖｳｺｳｶｲF 諸会費</t>
  </si>
  <si>
    <t>ﾌﾘｶｴ   RKS(ｾﾞｲ)ﾗｸﾗｸ 支払手数料</t>
  </si>
  <si>
    <t>ｵﾌﾘｺﾐ  ｶ)ｼｶﾞﾅｶｷ 支払手数料</t>
  </si>
  <si>
    <t>ｵﾌﾘｺﾐ  ｱｽﾞﾏ ｶｽﾞｷ 支払手数料</t>
  </si>
  <si>
    <t>ｵﾌﾘｺﾐ  ｶ)ｵｷｼｵｶｲﾊﾂ 支払手数料</t>
  </si>
  <si>
    <t>ｵﾌﾘｺﾐ  ｶ)ﾀﾒﾄﾏ 支払手数料</t>
  </si>
  <si>
    <t>ｵﾌﾘｺﾐ  ｸﾗﾝﾌﾟ(ｶ 支払手数料</t>
  </si>
  <si>
    <t>ｶｲﾋ    ｷﾀｵｵﾂｹｲﾕｳｶｲ 諸会費</t>
  </si>
  <si>
    <t>ﾌﾘｶｴ   NSSｾﾞｲﾑｺﾓﾝﾘﾖｳ 雑費</t>
  </si>
  <si>
    <t>ｸﾚｼﾞﾂﾄ ｼｶﾞｷﾞﾝJCB 諸会費</t>
  </si>
  <si>
    <t>ｵﾌﾘｺﾐ  ｶ)ｷﾀﾑﾗｻｶﾝｺｳｷﾞﾖｳ 支払手数料</t>
  </si>
  <si>
    <t>ｵﾌﾘｺﾐ  ﾕ)ｶﾜｻｷｽﾀﾞﾚ 支払手数料</t>
  </si>
  <si>
    <t>ｵﾌﾘｺﾐ  ｶ)ﾀｹｻﾀﾞｼﾖｳﾃﾝ 支払手数料</t>
  </si>
  <si>
    <t>ｵﾌﾘｺﾐ  ｶ)ｸﾞﾂﾄﾞﾌﾟﾛｼﾞｴｸﾄ 支払手数料</t>
  </si>
  <si>
    <t>ｵﾌﾘｺﾐ  ｶ)ﾃﾞﾝｷｺｳｼﾞﾂｼﾞ 支払手数料</t>
  </si>
  <si>
    <t>ｵﾌﾘｺﾐ  ﾆｼ ｺｳｲﾁﾛｳ 支払手数料</t>
  </si>
  <si>
    <t>ｵﾌﾘｺﾐ  ｶ) ﾌｵ-ﾗﾑ 支払手数料</t>
  </si>
  <si>
    <t>ｵﾌﾘｺﾐ  ﾅｶﾊﾏ ｼﾕﾝｷ 支払手数料</t>
  </si>
  <si>
    <t>ｵﾌﾘｺﾐ  ｶ)ｶﾂﾗｷﾞ ｸｻﾂｴｲｷﾞﾖｳｼﾖ 支払手数料</t>
  </si>
  <si>
    <t>ﾅｶﾆｼ ﾖｼｵ 支払手数料</t>
  </si>
  <si>
    <t>ｵﾌﾘｺﾐ  ｵｸﾑﾗ ｼﾖｳｷ 支払手数料</t>
  </si>
  <si>
    <t>ｵﾌﾘｺﾐ  ﾘﾍﾟｱｻ-ﾋﾞｽﾀﾞｲﾋﾖｳ ｻｶｸﾞﾁ ｻﾀﾞｵ 支払手数料</t>
  </si>
  <si>
    <t>ﾐﾔﾓﾄ ｼｹﾞｿﾞｳ 支払手数料</t>
  </si>
  <si>
    <t>ｵﾌﾘｺﾐ  ﾊﾟﾅｿﾆﾂｸﾃｸﾉｻ-ﾋﾞｽ(ｶ ｷﾝｷｼｼﾔ 支払手数料</t>
  </si>
  <si>
    <t>ｵﾌﾘｺﾐ  ｱｽﾞｶﾘｷﾝｸﾞﾁ ﾍﾞﾝｺﾞｼ ﾀｶﾔﾏ ﾋﾛｼ 支払手数料</t>
  </si>
  <si>
    <t>ｵﾌﾘｺﾐ  ｶ)ﾊﾔｼ 支払手数料</t>
  </si>
  <si>
    <t>ｵﾌﾘｺﾐ  ｲｼﾀﾞ ﾏｻﾅﾘ 支払手数料</t>
  </si>
  <si>
    <t>ｵﾌﾘｺﾐ  ｶ) ｷﾉｼﾀｶﾝｾ- 支払手数料</t>
  </si>
  <si>
    <t>ｵﾌﾘｺﾐ  ｶ)ﾀｹﾔﾏｹﾝｾﾂ 支払手数料</t>
  </si>
  <si>
    <t>ｵﾌﾘｺﾐ  ｶ)ﾋﾗﾀﾀｲﾙ 支払手数料</t>
  </si>
  <si>
    <t>ﾌﾘｶｴ   SMBC(ｼﾖｳｺｳｶｲG 諸会費</t>
  </si>
  <si>
    <t>ｵﾌﾘｺﾐ  ﾅｶﾞﾋﾗ ﾐｷﾄ 支払手数料</t>
  </si>
  <si>
    <t>ｵﾌﾘｺﾐ  ﾌｸﾊﾗ ｶﾅ 支払手数料</t>
  </si>
  <si>
    <t>ｵﾌﾘｺﾐ  ﾜﾀﾅﾍﾞ ﾚｲﾅ 支払手数料</t>
  </si>
  <si>
    <t>ｵﾌﾘｺﾐ  ﾑﾗﾔﾏ ｱｷ 支払手数料</t>
  </si>
  <si>
    <t>ｵﾌﾘｺﾐ  ｶﾜｼﾏ ｱﾔﾈ 支払手数料</t>
  </si>
  <si>
    <t>ｵﾌﾘｺﾐ  ｶ)ｺﾝｽﾄﾗｸﾄｻﾎﾟ-ﾄ 支払手数料</t>
  </si>
  <si>
    <t>ｵﾌﾘｺﾐ  ｲﾃﾞｱ-ﾚ ｲｸﾞｼ ﾀﾞｲｽｹ 支払手数料</t>
  </si>
  <si>
    <t>ｵﾌﾘｺﾐ  ｶ) ﾅﾊﾞﾀ 支払手数料</t>
  </si>
  <si>
    <t>ﾋｵｷ ｻﾕﾘ 支払手数料</t>
  </si>
  <si>
    <t>ﾌﾘｺﾐｼﾊﾗｲ ｶ)ｹｲｴﾇ 支払手数料</t>
  </si>
  <si>
    <t>ﾌﾘｺﾐｼﾊﾗｲ ｶ) ﾅﾊﾞﾀ 支払手数料</t>
  </si>
  <si>
    <t>ﾌﾘｺﾐｼﾊﾗｲ ｷﾑﾗ ｻﾄｼ 支払手数料</t>
  </si>
  <si>
    <t>ﾃｽｳﾘﾖｳ ﾋﾞｼﾞﾈｽﾀﾞｲﾚｸﾄ 支払手数料</t>
  </si>
  <si>
    <t>ﾃｽｳﾘﾖｳ 支払手数料</t>
  </si>
  <si>
    <t>ﾃｽｳﾘﾖｳ ｶｸｼﾕﾊﾂｺｳ 支払手数料</t>
  </si>
  <si>
    <t>支払手数料</t>
  </si>
  <si>
    <t>オリツクスジドウ リース料</t>
  </si>
  <si>
    <t>ﾌﾘｶｴ   MHF)ﾌｸｲｺﾝｱ-ｷ リース料</t>
  </si>
  <si>
    <t>ﾌﾘｶｴ   MHF)ﾌｸｲｺﾝﾋﾟ リース料</t>
  </si>
  <si>
    <t>ｸﾚｼﾞﾂﾄ ｵﾘﾂｸｽ ｼﾞﾄﾞｳA リース料</t>
  </si>
  <si>
    <t>ｵﾌﾘｺﾐ  ﾄﾖﾀﾌｱｲﾅﾝｽ(ｶ 未確定勘定</t>
  </si>
  <si>
    <t>ｸﾚｼﾞﾂﾄ ﾄﾖﾀﾌｱｲﾅﾝｽ (ｶﾌ 未確定勘定</t>
  </si>
  <si>
    <t>Ｅ振替　ＰＥシモジマオンライン 消耗品費</t>
  </si>
  <si>
    <t>Ｅお振込　ダイキンコウギヨウ 修繕費</t>
  </si>
  <si>
    <t>カ）ミラタツプ 消耗品費</t>
  </si>
  <si>
    <t>ｵﾌﾘｺﾐ  ｶ)ｾﾞﾝﾘﾝﾄｳｶｲ 消耗品費</t>
  </si>
  <si>
    <t>ｵﾌﾘｺﾐ  ｷﾖｳﾄﾉﾚﾝ(ｶ 消耗品費</t>
  </si>
  <si>
    <t>ｵﾌﾘｺﾐ  ﾄﾖﾀﾌｱｲﾅﾝｽ(ｶ 修繕費</t>
  </si>
  <si>
    <t>FB ｶ)ｻﾄｳｶﾅﾓﾉ 消耗品費</t>
  </si>
  <si>
    <t>FB ｶ)ｱｶｲﾉﾛｼ 消耗品費</t>
  </si>
  <si>
    <t>消耗品費</t>
  </si>
  <si>
    <t>IB ﾕ) ﾀｶﾐｶﾅﾓﾉﾃﾝ 消耗品費</t>
  </si>
  <si>
    <t>Ｅ手数料 支払手数料</t>
  </si>
  <si>
    <t>振替　ＲＫＳ（ＥＸ）５０５０ 雑費</t>
  </si>
  <si>
    <t>振替　ＣＳＳ（カ）エムエヌアイ 雑費</t>
  </si>
  <si>
    <t>ｵﾌﾘｺﾐ  ｹﾝﾄ ｼﾖｳﾒｲ (ｶ 支払手数料</t>
  </si>
  <si>
    <t>ﾌﾘｶｴ   RL)ﾀｶﾔﾏﾋﾛｼﾎｳﾘ 雑費</t>
  </si>
  <si>
    <t>ﾌﾘｶｴ   CSS(ｶ)ｴﾑｼﾞｴｲｲ 雑費</t>
  </si>
  <si>
    <t>ﾌﾘｶｴ   RKS(ｾﾞｲ)ﾗｸﾗｸ 雑費</t>
  </si>
  <si>
    <t>ﾌﾘｶｴ   SMBC(ｼﾖｳｺｳｶｲG 雑費</t>
  </si>
  <si>
    <t>BBﾃｽｳﾘﾖｳ 支払手数料</t>
  </si>
  <si>
    <t>雑費</t>
  </si>
  <si>
    <t>IB ｶ) ｷﾉｼﾀｶﾝｾ- 雑費</t>
  </si>
  <si>
    <t>SMBC(ﾆﾂﾎﾟﾝｵ- 雑費</t>
  </si>
  <si>
    <t>NSS.ｸﾞﾂﾄﾞﾌﾟﾛ 雑費</t>
  </si>
  <si>
    <t>ﾏﾂｲｻﾝｷﾞﾖｳ(ｶ 雑費</t>
  </si>
  <si>
    <t>Ｅ振替　ＲＬ）タカマツヒロホリ 未払費用</t>
  </si>
  <si>
    <t>振替　ＳＭＢＣ（ＯＰＴＡＧＥ．Ｂ 通信費</t>
  </si>
  <si>
    <t>カ）セレマ 諸口</t>
  </si>
  <si>
    <t>ｵﾌﾘｺﾐ  ｶ)ﾀﾒﾄﾏ 未払金</t>
  </si>
  <si>
    <t>ﾌﾘｶｴ   RL)ｾﾞﾝﾘﾝﾄｳｶｲ 未払金</t>
  </si>
  <si>
    <t>ｵﾌﾘｺﾐ  ｸﾞﾘ-ﾝﾊｳｼﾞﾝｸﾞ(ｶ 諸口</t>
  </si>
  <si>
    <t>ｵﾌﾘｺﾐ  ｶ)ﾀﾒﾄﾏ 諸口</t>
  </si>
  <si>
    <t>ｵﾌﾘｺﾐ  ｶ)ｼﾞ-ﾝｸﾞﾛｽ 諸口</t>
  </si>
  <si>
    <t>ｵﾌﾘｺﾐ  ｺｳﾜｱｼｽﾄ (ｶ 諸口</t>
  </si>
  <si>
    <t>ｵﾌﾘｺﾐ  ｼﾔ)ｲﾏｶﾀﾀｼﾝﾀｸﾌﾄﾞｳｻﾝｶﾝﾘｷﾖｳｶｲ 諸口</t>
  </si>
  <si>
    <t>ｵﾌﾘｺﾐ  ｶ)ｸﾞﾂﾄﾞﾌﾟﾛｼﾞｴｸﾄ 未払金</t>
  </si>
  <si>
    <t>ｵﾌﾘｺﾐ  ﾊﾁｹﾝ ﾂｶｻ 未払金</t>
  </si>
  <si>
    <t>ｵﾌﾘｺﾐ  ﾆｼ ｺｳｲﾁﾛｳ 未払金</t>
  </si>
  <si>
    <t>ｵﾌﾘｺﾐ  ｲﾃﾞｱ-ﾚ ｲｸﾞｼ ﾀﾞｲｽｹ 諸口</t>
  </si>
  <si>
    <t>ｵﾌﾘｺﾐ  ｼﾔ)ｼｶﾞｹﾝｹﾝﾁｸｼｼﾞﾑｼﾖｷﾖｳｶｲ 諸口</t>
  </si>
  <si>
    <t>ｵﾌﾘｺﾐ  ｲｹﾀﾞ ﾓｶ 未払金</t>
  </si>
  <si>
    <t>ｵﾌﾘｺﾐ  ｵｸﾑﾗ ｼﾖｳｷ 未払金</t>
  </si>
  <si>
    <t>ｵﾌﾘｺﾐ  ｶ)ｼｶﾞﾅｶｷ 諸口</t>
  </si>
  <si>
    <t>ｵﾌﾘｺﾐ  ﾌｸﾀﾞ ﾐｵ 未払金</t>
  </si>
  <si>
    <t>ｵﾌﾘｺﾐ  ﾜﾀﾅﾍﾞ ﾚｲﾅ 未払金</t>
  </si>
  <si>
    <t>ｵﾌﾘｺﾐ  ﾑﾗﾔﾏ ｱｷ 未払金</t>
  </si>
  <si>
    <t>ｵﾌﾘｺﾐ  ｶ) ﾘｸｼﾙ 未払金</t>
  </si>
  <si>
    <t>ｵﾌﾘｺﾐ  ﾊﾟﾅｿﾆﾂｸﾃｸﾉｻ-ﾋﾞｽ(ｶ ｷﾝｷｼｼﾔ 未払金</t>
  </si>
  <si>
    <t>ｵﾌﾘｺﾐ  ﾐﾂｲﾌﾄﾞｳｻﾝﾘｱﾙﾃｲ (ｶ 未確定勘定</t>
  </si>
  <si>
    <t>ｵﾌﾘｺﾐ  ｶ)ﾋﾟ-ｸ 未確定勘定</t>
  </si>
  <si>
    <t>ｵﾌﾘｺﾐ  ｱｽﾞｶﾘｷﾝｸﾞﾁ ﾍﾞﾝｺﾞｼ ﾀｶﾔﾏ ﾋﾛｼ 未払金</t>
  </si>
  <si>
    <t>ｸﾚｼﾞﾂﾄ SMTﾊﾟﾅ 未確定勘定</t>
  </si>
  <si>
    <t>ﾌﾘｶｴ   MHF)ｱｽﾍﾞｽﾄONE 未払金</t>
  </si>
  <si>
    <t>FB ﾐﾔｻﾞｷ ﾑﾈｱｷ 未確定勘定</t>
  </si>
  <si>
    <t>FB ｶ) ﾁｷﾘﾔｶﾞ-ﾃﾞﾝ 未払金</t>
  </si>
  <si>
    <t>IB ｶ)ﾄｳｼ- 未確定勘定</t>
  </si>
  <si>
    <t>IB ﾖｼﾀﾞ ﾖｼｶｽﾞ 未確定勘定</t>
  </si>
  <si>
    <t>IB ｲﾄｳﾁﾕｳｴﾈｸｽ(ｶ 燃料費</t>
  </si>
  <si>
    <t>ｵﾌﾘｺﾐ  ｸﾞﾘ-ﾝﾊｳｼﾞﾝｸﾞ(ｶ 立替金</t>
  </si>
  <si>
    <t>ｵﾌﾘｺﾐ  ｷﾀ ﾔｽｼ 預り金</t>
  </si>
  <si>
    <t>未払金</t>
  </si>
  <si>
    <t>IB ｸﾞﾘ-ﾝﾊｳｼﾞﾝｸﾞ ( 立替金</t>
  </si>
  <si>
    <t>IB ｸﾞﾘ-ﾝﾊｳｼﾞﾝｸﾞ(ｶ 立替金</t>
  </si>
  <si>
    <t>ｶ-ﾄﾞ 現金</t>
  </si>
  <si>
    <t>ｶ-ﾄﾞ 諸口</t>
  </si>
  <si>
    <t>ATM 現金</t>
  </si>
  <si>
    <t>Ｅクレジツト　アメリカンエキスプレス アメリカン・エキスプレス - ビジネス・カード（API）</t>
  </si>
  <si>
    <t>クレジツト　シガギンＪＣＢ JCBカード（API）</t>
  </si>
  <si>
    <t>クレジツト　ラクテンカードサービス 楽天カード</t>
  </si>
  <si>
    <t>ｸﾚｼﾞﾂﾄ ｼｶﾞｷﾞﾝJCB JCBカード（API）</t>
  </si>
  <si>
    <t>ｸﾚｼﾞﾂﾄ ｱﾒﾘｶﾝｴｷｽﾌﾟﾚｽ アメリカン・エキスプレス - ビジネス・カード（API）</t>
  </si>
  <si>
    <t>ｸﾚｼﾞﾂﾄ ﾗｸﾃﾝｶ-ﾄﾞｻ-ﾋﾞｽ 楽天カード</t>
  </si>
  <si>
    <t>ｶ-ﾄﾞ 楽天カード</t>
  </si>
  <si>
    <t>ﾌﾘｶｴ   PE ﾁﾎｳｾﾞｲｷﾖｳﾄﾞｳｷｺｳ 租税公課</t>
  </si>
  <si>
    <t>お振込　イデアーレイグシタ 諸口</t>
  </si>
  <si>
    <t>Ｅご送金　カ）テイーボツクス 諸口</t>
  </si>
  <si>
    <t>コヘンサイ 諸口</t>
  </si>
  <si>
    <t>コヘンハル 諸口</t>
  </si>
  <si>
    <t>ｺﾂｷﾝ   ｶ)ﾆﾂﾎﾟﾝｾｲｻｸｷﾝ 諸口</t>
  </si>
  <si>
    <t>ｼﾖｳｶﾞｼ ｺﾞﾍﾝｻｲ 諸口</t>
  </si>
  <si>
    <t>ﾌﾘｶｴ   ｺﾞﾍﾝｻｲ 諸口</t>
  </si>
  <si>
    <t>ﾕｳｼﾍﾝｻｲ 諸口</t>
  </si>
  <si>
    <t>借入金返済/3,000万 長期借入金</t>
  </si>
  <si>
    <t>借入金返済/6500万 長期借入金</t>
  </si>
  <si>
    <t>ﾍﾝｻｲ 長期借入金</t>
  </si>
  <si>
    <t>お振込　イグシツネハル 役員貸付金</t>
  </si>
  <si>
    <t>ｵﾌﾘｺﾐ  ｲｸﾞｼ ﾂﾈﾊﾙ 役員貸付金</t>
  </si>
  <si>
    <t>IB ｲｸﾞｼ ﾂﾈﾊﾙ 役員貸付金</t>
  </si>
  <si>
    <t>カ）ニツポンセイサクキン 支払利息</t>
  </si>
  <si>
    <t>ｼﾖｳｶﾞｼ ｺﾞﾕｳｼｷﾝﾘｿｸ ﾄｳ 諸口</t>
  </si>
  <si>
    <t>ｶｼﾘｿｸ 支払利息</t>
  </si>
  <si>
    <t>前月末残高</t>
  </si>
  <si>
    <t>滋賀銀行堅田</t>
  </si>
  <si>
    <t>京都信用金庫堅田</t>
  </si>
  <si>
    <t>関西みらい銀行6582</t>
  </si>
  <si>
    <t>関西みらい銀行582296</t>
  </si>
  <si>
    <t>残高合計</t>
  </si>
  <si>
    <t>前月増減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</si>
</sst>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#,##0;[Red]\▲#,##0"/>
    <numFmt numFmtId="177" formatCode="#,##0.000;[Red]\-#,##0.000"/>
    <numFmt numFmtId="178" formatCode="0.0%"/>
    <numFmt numFmtId="179" formatCode="yyyy&quot;/&quot;mm"/>
    <numFmt numFmtId="180" formatCode="yyyy&quot;/&quot;mm&quot;/&quot;"/>
    <numFmt numFmtId="181" formatCode="0\ &quot;日&quot;"/>
  </numFmts>
  <fonts count="28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name val="Arial"/>
      <family val="2"/>
    </font>
    <font>
      <b/>
      <sz val="12"/>
      <color theme="1"/>
      <name val="Arial"/>
      <family val="2"/>
      <scheme val="minor"/>
    </font>
    <font>
      <b/>
      <sz val="9"/>
      <color theme="1"/>
      <name val="游ゴシック"/>
      <family val="3"/>
      <charset val="128"/>
    </font>
    <font>
      <sz val="9"/>
      <color theme="1"/>
      <name val="游ゴシック"/>
      <family val="3"/>
      <charset val="128"/>
    </font>
    <font>
      <sz val="9"/>
      <color theme="1"/>
      <name val="Meiryo"/>
      <family val="3"/>
      <charset val="128"/>
    </font>
    <font>
      <sz val="9"/>
      <color theme="0"/>
      <name val="游ゴシック"/>
      <family val="3"/>
      <charset val="128"/>
    </font>
    <font>
      <sz val="9"/>
      <color rgb="FF0000FF"/>
      <name val="游ゴシック"/>
      <family val="3"/>
      <charset val="128"/>
    </font>
    <font>
      <sz val="9"/>
      <color rgb="FFFF0000"/>
      <name val="游ゴシック"/>
      <family val="3"/>
      <charset val="128"/>
    </font>
    <font>
      <sz val="7"/>
      <color theme="1"/>
      <name val="游ゴシック"/>
      <family val="3"/>
      <charset val="128"/>
    </font>
    <font>
      <b/>
      <sz val="14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1F1F1F"/>
      <name val="&quot;Google Sans Mono&quot;"/>
    </font>
    <font>
      <sz val="6"/>
      <name val="Arial"/>
      <family val="3"/>
      <charset val="128"/>
      <scheme val="minor"/>
    </font>
    <font>
      <b/>
      <sz val="9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color rgb="FF000000"/>
      <name val="メイリオ"/>
      <family val="3"/>
      <charset val="128"/>
    </font>
    <font>
      <b/>
      <sz val="9"/>
      <color rgb="FF000000"/>
      <name val="メイリオ"/>
      <family val="3"/>
      <charset val="128"/>
    </font>
    <font>
      <sz val="9"/>
      <color rgb="FFFF0000"/>
      <name val="メイリオ"/>
      <family val="3"/>
      <charset val="128"/>
    </font>
    <font>
      <sz val="10"/>
      <color rgb="FF000000"/>
      <name val="Arial"/>
      <family val="2"/>
    </font>
    <font>
      <sz val="9"/>
      <color rgb="FF000000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color theme="1"/>
      <name val="&quot;ＭＳ Ｐゴシック&quot;"/>
      <family val="3"/>
      <charset val="128"/>
    </font>
    <font>
      <b/>
      <sz val="9"/>
      <color rgb="FF000000"/>
      <name val="游ゴシック"/>
      <family val="3"/>
      <charset val="128"/>
    </font>
    <font>
      <sz val="9"/>
      <name val="Arial"/>
      <family val="2"/>
    </font>
    <font>
      <sz val="9"/>
      <color rgb="FF000000"/>
      <name val="游ゴシック"/>
      <family val="3"/>
      <charset val="128"/>
    </font>
    <font>
      <sz val="9"/>
      <color theme="1"/>
      <name val="Arial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FFFE0"/>
        <bgColor rgb="FFFFFFE0"/>
      </patternFill>
    </fill>
    <fill>
      <patternFill patternType="solid">
        <fgColor rgb="FFEFEFEF"/>
        <bgColor rgb="FFEFEFEF"/>
      </patternFill>
    </fill>
    <fill>
      <patternFill patternType="solid">
        <fgColor rgb="FF63D297"/>
        <bgColor rgb="FF63D297"/>
      </patternFill>
    </fill>
    <fill>
      <patternFill patternType="solid">
        <fgColor rgb="FFD9E2F3"/>
        <bgColor rgb="FFD9E2F3"/>
      </patternFill>
    </fill>
    <fill>
      <patternFill patternType="solid">
        <fgColor rgb="FFFFFF00"/>
        <bgColor rgb="FFFFFF00"/>
      </patternFill>
    </fill>
    <fill>
      <patternFill patternType="solid">
        <fgColor rgb="FFE8F0FE"/>
        <bgColor rgb="FFE8F0FE"/>
      </patternFill>
    </fill>
    <fill>
      <patternFill patternType="solid">
        <fgColor rgb="FFF0F4F9"/>
        <bgColor rgb="FFF0F4F9"/>
      </patternFill>
    </fill>
    <fill>
      <patternFill patternType="solid">
        <fgColor rgb="FF9FC5E8"/>
        <bgColor rgb="FF9FC5E8"/>
      </patternFill>
    </fill>
    <fill>
      <patternFill patternType="solid">
        <fgColor rgb="FFB6D7A8"/>
        <bgColor rgb="FFB6D7A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rgb="FFC9DAF8"/>
      </patternFill>
    </fill>
  </fills>
  <borders count="6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</borders>
  <cellStyleXfs count="1">
    <xf numFmtId="0" fontId="0" fillId="0" borderId="0"/>
  </cellStyleXfs>
  <cellXfs count="332">
    <xf numFmtId="0" fontId="0" fillId="0" borderId="0" xfId="0"/>
    <xf numFmtId="0" fontId="1" fillId="0" borderId="0" xfId="0" applyFont="1"/>
    <xf numFmtId="55" fontId="1" fillId="0" borderId="0" xfId="0" applyNumberFormat="1" applyFont="1"/>
    <xf numFmtId="0" fontId="1" fillId="2" borderId="0" xfId="0" applyFont="1" applyFill="1"/>
    <xf numFmtId="3" fontId="1" fillId="0" borderId="0" xfId="0" applyNumberFormat="1" applyFont="1"/>
    <xf numFmtId="3" fontId="1" fillId="4" borderId="0" xfId="0" applyNumberFormat="1" applyFont="1" applyFill="1"/>
    <xf numFmtId="0" fontId="1" fillId="4" borderId="0" xfId="0" applyFont="1" applyFill="1"/>
    <xf numFmtId="0" fontId="3" fillId="0" borderId="0" xfId="0" applyFont="1"/>
    <xf numFmtId="0" fontId="1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3" fontId="1" fillId="0" borderId="13" xfId="0" applyNumberFormat="1" applyFont="1" applyBorder="1"/>
    <xf numFmtId="3" fontId="1" fillId="4" borderId="13" xfId="0" applyNumberFormat="1" applyFont="1" applyFill="1" applyBorder="1"/>
    <xf numFmtId="0" fontId="1" fillId="7" borderId="0" xfId="0" applyFont="1" applyFill="1"/>
    <xf numFmtId="3" fontId="1" fillId="7" borderId="0" xfId="0" applyNumberFormat="1" applyFont="1" applyFill="1"/>
    <xf numFmtId="3" fontId="1" fillId="7" borderId="9" xfId="0" applyNumberFormat="1" applyFont="1" applyFill="1" applyBorder="1"/>
    <xf numFmtId="3" fontId="1" fillId="7" borderId="13" xfId="0" applyNumberFormat="1" applyFont="1" applyFill="1" applyBorder="1"/>
    <xf numFmtId="38" fontId="4" fillId="0" borderId="0" xfId="0" applyNumberFormat="1" applyFont="1" applyAlignment="1">
      <alignment vertical="center"/>
    </xf>
    <xf numFmtId="38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0" fontId="5" fillId="0" borderId="0" xfId="0" applyNumberFormat="1" applyFont="1" applyAlignment="1">
      <alignment vertical="center"/>
    </xf>
    <xf numFmtId="0" fontId="5" fillId="0" borderId="0" xfId="0" applyFont="1"/>
    <xf numFmtId="38" fontId="4" fillId="0" borderId="0" xfId="0" applyNumberFormat="1" applyFont="1" applyAlignment="1">
      <alignment horizontal="center" vertical="center"/>
    </xf>
    <xf numFmtId="0" fontId="5" fillId="0" borderId="27" xfId="0" applyFont="1" applyBorder="1" applyAlignment="1">
      <alignment horizontal="left"/>
    </xf>
    <xf numFmtId="38" fontId="4" fillId="5" borderId="28" xfId="0" applyNumberFormat="1" applyFont="1" applyFill="1" applyBorder="1"/>
    <xf numFmtId="38" fontId="4" fillId="0" borderId="27" xfId="0" applyNumberFormat="1" applyFont="1" applyBorder="1" applyAlignment="1">
      <alignment horizontal="center" vertical="center"/>
    </xf>
    <xf numFmtId="0" fontId="5" fillId="0" borderId="30" xfId="0" applyFont="1" applyBorder="1"/>
    <xf numFmtId="38" fontId="5" fillId="0" borderId="31" xfId="0" applyNumberFormat="1" applyFont="1" applyBorder="1"/>
    <xf numFmtId="38" fontId="5" fillId="0" borderId="32" xfId="0" applyNumberFormat="1" applyFont="1" applyBorder="1" applyAlignment="1">
      <alignment vertical="center"/>
    </xf>
    <xf numFmtId="38" fontId="5" fillId="0" borderId="33" xfId="0" applyNumberFormat="1" applyFont="1" applyBorder="1" applyAlignment="1">
      <alignment vertical="center"/>
    </xf>
    <xf numFmtId="38" fontId="5" fillId="0" borderId="34" xfId="0" applyNumberFormat="1" applyFont="1" applyBorder="1" applyAlignment="1">
      <alignment vertical="center"/>
    </xf>
    <xf numFmtId="176" fontId="5" fillId="0" borderId="0" xfId="0" applyNumberFormat="1" applyFont="1"/>
    <xf numFmtId="0" fontId="5" fillId="0" borderId="34" xfId="0" applyFont="1" applyBorder="1" applyAlignment="1">
      <alignment horizontal="left"/>
    </xf>
    <xf numFmtId="38" fontId="5" fillId="5" borderId="35" xfId="0" applyNumberFormat="1" applyFont="1" applyFill="1" applyBorder="1"/>
    <xf numFmtId="38" fontId="5" fillId="0" borderId="36" xfId="0" applyNumberFormat="1" applyFont="1" applyBorder="1" applyAlignment="1">
      <alignment vertical="center"/>
    </xf>
    <xf numFmtId="0" fontId="5" fillId="0" borderId="34" xfId="0" quotePrefix="1" applyFont="1" applyBorder="1" applyAlignment="1">
      <alignment horizontal="left"/>
    </xf>
    <xf numFmtId="38" fontId="5" fillId="5" borderId="35" xfId="0" applyNumberFormat="1" applyFont="1" applyFill="1" applyBorder="1" applyAlignment="1">
      <alignment vertical="center"/>
    </xf>
    <xf numFmtId="38" fontId="5" fillId="5" borderId="37" xfId="0" applyNumberFormat="1" applyFont="1" applyFill="1" applyBorder="1" applyAlignment="1">
      <alignment vertical="center"/>
    </xf>
    <xf numFmtId="177" fontId="5" fillId="0" borderId="0" xfId="0" applyNumberFormat="1" applyFont="1" applyAlignment="1">
      <alignment vertical="center"/>
    </xf>
    <xf numFmtId="38" fontId="4" fillId="0" borderId="28" xfId="0" applyNumberFormat="1" applyFont="1" applyBorder="1"/>
    <xf numFmtId="38" fontId="4" fillId="0" borderId="38" xfId="0" applyNumberFormat="1" applyFont="1" applyBorder="1" applyAlignment="1">
      <alignment vertical="center"/>
    </xf>
    <xf numFmtId="38" fontId="4" fillId="0" borderId="28" xfId="0" applyNumberFormat="1" applyFont="1" applyBorder="1" applyAlignment="1">
      <alignment vertical="center"/>
    </xf>
    <xf numFmtId="38" fontId="4" fillId="0" borderId="27" xfId="0" applyNumberFormat="1" applyFont="1" applyBorder="1" applyAlignment="1">
      <alignment vertical="center"/>
    </xf>
    <xf numFmtId="0" fontId="5" fillId="0" borderId="30" xfId="0" applyFont="1" applyBorder="1" applyAlignment="1">
      <alignment vertical="center"/>
    </xf>
    <xf numFmtId="38" fontId="5" fillId="0" borderId="39" xfId="0" applyNumberFormat="1" applyFont="1" applyBorder="1" applyAlignment="1">
      <alignment vertical="center"/>
    </xf>
    <xf numFmtId="10" fontId="5" fillId="0" borderId="40" xfId="0" applyNumberFormat="1" applyFont="1" applyBorder="1" applyAlignment="1">
      <alignment vertical="center"/>
    </xf>
    <xf numFmtId="38" fontId="4" fillId="0" borderId="41" xfId="0" applyNumberFormat="1" applyFont="1" applyBorder="1" applyAlignment="1">
      <alignment vertical="center"/>
    </xf>
    <xf numFmtId="0" fontId="5" fillId="0" borderId="34" xfId="0" applyFont="1" applyBorder="1" applyAlignment="1">
      <alignment horizontal="left" shrinkToFit="1"/>
    </xf>
    <xf numFmtId="38" fontId="6" fillId="0" borderId="0" xfId="0" applyNumberFormat="1" applyFont="1" applyAlignment="1">
      <alignment vertical="center"/>
    </xf>
    <xf numFmtId="38" fontId="5" fillId="0" borderId="42" xfId="0" applyNumberFormat="1" applyFont="1" applyBorder="1" applyAlignment="1">
      <alignment vertical="center"/>
    </xf>
    <xf numFmtId="10" fontId="5" fillId="5" borderId="43" xfId="0" applyNumberFormat="1" applyFont="1" applyFill="1" applyBorder="1" applyAlignment="1">
      <alignment vertical="center"/>
    </xf>
    <xf numFmtId="38" fontId="5" fillId="0" borderId="38" xfId="0" applyNumberFormat="1" applyFont="1" applyBorder="1" applyAlignment="1">
      <alignment vertical="center"/>
    </xf>
    <xf numFmtId="178" fontId="5" fillId="5" borderId="40" xfId="0" applyNumberFormat="1" applyFont="1" applyFill="1" applyBorder="1" applyAlignment="1">
      <alignment vertical="center"/>
    </xf>
    <xf numFmtId="38" fontId="5" fillId="0" borderId="44" xfId="0" applyNumberFormat="1" applyFont="1" applyBorder="1" applyAlignment="1">
      <alignment vertical="center"/>
    </xf>
    <xf numFmtId="10" fontId="5" fillId="5" borderId="45" xfId="0" applyNumberFormat="1" applyFont="1" applyFill="1" applyBorder="1" applyAlignment="1">
      <alignment vertical="center"/>
    </xf>
    <xf numFmtId="38" fontId="7" fillId="0" borderId="0" xfId="0" applyNumberFormat="1" applyFont="1" applyAlignment="1">
      <alignment vertical="center"/>
    </xf>
    <xf numFmtId="0" fontId="5" fillId="0" borderId="27" xfId="0" applyFont="1" applyBorder="1" applyAlignment="1">
      <alignment vertical="center"/>
    </xf>
    <xf numFmtId="38" fontId="5" fillId="0" borderId="46" xfId="0" applyNumberFormat="1" applyFont="1" applyBorder="1" applyAlignment="1">
      <alignment vertical="center"/>
    </xf>
    <xf numFmtId="10" fontId="5" fillId="5" borderId="47" xfId="0" applyNumberFormat="1" applyFont="1" applyFill="1" applyBorder="1" applyAlignment="1">
      <alignment vertical="center"/>
    </xf>
    <xf numFmtId="38" fontId="4" fillId="5" borderId="48" xfId="0" applyNumberFormat="1" applyFont="1" applyFill="1" applyBorder="1"/>
    <xf numFmtId="0" fontId="5" fillId="0" borderId="27" xfId="0" quotePrefix="1" applyFont="1" applyBorder="1" applyAlignment="1">
      <alignment horizontal="left"/>
    </xf>
    <xf numFmtId="38" fontId="5" fillId="5" borderId="48" xfId="0" applyNumberFormat="1" applyFont="1" applyFill="1" applyBorder="1"/>
    <xf numFmtId="38" fontId="4" fillId="0" borderId="27" xfId="0" applyNumberFormat="1" applyFont="1" applyBorder="1"/>
    <xf numFmtId="38" fontId="8" fillId="0" borderId="0" xfId="0" applyNumberFormat="1" applyFont="1"/>
    <xf numFmtId="38" fontId="5" fillId="0" borderId="49" xfId="0" applyNumberFormat="1" applyFont="1" applyBorder="1" applyAlignment="1">
      <alignment vertical="center"/>
    </xf>
    <xf numFmtId="10" fontId="5" fillId="5" borderId="50" xfId="0" applyNumberFormat="1" applyFont="1" applyFill="1" applyBorder="1" applyAlignment="1">
      <alignment vertical="center"/>
    </xf>
    <xf numFmtId="0" fontId="5" fillId="0" borderId="0" xfId="0" applyFont="1" applyAlignment="1">
      <alignment horizontal="left"/>
    </xf>
    <xf numFmtId="38" fontId="4" fillId="0" borderId="46" xfId="0" applyNumberFormat="1" applyFont="1" applyBorder="1" applyAlignment="1">
      <alignment vertical="center"/>
    </xf>
    <xf numFmtId="38" fontId="4" fillId="5" borderId="47" xfId="0" applyNumberFormat="1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38" fontId="5" fillId="5" borderId="51" xfId="0" applyNumberFormat="1" applyFont="1" applyFill="1" applyBorder="1" applyAlignment="1">
      <alignment vertical="center"/>
    </xf>
    <xf numFmtId="38" fontId="9" fillId="0" borderId="0" xfId="0" applyNumberFormat="1" applyFont="1" applyAlignment="1">
      <alignment vertical="center"/>
    </xf>
    <xf numFmtId="38" fontId="4" fillId="0" borderId="0" xfId="0" quotePrefix="1" applyNumberFormat="1" applyFont="1" applyAlignment="1">
      <alignment horizontal="left"/>
    </xf>
    <xf numFmtId="38" fontId="5" fillId="0" borderId="0" xfId="0" applyNumberFormat="1" applyFont="1"/>
    <xf numFmtId="38" fontId="5" fillId="0" borderId="43" xfId="0" applyNumberFormat="1" applyFont="1" applyBorder="1"/>
    <xf numFmtId="0" fontId="5" fillId="0" borderId="52" xfId="0" applyFont="1" applyBorder="1" applyAlignment="1">
      <alignment horizontal="center" vertical="center" shrinkToFit="1"/>
    </xf>
    <xf numFmtId="0" fontId="5" fillId="0" borderId="53" xfId="0" applyFont="1" applyBorder="1" applyAlignment="1">
      <alignment horizontal="center" vertical="center" shrinkToFit="1"/>
    </xf>
    <xf numFmtId="38" fontId="5" fillId="0" borderId="53" xfId="0" applyNumberFormat="1" applyFont="1" applyBorder="1" applyAlignment="1">
      <alignment horizontal="center" vertical="center" shrinkToFit="1"/>
    </xf>
    <xf numFmtId="38" fontId="10" fillId="0" borderId="53" xfId="0" applyNumberFormat="1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 shrinkToFit="1"/>
    </xf>
    <xf numFmtId="38" fontId="5" fillId="0" borderId="55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38" fontId="5" fillId="0" borderId="1" xfId="0" applyNumberFormat="1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9" fontId="5" fillId="0" borderId="0" xfId="0" applyNumberFormat="1" applyFont="1" applyAlignment="1">
      <alignment vertical="center"/>
    </xf>
    <xf numFmtId="10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38" fontId="5" fillId="5" borderId="47" xfId="0" applyNumberFormat="1" applyFont="1" applyFill="1" applyBorder="1"/>
    <xf numFmtId="38" fontId="5" fillId="5" borderId="4" xfId="0" applyNumberFormat="1" applyFont="1" applyFill="1" applyBorder="1" applyAlignment="1">
      <alignment vertical="center"/>
    </xf>
    <xf numFmtId="38" fontId="5" fillId="5" borderId="1" xfId="0" applyNumberFormat="1" applyFont="1" applyFill="1" applyBorder="1" applyAlignment="1">
      <alignment vertical="center"/>
    </xf>
    <xf numFmtId="38" fontId="5" fillId="5" borderId="2" xfId="0" applyNumberFormat="1" applyFont="1" applyFill="1" applyBorder="1" applyAlignment="1">
      <alignment vertical="center"/>
    </xf>
    <xf numFmtId="38" fontId="5" fillId="0" borderId="2" xfId="0" applyNumberFormat="1" applyFont="1" applyBorder="1" applyAlignment="1">
      <alignment vertical="center"/>
    </xf>
    <xf numFmtId="38" fontId="5" fillId="0" borderId="56" xfId="0" applyNumberFormat="1" applyFont="1" applyBorder="1" applyAlignment="1">
      <alignment vertical="center"/>
    </xf>
    <xf numFmtId="38" fontId="5" fillId="0" borderId="1" xfId="0" applyNumberFormat="1" applyFont="1" applyBorder="1" applyAlignment="1">
      <alignment vertical="center" shrinkToFit="1"/>
    </xf>
    <xf numFmtId="38" fontId="4" fillId="0" borderId="1" xfId="0" applyNumberFormat="1" applyFont="1" applyBorder="1" applyAlignment="1">
      <alignment vertical="center" shrinkToFit="1"/>
    </xf>
    <xf numFmtId="38" fontId="4" fillId="0" borderId="8" xfId="0" applyNumberFormat="1" applyFont="1" applyBorder="1" applyAlignment="1">
      <alignment vertical="center" shrinkToFit="1"/>
    </xf>
    <xf numFmtId="9" fontId="5" fillId="0" borderId="1" xfId="0" applyNumberFormat="1" applyFont="1" applyBorder="1" applyAlignment="1">
      <alignment vertical="center"/>
    </xf>
    <xf numFmtId="38" fontId="5" fillId="0" borderId="1" xfId="0" applyNumberFormat="1" applyFont="1" applyBorder="1" applyAlignment="1">
      <alignment vertical="center"/>
    </xf>
    <xf numFmtId="38" fontId="5" fillId="2" borderId="47" xfId="0" applyNumberFormat="1" applyFont="1" applyFill="1" applyBorder="1"/>
    <xf numFmtId="38" fontId="5" fillId="0" borderId="4" xfId="0" applyNumberFormat="1" applyFont="1" applyBorder="1" applyAlignment="1">
      <alignment vertical="center"/>
    </xf>
    <xf numFmtId="38" fontId="5" fillId="0" borderId="47" xfId="0" applyNumberFormat="1" applyFont="1" applyBorder="1"/>
    <xf numFmtId="38" fontId="5" fillId="0" borderId="57" xfId="0" applyNumberFormat="1" applyFont="1" applyBorder="1" applyAlignment="1">
      <alignment vertical="center"/>
    </xf>
    <xf numFmtId="38" fontId="4" fillId="0" borderId="58" xfId="0" applyNumberFormat="1" applyFont="1" applyBorder="1"/>
    <xf numFmtId="38" fontId="4" fillId="0" borderId="33" xfId="0" applyNumberFormat="1" applyFont="1" applyBorder="1" applyAlignment="1">
      <alignment vertical="center"/>
    </xf>
    <xf numFmtId="9" fontId="5" fillId="0" borderId="59" xfId="0" applyNumberFormat="1" applyFont="1" applyBorder="1" applyAlignment="1">
      <alignment vertical="center"/>
    </xf>
    <xf numFmtId="9" fontId="5" fillId="0" borderId="60" xfId="0" applyNumberFormat="1" applyFont="1" applyBorder="1" applyAlignment="1">
      <alignment vertical="center"/>
    </xf>
    <xf numFmtId="38" fontId="5" fillId="0" borderId="61" xfId="0" applyNumberFormat="1" applyFont="1" applyBorder="1" applyAlignment="1">
      <alignment vertical="center"/>
    </xf>
    <xf numFmtId="38" fontId="5" fillId="0" borderId="47" xfId="0" applyNumberFormat="1" applyFont="1" applyBorder="1" applyAlignment="1">
      <alignment vertical="center"/>
    </xf>
    <xf numFmtId="38" fontId="5" fillId="5" borderId="47" xfId="0" applyNumberFormat="1" applyFont="1" applyFill="1" applyBorder="1" applyAlignment="1">
      <alignment vertical="center"/>
    </xf>
    <xf numFmtId="38" fontId="5" fillId="8" borderId="1" xfId="0" applyNumberFormat="1" applyFont="1" applyFill="1" applyBorder="1" applyAlignment="1">
      <alignment vertical="center"/>
    </xf>
    <xf numFmtId="38" fontId="4" fillId="0" borderId="0" xfId="0" applyNumberFormat="1" applyFont="1" applyAlignment="1">
      <alignment vertical="center" shrinkToFit="1"/>
    </xf>
    <xf numFmtId="38" fontId="5" fillId="2" borderId="47" xfId="0" applyNumberFormat="1" applyFont="1" applyFill="1" applyBorder="1" applyAlignment="1">
      <alignment vertical="center"/>
    </xf>
    <xf numFmtId="38" fontId="5" fillId="9" borderId="62" xfId="0" applyNumberFormat="1" applyFont="1" applyFill="1" applyBorder="1" applyAlignment="1">
      <alignment vertical="center"/>
    </xf>
    <xf numFmtId="38" fontId="4" fillId="0" borderId="58" xfId="0" applyNumberFormat="1" applyFont="1" applyBorder="1" applyAlignment="1">
      <alignment vertical="center"/>
    </xf>
    <xf numFmtId="38" fontId="5" fillId="0" borderId="0" xfId="0" applyNumberFormat="1" applyFont="1" applyAlignment="1">
      <alignment horizontal="center" vertical="center"/>
    </xf>
    <xf numFmtId="38" fontId="4" fillId="0" borderId="52" xfId="0" applyNumberFormat="1" applyFont="1" applyBorder="1" applyAlignment="1">
      <alignment horizontal="center" vertical="center"/>
    </xf>
    <xf numFmtId="38" fontId="4" fillId="0" borderId="53" xfId="0" applyNumberFormat="1" applyFont="1" applyBorder="1" applyAlignment="1">
      <alignment horizontal="center" vertical="center"/>
    </xf>
    <xf numFmtId="38" fontId="4" fillId="0" borderId="43" xfId="0" applyNumberFormat="1" applyFont="1" applyBorder="1" applyAlignment="1">
      <alignment horizontal="center" vertical="center"/>
    </xf>
    <xf numFmtId="38" fontId="4" fillId="0" borderId="1" xfId="0" applyNumberFormat="1" applyFont="1" applyBorder="1" applyAlignment="1">
      <alignment vertical="center"/>
    </xf>
    <xf numFmtId="38" fontId="5" fillId="5" borderId="63" xfId="0" applyNumberFormat="1" applyFont="1" applyFill="1" applyBorder="1" applyAlignment="1">
      <alignment vertical="center"/>
    </xf>
    <xf numFmtId="38" fontId="5" fillId="0" borderId="64" xfId="0" applyNumberFormat="1" applyFont="1" applyBorder="1" applyAlignment="1">
      <alignment vertical="center"/>
    </xf>
    <xf numFmtId="38" fontId="5" fillId="0" borderId="45" xfId="0" applyNumberFormat="1" applyFont="1" applyBorder="1" applyAlignment="1">
      <alignment vertical="center"/>
    </xf>
    <xf numFmtId="38" fontId="4" fillId="0" borderId="44" xfId="0" applyNumberFormat="1" applyFont="1" applyBorder="1" applyAlignment="1">
      <alignment vertical="center"/>
    </xf>
    <xf numFmtId="38" fontId="4" fillId="0" borderId="65" xfId="0" applyNumberFormat="1" applyFont="1" applyBorder="1" applyAlignment="1">
      <alignment vertical="center"/>
    </xf>
    <xf numFmtId="38" fontId="4" fillId="9" borderId="66" xfId="0" applyNumberFormat="1" applyFont="1" applyFill="1" applyBorder="1" applyAlignment="1">
      <alignment vertical="center"/>
    </xf>
    <xf numFmtId="38" fontId="5" fillId="0" borderId="6" xfId="0" applyNumberFormat="1" applyFont="1" applyBorder="1" applyAlignment="1">
      <alignment vertical="center"/>
    </xf>
    <xf numFmtId="38" fontId="5" fillId="0" borderId="7" xfId="0" applyNumberFormat="1" applyFont="1" applyBorder="1" applyAlignment="1">
      <alignment vertical="center"/>
    </xf>
    <xf numFmtId="38" fontId="5" fillId="0" borderId="26" xfId="0" applyNumberFormat="1" applyFont="1" applyBorder="1" applyAlignment="1">
      <alignment vertical="center"/>
    </xf>
    <xf numFmtId="38" fontId="5" fillId="0" borderId="9" xfId="0" applyNumberFormat="1" applyFont="1" applyBorder="1" applyAlignment="1">
      <alignment vertical="center"/>
    </xf>
    <xf numFmtId="38" fontId="5" fillId="0" borderId="13" xfId="0" applyNumberFormat="1" applyFont="1" applyBorder="1" applyAlignment="1">
      <alignment vertical="center"/>
    </xf>
    <xf numFmtId="38" fontId="5" fillId="0" borderId="20" xfId="0" applyNumberFormat="1" applyFont="1" applyBorder="1" applyAlignment="1">
      <alignment vertical="center"/>
    </xf>
    <xf numFmtId="38" fontId="5" fillId="0" borderId="25" xfId="0" applyNumberFormat="1" applyFont="1" applyBorder="1" applyAlignment="1">
      <alignment vertical="center"/>
    </xf>
    <xf numFmtId="10" fontId="5" fillId="0" borderId="25" xfId="0" applyNumberFormat="1" applyFont="1" applyBorder="1" applyAlignment="1">
      <alignment vertical="center"/>
    </xf>
    <xf numFmtId="38" fontId="5" fillId="0" borderId="23" xfId="0" applyNumberFormat="1" applyFont="1" applyBorder="1" applyAlignment="1">
      <alignment vertical="center"/>
    </xf>
    <xf numFmtId="10" fontId="5" fillId="0" borderId="7" xfId="0" applyNumberFormat="1" applyFont="1" applyBorder="1" applyAlignment="1">
      <alignment vertical="center"/>
    </xf>
    <xf numFmtId="0" fontId="1" fillId="10" borderId="1" xfId="0" applyFont="1" applyFill="1" applyBorder="1"/>
    <xf numFmtId="179" fontId="1" fillId="10" borderId="1" xfId="0" applyNumberFormat="1" applyFont="1" applyFill="1" applyBorder="1"/>
    <xf numFmtId="0" fontId="1" fillId="0" borderId="1" xfId="0" applyFont="1" applyBorder="1"/>
    <xf numFmtId="0" fontId="1" fillId="5" borderId="1" xfId="0" applyFont="1" applyFill="1" applyBorder="1"/>
    <xf numFmtId="38" fontId="1" fillId="2" borderId="1" xfId="0" applyNumberFormat="1" applyFont="1" applyFill="1" applyBorder="1"/>
    <xf numFmtId="0" fontId="1" fillId="2" borderId="1" xfId="0" applyFont="1" applyFill="1" applyBorder="1"/>
    <xf numFmtId="38" fontId="1" fillId="0" borderId="1" xfId="0" applyNumberFormat="1" applyFont="1" applyBorder="1"/>
    <xf numFmtId="0" fontId="11" fillId="0" borderId="0" xfId="0" applyFont="1"/>
    <xf numFmtId="0" fontId="12" fillId="8" borderId="1" xfId="0" applyFont="1" applyFill="1" applyBorder="1" applyAlignment="1">
      <alignment horizontal="center"/>
    </xf>
    <xf numFmtId="0" fontId="1" fillId="11" borderId="1" xfId="0" applyFont="1" applyFill="1" applyBorder="1"/>
    <xf numFmtId="4" fontId="1" fillId="11" borderId="1" xfId="0" applyNumberFormat="1" applyFont="1" applyFill="1" applyBorder="1" applyAlignment="1">
      <alignment horizontal="center"/>
    </xf>
    <xf numFmtId="3" fontId="1" fillId="5" borderId="1" xfId="0" applyNumberFormat="1" applyFont="1" applyFill="1" applyBorder="1"/>
    <xf numFmtId="2" fontId="1" fillId="11" borderId="1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2" fillId="10" borderId="1" xfId="0" applyFont="1" applyFill="1" applyBorder="1" applyAlignment="1">
      <alignment horizontal="center"/>
    </xf>
    <xf numFmtId="0" fontId="13" fillId="11" borderId="1" xfId="0" applyFont="1" applyFill="1" applyBorder="1"/>
    <xf numFmtId="0" fontId="15" fillId="0" borderId="0" xfId="0" applyFont="1" applyAlignment="1">
      <alignment horizontal="left"/>
    </xf>
    <xf numFmtId="0" fontId="16" fillId="0" borderId="0" xfId="0" applyFont="1"/>
    <xf numFmtId="0" fontId="17" fillId="0" borderId="0" xfId="0" applyFont="1"/>
    <xf numFmtId="0" fontId="15" fillId="3" borderId="0" xfId="0" applyFont="1" applyFill="1" applyAlignment="1">
      <alignment horizontal="left"/>
    </xf>
    <xf numFmtId="55" fontId="15" fillId="3" borderId="0" xfId="0" applyNumberFormat="1" applyFont="1" applyFill="1"/>
    <xf numFmtId="0" fontId="15" fillId="3" borderId="0" xfId="0" applyFont="1" applyFill="1"/>
    <xf numFmtId="0" fontId="18" fillId="0" borderId="0" xfId="0" applyFont="1"/>
    <xf numFmtId="0" fontId="16" fillId="0" borderId="0" xfId="0" applyFont="1" applyAlignment="1">
      <alignment horizontal="left"/>
    </xf>
    <xf numFmtId="3" fontId="16" fillId="0" borderId="0" xfId="0" applyNumberFormat="1" applyFont="1"/>
    <xf numFmtId="0" fontId="16" fillId="3" borderId="0" xfId="0" applyFont="1" applyFill="1" applyAlignment="1">
      <alignment horizontal="left"/>
    </xf>
    <xf numFmtId="3" fontId="16" fillId="3" borderId="0" xfId="0" applyNumberFormat="1" applyFont="1" applyFill="1"/>
    <xf numFmtId="0" fontId="16" fillId="3" borderId="0" xfId="0" applyFont="1" applyFill="1"/>
    <xf numFmtId="0" fontId="16" fillId="4" borderId="0" xfId="0" applyFont="1" applyFill="1" applyAlignment="1">
      <alignment horizontal="left"/>
    </xf>
    <xf numFmtId="3" fontId="16" fillId="4" borderId="0" xfId="0" applyNumberFormat="1" applyFont="1" applyFill="1"/>
    <xf numFmtId="0" fontId="16" fillId="4" borderId="0" xfId="0" applyFont="1" applyFill="1"/>
    <xf numFmtId="0" fontId="16" fillId="0" borderId="0" xfId="0" applyFont="1" applyAlignment="1">
      <alignment horizontal="right"/>
    </xf>
    <xf numFmtId="55" fontId="16" fillId="0" borderId="1" xfId="0" applyNumberFormat="1" applyFont="1" applyBorder="1"/>
    <xf numFmtId="3" fontId="16" fillId="0" borderId="1" xfId="0" applyNumberFormat="1" applyFont="1" applyBorder="1"/>
    <xf numFmtId="0" fontId="16" fillId="0" borderId="0" xfId="0" applyFont="1" applyAlignment="1">
      <alignment shrinkToFit="1"/>
    </xf>
    <xf numFmtId="55" fontId="15" fillId="3" borderId="0" xfId="0" applyNumberFormat="1" applyFont="1" applyFill="1" applyAlignment="1">
      <alignment shrinkToFit="1"/>
    </xf>
    <xf numFmtId="3" fontId="16" fillId="0" borderId="0" xfId="0" applyNumberFormat="1" applyFont="1" applyAlignment="1">
      <alignment shrinkToFit="1"/>
    </xf>
    <xf numFmtId="3" fontId="16" fillId="3" borderId="0" xfId="0" applyNumberFormat="1" applyFont="1" applyFill="1" applyAlignment="1">
      <alignment shrinkToFit="1"/>
    </xf>
    <xf numFmtId="3" fontId="16" fillId="4" borderId="0" xfId="0" applyNumberFormat="1" applyFont="1" applyFill="1" applyAlignment="1">
      <alignment shrinkToFit="1"/>
    </xf>
    <xf numFmtId="0" fontId="17" fillId="0" borderId="0" xfId="0" applyFont="1" applyAlignment="1">
      <alignment shrinkToFit="1"/>
    </xf>
    <xf numFmtId="55" fontId="16" fillId="0" borderId="1" xfId="0" applyNumberFormat="1" applyFont="1" applyBorder="1" applyAlignment="1">
      <alignment shrinkToFit="1"/>
    </xf>
    <xf numFmtId="3" fontId="16" fillId="0" borderId="1" xfId="0" applyNumberFormat="1" applyFont="1" applyBorder="1" applyAlignment="1">
      <alignment shrinkToFit="1"/>
    </xf>
    <xf numFmtId="0" fontId="15" fillId="0" borderId="0" xfId="0" applyFont="1" applyAlignment="1">
      <alignment shrinkToFit="1"/>
    </xf>
    <xf numFmtId="0" fontId="15" fillId="0" borderId="0" xfId="0" applyFont="1"/>
    <xf numFmtId="0" fontId="16" fillId="3" borderId="0" xfId="0" applyFont="1" applyFill="1" applyAlignment="1">
      <alignment shrinkToFit="1"/>
    </xf>
    <xf numFmtId="55" fontId="16" fillId="3" borderId="0" xfId="0" applyNumberFormat="1" applyFont="1" applyFill="1"/>
    <xf numFmtId="0" fontId="16" fillId="3" borderId="0" xfId="0" applyFont="1" applyFill="1" applyAlignment="1">
      <alignment horizontal="center"/>
    </xf>
    <xf numFmtId="55" fontId="16" fillId="3" borderId="0" xfId="0" applyNumberFormat="1" applyFont="1" applyFill="1" applyAlignment="1">
      <alignment horizontal="center"/>
    </xf>
    <xf numFmtId="0" fontId="16" fillId="4" borderId="0" xfId="0" applyFont="1" applyFill="1" applyAlignment="1">
      <alignment shrinkToFit="1"/>
    </xf>
    <xf numFmtId="55" fontId="16" fillId="0" borderId="0" xfId="0" applyNumberFormat="1" applyFont="1"/>
    <xf numFmtId="0" fontId="16" fillId="0" borderId="0" xfId="0" applyFont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2" borderId="0" xfId="0" applyFont="1" applyFill="1"/>
    <xf numFmtId="3" fontId="16" fillId="0" borderId="9" xfId="0" applyNumberFormat="1" applyFont="1" applyBorder="1"/>
    <xf numFmtId="3" fontId="16" fillId="0" borderId="13" xfId="0" applyNumberFormat="1" applyFont="1" applyBorder="1"/>
    <xf numFmtId="3" fontId="16" fillId="4" borderId="9" xfId="0" applyNumberFormat="1" applyFont="1" applyFill="1" applyBorder="1"/>
    <xf numFmtId="3" fontId="16" fillId="4" borderId="13" xfId="0" applyNumberFormat="1" applyFont="1" applyFill="1" applyBorder="1"/>
    <xf numFmtId="3" fontId="16" fillId="7" borderId="0" xfId="0" applyNumberFormat="1" applyFont="1" applyFill="1"/>
    <xf numFmtId="3" fontId="16" fillId="7" borderId="9" xfId="0" applyNumberFormat="1" applyFont="1" applyFill="1" applyBorder="1"/>
    <xf numFmtId="3" fontId="16" fillId="7" borderId="13" xfId="0" applyNumberFormat="1" applyFont="1" applyFill="1" applyBorder="1"/>
    <xf numFmtId="180" fontId="16" fillId="0" borderId="0" xfId="0" applyNumberFormat="1" applyFont="1" applyAlignment="1">
      <alignment horizontal="center"/>
    </xf>
    <xf numFmtId="180" fontId="16" fillId="0" borderId="0" xfId="0" applyNumberFormat="1" applyFont="1"/>
    <xf numFmtId="180" fontId="19" fillId="0" borderId="0" xfId="0" applyNumberFormat="1" applyFont="1"/>
    <xf numFmtId="0" fontId="16" fillId="12" borderId="0" xfId="0" applyFont="1" applyFill="1"/>
    <xf numFmtId="179" fontId="16" fillId="12" borderId="0" xfId="0" applyNumberFormat="1" applyFont="1" applyFill="1" applyAlignment="1">
      <alignment horizontal="center"/>
    </xf>
    <xf numFmtId="179" fontId="16" fillId="13" borderId="0" xfId="0" applyNumberFormat="1" applyFont="1" applyFill="1" applyAlignment="1">
      <alignment horizontal="center"/>
    </xf>
    <xf numFmtId="0" fontId="16" fillId="5" borderId="0" xfId="0" applyFont="1" applyFill="1"/>
    <xf numFmtId="3" fontId="16" fillId="5" borderId="0" xfId="0" applyNumberFormat="1" applyFont="1" applyFill="1"/>
    <xf numFmtId="3" fontId="16" fillId="12" borderId="0" xfId="0" applyNumberFormat="1" applyFont="1" applyFill="1"/>
    <xf numFmtId="3" fontId="16" fillId="13" borderId="0" xfId="0" applyNumberFormat="1" applyFont="1" applyFill="1"/>
    <xf numFmtId="179" fontId="16" fillId="12" borderId="0" xfId="0" applyNumberFormat="1" applyFont="1" applyFill="1"/>
    <xf numFmtId="179" fontId="16" fillId="13" borderId="0" xfId="0" applyNumberFormat="1" applyFont="1" applyFill="1"/>
    <xf numFmtId="181" fontId="16" fillId="0" borderId="0" xfId="0" applyNumberFormat="1" applyFont="1"/>
    <xf numFmtId="10" fontId="16" fillId="14" borderId="0" xfId="0" applyNumberFormat="1" applyFont="1" applyFill="1" applyProtection="1">
      <protection locked="0"/>
    </xf>
    <xf numFmtId="0" fontId="16" fillId="0" borderId="0" xfId="0" applyFont="1" applyProtection="1">
      <protection locked="0"/>
    </xf>
    <xf numFmtId="3" fontId="16" fillId="0" borderId="0" xfId="0" applyNumberFormat="1" applyFont="1" applyAlignment="1" applyProtection="1">
      <alignment shrinkToFit="1"/>
      <protection locked="0"/>
    </xf>
    <xf numFmtId="3" fontId="16" fillId="0" borderId="0" xfId="0" applyNumberFormat="1" applyFont="1" applyProtection="1">
      <protection locked="0"/>
    </xf>
    <xf numFmtId="0" fontId="21" fillId="0" borderId="0" xfId="0" applyFont="1"/>
    <xf numFmtId="0" fontId="22" fillId="0" borderId="0" xfId="0" applyFont="1"/>
    <xf numFmtId="0" fontId="23" fillId="0" borderId="2" xfId="0" applyFont="1" applyBorder="1"/>
    <xf numFmtId="0" fontId="23" fillId="0" borderId="3" xfId="0" applyFont="1" applyBorder="1"/>
    <xf numFmtId="55" fontId="24" fillId="0" borderId="4" xfId="0" applyNumberFormat="1" applyFont="1" applyBorder="1" applyAlignment="1">
      <alignment horizontal="right"/>
    </xf>
    <xf numFmtId="0" fontId="24" fillId="0" borderId="1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6" fillId="5" borderId="5" xfId="0" applyFont="1" applyFill="1" applyBorder="1"/>
    <xf numFmtId="0" fontId="26" fillId="0" borderId="5" xfId="0" applyFont="1" applyBorder="1" applyAlignment="1">
      <alignment horizontal="right"/>
    </xf>
    <xf numFmtId="0" fontId="26" fillId="0" borderId="0" xfId="0" applyFont="1" applyAlignment="1">
      <alignment horizontal="right"/>
    </xf>
    <xf numFmtId="0" fontId="26" fillId="5" borderId="8" xfId="0" applyFont="1" applyFill="1" applyBorder="1"/>
    <xf numFmtId="0" fontId="26" fillId="0" borderId="8" xfId="0" applyFont="1" applyBorder="1" applyAlignment="1">
      <alignment horizontal="right"/>
    </xf>
    <xf numFmtId="3" fontId="26" fillId="0" borderId="1" xfId="0" applyNumberFormat="1" applyFont="1" applyBorder="1" applyAlignment="1">
      <alignment horizontal="right"/>
    </xf>
    <xf numFmtId="0" fontId="26" fillId="0" borderId="1" xfId="0" applyFont="1" applyBorder="1"/>
    <xf numFmtId="0" fontId="26" fillId="0" borderId="0" xfId="0" applyFont="1"/>
    <xf numFmtId="0" fontId="23" fillId="0" borderId="9" xfId="0" applyFont="1" applyBorder="1" applyAlignment="1">
      <alignment horizontal="center"/>
    </xf>
    <xf numFmtId="0" fontId="23" fillId="0" borderId="8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23" fillId="0" borderId="9" xfId="0" applyFont="1" applyBorder="1"/>
    <xf numFmtId="3" fontId="26" fillId="5" borderId="8" xfId="0" applyNumberFormat="1" applyFont="1" applyFill="1" applyBorder="1"/>
    <xf numFmtId="3" fontId="26" fillId="0" borderId="8" xfId="0" applyNumberFormat="1" applyFont="1" applyBorder="1" applyAlignment="1">
      <alignment horizontal="right"/>
    </xf>
    <xf numFmtId="3" fontId="27" fillId="0" borderId="0" xfId="0" applyNumberFormat="1" applyFont="1"/>
    <xf numFmtId="3" fontId="23" fillId="0" borderId="9" xfId="0" applyNumberFormat="1" applyFont="1" applyBorder="1" applyAlignment="1">
      <alignment horizontal="center"/>
    </xf>
    <xf numFmtId="3" fontId="23" fillId="0" borderId="8" xfId="0" applyNumberFormat="1" applyFont="1" applyBorder="1" applyAlignment="1">
      <alignment horizontal="center"/>
    </xf>
    <xf numFmtId="3" fontId="23" fillId="0" borderId="0" xfId="0" applyNumberFormat="1" applyFont="1" applyAlignment="1">
      <alignment horizontal="center"/>
    </xf>
    <xf numFmtId="3" fontId="23" fillId="0" borderId="9" xfId="0" applyNumberFormat="1" applyFont="1" applyBorder="1"/>
    <xf numFmtId="3" fontId="26" fillId="0" borderId="0" xfId="0" applyNumberFormat="1" applyFont="1" applyAlignment="1">
      <alignment horizontal="right"/>
    </xf>
    <xf numFmtId="0" fontId="23" fillId="0" borderId="10" xfId="0" applyFont="1" applyBorder="1"/>
    <xf numFmtId="3" fontId="26" fillId="0" borderId="11" xfId="0" applyNumberFormat="1" applyFont="1" applyBorder="1" applyAlignment="1">
      <alignment horizontal="right"/>
    </xf>
    <xf numFmtId="3" fontId="23" fillId="0" borderId="10" xfId="0" applyNumberFormat="1" applyFont="1" applyBorder="1"/>
    <xf numFmtId="0" fontId="23" fillId="0" borderId="12" xfId="0" applyFont="1" applyBorder="1"/>
    <xf numFmtId="3" fontId="26" fillId="5" borderId="11" xfId="0" applyNumberFormat="1" applyFont="1" applyFill="1" applyBorder="1"/>
    <xf numFmtId="3" fontId="26" fillId="5" borderId="11" xfId="0" applyNumberFormat="1" applyFont="1" applyFill="1" applyBorder="1" applyAlignment="1">
      <alignment horizontal="right"/>
    </xf>
    <xf numFmtId="3" fontId="26" fillId="2" borderId="11" xfId="0" applyNumberFormat="1" applyFont="1" applyFill="1" applyBorder="1" applyAlignment="1">
      <alignment horizontal="right"/>
    </xf>
    <xf numFmtId="3" fontId="23" fillId="0" borderId="12" xfId="0" applyNumberFormat="1" applyFont="1" applyBorder="1"/>
    <xf numFmtId="0" fontId="23" fillId="5" borderId="12" xfId="0" applyFont="1" applyFill="1" applyBorder="1"/>
    <xf numFmtId="0" fontId="23" fillId="5" borderId="10" xfId="0" applyFont="1" applyFill="1" applyBorder="1"/>
    <xf numFmtId="3" fontId="23" fillId="5" borderId="10" xfId="0" applyNumberFormat="1" applyFont="1" applyFill="1" applyBorder="1"/>
    <xf numFmtId="0" fontId="23" fillId="0" borderId="13" xfId="0" applyFont="1" applyBorder="1" applyAlignment="1">
      <alignment horizontal="center"/>
    </xf>
    <xf numFmtId="0" fontId="23" fillId="5" borderId="9" xfId="0" applyFont="1" applyFill="1" applyBorder="1"/>
    <xf numFmtId="3" fontId="26" fillId="5" borderId="14" xfId="0" applyNumberFormat="1" applyFont="1" applyFill="1" applyBorder="1"/>
    <xf numFmtId="3" fontId="26" fillId="0" borderId="14" xfId="0" applyNumberFormat="1" applyFont="1" applyBorder="1" applyAlignment="1">
      <alignment horizontal="right"/>
    </xf>
    <xf numFmtId="3" fontId="23" fillId="0" borderId="13" xfId="0" applyNumberFormat="1" applyFont="1" applyBorder="1" applyAlignment="1">
      <alignment horizontal="center"/>
    </xf>
    <xf numFmtId="3" fontId="23" fillId="5" borderId="9" xfId="0" applyNumberFormat="1" applyFont="1" applyFill="1" applyBorder="1"/>
    <xf numFmtId="0" fontId="23" fillId="0" borderId="15" xfId="0" applyFont="1" applyBorder="1" applyAlignment="1">
      <alignment horizontal="center"/>
    </xf>
    <xf numFmtId="0" fontId="23" fillId="0" borderId="0" xfId="0" applyFont="1"/>
    <xf numFmtId="3" fontId="23" fillId="0" borderId="15" xfId="0" applyNumberFormat="1" applyFont="1" applyBorder="1" applyAlignment="1">
      <alignment horizontal="center"/>
    </xf>
    <xf numFmtId="3" fontId="23" fillId="0" borderId="0" xfId="0" applyNumberFormat="1" applyFont="1"/>
    <xf numFmtId="0" fontId="23" fillId="0" borderId="16" xfId="0" applyFont="1" applyBorder="1"/>
    <xf numFmtId="3" fontId="23" fillId="0" borderId="16" xfId="0" applyNumberFormat="1" applyFont="1" applyBorder="1"/>
    <xf numFmtId="0" fontId="23" fillId="0" borderId="17" xfId="0" applyFont="1" applyBorder="1"/>
    <xf numFmtId="3" fontId="23" fillId="0" borderId="17" xfId="0" applyNumberFormat="1" applyFont="1" applyBorder="1"/>
    <xf numFmtId="0" fontId="23" fillId="5" borderId="17" xfId="0" applyFont="1" applyFill="1" applyBorder="1"/>
    <xf numFmtId="0" fontId="23" fillId="5" borderId="18" xfId="0" applyFont="1" applyFill="1" applyBorder="1"/>
    <xf numFmtId="3" fontId="26" fillId="5" borderId="19" xfId="0" applyNumberFormat="1" applyFont="1" applyFill="1" applyBorder="1"/>
    <xf numFmtId="3" fontId="26" fillId="0" borderId="19" xfId="0" applyNumberFormat="1" applyFont="1" applyBorder="1" applyAlignment="1">
      <alignment horizontal="right"/>
    </xf>
    <xf numFmtId="3" fontId="23" fillId="5" borderId="18" xfId="0" applyNumberFormat="1" applyFont="1" applyFill="1" applyBorder="1"/>
    <xf numFmtId="3" fontId="26" fillId="0" borderId="5" xfId="0" applyNumberFormat="1" applyFont="1" applyBorder="1" applyAlignment="1">
      <alignment horizontal="right"/>
    </xf>
    <xf numFmtId="0" fontId="23" fillId="0" borderId="8" xfId="0" applyFont="1" applyBorder="1"/>
    <xf numFmtId="3" fontId="23" fillId="0" borderId="8" xfId="0" applyNumberFormat="1" applyFont="1" applyBorder="1"/>
    <xf numFmtId="0" fontId="23" fillId="0" borderId="20" xfId="0" applyFont="1" applyBorder="1"/>
    <xf numFmtId="0" fontId="23" fillId="6" borderId="2" xfId="0" applyFont="1" applyFill="1" applyBorder="1"/>
    <xf numFmtId="3" fontId="26" fillId="6" borderId="1" xfId="0" applyNumberFormat="1" applyFont="1" applyFill="1" applyBorder="1" applyAlignment="1">
      <alignment horizontal="right"/>
    </xf>
    <xf numFmtId="3" fontId="23" fillId="0" borderId="20" xfId="0" applyNumberFormat="1" applyFont="1" applyBorder="1"/>
    <xf numFmtId="3" fontId="26" fillId="6" borderId="0" xfId="0" applyNumberFormat="1" applyFont="1" applyFill="1" applyAlignment="1">
      <alignment horizontal="right"/>
    </xf>
    <xf numFmtId="0" fontId="23" fillId="0" borderId="21" xfId="0" applyFont="1" applyBorder="1"/>
    <xf numFmtId="0" fontId="23" fillId="0" borderId="22" xfId="0" applyFont="1" applyBorder="1"/>
    <xf numFmtId="3" fontId="23" fillId="0" borderId="21" xfId="0" applyNumberFormat="1" applyFont="1" applyBorder="1"/>
    <xf numFmtId="3" fontId="23" fillId="0" borderId="22" xfId="0" applyNumberFormat="1" applyFont="1" applyBorder="1"/>
    <xf numFmtId="0" fontId="23" fillId="0" borderId="23" xfId="0" applyFont="1" applyBorder="1" applyAlignment="1">
      <alignment horizontal="center"/>
    </xf>
    <xf numFmtId="3" fontId="23" fillId="0" borderId="23" xfId="0" applyNumberFormat="1" applyFont="1" applyBorder="1" applyAlignment="1">
      <alignment horizontal="center"/>
    </xf>
    <xf numFmtId="3" fontId="26" fillId="0" borderId="24" xfId="0" applyNumberFormat="1" applyFont="1" applyBorder="1" applyAlignment="1">
      <alignment horizontal="right"/>
    </xf>
    <xf numFmtId="0" fontId="23" fillId="6" borderId="3" xfId="0" applyFont="1" applyFill="1" applyBorder="1"/>
    <xf numFmtId="3" fontId="26" fillId="6" borderId="8" xfId="0" applyNumberFormat="1" applyFont="1" applyFill="1" applyBorder="1" applyAlignment="1">
      <alignment horizontal="right"/>
    </xf>
    <xf numFmtId="3" fontId="26" fillId="0" borderId="15" xfId="0" applyNumberFormat="1" applyFont="1" applyBorder="1" applyAlignment="1">
      <alignment horizontal="right"/>
    </xf>
    <xf numFmtId="3" fontId="26" fillId="2" borderId="5" xfId="0" applyNumberFormat="1" applyFont="1" applyFill="1" applyBorder="1"/>
    <xf numFmtId="0" fontId="23" fillId="0" borderId="26" xfId="0" applyFont="1" applyBorder="1" applyAlignment="1">
      <alignment horizontal="center"/>
    </xf>
    <xf numFmtId="3" fontId="23" fillId="0" borderId="26" xfId="0" applyNumberFormat="1" applyFont="1" applyBorder="1" applyAlignment="1">
      <alignment horizontal="center"/>
    </xf>
    <xf numFmtId="3" fontId="26" fillId="6" borderId="24" xfId="0" applyNumberFormat="1" applyFont="1" applyFill="1" applyBorder="1" applyAlignment="1">
      <alignment horizontal="right"/>
    </xf>
    <xf numFmtId="0" fontId="23" fillId="6" borderId="4" xfId="0" applyFont="1" applyFill="1" applyBorder="1"/>
    <xf numFmtId="3" fontId="24" fillId="6" borderId="1" xfId="0" applyNumberFormat="1" applyFont="1" applyFill="1" applyBorder="1" applyAlignment="1">
      <alignment horizontal="right"/>
    </xf>
    <xf numFmtId="3" fontId="26" fillId="6" borderId="1" xfId="0" applyNumberFormat="1" applyFont="1" applyFill="1" applyBorder="1"/>
    <xf numFmtId="3" fontId="24" fillId="0" borderId="1" xfId="0" applyNumberFormat="1" applyFont="1" applyBorder="1" applyAlignment="1">
      <alignment horizontal="right"/>
    </xf>
    <xf numFmtId="3" fontId="26" fillId="6" borderId="8" xfId="0" applyNumberFormat="1" applyFont="1" applyFill="1" applyBorder="1"/>
    <xf numFmtId="3" fontId="26" fillId="6" borderId="0" xfId="0" applyNumberFormat="1" applyFont="1" applyFill="1"/>
    <xf numFmtId="0" fontId="16" fillId="2" borderId="0" xfId="0" applyFont="1" applyFill="1" applyAlignment="1">
      <alignment shrinkToFit="1"/>
    </xf>
    <xf numFmtId="0" fontId="16" fillId="7" borderId="0" xfId="0" applyFont="1" applyFill="1" applyAlignment="1">
      <alignment shrinkToFit="1"/>
    </xf>
    <xf numFmtId="0" fontId="16" fillId="15" borderId="0" xfId="0" applyFont="1" applyFill="1" applyAlignment="1">
      <alignment horizontal="left"/>
    </xf>
    <xf numFmtId="3" fontId="16" fillId="15" borderId="0" xfId="0" applyNumberFormat="1" applyFont="1" applyFill="1" applyAlignment="1">
      <alignment shrinkToFit="1"/>
    </xf>
    <xf numFmtId="3" fontId="16" fillId="15" borderId="0" xfId="0" applyNumberFormat="1" applyFont="1" applyFill="1"/>
    <xf numFmtId="0" fontId="16" fillId="15" borderId="0" xfId="0" applyFont="1" applyFill="1"/>
    <xf numFmtId="3" fontId="17" fillId="0" borderId="0" xfId="0" applyNumberFormat="1" applyFont="1" applyAlignment="1">
      <alignment shrinkToFit="1"/>
    </xf>
    <xf numFmtId="0" fontId="0" fillId="0" borderId="0" xfId="0" applyAlignment="1">
      <alignment vertical="center"/>
    </xf>
    <xf numFmtId="55" fontId="0" fillId="0" borderId="0" xfId="0" applyNumberFormat="1" applyAlignment="1">
      <alignment vertical="center"/>
    </xf>
    <xf numFmtId="0" fontId="23" fillId="0" borderId="6" xfId="0" applyFont="1" applyBorder="1"/>
    <xf numFmtId="0" fontId="25" fillId="0" borderId="7" xfId="0" applyFont="1" applyBorder="1"/>
    <xf numFmtId="0" fontId="23" fillId="0" borderId="10" xfId="0" applyFont="1" applyBorder="1"/>
    <xf numFmtId="0" fontId="25" fillId="0" borderId="16" xfId="0" applyFont="1" applyBorder="1"/>
    <xf numFmtId="0" fontId="23" fillId="5" borderId="10" xfId="0" applyFont="1" applyFill="1" applyBorder="1"/>
    <xf numFmtId="0" fontId="23" fillId="2" borderId="10" xfId="0" applyFont="1" applyFill="1" applyBorder="1"/>
    <xf numFmtId="0" fontId="23" fillId="0" borderId="7" xfId="0" applyFont="1" applyBorder="1"/>
    <xf numFmtId="0" fontId="23" fillId="0" borderId="2" xfId="0" applyFont="1" applyBorder="1"/>
    <xf numFmtId="0" fontId="25" fillId="0" borderId="3" xfId="0" applyFont="1" applyBorder="1"/>
    <xf numFmtId="0" fontId="23" fillId="6" borderId="2" xfId="0" applyFont="1" applyFill="1" applyBorder="1"/>
    <xf numFmtId="3" fontId="23" fillId="0" borderId="7" xfId="0" applyNumberFormat="1" applyFont="1" applyBorder="1"/>
    <xf numFmtId="0" fontId="23" fillId="0" borderId="16" xfId="0" applyFont="1" applyBorder="1"/>
    <xf numFmtId="0" fontId="23" fillId="0" borderId="25" xfId="0" applyFont="1" applyBorder="1"/>
    <xf numFmtId="0" fontId="25" fillId="0" borderId="25" xfId="0" applyFont="1" applyBorder="1"/>
    <xf numFmtId="0" fontId="23" fillId="6" borderId="3" xfId="0" applyFont="1" applyFill="1" applyBorder="1"/>
    <xf numFmtId="3" fontId="23" fillId="0" borderId="6" xfId="0" applyNumberFormat="1" applyFont="1" applyBorder="1"/>
    <xf numFmtId="3" fontId="23" fillId="0" borderId="2" xfId="0" applyNumberFormat="1" applyFont="1" applyBorder="1"/>
    <xf numFmtId="3" fontId="23" fillId="0" borderId="10" xfId="0" applyNumberFormat="1" applyFont="1" applyBorder="1"/>
    <xf numFmtId="3" fontId="23" fillId="5" borderId="10" xfId="0" applyNumberFormat="1" applyFont="1" applyFill="1" applyBorder="1"/>
    <xf numFmtId="3" fontId="23" fillId="0" borderId="16" xfId="0" applyNumberFormat="1" applyFont="1" applyBorder="1"/>
    <xf numFmtId="3" fontId="23" fillId="0" borderId="25" xfId="0" applyNumberFormat="1" applyFont="1" applyBorder="1"/>
    <xf numFmtId="3" fontId="23" fillId="2" borderId="10" xfId="0" applyNumberFormat="1" applyFont="1" applyFill="1" applyBorder="1"/>
    <xf numFmtId="38" fontId="4" fillId="0" borderId="29" xfId="0" applyNumberFormat="1" applyFont="1" applyBorder="1" applyAlignment="1">
      <alignment vertical="center"/>
    </xf>
    <xf numFmtId="0" fontId="2" fillId="0" borderId="28" xfId="0" applyFont="1" applyBorder="1"/>
  </cellXfs>
  <cellStyles count="1">
    <cellStyle name="標準" xfId="0" builtinId="0"/>
  </cellStyles>
  <dxfs count="285"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FE0"/>
          <bgColor rgb="FFFFFFE0"/>
        </patternFill>
      </fill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family val="3"/>
        <charset val="128"/>
        <scheme val="none"/>
      </font>
      <numFmt numFmtId="3" formatCode="#,##0"/>
      <fill>
        <patternFill patternType="solid">
          <fgColor rgb="FFFFF2CC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family val="3"/>
        <charset val="128"/>
        <scheme val="none"/>
      </font>
      <numFmt numFmtId="3" formatCode="#,##0"/>
      <fill>
        <patternFill patternType="solid">
          <fgColor rgb="FFFFF2CC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  <numFmt numFmtId="3" formatCode="#,##0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  <numFmt numFmtId="3" formatCode="#,##0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  <numFmt numFmtId="3" formatCode="#,##0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  <numFmt numFmtId="3" formatCode="#,##0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  <numFmt numFmtId="3" formatCode="#,##0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  <numFmt numFmtId="3" formatCode="#,##0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  <numFmt numFmtId="3" formatCode="#,##0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メイリオ"/>
        <family val="3"/>
        <charset val="128"/>
        <scheme val="none"/>
      </font>
      <numFmt numFmtId="3" formatCode="#,##0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family val="3"/>
        <charset val="128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name val="メイリオ"/>
        <family val="3"/>
        <charset val="128"/>
        <scheme val="none"/>
      </font>
    </dxf>
    <dxf>
      <fill>
        <patternFill patternType="solid">
          <fgColor rgb="FFE8F0FE"/>
          <bgColor rgb="FFE8F0FE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95F9"/>
          <bgColor rgb="FF5B95F9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  <dxf>
      <fill>
        <patternFill patternType="solid">
          <fgColor rgb="FFE7F9EF"/>
          <bgColor rgb="FFE7F9E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3D297"/>
          <bgColor rgb="FF63D297"/>
        </patternFill>
      </fill>
    </dxf>
    <dxf>
      <fill>
        <patternFill patternType="solid">
          <fgColor rgb="FFE7F9EF"/>
          <bgColor rgb="FFE7F9E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3D297"/>
          <bgColor rgb="FF63D297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EF8E3"/>
          <bgColor rgb="FFFEF8E3"/>
        </patternFill>
      </fill>
    </dxf>
    <dxf>
      <fill>
        <patternFill patternType="solid">
          <fgColor rgb="FFFFFFFF"/>
          <bgColor rgb="FFFFFFFF"/>
        </patternFill>
      </fill>
    </dxf>
  </dxfs>
  <tableStyles count="7">
    <tableStyle name="入出金予定表-style" pivot="0" count="2" xr9:uid="{00000000-0011-0000-FFFF-FFFF00000000}">
      <tableStyleElement type="firstRowStripe" dxfId="284"/>
      <tableStyleElement type="secondRowStripe" dxfId="283"/>
    </tableStyle>
    <tableStyle name="資金繰り実績予定表-style" pivot="0" count="3" xr9:uid="{00000000-0011-0000-FFFF-FFFF01000000}">
      <tableStyleElement type="headerRow" dxfId="282"/>
      <tableStyleElement type="firstRowStripe" dxfId="281"/>
      <tableStyleElement type="secondRowStripe" dxfId="280"/>
    </tableStyle>
    <tableStyle name="資金繰り予定表-style" pivot="0" count="3" xr9:uid="{00000000-0011-0000-FFFF-FFFF02000000}">
      <tableStyleElement type="headerRow" dxfId="279"/>
      <tableStyleElement type="firstRowStripe" dxfId="278"/>
      <tableStyleElement type="secondRowStripe" dxfId="277"/>
    </tableStyle>
    <tableStyle name="予実対比-style" pivot="0" count="3" xr9:uid="{00000000-0011-0000-FFFF-FFFF03000000}">
      <tableStyleElement type="headerRow" dxfId="276"/>
      <tableStyleElement type="firstRowStripe" dxfId="275"/>
      <tableStyleElement type="secondRowStripe" dxfId="274"/>
    </tableStyle>
    <tableStyle name="前年度対比-style" pivot="0" count="3" xr9:uid="{00000000-0011-0000-FFFF-FFFF04000000}">
      <tableStyleElement type="headerRow" dxfId="273"/>
      <tableStyleElement type="firstRowStripe" dxfId="272"/>
      <tableStyleElement type="secondRowStripe" dxfId="271"/>
    </tableStyle>
    <tableStyle name="借入一覧表-style" pivot="0" count="3" xr9:uid="{00000000-0011-0000-FFFF-FFFF05000000}">
      <tableStyleElement type="headerRow" dxfId="270"/>
      <tableStyleElement type="firstRowStripe" dxfId="269"/>
      <tableStyleElement type="secondRowStripe" dxfId="268"/>
    </tableStyle>
    <tableStyle name="借入一覧表-style 2" pivot="0" count="3" xr9:uid="{00000000-0011-0000-FFFF-FFFF06000000}">
      <tableStyleElement type="headerRow" dxfId="267"/>
      <tableStyleElement type="firstRowStripe" dxfId="266"/>
      <tableStyleElement type="secondRowStripe" dxfId="26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預金残高推移</a:t>
            </a:r>
            <a:endParaRPr lang="en-US" altLang="ja-JP"/>
          </a:p>
        </c:rich>
      </c:tx>
      <c:layout>
        <c:manualLayout>
          <c:xMode val="edge"/>
          <c:yMode val="edge"/>
          <c:x val="0.46517026929630895"/>
          <c:y val="2.78422273781902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6226120181697611E-2"/>
          <c:y val="0.16798143851508121"/>
          <c:w val="0.95377387981830242"/>
          <c:h val="0.713086212251310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'資金繰り実績予定表（詳細）'!$B$122:$Y$122</c:f>
              <c:numCache>
                <c:formatCode>yyyy"年"m"月"</c:formatCode>
                <c:ptCount val="24"/>
                <c:pt idx="0">
                  <c:v>45839</c:v>
                </c:pt>
                <c:pt idx="1">
                  <c:v>45870</c:v>
                </c:pt>
                <c:pt idx="2">
                  <c:v>45901</c:v>
                </c:pt>
                <c:pt idx="3">
                  <c:v>45931</c:v>
                </c:pt>
                <c:pt idx="4">
                  <c:v>45962</c:v>
                </c:pt>
                <c:pt idx="5">
                  <c:v>45992</c:v>
                </c:pt>
                <c:pt idx="6">
                  <c:v>46023</c:v>
                </c:pt>
                <c:pt idx="7">
                  <c:v>46054</c:v>
                </c:pt>
                <c:pt idx="8">
                  <c:v>46082</c:v>
                </c:pt>
                <c:pt idx="9">
                  <c:v>46113</c:v>
                </c:pt>
                <c:pt idx="10">
                  <c:v>46143</c:v>
                </c:pt>
                <c:pt idx="11">
                  <c:v>46174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'資金繰り実績予定表（詳細）'!$B$123:$Y$123</c:f>
              <c:numCache>
                <c:formatCode>#,##0</c:formatCode>
                <c:ptCount val="24"/>
                <c:pt idx="0">
                  <c:v>4081944</c:v>
                </c:pt>
                <c:pt idx="1">
                  <c:v>6991560</c:v>
                </c:pt>
                <c:pt idx="2">
                  <c:v>1466033</c:v>
                </c:pt>
                <c:pt idx="3">
                  <c:v>6109389</c:v>
                </c:pt>
                <c:pt idx="4">
                  <c:v>4770923</c:v>
                </c:pt>
                <c:pt idx="5">
                  <c:v>10781407</c:v>
                </c:pt>
                <c:pt idx="6">
                  <c:v>21081552</c:v>
                </c:pt>
                <c:pt idx="7">
                  <c:v>33864584</c:v>
                </c:pt>
                <c:pt idx="8">
                  <c:v>20825356</c:v>
                </c:pt>
                <c:pt idx="9">
                  <c:v>20825356</c:v>
                </c:pt>
                <c:pt idx="10">
                  <c:v>20825356</c:v>
                </c:pt>
                <c:pt idx="11">
                  <c:v>20825356</c:v>
                </c:pt>
                <c:pt idx="12">
                  <c:v>20825356</c:v>
                </c:pt>
                <c:pt idx="13">
                  <c:v>20825356</c:v>
                </c:pt>
                <c:pt idx="14">
                  <c:v>20825356</c:v>
                </c:pt>
                <c:pt idx="15">
                  <c:v>20825356</c:v>
                </c:pt>
                <c:pt idx="16">
                  <c:v>20825356</c:v>
                </c:pt>
                <c:pt idx="17">
                  <c:v>20825356</c:v>
                </c:pt>
                <c:pt idx="18">
                  <c:v>20825356</c:v>
                </c:pt>
                <c:pt idx="19">
                  <c:v>20825356</c:v>
                </c:pt>
                <c:pt idx="20">
                  <c:v>20825356</c:v>
                </c:pt>
                <c:pt idx="21">
                  <c:v>20825356</c:v>
                </c:pt>
                <c:pt idx="22">
                  <c:v>20825356</c:v>
                </c:pt>
                <c:pt idx="23">
                  <c:v>20825356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8F-4D1D-BB72-A6E1DD0C8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5020848"/>
        <c:axId val="1595030928"/>
      </c:lineChart>
      <c:dateAx>
        <c:axId val="1595020848"/>
        <c:scaling>
          <c:orientation val="minMax"/>
        </c:scaling>
        <c:delete val="0"/>
        <c:axPos val="b"/>
        <c:numFmt formatCode="yyyy&quot;年&quot;m&quot;月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5030928"/>
        <c:crosses val="autoZero"/>
        <c:auto val="1"/>
        <c:lblOffset val="100"/>
        <c:baseTimeUnit val="months"/>
      </c:dateAx>
      <c:valAx>
        <c:axId val="159503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502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経常収支推移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'資金繰り実績予定表（詳細）'!$B$125:$Y$125</c:f>
              <c:numCache>
                <c:formatCode>yyyy"年"m"月"</c:formatCode>
                <c:ptCount val="24"/>
                <c:pt idx="0">
                  <c:v>45839</c:v>
                </c:pt>
                <c:pt idx="1">
                  <c:v>45870</c:v>
                </c:pt>
                <c:pt idx="2">
                  <c:v>45901</c:v>
                </c:pt>
                <c:pt idx="3">
                  <c:v>45931</c:v>
                </c:pt>
                <c:pt idx="4">
                  <c:v>45962</c:v>
                </c:pt>
                <c:pt idx="5">
                  <c:v>45992</c:v>
                </c:pt>
                <c:pt idx="6">
                  <c:v>46023</c:v>
                </c:pt>
                <c:pt idx="7">
                  <c:v>46054</c:v>
                </c:pt>
                <c:pt idx="8">
                  <c:v>46082</c:v>
                </c:pt>
                <c:pt idx="9">
                  <c:v>46113</c:v>
                </c:pt>
                <c:pt idx="10">
                  <c:v>46143</c:v>
                </c:pt>
                <c:pt idx="11">
                  <c:v>46174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'資金繰り実績予定表（詳細）'!$B$126:$Y$126</c:f>
              <c:numCache>
                <c:formatCode>#,##0</c:formatCode>
                <c:ptCount val="24"/>
                <c:pt idx="0">
                  <c:v>-4446942</c:v>
                </c:pt>
                <c:pt idx="1">
                  <c:v>2902793</c:v>
                </c:pt>
                <c:pt idx="2">
                  <c:v>-1270137</c:v>
                </c:pt>
                <c:pt idx="3">
                  <c:v>6134477</c:v>
                </c:pt>
                <c:pt idx="4">
                  <c:v>-1490466</c:v>
                </c:pt>
                <c:pt idx="5">
                  <c:v>-14547862</c:v>
                </c:pt>
                <c:pt idx="6">
                  <c:v>13756336</c:v>
                </c:pt>
                <c:pt idx="7">
                  <c:v>15096779</c:v>
                </c:pt>
                <c:pt idx="8">
                  <c:v>-9343102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0-4D15-8F69-C421213EF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0139536"/>
        <c:axId val="1430123696"/>
      </c:lineChart>
      <c:dateAx>
        <c:axId val="1430139536"/>
        <c:scaling>
          <c:orientation val="minMax"/>
        </c:scaling>
        <c:delete val="0"/>
        <c:axPos val="b"/>
        <c:numFmt formatCode="yyyy&quot;年&quot;m&quot;月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30123696"/>
        <c:crosses val="autoZero"/>
        <c:auto val="1"/>
        <c:lblOffset val="100"/>
        <c:baseTimeUnit val="months"/>
      </c:dateAx>
      <c:valAx>
        <c:axId val="143012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3013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757575"/>
                </a:solidFill>
                <a:latin typeface="Arial black"/>
              </a:defRPr>
            </a:pPr>
            <a:r>
              <a:rPr lang="ja-JP" altLang="en-US" b="1">
                <a:solidFill>
                  <a:srgbClr val="757575"/>
                </a:solidFill>
                <a:latin typeface="Arial black"/>
              </a:rPr>
              <a:t>資金繰り安全性</a:t>
            </a:r>
          </a:p>
        </c:rich>
      </c:tx>
      <c:overlay val="0"/>
    </c:title>
    <c:autoTitleDeleted val="0"/>
    <c:plotArea>
      <c:layout/>
      <c:radarChart>
        <c:radarStyle val="marker"/>
        <c:varyColors val="1"/>
        <c:ser>
          <c:idx val="0"/>
          <c:order val="0"/>
          <c:tx>
            <c:strRef>
              <c:f>資金繰り診断!$C$30</c:f>
              <c:strCache>
                <c:ptCount val="1"/>
                <c:pt idx="0">
                  <c:v>当期</c:v>
                </c:pt>
              </c:strCache>
            </c:strRef>
          </c:tx>
          <c:spPr>
            <a:ln w="38100"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資金繰り診断!$B$31:$B$36</c:f>
              <c:strCache>
                <c:ptCount val="5"/>
                <c:pt idx="0">
                  <c:v>資金余裕率</c:v>
                </c:pt>
                <c:pt idx="1">
                  <c:v>危機対応力</c:v>
                </c:pt>
                <c:pt idx="2">
                  <c:v>借入金・現預金倍率</c:v>
                </c:pt>
                <c:pt idx="3">
                  <c:v>借入返済負担力</c:v>
                </c:pt>
                <c:pt idx="4">
                  <c:v>債務返済年数</c:v>
                </c:pt>
              </c:strCache>
            </c:strRef>
          </c:cat>
          <c:val>
            <c:numRef>
              <c:f>資金繰り診断!$C$31:$C$36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93-4B1B-A341-4D5158FADAB4}"/>
            </c:ext>
          </c:extLst>
        </c:ser>
        <c:ser>
          <c:idx val="1"/>
          <c:order val="1"/>
          <c:tx>
            <c:strRef>
              <c:f>資金繰り診断!$D$30</c:f>
              <c:strCache>
                <c:ptCount val="1"/>
                <c:pt idx="0">
                  <c:v>来期予想</c:v>
                </c:pt>
              </c:strCache>
            </c:strRef>
          </c:tx>
          <c:spPr>
            <a:ln w="38100" cmpd="sng">
              <a:solidFill>
                <a:srgbClr val="EA4335"/>
              </a:solidFill>
            </a:ln>
          </c:spPr>
          <c:marker>
            <c:symbol val="none"/>
          </c:marker>
          <c:cat>
            <c:strRef>
              <c:f>資金繰り診断!$B$31:$B$36</c:f>
              <c:strCache>
                <c:ptCount val="5"/>
                <c:pt idx="0">
                  <c:v>資金余裕率</c:v>
                </c:pt>
                <c:pt idx="1">
                  <c:v>危機対応力</c:v>
                </c:pt>
                <c:pt idx="2">
                  <c:v>借入金・現預金倍率</c:v>
                </c:pt>
                <c:pt idx="3">
                  <c:v>借入返済負担力</c:v>
                </c:pt>
                <c:pt idx="4">
                  <c:v>債務返済年数</c:v>
                </c:pt>
              </c:strCache>
            </c:strRef>
          </c:cat>
          <c:val>
            <c:numRef>
              <c:f>資金繰り診断!$D$31:$D$36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93-4B1B-A341-4D5158FAD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577721"/>
        <c:axId val="909081519"/>
      </c:radarChart>
      <c:catAx>
        <c:axId val="193857772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ja-JP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ja-JP"/>
          </a:p>
        </c:txPr>
        <c:crossAx val="909081519"/>
        <c:crosses val="autoZero"/>
        <c:auto val="1"/>
        <c:lblAlgn val="ctr"/>
        <c:lblOffset val="100"/>
        <c:noMultiLvlLbl val="1"/>
      </c:catAx>
      <c:valAx>
        <c:axId val="90908151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ja-JP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ja-JP"/>
          </a:p>
        </c:txPr>
        <c:crossAx val="193857772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ja-JP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B$102" lockText="1" noThreeD="1"/>
</file>

<file path=xl/ctrlProps/ctrlProp2.xml><?xml version="1.0" encoding="utf-8"?>
<formControlPr xmlns="http://schemas.microsoft.com/office/spreadsheetml/2009/9/main" objectType="CheckBox" checked="Checked" fmlaLink="$C$102" lockText="1" noThreeD="1"/>
</file>

<file path=xl/ctrlProps/ctrlProp3.xml><?xml version="1.0" encoding="utf-8"?>
<formControlPr xmlns="http://schemas.microsoft.com/office/spreadsheetml/2009/9/main" objectType="CheckBox" checked="Checked" fmlaLink="$D$102" lockText="1" noThreeD="1"/>
</file>

<file path=xl/ctrlProps/ctrlProp4.xml><?xml version="1.0" encoding="utf-8"?>
<formControlPr xmlns="http://schemas.microsoft.com/office/spreadsheetml/2009/9/main" objectType="CheckBox" checked="Checked" fmlaLink="$E$102" lockText="1" noThreeD="1"/>
</file>

<file path=xl/ctrlProps/ctrlProp5.xml><?xml version="1.0" encoding="utf-8"?>
<formControlPr xmlns="http://schemas.microsoft.com/office/spreadsheetml/2009/9/main" objectType="CheckBox" checked="Checked" fmlaLink="$F$102" lockText="1" noThreeD="1"/>
</file>

<file path=xl/ctrlProps/ctrlProp6.xml><?xml version="1.0" encoding="utf-8"?>
<formControlPr xmlns="http://schemas.microsoft.com/office/spreadsheetml/2009/9/main" objectType="CheckBox" checked="Checked" fmlaLink="$G$102" lockText="1" noThreeD="1"/>
</file>

<file path=xl/ctrlProps/ctrlProp7.xml><?xml version="1.0" encoding="utf-8"?>
<formControlPr xmlns="http://schemas.microsoft.com/office/spreadsheetml/2009/9/main" objectType="CheckBox" checked="Checked" fmlaLink="$H$102" lockText="1" noThreeD="1"/>
</file>

<file path=xl/ctrlProps/ctrlProp8.xml><?xml version="1.0" encoding="utf-8"?>
<formControlPr xmlns="http://schemas.microsoft.com/office/spreadsheetml/2009/9/main" objectType="CheckBox" checked="Checked" fmlaLink="$I$102" lockText="1" noThreeD="1"/>
</file>

<file path=xl/ctrlProps/ctrlProp9.xml><?xml version="1.0" encoding="utf-8"?>
<formControlPr xmlns="http://schemas.microsoft.com/office/spreadsheetml/2009/9/main" objectType="CheckBox" checked="Checked" fmlaLink="$J$102" lockText="1" noThreeD="1"/>
</file>

<file path=xl/ctrlProps/ctrlProp10.xml><?xml version="1.0" encoding="utf-8"?>
<formControlPr xmlns="http://schemas.microsoft.com/office/spreadsheetml/2009/9/main" objectType="CheckBox" fmlaLink="$K$102" lockText="1" noThreeD="1"/>
</file>

<file path=xl/ctrlProps/ctrlProp11.xml><?xml version="1.0" encoding="utf-8"?>
<formControlPr xmlns="http://schemas.microsoft.com/office/spreadsheetml/2009/9/main" objectType="CheckBox" fmlaLink="$L$102" lockText="1" noThreeD="1"/>
</file>

<file path=xl/ctrlProps/ctrlProp12.xml><?xml version="1.0" encoding="utf-8"?>
<formControlPr xmlns="http://schemas.microsoft.com/office/spreadsheetml/2009/9/main" objectType="CheckBox" fmlaLink="$M$102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0</xdr:row>
          <xdr:rowOff>7620</xdr:rowOff>
        </xdr:from>
        <xdr:to>
          <xdr:col>1</xdr:col>
          <xdr:colOff>769620</xdr:colOff>
          <xdr:row>0</xdr:row>
          <xdr:rowOff>205740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0</xdr:row>
          <xdr:rowOff>22860</xdr:rowOff>
        </xdr:from>
        <xdr:to>
          <xdr:col>2</xdr:col>
          <xdr:colOff>769620</xdr:colOff>
          <xdr:row>0</xdr:row>
          <xdr:rowOff>213360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350520</xdr:colOff>
          <xdr:row>0</xdr:row>
          <xdr:rowOff>22860</xdr:rowOff>
        </xdr:from>
        <xdr:to>
          <xdr:col>3</xdr:col>
          <xdr:colOff>769620</xdr:colOff>
          <xdr:row>0</xdr:row>
          <xdr:rowOff>213360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0</xdr:row>
          <xdr:rowOff>22860</xdr:rowOff>
        </xdr:from>
        <xdr:to>
          <xdr:col>4</xdr:col>
          <xdr:colOff>769620</xdr:colOff>
          <xdr:row>0</xdr:row>
          <xdr:rowOff>213360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350520</xdr:colOff>
          <xdr:row>0</xdr:row>
          <xdr:rowOff>22860</xdr:rowOff>
        </xdr:from>
        <xdr:to>
          <xdr:col>5</xdr:col>
          <xdr:colOff>769620</xdr:colOff>
          <xdr:row>0</xdr:row>
          <xdr:rowOff>213360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350520</xdr:colOff>
          <xdr:row>0</xdr:row>
          <xdr:rowOff>22860</xdr:rowOff>
        </xdr:from>
        <xdr:to>
          <xdr:col>6</xdr:col>
          <xdr:colOff>769620</xdr:colOff>
          <xdr:row>0</xdr:row>
          <xdr:rowOff>213360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350520</xdr:colOff>
          <xdr:row>0</xdr:row>
          <xdr:rowOff>22860</xdr:rowOff>
        </xdr:from>
        <xdr:to>
          <xdr:col>7</xdr:col>
          <xdr:colOff>769620</xdr:colOff>
          <xdr:row>0</xdr:row>
          <xdr:rowOff>213360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0</xdr:row>
          <xdr:rowOff>22860</xdr:rowOff>
        </xdr:from>
        <xdr:to>
          <xdr:col>8</xdr:col>
          <xdr:colOff>769620</xdr:colOff>
          <xdr:row>0</xdr:row>
          <xdr:rowOff>213360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0</xdr:row>
          <xdr:rowOff>22860</xdr:rowOff>
        </xdr:from>
        <xdr:to>
          <xdr:col>9</xdr:col>
          <xdr:colOff>769620</xdr:colOff>
          <xdr:row>0</xdr:row>
          <xdr:rowOff>213360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350520</xdr:colOff>
          <xdr:row>0</xdr:row>
          <xdr:rowOff>22860</xdr:rowOff>
        </xdr:from>
        <xdr:to>
          <xdr:col>10</xdr:col>
          <xdr:colOff>769620</xdr:colOff>
          <xdr:row>0</xdr:row>
          <xdr:rowOff>213360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350520</xdr:colOff>
          <xdr:row>0</xdr:row>
          <xdr:rowOff>22860</xdr:rowOff>
        </xdr:from>
        <xdr:to>
          <xdr:col>11</xdr:col>
          <xdr:colOff>769620</xdr:colOff>
          <xdr:row>0</xdr:row>
          <xdr:rowOff>213360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350520</xdr:colOff>
          <xdr:row>0</xdr:row>
          <xdr:rowOff>22860</xdr:rowOff>
        </xdr:from>
        <xdr:to>
          <xdr:col>12</xdr:col>
          <xdr:colOff>769620</xdr:colOff>
          <xdr:row>0</xdr:row>
          <xdr:rowOff>213360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1335091</xdr:colOff>
      <xdr:row>58</xdr:row>
      <xdr:rowOff>180778</xdr:rowOff>
    </xdr:from>
    <xdr:to>
      <xdr:col>21</xdr:col>
      <xdr:colOff>453432</xdr:colOff>
      <xdr:row>73</xdr:row>
      <xdr:rowOff>147838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ECC5345-A22B-A426-E2AF-57FB7AFEE4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1332112</xdr:colOff>
      <xdr:row>74</xdr:row>
      <xdr:rowOff>155378</xdr:rowOff>
    </xdr:from>
    <xdr:to>
      <xdr:col>21</xdr:col>
      <xdr:colOff>464343</xdr:colOff>
      <xdr:row>89</xdr:row>
      <xdr:rowOff>130376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1BC0EEF-6D7F-C6E4-67F1-E361BB77BC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0</xdr:row>
          <xdr:rowOff>60960</xdr:rowOff>
        </xdr:from>
        <xdr:to>
          <xdr:col>1</xdr:col>
          <xdr:colOff>662940</xdr:colOff>
          <xdr:row>0</xdr:row>
          <xdr:rowOff>236220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4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0</xdr:row>
          <xdr:rowOff>60960</xdr:rowOff>
        </xdr:from>
        <xdr:to>
          <xdr:col>2</xdr:col>
          <xdr:colOff>662940</xdr:colOff>
          <xdr:row>0</xdr:row>
          <xdr:rowOff>236220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4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121920</xdr:colOff>
          <xdr:row>0</xdr:row>
          <xdr:rowOff>60960</xdr:rowOff>
        </xdr:from>
        <xdr:to>
          <xdr:col>3</xdr:col>
          <xdr:colOff>662940</xdr:colOff>
          <xdr:row>0</xdr:row>
          <xdr:rowOff>236220</xdr:rowOff>
        </xdr:to>
        <xdr:sp macro="" textlink="">
          <xdr:nvSpPr>
            <xdr:cNvPr id="14351" name="Butto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4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</xdr:colOff>
          <xdr:row>0</xdr:row>
          <xdr:rowOff>60960</xdr:rowOff>
        </xdr:from>
        <xdr:to>
          <xdr:col>4</xdr:col>
          <xdr:colOff>662940</xdr:colOff>
          <xdr:row>0</xdr:row>
          <xdr:rowOff>236220</xdr:rowOff>
        </xdr:to>
        <xdr:sp macro="" textlink="">
          <xdr:nvSpPr>
            <xdr:cNvPr id="14352" name="Button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4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0</xdr:row>
          <xdr:rowOff>60960</xdr:rowOff>
        </xdr:from>
        <xdr:to>
          <xdr:col>5</xdr:col>
          <xdr:colOff>662940</xdr:colOff>
          <xdr:row>0</xdr:row>
          <xdr:rowOff>236220</xdr:rowOff>
        </xdr:to>
        <xdr:sp macro="" textlink="">
          <xdr:nvSpPr>
            <xdr:cNvPr id="14353" name="Button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4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0</xdr:row>
          <xdr:rowOff>60960</xdr:rowOff>
        </xdr:from>
        <xdr:to>
          <xdr:col>6</xdr:col>
          <xdr:colOff>662940</xdr:colOff>
          <xdr:row>0</xdr:row>
          <xdr:rowOff>236220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4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121920</xdr:colOff>
          <xdr:row>0</xdr:row>
          <xdr:rowOff>60960</xdr:rowOff>
        </xdr:from>
        <xdr:to>
          <xdr:col>7</xdr:col>
          <xdr:colOff>662940</xdr:colOff>
          <xdr:row>0</xdr:row>
          <xdr:rowOff>236220</xdr:rowOff>
        </xdr:to>
        <xdr:sp macro="" textlink="">
          <xdr:nvSpPr>
            <xdr:cNvPr id="14355" name="Button 19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4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</xdr:colOff>
          <xdr:row>0</xdr:row>
          <xdr:rowOff>60960</xdr:rowOff>
        </xdr:from>
        <xdr:to>
          <xdr:col>8</xdr:col>
          <xdr:colOff>662940</xdr:colOff>
          <xdr:row>0</xdr:row>
          <xdr:rowOff>236220</xdr:rowOff>
        </xdr:to>
        <xdr:sp macro="" textlink="">
          <xdr:nvSpPr>
            <xdr:cNvPr id="14356" name="Button 20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4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121920</xdr:colOff>
          <xdr:row>0</xdr:row>
          <xdr:rowOff>60960</xdr:rowOff>
        </xdr:from>
        <xdr:to>
          <xdr:col>9</xdr:col>
          <xdr:colOff>662940</xdr:colOff>
          <xdr:row>0</xdr:row>
          <xdr:rowOff>236220</xdr:rowOff>
        </xdr:to>
        <xdr:sp macro="" textlink="">
          <xdr:nvSpPr>
            <xdr:cNvPr id="14357" name="Button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4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</xdr:colOff>
          <xdr:row>0</xdr:row>
          <xdr:rowOff>60960</xdr:rowOff>
        </xdr:from>
        <xdr:to>
          <xdr:col>10</xdr:col>
          <xdr:colOff>662940</xdr:colOff>
          <xdr:row>0</xdr:row>
          <xdr:rowOff>236220</xdr:rowOff>
        </xdr:to>
        <xdr:sp macro="" textlink="">
          <xdr:nvSpPr>
            <xdr:cNvPr id="14358" name="Button 22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4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0</xdr:row>
          <xdr:rowOff>60960</xdr:rowOff>
        </xdr:from>
        <xdr:to>
          <xdr:col>11</xdr:col>
          <xdr:colOff>662940</xdr:colOff>
          <xdr:row>0</xdr:row>
          <xdr:rowOff>236220</xdr:rowOff>
        </xdr:to>
        <xdr:sp macro="" textlink="">
          <xdr:nvSpPr>
            <xdr:cNvPr id="14359" name="Button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4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121920</xdr:colOff>
          <xdr:row>0</xdr:row>
          <xdr:rowOff>60960</xdr:rowOff>
        </xdr:from>
        <xdr:to>
          <xdr:col>12</xdr:col>
          <xdr:colOff>662940</xdr:colOff>
          <xdr:row>0</xdr:row>
          <xdr:rowOff>236220</xdr:rowOff>
        </xdr:to>
        <xdr:sp macro="" textlink="">
          <xdr:nvSpPr>
            <xdr:cNvPr id="14360" name="Button 24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4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2028825</xdr:colOff>
      <xdr:row>26</xdr:row>
      <xdr:rowOff>76200</xdr:rowOff>
    </xdr:from>
    <xdr:ext cx="3819525" cy="990600"/>
    <xdr:grpSp>
      <xdr:nvGrpSpPr>
        <xdr:cNvPr id="2" name="Shape 2" title="図形描画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2097405" y="6347460"/>
          <a:ext cx="3819525" cy="990600"/>
          <a:chOff x="393825" y="-66450"/>
          <a:chExt cx="3804200" cy="1050075"/>
        </a:xfrm>
      </xdr:grpSpPr>
      <xdr:sp macro="" textlink="">
        <xdr:nvSpPr>
          <xdr:cNvPr id="5" name="Shape 5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4168325" y="-66450"/>
            <a:ext cx="29700" cy="19800"/>
          </a:xfrm>
          <a:prstGeom prst="roundRect">
            <a:avLst>
              <a:gd name="adj" fmla="val 16667"/>
            </a:avLst>
          </a:prstGeom>
          <a:solidFill>
            <a:srgbClr val="CFE2F3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6" name="Shape 6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393825" y="508125"/>
            <a:ext cx="1258200" cy="475500"/>
          </a:xfrm>
          <a:prstGeom prst="roundRect">
            <a:avLst>
              <a:gd name="adj" fmla="val 16667"/>
            </a:avLst>
          </a:prstGeom>
          <a:solidFill>
            <a:srgbClr val="CFE2F3"/>
          </a:solidFill>
          <a:ln w="9525" cap="flat" cmpd="sng">
            <a:solidFill>
              <a:srgbClr val="000000"/>
            </a:solidFill>
            <a:prstDash val="solid"/>
            <a:round/>
            <a:headEnd type="none" w="sm" len="sm"/>
            <a:tailEnd type="none" w="sm" len="sm"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None/>
            </a:pPr>
            <a:r>
              <a:rPr lang="en-US" sz="1400"/>
              <a:t>本則課税</a:t>
            </a:r>
            <a:endParaRPr sz="1400"/>
          </a:p>
        </xdr:txBody>
      </xdr:sp>
    </xdr:grpSp>
    <xdr:clientData fLocksWithSheet="0"/>
  </xdr:oneCellAnchor>
  <xdr:oneCellAnchor>
    <xdr:from>
      <xdr:col>3</xdr:col>
      <xdr:colOff>371475</xdr:colOff>
      <xdr:row>28</xdr:row>
      <xdr:rowOff>152400</xdr:rowOff>
    </xdr:from>
    <xdr:ext cx="1304925" cy="48577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93825" y="270375"/>
          <a:ext cx="1287900" cy="4656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簡易課税</a:t>
          </a:r>
          <a:endParaRPr sz="1400"/>
        </a:p>
      </xdr:txBody>
    </xdr:sp>
    <xdr:clientData fLocksWithSheet="0"/>
  </xdr:oneCellAnchor>
  <xdr:oneCellAnchor>
    <xdr:from>
      <xdr:col>4</xdr:col>
      <xdr:colOff>933450</xdr:colOff>
      <xdr:row>28</xdr:row>
      <xdr:rowOff>161925</xdr:rowOff>
    </xdr:from>
    <xdr:ext cx="1209675" cy="466725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03750" y="240675"/>
          <a:ext cx="1188900" cy="4458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免税</a:t>
          </a:r>
          <a:endParaRPr sz="1400"/>
        </a:p>
      </xdr:txBody>
    </xdr:sp>
    <xdr:clientData fLocksWithSheet="0"/>
  </xdr:oneCellAnchor>
  <xdr:oneCellAnchor>
    <xdr:from>
      <xdr:col>8</xdr:col>
      <xdr:colOff>514350</xdr:colOff>
      <xdr:row>40</xdr:row>
      <xdr:rowOff>76200</xdr:rowOff>
    </xdr:from>
    <xdr:ext cx="1247775" cy="41910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245225" y="319925"/>
          <a:ext cx="1228500" cy="3963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特例選択</a:t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9</xdr:row>
      <xdr:rowOff>9525</xdr:rowOff>
    </xdr:from>
    <xdr:ext cx="7772400" cy="4819650"/>
    <xdr:graphicFrame macro="">
      <xdr:nvGraphicFramePr>
        <xdr:cNvPr id="3" name="Chart 3" title="グラフ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2:AP58" headerRowCount="0" totalsRowCount="1" headerRowDxfId="219" dataDxfId="218" totalsRowDxfId="217">
  <tableColumns count="42">
    <tableColumn id="1" xr3:uid="{00000000-0010-0000-0100-000001000000}" name="Column1" dataDxfId="216" totalsRowDxfId="215"/>
    <tableColumn id="2" xr3:uid="{00000000-0010-0000-0100-000002000000}" name="Column2" dataDxfId="214" totalsRowDxfId="213"/>
    <tableColumn id="3" xr3:uid="{00000000-0010-0000-0100-000003000000}" name="Column3" dataDxfId="212" totalsRowDxfId="211"/>
    <tableColumn id="4" xr3:uid="{00000000-0010-0000-0100-000004000000}" name="Column4" dataDxfId="210" totalsRowDxfId="209"/>
    <tableColumn id="5" xr3:uid="{00000000-0010-0000-0100-000005000000}" name="Column5" dataDxfId="208" totalsRowDxfId="207"/>
    <tableColumn id="6" xr3:uid="{00000000-0010-0000-0100-000006000000}" name="Column6" dataDxfId="206" totalsRowDxfId="205"/>
    <tableColumn id="7" xr3:uid="{00000000-0010-0000-0100-000007000000}" name="Column7" dataDxfId="204" totalsRowDxfId="203"/>
    <tableColumn id="8" xr3:uid="{00000000-0010-0000-0100-000008000000}" name="Column8" dataDxfId="202" totalsRowDxfId="201"/>
    <tableColumn id="9" xr3:uid="{00000000-0010-0000-0100-000009000000}" name="Column9" dataDxfId="200" totalsRowDxfId="199"/>
    <tableColumn id="10" xr3:uid="{00000000-0010-0000-0100-00000A000000}" name="Column10" dataDxfId="198" totalsRowDxfId="197"/>
    <tableColumn id="11" xr3:uid="{00000000-0010-0000-0100-00000B000000}" name="Column11" dataDxfId="196" totalsRowDxfId="195"/>
    <tableColumn id="12" xr3:uid="{00000000-0010-0000-0100-00000C000000}" name="Column12" dataDxfId="194" totalsRowDxfId="193"/>
    <tableColumn id="13" xr3:uid="{00000000-0010-0000-0100-00000D000000}" name="Column13" dataDxfId="192" totalsRowDxfId="191"/>
    <tableColumn id="14" xr3:uid="{00000000-0010-0000-0100-00000E000000}" name="Column14" dataDxfId="190" totalsRowDxfId="189"/>
    <tableColumn id="15" xr3:uid="{00000000-0010-0000-0100-00000F000000}" name="Column15" dataDxfId="188" totalsRowDxfId="187"/>
    <tableColumn id="16" xr3:uid="{00000000-0010-0000-0100-000010000000}" name="Column16" dataDxfId="186" totalsRowDxfId="185"/>
    <tableColumn id="17" xr3:uid="{00000000-0010-0000-0100-000011000000}" name="Column17" dataDxfId="184" totalsRowDxfId="183"/>
    <tableColumn id="18" xr3:uid="{00000000-0010-0000-0100-000012000000}" name="Column18" dataDxfId="182" totalsRowDxfId="181"/>
    <tableColumn id="19" xr3:uid="{00000000-0010-0000-0100-000013000000}" name="Column19" dataDxfId="180" totalsRowDxfId="179"/>
    <tableColumn id="20" xr3:uid="{00000000-0010-0000-0100-000014000000}" name="Column20" dataDxfId="178" totalsRowDxfId="177"/>
    <tableColumn id="21" xr3:uid="{00000000-0010-0000-0100-000015000000}" name="Column21" dataDxfId="176" totalsRowDxfId="175"/>
    <tableColumn id="22" xr3:uid="{00000000-0010-0000-0100-000016000000}" name="Column22" dataDxfId="174" totalsRowDxfId="173"/>
    <tableColumn id="23" xr3:uid="{00000000-0010-0000-0100-000017000000}" name="Column23" dataDxfId="172" totalsRowDxfId="171"/>
    <tableColumn id="24" xr3:uid="{00000000-0010-0000-0100-000018000000}" name="Column24" dataDxfId="170" totalsRowDxfId="169"/>
    <tableColumn id="25" xr3:uid="{00000000-0010-0000-0100-000019000000}" name="Column25" dataDxfId="168" totalsRowDxfId="167"/>
    <tableColumn id="26" xr3:uid="{00000000-0010-0000-0100-00001A000000}" name="Column26" dataDxfId="166" totalsRowDxfId="165"/>
    <tableColumn id="27" xr3:uid="{00000000-0010-0000-0100-00001B000000}" name="Column27" dataDxfId="164" totalsRowDxfId="163"/>
    <tableColumn id="28" xr3:uid="{00000000-0010-0000-0100-00001C000000}" name="Column28" dataDxfId="162" totalsRowDxfId="161"/>
    <tableColumn id="29" xr3:uid="{00000000-0010-0000-0100-00001D000000}" name="Column29" dataDxfId="160" totalsRowDxfId="159"/>
    <tableColumn id="30" xr3:uid="{00000000-0010-0000-0100-00001E000000}" name="Column30" dataDxfId="158" totalsRowDxfId="157"/>
    <tableColumn id="31" xr3:uid="{00000000-0010-0000-0100-00001F000000}" name="Column31" dataDxfId="156" totalsRowDxfId="155"/>
    <tableColumn id="32" xr3:uid="{00000000-0010-0000-0100-000020000000}" name="Column32" dataDxfId="154" totalsRowDxfId="153"/>
    <tableColumn id="33" xr3:uid="{00000000-0010-0000-0100-000021000000}" name="Column33" dataDxfId="152" totalsRowDxfId="151"/>
    <tableColumn id="34" xr3:uid="{00000000-0010-0000-0100-000022000000}" name="Column34" dataDxfId="150" totalsRowDxfId="149"/>
    <tableColumn id="35" xr3:uid="{00000000-0010-0000-0100-000023000000}" name="Column35" dataDxfId="148" totalsRowDxfId="147"/>
    <tableColumn id="36" xr3:uid="{00000000-0010-0000-0100-000024000000}" name="Column36" dataDxfId="146" totalsRowDxfId="145"/>
    <tableColumn id="37" xr3:uid="{00000000-0010-0000-0100-000025000000}" name="Column37" dataDxfId="144" totalsRowDxfId="143"/>
    <tableColumn id="38" xr3:uid="{00000000-0010-0000-0100-000026000000}" name="Column38" dataDxfId="142" totalsRowDxfId="141"/>
    <tableColumn id="39" xr3:uid="{00000000-0010-0000-0100-000027000000}" name="Column39" dataDxfId="140" totalsRowDxfId="139"/>
    <tableColumn id="40" xr3:uid="{00000000-0010-0000-0100-000028000000}" name="Column40" dataDxfId="138" totalsRowDxfId="137"/>
    <tableColumn id="41" xr3:uid="{00000000-0010-0000-0100-000029000000}" name="Column41" dataDxfId="136" totalsRowDxfId="135"/>
    <tableColumn id="42" xr3:uid="{00000000-0010-0000-0100-00002A000000}" name="Column42" dataDxfId="134" totalsRowDxfId="133"/>
  </tableColumns>
  <tableStyleInfo name="資金繰り実績予定表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38D33E-D8FB-4009-A993-B9CAA8270258}" name="Table_22" displayName="Table_22" ref="A2:AP54" headerRowCount="0" headerRowDxfId="264" dataDxfId="263" totalsRowDxfId="262">
  <tableColumns count="42">
    <tableColumn id="1" xr3:uid="{A6190FB1-517A-4E4C-A570-C9DD542E75D1}" name="Column1" dataDxfId="261"/>
    <tableColumn id="2" xr3:uid="{FFA6A7CA-7C69-4339-9DEC-83596C551CD3}" name="Column2" dataDxfId="260"/>
    <tableColumn id="3" xr3:uid="{9A90B81F-7BB0-4BDD-9C3A-068EC4EF37E1}" name="Column3" dataDxfId="259"/>
    <tableColumn id="4" xr3:uid="{54243AEB-300E-48C4-AF07-F200F99B3BDD}" name="Column4" dataDxfId="258"/>
    <tableColumn id="5" xr3:uid="{00BBC54D-14CD-4BCC-B8F9-8793B1184E4C}" name="Column5" dataDxfId="257"/>
    <tableColumn id="6" xr3:uid="{6C8E37CC-1659-4EB0-9A43-7619F351AC03}" name="Column6" dataDxfId="256"/>
    <tableColumn id="7" xr3:uid="{534923FE-9B51-42AC-A961-B3A15D74B46B}" name="Column7" dataDxfId="255"/>
    <tableColumn id="8" xr3:uid="{918180B4-B9D5-4712-A574-96DBC67B9ACD}" name="Column8" dataDxfId="254"/>
    <tableColumn id="9" xr3:uid="{B65E988F-EA92-4454-A7A6-FFCEDA384809}" name="Column9" dataDxfId="253"/>
    <tableColumn id="10" xr3:uid="{2AAFA691-02A0-4DAE-823E-496B29C567BB}" name="Column10" dataDxfId="252"/>
    <tableColumn id="11" xr3:uid="{FDEE3AEF-F6F6-4F7B-9B92-ECDCC5542959}" name="Column11" dataDxfId="251"/>
    <tableColumn id="12" xr3:uid="{12DDF14B-23A4-4B3F-B51A-27593B643ABA}" name="Column12" dataDxfId="250"/>
    <tableColumn id="13" xr3:uid="{0B2DFABA-7E20-4287-873F-041B29AD425D}" name="Column13" dataDxfId="249"/>
    <tableColumn id="14" xr3:uid="{891CEF23-A11A-44AF-8F62-31B7D46CA0BE}" name="Column14" dataDxfId="248"/>
    <tableColumn id="15" xr3:uid="{3F86B860-8520-4A13-BB10-6A3089D3BEB4}" name="Column15" dataDxfId="247"/>
    <tableColumn id="16" xr3:uid="{51D35239-326B-4E1B-B41A-8F5CF8BE8991}" name="Column16" dataDxfId="246"/>
    <tableColumn id="17" xr3:uid="{C5B7E998-B5BD-4563-A8FF-992E1CD44328}" name="Column17" dataDxfId="245"/>
    <tableColumn id="18" xr3:uid="{C800226C-B3DD-4BAE-8917-077D53BE511B}" name="Column18" dataDxfId="244"/>
    <tableColumn id="19" xr3:uid="{B943F7A9-6EA2-4E5A-A9BB-58329F2E892B}" name="Column19" dataDxfId="243"/>
    <tableColumn id="20" xr3:uid="{93B406EB-1720-4676-A47B-0E428C196262}" name="Column20" dataDxfId="242"/>
    <tableColumn id="21" xr3:uid="{1996F45B-2E8F-4C58-BDB9-7F1DB1A43DF8}" name="Column21" dataDxfId="241"/>
    <tableColumn id="22" xr3:uid="{2B97776C-AD19-49F9-B48A-E3A440A9A328}" name="Column22" dataDxfId="240"/>
    <tableColumn id="23" xr3:uid="{3BE26B7D-0340-4A74-BD03-B382C7D3F779}" name="Column23" dataDxfId="239"/>
    <tableColumn id="24" xr3:uid="{CABFCAC5-A548-4FC4-8EE6-22AACD9D8D68}" name="Column24" dataDxfId="238"/>
    <tableColumn id="25" xr3:uid="{3D0A0015-9872-4FF4-A9AE-C74A93A6E099}" name="Column25" dataDxfId="237"/>
    <tableColumn id="26" xr3:uid="{CAA58C03-92C0-4B4B-BAB0-A49BA339B1EE}" name="Column26" dataDxfId="236"/>
    <tableColumn id="27" xr3:uid="{091540F1-2CCF-4F48-9693-697E824A7983}" name="Column27" dataDxfId="235"/>
    <tableColumn id="28" xr3:uid="{8D0250DE-4001-420B-A0D8-8BE460F97BA1}" name="Column28" dataDxfId="234"/>
    <tableColumn id="29" xr3:uid="{C6DE7BB6-74E2-41FD-9B38-42DD53BC6F41}" name="Column29" dataDxfId="233"/>
    <tableColumn id="30" xr3:uid="{771B67C4-A460-416F-AB49-868EED3FF601}" name="Column30" dataDxfId="232"/>
    <tableColumn id="31" xr3:uid="{1D118435-9447-4ECE-B777-89325488E741}" name="Column31" dataDxfId="231"/>
    <tableColumn id="32" xr3:uid="{C923186E-2FE3-41B1-A5EC-A61460133B0D}" name="Column32" dataDxfId="230"/>
    <tableColumn id="33" xr3:uid="{F9B9AA86-236F-4326-A496-0E60A86D5689}" name="Column33" dataDxfId="229"/>
    <tableColumn id="34" xr3:uid="{8FDB18E5-80BE-4B78-810C-0FFEF1C6F808}" name="Column34" dataDxfId="228"/>
    <tableColumn id="35" xr3:uid="{39F42785-5B5C-4B7E-9E76-A3302FC60E04}" name="Column35" dataDxfId="227"/>
    <tableColumn id="36" xr3:uid="{13F568AE-D4C2-4691-9248-602526C6ADA7}" name="Column36" dataDxfId="226"/>
    <tableColumn id="37" xr3:uid="{1B70EB68-93D2-4EDB-B585-94646F7A86ED}" name="Column37" dataDxfId="225"/>
    <tableColumn id="38" xr3:uid="{201946D0-59B0-4307-8810-118C65EFCDF2}" name="Column38" dataDxfId="224"/>
    <tableColumn id="39" xr3:uid="{D45B006F-1E88-4461-B043-234C31897E6D}" name="Column39" dataDxfId="223"/>
    <tableColumn id="40" xr3:uid="{D267A9DA-9998-4434-BFD8-BCA6869277DC}" name="Column40" dataDxfId="222"/>
    <tableColumn id="41" xr3:uid="{61A55389-72D5-4C19-9BD0-A5932A8C1B25}" name="Column41" dataDxfId="221"/>
    <tableColumn id="42" xr3:uid="{C21A5F6D-409D-4589-9923-6BB941552225}" name="Column42" dataDxfId="220"/>
  </tableColumns>
  <tableStyleInfo name="資金繰り実績予定表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2:AP55" headerRowCount="0" headerRowDxfId="132" dataDxfId="131" totalsRowDxfId="130">
  <tableColumns count="42">
    <tableColumn id="1" xr3:uid="{00000000-0010-0000-0200-000001000000}" name="Column1" dataDxfId="129"/>
    <tableColumn id="2" xr3:uid="{00000000-0010-0000-0200-000002000000}" name="Column2" dataDxfId="128"/>
    <tableColumn id="3" xr3:uid="{00000000-0010-0000-0200-000003000000}" name="Column3" dataDxfId="127"/>
    <tableColumn id="4" xr3:uid="{00000000-0010-0000-0200-000004000000}" name="Column4" dataDxfId="126"/>
    <tableColumn id="5" xr3:uid="{00000000-0010-0000-0200-000005000000}" name="Column5" dataDxfId="125"/>
    <tableColumn id="6" xr3:uid="{00000000-0010-0000-0200-000006000000}" name="Column6" dataDxfId="124"/>
    <tableColumn id="7" xr3:uid="{00000000-0010-0000-0200-000007000000}" name="Column7" dataDxfId="123"/>
    <tableColumn id="8" xr3:uid="{00000000-0010-0000-0200-000008000000}" name="Column8" dataDxfId="122"/>
    <tableColumn id="9" xr3:uid="{00000000-0010-0000-0200-000009000000}" name="Column9" dataDxfId="121"/>
    <tableColumn id="10" xr3:uid="{00000000-0010-0000-0200-00000A000000}" name="Column10" dataDxfId="120"/>
    <tableColumn id="11" xr3:uid="{00000000-0010-0000-0200-00000B000000}" name="Column11" dataDxfId="119"/>
    <tableColumn id="12" xr3:uid="{00000000-0010-0000-0200-00000C000000}" name="Column12" dataDxfId="118"/>
    <tableColumn id="13" xr3:uid="{00000000-0010-0000-0200-00000D000000}" name="Column13" dataDxfId="117"/>
    <tableColumn id="14" xr3:uid="{00000000-0010-0000-0200-00000E000000}" name="Column14" dataDxfId="116"/>
    <tableColumn id="15" xr3:uid="{00000000-0010-0000-0200-00000F000000}" name="Column15" dataDxfId="115"/>
    <tableColumn id="16" xr3:uid="{00000000-0010-0000-0200-000010000000}" name="Column16" dataDxfId="114"/>
    <tableColumn id="17" xr3:uid="{00000000-0010-0000-0200-000011000000}" name="Column17" dataDxfId="113"/>
    <tableColumn id="18" xr3:uid="{00000000-0010-0000-0200-000012000000}" name="Column18" dataDxfId="112"/>
    <tableColumn id="19" xr3:uid="{00000000-0010-0000-0200-000013000000}" name="Column19" dataDxfId="111"/>
    <tableColumn id="20" xr3:uid="{00000000-0010-0000-0200-000014000000}" name="Column20" dataDxfId="110"/>
    <tableColumn id="21" xr3:uid="{00000000-0010-0000-0200-000015000000}" name="Column21" dataDxfId="109"/>
    <tableColumn id="22" xr3:uid="{00000000-0010-0000-0200-000016000000}" name="Column22" dataDxfId="108"/>
    <tableColumn id="23" xr3:uid="{00000000-0010-0000-0200-000017000000}" name="Column23" dataDxfId="107"/>
    <tableColumn id="24" xr3:uid="{00000000-0010-0000-0200-000018000000}" name="Column24" dataDxfId="106"/>
    <tableColumn id="25" xr3:uid="{00000000-0010-0000-0200-000019000000}" name="Column25" dataDxfId="105"/>
    <tableColumn id="26" xr3:uid="{00000000-0010-0000-0200-00001A000000}" name="Column26" dataDxfId="104"/>
    <tableColumn id="27" xr3:uid="{00000000-0010-0000-0200-00001B000000}" name="Column27" dataDxfId="103"/>
    <tableColumn id="28" xr3:uid="{00000000-0010-0000-0200-00001C000000}" name="Column28" dataDxfId="102"/>
    <tableColumn id="29" xr3:uid="{00000000-0010-0000-0200-00001D000000}" name="Column29" dataDxfId="101"/>
    <tableColumn id="30" xr3:uid="{00000000-0010-0000-0200-00001E000000}" name="Column30" dataDxfId="100"/>
    <tableColumn id="31" xr3:uid="{00000000-0010-0000-0200-00001F000000}" name="Column31" dataDxfId="99"/>
    <tableColumn id="32" xr3:uid="{00000000-0010-0000-0200-000020000000}" name="Column32" dataDxfId="98"/>
    <tableColumn id="33" xr3:uid="{00000000-0010-0000-0200-000021000000}" name="Column33" dataDxfId="97"/>
    <tableColumn id="34" xr3:uid="{00000000-0010-0000-0200-000022000000}" name="Column34" dataDxfId="96"/>
    <tableColumn id="35" xr3:uid="{00000000-0010-0000-0200-000023000000}" name="Column35" dataDxfId="95"/>
    <tableColumn id="36" xr3:uid="{00000000-0010-0000-0200-000024000000}" name="Column36" dataDxfId="94"/>
    <tableColumn id="37" xr3:uid="{00000000-0010-0000-0200-000025000000}" name="Column37" dataDxfId="93"/>
    <tableColumn id="38" xr3:uid="{00000000-0010-0000-0200-000026000000}" name="Column38" dataDxfId="92"/>
    <tableColumn id="39" xr3:uid="{00000000-0010-0000-0200-000027000000}" name="Column39" dataDxfId="91"/>
    <tableColumn id="40" xr3:uid="{00000000-0010-0000-0200-000028000000}" name="Column40" dataDxfId="90"/>
    <tableColumn id="41" xr3:uid="{00000000-0010-0000-0200-000029000000}" name="Column41" dataDxfId="89"/>
    <tableColumn id="42" xr3:uid="{00000000-0010-0000-0200-00002A000000}" name="Column42" dataDxfId="88"/>
  </tableColumns>
  <tableStyleInfo name="資金繰り予定表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3:AK54" headerRowCount="0" headerRowDxfId="87" dataDxfId="86" totalsRowDxfId="85">
  <tableColumns count="37">
    <tableColumn id="1" xr3:uid="{00000000-0010-0000-0300-000001000000}" name="Column1" dataDxfId="84"/>
    <tableColumn id="2" xr3:uid="{00000000-0010-0000-0300-000002000000}" name="Column2" dataDxfId="83"/>
    <tableColumn id="3" xr3:uid="{00000000-0010-0000-0300-000003000000}" name="Column3" dataDxfId="82"/>
    <tableColumn id="4" xr3:uid="{00000000-0010-0000-0300-000004000000}" name="Column4" dataDxfId="81"/>
    <tableColumn id="5" xr3:uid="{00000000-0010-0000-0300-000005000000}" name="Column5" dataDxfId="80"/>
    <tableColumn id="6" xr3:uid="{00000000-0010-0000-0300-000006000000}" name="Column6" dataDxfId="79"/>
    <tableColumn id="7" xr3:uid="{00000000-0010-0000-0300-000007000000}" name="Column7" dataDxfId="78"/>
    <tableColumn id="8" xr3:uid="{00000000-0010-0000-0300-000008000000}" name="Column8" dataDxfId="77"/>
    <tableColumn id="9" xr3:uid="{00000000-0010-0000-0300-000009000000}" name="Column9" dataDxfId="76"/>
    <tableColumn id="10" xr3:uid="{00000000-0010-0000-0300-00000A000000}" name="Column10" dataDxfId="75"/>
    <tableColumn id="11" xr3:uid="{00000000-0010-0000-0300-00000B000000}" name="Column11" dataDxfId="74"/>
    <tableColumn id="12" xr3:uid="{00000000-0010-0000-0300-00000C000000}" name="Column12" dataDxfId="73"/>
    <tableColumn id="13" xr3:uid="{00000000-0010-0000-0300-00000D000000}" name="Column13" dataDxfId="72"/>
    <tableColumn id="14" xr3:uid="{00000000-0010-0000-0300-00000E000000}" name="Column14" dataDxfId="71"/>
    <tableColumn id="15" xr3:uid="{00000000-0010-0000-0300-00000F000000}" name="Column15" dataDxfId="70"/>
    <tableColumn id="16" xr3:uid="{00000000-0010-0000-0300-000010000000}" name="Column16" dataDxfId="69"/>
    <tableColumn id="17" xr3:uid="{00000000-0010-0000-0300-000011000000}" name="Column17" dataDxfId="68"/>
    <tableColumn id="18" xr3:uid="{00000000-0010-0000-0300-000012000000}" name="Column18" dataDxfId="67"/>
    <tableColumn id="19" xr3:uid="{00000000-0010-0000-0300-000013000000}" name="Column19" dataDxfId="66"/>
    <tableColumn id="20" xr3:uid="{00000000-0010-0000-0300-000014000000}" name="Column20" dataDxfId="65"/>
    <tableColumn id="21" xr3:uid="{00000000-0010-0000-0300-000015000000}" name="Column21" dataDxfId="64"/>
    <tableColumn id="22" xr3:uid="{00000000-0010-0000-0300-000016000000}" name="Column22" dataDxfId="63"/>
    <tableColumn id="23" xr3:uid="{00000000-0010-0000-0300-000017000000}" name="Column23" dataDxfId="62"/>
    <tableColumn id="24" xr3:uid="{00000000-0010-0000-0300-000018000000}" name="Column24" dataDxfId="61"/>
    <tableColumn id="25" xr3:uid="{00000000-0010-0000-0300-000019000000}" name="Column25" dataDxfId="60"/>
    <tableColumn id="26" xr3:uid="{00000000-0010-0000-0300-00001A000000}" name="Column26" dataDxfId="59"/>
    <tableColumn id="27" xr3:uid="{00000000-0010-0000-0300-00001B000000}" name="Column27" dataDxfId="58"/>
    <tableColumn id="28" xr3:uid="{00000000-0010-0000-0300-00001C000000}" name="Column28" dataDxfId="57"/>
    <tableColumn id="29" xr3:uid="{00000000-0010-0000-0300-00001D000000}" name="Column29" dataDxfId="56"/>
    <tableColumn id="30" xr3:uid="{00000000-0010-0000-0300-00001E000000}" name="Column30" dataDxfId="55"/>
    <tableColumn id="31" xr3:uid="{00000000-0010-0000-0300-00001F000000}" name="Column31" dataDxfId="54"/>
    <tableColumn id="32" xr3:uid="{00000000-0010-0000-0300-000020000000}" name="Column32" dataDxfId="53"/>
    <tableColumn id="33" xr3:uid="{00000000-0010-0000-0300-000021000000}" name="Column33" dataDxfId="52"/>
    <tableColumn id="34" xr3:uid="{00000000-0010-0000-0300-000022000000}" name="Column34" dataDxfId="51"/>
    <tableColumn id="35" xr3:uid="{00000000-0010-0000-0300-000023000000}" name="Column35" dataDxfId="50"/>
    <tableColumn id="36" xr3:uid="{00000000-0010-0000-0300-000024000000}" name="Column36" dataDxfId="49"/>
    <tableColumn id="37" xr3:uid="{00000000-0010-0000-0300-000025000000}" name="Column37" dataDxfId="48"/>
  </tableColumns>
  <tableStyleInfo name="予実対比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A3:AK52" headerRowCount="0">
  <tableColumns count="37">
    <tableColumn id="1" xr3:uid="{00000000-0010-0000-0400-000001000000}" name="Column1"/>
    <tableColumn id="2" xr3:uid="{00000000-0010-0000-0400-000002000000}" name="Column2"/>
    <tableColumn id="3" xr3:uid="{00000000-0010-0000-0400-000003000000}" name="Column3"/>
    <tableColumn id="4" xr3:uid="{00000000-0010-0000-0400-000004000000}" name="Column4"/>
    <tableColumn id="5" xr3:uid="{00000000-0010-0000-0400-000005000000}" name="Column5"/>
    <tableColumn id="6" xr3:uid="{00000000-0010-0000-0400-000006000000}" name="Column6"/>
    <tableColumn id="7" xr3:uid="{00000000-0010-0000-0400-000007000000}" name="Column7"/>
    <tableColumn id="8" xr3:uid="{00000000-0010-0000-0400-000008000000}" name="Column8"/>
    <tableColumn id="9" xr3:uid="{00000000-0010-0000-0400-000009000000}" name="Column9"/>
    <tableColumn id="10" xr3:uid="{00000000-0010-0000-0400-00000A000000}" name="Column10"/>
    <tableColumn id="11" xr3:uid="{00000000-0010-0000-0400-00000B000000}" name="Column11"/>
    <tableColumn id="12" xr3:uid="{00000000-0010-0000-0400-00000C000000}" name="Column12"/>
    <tableColumn id="13" xr3:uid="{00000000-0010-0000-0400-00000D000000}" name="Column13"/>
    <tableColumn id="14" xr3:uid="{00000000-0010-0000-0400-00000E000000}" name="Column14"/>
    <tableColumn id="15" xr3:uid="{00000000-0010-0000-0400-00000F000000}" name="Column15"/>
    <tableColumn id="16" xr3:uid="{00000000-0010-0000-0400-000010000000}" name="Column16"/>
    <tableColumn id="17" xr3:uid="{00000000-0010-0000-0400-000011000000}" name="Column17"/>
    <tableColumn id="18" xr3:uid="{00000000-0010-0000-0400-000012000000}" name="Column18"/>
    <tableColumn id="19" xr3:uid="{00000000-0010-0000-0400-000013000000}" name="Column19"/>
    <tableColumn id="20" xr3:uid="{00000000-0010-0000-0400-000014000000}" name="Column20"/>
    <tableColumn id="21" xr3:uid="{00000000-0010-0000-0400-000015000000}" name="Column21"/>
    <tableColumn id="22" xr3:uid="{00000000-0010-0000-0400-000016000000}" name="Column22"/>
    <tableColumn id="23" xr3:uid="{00000000-0010-0000-0400-000017000000}" name="Column23"/>
    <tableColumn id="24" xr3:uid="{00000000-0010-0000-0400-000018000000}" name="Column24"/>
    <tableColumn id="25" xr3:uid="{00000000-0010-0000-0400-000019000000}" name="Column25"/>
    <tableColumn id="26" xr3:uid="{00000000-0010-0000-0400-00001A000000}" name="Column26"/>
    <tableColumn id="27" xr3:uid="{00000000-0010-0000-0400-00001B000000}" name="Column27"/>
    <tableColumn id="28" xr3:uid="{00000000-0010-0000-0400-00001C000000}" name="Column28"/>
    <tableColumn id="29" xr3:uid="{00000000-0010-0000-0400-00001D000000}" name="Column29"/>
    <tableColumn id="30" xr3:uid="{00000000-0010-0000-0400-00001E000000}" name="Column30"/>
    <tableColumn id="31" xr3:uid="{00000000-0010-0000-0400-00001F000000}" name="Column31"/>
    <tableColumn id="32" xr3:uid="{00000000-0010-0000-0400-000020000000}" name="Column32"/>
    <tableColumn id="33" xr3:uid="{00000000-0010-0000-0400-000021000000}" name="Column33"/>
    <tableColumn id="34" xr3:uid="{00000000-0010-0000-0400-000022000000}" name="Column34"/>
    <tableColumn id="35" xr3:uid="{00000000-0010-0000-0400-000023000000}" name="Column35"/>
    <tableColumn id="36" xr3:uid="{00000000-0010-0000-0400-000024000000}" name="Column36"/>
    <tableColumn id="37" xr3:uid="{00000000-0010-0000-0400-000025000000}" name="Column37"/>
  </tableColumns>
  <tableStyleInfo name="前年度対比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A1" headerRowCount="0" headerRowDxfId="35" dataDxfId="34" totalsRowDxfId="33">
  <tableColumns count="1">
    <tableColumn id="1" xr3:uid="{00000000-0010-0000-0500-000001000000}" name="Column1" dataDxfId="32"/>
  </tableColumns>
  <tableStyleInfo name="借入一覧表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A3:AC71" headerRowCount="0" headerRowDxfId="31" dataDxfId="30" totalsRowDxfId="29">
  <tableColumns count="29">
    <tableColumn id="1" xr3:uid="{00000000-0010-0000-0600-000001000000}" name="Column1" dataDxfId="28"/>
    <tableColumn id="2" xr3:uid="{00000000-0010-0000-0600-000002000000}" name="Column2" dataDxfId="27"/>
    <tableColumn id="3" xr3:uid="{00000000-0010-0000-0600-000003000000}" name="Column3" dataDxfId="26"/>
    <tableColumn id="4" xr3:uid="{00000000-0010-0000-0600-000004000000}" name="Column4" dataDxfId="25"/>
    <tableColumn id="5" xr3:uid="{00000000-0010-0000-0600-000005000000}" name="Column5" dataDxfId="24"/>
    <tableColumn id="6" xr3:uid="{00000000-0010-0000-0600-000006000000}" name="Column6" dataDxfId="23"/>
    <tableColumn id="7" xr3:uid="{00000000-0010-0000-0600-000007000000}" name="Column7" dataDxfId="22"/>
    <tableColumn id="8" xr3:uid="{00000000-0010-0000-0600-000008000000}" name="Column8" dataDxfId="21"/>
    <tableColumn id="9" xr3:uid="{00000000-0010-0000-0600-000009000000}" name="Column9" dataDxfId="20"/>
    <tableColumn id="10" xr3:uid="{00000000-0010-0000-0600-00000A000000}" name="Column10" dataDxfId="19"/>
    <tableColumn id="11" xr3:uid="{00000000-0010-0000-0600-00000B000000}" name="Column11" dataDxfId="18"/>
    <tableColumn id="12" xr3:uid="{00000000-0010-0000-0600-00000C000000}" name="Column12" dataDxfId="17"/>
    <tableColumn id="13" xr3:uid="{00000000-0010-0000-0600-00000D000000}" name="Column13" dataDxfId="16"/>
    <tableColumn id="14" xr3:uid="{00000000-0010-0000-0600-00000E000000}" name="Column14" dataDxfId="15"/>
    <tableColumn id="15" xr3:uid="{00000000-0010-0000-0600-00000F000000}" name="Column15" dataDxfId="14"/>
    <tableColumn id="16" xr3:uid="{00000000-0010-0000-0600-000010000000}" name="Column16" dataDxfId="13"/>
    <tableColumn id="17" xr3:uid="{00000000-0010-0000-0600-000011000000}" name="Column17" dataDxfId="12"/>
    <tableColumn id="18" xr3:uid="{00000000-0010-0000-0600-000012000000}" name="Column18" dataDxfId="11"/>
    <tableColumn id="19" xr3:uid="{00000000-0010-0000-0600-000013000000}" name="Column19" dataDxfId="10"/>
    <tableColumn id="20" xr3:uid="{00000000-0010-0000-0600-000014000000}" name="Column20" dataDxfId="9"/>
    <tableColumn id="21" xr3:uid="{00000000-0010-0000-0600-000015000000}" name="Column21" dataDxfId="8"/>
    <tableColumn id="22" xr3:uid="{00000000-0010-0000-0600-000016000000}" name="Column22" dataDxfId="7"/>
    <tableColumn id="23" xr3:uid="{00000000-0010-0000-0600-000017000000}" name="Column23" dataDxfId="6"/>
    <tableColumn id="24" xr3:uid="{00000000-0010-0000-0600-000018000000}" name="Column24" dataDxfId="5"/>
    <tableColumn id="25" xr3:uid="{00000000-0010-0000-0600-000019000000}" name="Column25" dataDxfId="4"/>
    <tableColumn id="26" xr3:uid="{00000000-0010-0000-0600-00001A000000}" name="Column26" dataDxfId="3"/>
    <tableColumn id="27" xr3:uid="{00000000-0010-0000-0600-00001B000000}" name="Column27" dataDxfId="2"/>
    <tableColumn id="28" xr3:uid="{00000000-0010-0000-0600-00001C000000}" name="Column28" dataDxfId="1"/>
    <tableColumn id="29" xr3:uid="{00000000-0010-0000-0600-00001D000000}" name="Column29" dataDxfId="0"/>
  </tableColumns>
  <tableStyleInfo name="借入一覧表-style 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ctrlProp" Target="../ctrlProps/ctrlProp23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5" Type="http://schemas.openxmlformats.org/officeDocument/2006/relationships/table" Target="../tables/table2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"/>
  <sheetViews>
    <sheetView workbookViewId="0"/>
  </sheetViews>
  <sheetFormatPr defaultColWidth="12.6640625" defaultRowHeight="15.75" customHeight="1"/>
  <sheetData/>
  <phoneticPr fontId="1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  <outlinePr summaryBelow="0" summaryRight="0"/>
  </sheetPr>
  <dimension ref="A1:M42"/>
  <sheetViews>
    <sheetView topLeftCell="A16" workbookViewId="0">
      <selection activeCell="B42" sqref="B42"/>
    </sheetView>
  </sheetViews>
  <sheetFormatPr defaultRowHeight="13.2"/>
  <cols>
    <col min="1" max="1" width="40.21875" style="306" bestFit="1" customWidth="1"/>
    <col min="2" max="4" width="10.5546875" style="306" bestFit="1" customWidth="1"/>
    <col min="5" max="7" width="11.6640625" style="306" bestFit="1" customWidth="1"/>
    <col min="8" max="13" width="10.5546875" style="306" bestFit="1" customWidth="1"/>
    <col min="14" max="16384" width="8.88671875" style="306"/>
  </cols>
  <sheetData>
    <row r="1" spans="1:13">
      <c r="A1" s="306" t="s">
        <v>1</v>
      </c>
      <c r="B1" s="307">
        <v>45839</v>
      </c>
      <c r="C1" s="307">
        <v>45870</v>
      </c>
      <c r="D1" s="307">
        <v>45901</v>
      </c>
      <c r="E1" s="307">
        <v>45931</v>
      </c>
      <c r="F1" s="307">
        <v>45962</v>
      </c>
      <c r="G1" s="307">
        <v>45992</v>
      </c>
      <c r="H1" s="307">
        <v>46023</v>
      </c>
      <c r="I1" s="307">
        <v>46054</v>
      </c>
      <c r="J1" s="307">
        <v>46082</v>
      </c>
      <c r="K1" s="307">
        <v>46113</v>
      </c>
      <c r="L1" s="307">
        <v>46143</v>
      </c>
      <c r="M1" s="307">
        <v>46174</v>
      </c>
    </row>
    <row r="2" spans="1:13">
      <c r="A2" s="306" t="s">
        <v>2</v>
      </c>
      <c r="B2" s="306">
        <v>54397318</v>
      </c>
      <c r="C2" s="306">
        <v>36633326</v>
      </c>
      <c r="D2" s="306">
        <v>27663609</v>
      </c>
      <c r="E2" s="306">
        <v>40698359</v>
      </c>
      <c r="F2" s="306">
        <v>32379584</v>
      </c>
      <c r="G2" s="306">
        <v>25729152</v>
      </c>
      <c r="H2" s="306">
        <v>54558653</v>
      </c>
      <c r="I2" s="306">
        <v>51184381</v>
      </c>
      <c r="J2" s="306">
        <v>18835978</v>
      </c>
      <c r="K2" s="306">
        <v>0</v>
      </c>
      <c r="L2" s="306">
        <v>0</v>
      </c>
      <c r="M2" s="306">
        <v>0</v>
      </c>
    </row>
    <row r="3" spans="1:13">
      <c r="A3" s="306" t="s">
        <v>3</v>
      </c>
      <c r="B3" s="306">
        <v>169220</v>
      </c>
      <c r="C3" s="306">
        <v>488103</v>
      </c>
      <c r="D3" s="306">
        <v>341540</v>
      </c>
      <c r="E3" s="306">
        <v>283198</v>
      </c>
      <c r="F3" s="306">
        <v>394321</v>
      </c>
      <c r="G3" s="306">
        <v>2009209</v>
      </c>
      <c r="H3" s="306">
        <v>282433</v>
      </c>
      <c r="I3" s="306">
        <v>282868</v>
      </c>
      <c r="J3" s="306">
        <v>282653</v>
      </c>
      <c r="K3" s="306">
        <v>0</v>
      </c>
      <c r="L3" s="306">
        <v>0</v>
      </c>
      <c r="M3" s="306">
        <v>0</v>
      </c>
    </row>
    <row r="4" spans="1:13">
      <c r="A4" s="306" t="s">
        <v>4</v>
      </c>
      <c r="B4" s="306">
        <v>47765346</v>
      </c>
      <c r="C4" s="306">
        <v>23771476</v>
      </c>
      <c r="D4" s="306">
        <v>17888831</v>
      </c>
      <c r="E4" s="306">
        <v>23481022</v>
      </c>
      <c r="F4" s="306">
        <v>22792525</v>
      </c>
      <c r="G4" s="306">
        <v>6318533</v>
      </c>
      <c r="H4" s="306">
        <v>28239252</v>
      </c>
      <c r="I4" s="306">
        <v>23680587</v>
      </c>
      <c r="J4" s="306">
        <v>21000375</v>
      </c>
      <c r="K4" s="306">
        <v>0</v>
      </c>
      <c r="L4" s="306">
        <v>0</v>
      </c>
      <c r="M4" s="306">
        <v>0</v>
      </c>
    </row>
    <row r="5" spans="1:13">
      <c r="A5" s="306" t="s">
        <v>5</v>
      </c>
      <c r="B5" s="306">
        <v>3962380</v>
      </c>
      <c r="C5" s="306">
        <v>5465980</v>
      </c>
      <c r="D5" s="306">
        <v>3316614</v>
      </c>
      <c r="E5" s="306">
        <v>2490000</v>
      </c>
      <c r="F5" s="306">
        <v>4710426</v>
      </c>
      <c r="G5" s="306">
        <v>27279202</v>
      </c>
      <c r="H5" s="306">
        <v>6344902</v>
      </c>
      <c r="I5" s="306">
        <v>3371348</v>
      </c>
      <c r="J5" s="306">
        <v>165210</v>
      </c>
      <c r="K5" s="306">
        <v>0</v>
      </c>
      <c r="L5" s="306">
        <v>0</v>
      </c>
      <c r="M5" s="306">
        <v>0</v>
      </c>
    </row>
    <row r="6" spans="1:13">
      <c r="A6" s="306" t="s">
        <v>6</v>
      </c>
      <c r="B6" s="306">
        <v>1778257</v>
      </c>
      <c r="C6" s="306">
        <v>1752394</v>
      </c>
      <c r="D6" s="306">
        <v>2260053</v>
      </c>
      <c r="E6" s="306">
        <v>1756330</v>
      </c>
      <c r="F6" s="306">
        <v>1872813</v>
      </c>
      <c r="G6" s="306">
        <v>3035179</v>
      </c>
      <c r="H6" s="306">
        <v>1628672</v>
      </c>
      <c r="I6" s="306">
        <v>1671365</v>
      </c>
      <c r="J6" s="306">
        <v>1586132</v>
      </c>
      <c r="K6" s="306">
        <v>0</v>
      </c>
      <c r="L6" s="306">
        <v>0</v>
      </c>
      <c r="M6" s="306">
        <v>0</v>
      </c>
    </row>
    <row r="7" spans="1:13">
      <c r="A7" s="306" t="s">
        <v>7</v>
      </c>
      <c r="B7" s="306">
        <v>577203</v>
      </c>
      <c r="C7" s="306">
        <v>0</v>
      </c>
      <c r="D7" s="306">
        <v>1154406</v>
      </c>
      <c r="E7" s="306">
        <v>878810</v>
      </c>
      <c r="F7" s="306">
        <v>0</v>
      </c>
      <c r="G7" s="306">
        <v>567978</v>
      </c>
      <c r="H7" s="306">
        <v>694225</v>
      </c>
      <c r="I7" s="306">
        <v>1193098</v>
      </c>
      <c r="J7" s="306">
        <v>1135956</v>
      </c>
      <c r="K7" s="306">
        <v>0</v>
      </c>
      <c r="L7" s="306">
        <v>0</v>
      </c>
      <c r="M7" s="306">
        <v>0</v>
      </c>
    </row>
    <row r="8" spans="1:13">
      <c r="A8" s="306" t="s">
        <v>8</v>
      </c>
      <c r="B8" s="306">
        <v>127446</v>
      </c>
      <c r="C8" s="306">
        <v>0</v>
      </c>
      <c r="D8" s="306">
        <v>409420</v>
      </c>
      <c r="E8" s="306">
        <v>0</v>
      </c>
      <c r="F8" s="306">
        <v>209550</v>
      </c>
      <c r="G8" s="306">
        <v>171285</v>
      </c>
      <c r="H8" s="306">
        <v>77000</v>
      </c>
      <c r="I8" s="306">
        <v>235300</v>
      </c>
      <c r="J8" s="306">
        <v>77000</v>
      </c>
      <c r="K8" s="306">
        <v>0</v>
      </c>
      <c r="L8" s="306">
        <v>0</v>
      </c>
      <c r="M8" s="306">
        <v>0</v>
      </c>
    </row>
    <row r="9" spans="1:13">
      <c r="A9" s="306" t="s">
        <v>9</v>
      </c>
      <c r="B9" s="306">
        <v>5150</v>
      </c>
      <c r="C9" s="306">
        <v>5150</v>
      </c>
      <c r="D9" s="306">
        <v>5150</v>
      </c>
      <c r="E9" s="306">
        <v>5150</v>
      </c>
      <c r="F9" s="306">
        <v>5150</v>
      </c>
      <c r="G9" s="306">
        <v>150113</v>
      </c>
      <c r="H9" s="306">
        <v>5150</v>
      </c>
      <c r="I9" s="306">
        <v>5150</v>
      </c>
      <c r="J9" s="306">
        <v>5150</v>
      </c>
      <c r="K9" s="306">
        <v>0</v>
      </c>
      <c r="L9" s="306">
        <v>0</v>
      </c>
      <c r="M9" s="306">
        <v>0</v>
      </c>
    </row>
    <row r="10" spans="1:13">
      <c r="A10" s="306" t="s">
        <v>10</v>
      </c>
      <c r="B10" s="306">
        <v>36606</v>
      </c>
      <c r="C10" s="306">
        <v>61189</v>
      </c>
      <c r="D10" s="306">
        <v>38697</v>
      </c>
      <c r="E10" s="306">
        <v>37724</v>
      </c>
      <c r="F10" s="306">
        <v>36004</v>
      </c>
      <c r="G10" s="306">
        <v>38295</v>
      </c>
      <c r="H10" s="306">
        <v>37487</v>
      </c>
      <c r="I10" s="306">
        <v>43089</v>
      </c>
      <c r="J10" s="306">
        <v>35572</v>
      </c>
      <c r="K10" s="306">
        <v>0</v>
      </c>
      <c r="L10" s="306">
        <v>0</v>
      </c>
      <c r="M10" s="306">
        <v>0</v>
      </c>
    </row>
    <row r="11" spans="1:13">
      <c r="A11" s="306" t="s">
        <v>11</v>
      </c>
      <c r="B11" s="306">
        <v>217870</v>
      </c>
      <c r="C11" s="306">
        <v>237099</v>
      </c>
      <c r="D11" s="306">
        <v>225955</v>
      </c>
      <c r="E11" s="306">
        <v>262403</v>
      </c>
      <c r="F11" s="306">
        <v>235033</v>
      </c>
      <c r="G11" s="306">
        <v>223229</v>
      </c>
      <c r="H11" s="306">
        <v>320365</v>
      </c>
      <c r="I11" s="306">
        <v>360489</v>
      </c>
      <c r="J11" s="306">
        <v>213615</v>
      </c>
      <c r="K11" s="306">
        <v>0</v>
      </c>
      <c r="L11" s="306">
        <v>0</v>
      </c>
      <c r="M11" s="306">
        <v>0</v>
      </c>
    </row>
    <row r="12" spans="1:13">
      <c r="A12" s="306" t="s">
        <v>12</v>
      </c>
      <c r="B12" s="306">
        <v>349711</v>
      </c>
      <c r="C12" s="306">
        <v>329771</v>
      </c>
      <c r="D12" s="306">
        <v>342391</v>
      </c>
      <c r="E12" s="306">
        <v>332881</v>
      </c>
      <c r="F12" s="306">
        <v>329771</v>
      </c>
      <c r="G12" s="306">
        <v>338481</v>
      </c>
      <c r="H12" s="306">
        <v>325861</v>
      </c>
      <c r="I12" s="306">
        <v>354051</v>
      </c>
      <c r="J12" s="306">
        <v>341431</v>
      </c>
      <c r="K12" s="306">
        <v>0</v>
      </c>
      <c r="L12" s="306">
        <v>0</v>
      </c>
      <c r="M12" s="306">
        <v>0</v>
      </c>
    </row>
    <row r="13" spans="1:13">
      <c r="A13" s="306" t="s">
        <v>13</v>
      </c>
      <c r="B13" s="306">
        <v>57788</v>
      </c>
      <c r="C13" s="306">
        <v>85398</v>
      </c>
      <c r="D13" s="306">
        <v>164103</v>
      </c>
      <c r="E13" s="306">
        <v>356971</v>
      </c>
      <c r="F13" s="306">
        <v>212458</v>
      </c>
      <c r="G13" s="306">
        <v>142598</v>
      </c>
      <c r="H13" s="306">
        <v>143148</v>
      </c>
      <c r="I13" s="306">
        <v>223533</v>
      </c>
      <c r="J13" s="306">
        <v>141945</v>
      </c>
      <c r="K13" s="306">
        <v>0</v>
      </c>
      <c r="L13" s="306">
        <v>0</v>
      </c>
      <c r="M13" s="306">
        <v>0</v>
      </c>
    </row>
    <row r="14" spans="1:13">
      <c r="A14" s="306" t="s">
        <v>14</v>
      </c>
      <c r="B14" s="306">
        <v>0</v>
      </c>
      <c r="C14" s="306">
        <v>0</v>
      </c>
      <c r="D14" s="306">
        <v>0</v>
      </c>
      <c r="E14" s="306">
        <v>0</v>
      </c>
      <c r="F14" s="306">
        <v>0</v>
      </c>
      <c r="G14" s="306">
        <v>0</v>
      </c>
      <c r="H14" s="306">
        <v>0</v>
      </c>
      <c r="I14" s="306">
        <v>0</v>
      </c>
      <c r="J14" s="306">
        <v>0</v>
      </c>
      <c r="K14" s="306">
        <v>0</v>
      </c>
      <c r="L14" s="306">
        <v>0</v>
      </c>
      <c r="M14" s="306">
        <v>0</v>
      </c>
    </row>
    <row r="15" spans="1:13">
      <c r="A15" s="306" t="s">
        <v>15</v>
      </c>
      <c r="B15" s="306">
        <v>23980</v>
      </c>
      <c r="C15" s="306">
        <v>60940</v>
      </c>
      <c r="D15" s="306">
        <v>108900</v>
      </c>
      <c r="E15" s="306">
        <v>84920</v>
      </c>
      <c r="F15" s="306">
        <v>60940</v>
      </c>
      <c r="G15" s="306">
        <v>187370</v>
      </c>
      <c r="H15" s="306">
        <v>186820</v>
      </c>
      <c r="I15" s="306">
        <v>186820</v>
      </c>
      <c r="J15" s="306">
        <v>210800</v>
      </c>
      <c r="K15" s="306">
        <v>0</v>
      </c>
      <c r="L15" s="306">
        <v>0</v>
      </c>
      <c r="M15" s="306">
        <v>0</v>
      </c>
    </row>
    <row r="16" spans="1:13">
      <c r="A16" s="306" t="s">
        <v>16</v>
      </c>
      <c r="B16" s="306">
        <v>297131</v>
      </c>
      <c r="C16" s="306">
        <v>149131</v>
      </c>
      <c r="D16" s="306">
        <v>110428</v>
      </c>
      <c r="E16" s="306">
        <v>163267</v>
      </c>
      <c r="F16" s="306">
        <v>204900</v>
      </c>
      <c r="G16" s="306">
        <v>0</v>
      </c>
      <c r="H16" s="306">
        <v>0</v>
      </c>
      <c r="I16" s="306">
        <v>147291</v>
      </c>
      <c r="J16" s="306">
        <v>0</v>
      </c>
      <c r="K16" s="306">
        <v>0</v>
      </c>
      <c r="L16" s="306">
        <v>0</v>
      </c>
      <c r="M16" s="306">
        <v>0</v>
      </c>
    </row>
    <row r="17" spans="1:13">
      <c r="A17" s="306" t="s">
        <v>17</v>
      </c>
      <c r="B17" s="306">
        <v>120603</v>
      </c>
      <c r="C17" s="306">
        <v>121273</v>
      </c>
      <c r="D17" s="306">
        <v>859980</v>
      </c>
      <c r="E17" s="306">
        <v>127800</v>
      </c>
      <c r="F17" s="306">
        <v>116058</v>
      </c>
      <c r="G17" s="306">
        <v>123666</v>
      </c>
      <c r="H17" s="306">
        <v>110895</v>
      </c>
      <c r="I17" s="306">
        <v>134756</v>
      </c>
      <c r="J17" s="306">
        <v>115523</v>
      </c>
      <c r="K17" s="306">
        <v>0</v>
      </c>
      <c r="L17" s="306">
        <v>0</v>
      </c>
      <c r="M17" s="306">
        <v>0</v>
      </c>
    </row>
    <row r="18" spans="1:13">
      <c r="A18" s="306" t="s">
        <v>18</v>
      </c>
      <c r="B18" s="306">
        <v>79782</v>
      </c>
      <c r="C18" s="306">
        <v>0</v>
      </c>
      <c r="D18" s="306">
        <v>385000</v>
      </c>
      <c r="E18" s="306">
        <v>591965</v>
      </c>
      <c r="F18" s="306">
        <v>892720</v>
      </c>
      <c r="G18" s="306">
        <v>1257480</v>
      </c>
      <c r="H18" s="306">
        <v>601255</v>
      </c>
      <c r="I18" s="306">
        <v>2220580</v>
      </c>
      <c r="J18" s="306">
        <v>198634</v>
      </c>
      <c r="K18" s="306">
        <v>0</v>
      </c>
      <c r="L18" s="306">
        <v>0</v>
      </c>
      <c r="M18" s="306">
        <v>0</v>
      </c>
    </row>
    <row r="19" spans="1:13">
      <c r="A19" s="306" t="s">
        <v>19</v>
      </c>
      <c r="B19" s="306">
        <v>0</v>
      </c>
      <c r="C19" s="306">
        <v>240000</v>
      </c>
      <c r="D19" s="306">
        <v>487904</v>
      </c>
      <c r="E19" s="306">
        <v>0</v>
      </c>
      <c r="F19" s="306">
        <v>166550</v>
      </c>
      <c r="G19" s="306">
        <v>1154000</v>
      </c>
      <c r="H19" s="306">
        <v>740000</v>
      </c>
      <c r="I19" s="306">
        <v>620000</v>
      </c>
      <c r="J19" s="306">
        <v>500000</v>
      </c>
      <c r="K19" s="306">
        <v>0</v>
      </c>
      <c r="L19" s="306">
        <v>0</v>
      </c>
      <c r="M19" s="306">
        <v>0</v>
      </c>
    </row>
    <row r="20" spans="1:13">
      <c r="A20" s="306" t="s">
        <v>20</v>
      </c>
      <c r="B20" s="306">
        <v>2445715</v>
      </c>
      <c r="C20" s="306">
        <v>500000</v>
      </c>
      <c r="D20" s="306">
        <v>400110</v>
      </c>
      <c r="E20" s="306">
        <v>0</v>
      </c>
      <c r="F20" s="306">
        <v>0</v>
      </c>
      <c r="G20" s="306">
        <v>0</v>
      </c>
      <c r="H20" s="306">
        <v>0</v>
      </c>
      <c r="I20" s="306">
        <v>0</v>
      </c>
      <c r="J20" s="306">
        <v>0</v>
      </c>
      <c r="K20" s="306">
        <v>0</v>
      </c>
      <c r="L20" s="306">
        <v>0</v>
      </c>
      <c r="M20" s="306">
        <v>0</v>
      </c>
    </row>
    <row r="21" spans="1:13">
      <c r="A21" s="306" t="s">
        <v>21</v>
      </c>
      <c r="B21" s="306">
        <v>1168512</v>
      </c>
      <c r="C21" s="306">
        <v>1438835</v>
      </c>
      <c r="D21" s="306">
        <v>1117344</v>
      </c>
      <c r="E21" s="306">
        <v>4277837</v>
      </c>
      <c r="F21" s="306">
        <v>2359073</v>
      </c>
      <c r="G21" s="306">
        <v>1298814</v>
      </c>
      <c r="H21" s="306">
        <v>1629718</v>
      </c>
      <c r="I21" s="306">
        <v>1923013</v>
      </c>
      <c r="J21" s="306">
        <v>2734390</v>
      </c>
      <c r="K21" s="306">
        <v>0</v>
      </c>
      <c r="L21" s="306">
        <v>0</v>
      </c>
      <c r="M21" s="306">
        <v>0</v>
      </c>
    </row>
    <row r="22" spans="1:13">
      <c r="A22" s="306" t="s">
        <v>22</v>
      </c>
      <c r="B22" s="306">
        <v>0</v>
      </c>
      <c r="C22" s="306">
        <v>0</v>
      </c>
      <c r="D22" s="306">
        <v>0</v>
      </c>
      <c r="E22" s="306">
        <v>0</v>
      </c>
      <c r="F22" s="306">
        <v>60400</v>
      </c>
      <c r="G22" s="306">
        <v>0</v>
      </c>
      <c r="H22" s="306">
        <v>0</v>
      </c>
      <c r="I22" s="306">
        <v>0</v>
      </c>
      <c r="J22" s="306">
        <v>0</v>
      </c>
      <c r="K22" s="306">
        <v>0</v>
      </c>
      <c r="L22" s="306">
        <v>0</v>
      </c>
      <c r="M22" s="306">
        <v>0</v>
      </c>
    </row>
    <row r="23" spans="1:13">
      <c r="A23" s="306" t="s">
        <v>23</v>
      </c>
      <c r="B23" s="306">
        <v>0</v>
      </c>
      <c r="C23" s="306">
        <v>0</v>
      </c>
      <c r="D23" s="306">
        <v>0</v>
      </c>
      <c r="E23" s="306">
        <v>0</v>
      </c>
      <c r="F23" s="306">
        <v>0</v>
      </c>
      <c r="G23" s="306">
        <v>0</v>
      </c>
      <c r="H23" s="306">
        <v>0</v>
      </c>
      <c r="I23" s="306">
        <v>0</v>
      </c>
      <c r="J23" s="306">
        <v>0</v>
      </c>
      <c r="K23" s="306">
        <v>0</v>
      </c>
      <c r="L23" s="306">
        <v>0</v>
      </c>
      <c r="M23" s="306">
        <v>0</v>
      </c>
    </row>
    <row r="24" spans="1:13">
      <c r="A24" s="306" t="s">
        <v>24</v>
      </c>
      <c r="B24" s="306">
        <v>0</v>
      </c>
      <c r="C24" s="306">
        <v>0</v>
      </c>
      <c r="D24" s="306">
        <v>0</v>
      </c>
      <c r="E24" s="306">
        <v>0</v>
      </c>
      <c r="F24" s="306">
        <v>0</v>
      </c>
      <c r="G24" s="306">
        <v>0</v>
      </c>
      <c r="H24" s="306">
        <v>0</v>
      </c>
      <c r="I24" s="306">
        <v>0</v>
      </c>
      <c r="J24" s="306">
        <v>0</v>
      </c>
      <c r="K24" s="306">
        <v>0</v>
      </c>
      <c r="L24" s="306">
        <v>0</v>
      </c>
      <c r="M24" s="306">
        <v>0</v>
      </c>
    </row>
    <row r="25" spans="1:13">
      <c r="A25" s="306" t="s">
        <v>25</v>
      </c>
      <c r="B25" s="306">
        <v>0</v>
      </c>
      <c r="C25" s="306">
        <v>0</v>
      </c>
      <c r="D25" s="306">
        <v>0</v>
      </c>
      <c r="E25" s="306">
        <v>0</v>
      </c>
      <c r="F25" s="306">
        <v>0</v>
      </c>
      <c r="G25" s="306">
        <v>0</v>
      </c>
      <c r="H25" s="306">
        <v>0</v>
      </c>
      <c r="I25" s="306">
        <v>0</v>
      </c>
      <c r="J25" s="306">
        <v>0</v>
      </c>
      <c r="K25" s="306">
        <v>0</v>
      </c>
      <c r="L25" s="306">
        <v>0</v>
      </c>
      <c r="M25" s="306">
        <v>0</v>
      </c>
    </row>
    <row r="26" spans="1:13">
      <c r="A26" s="306" t="s">
        <v>26</v>
      </c>
      <c r="B26" s="306">
        <v>0</v>
      </c>
      <c r="C26" s="306">
        <v>0</v>
      </c>
      <c r="D26" s="306">
        <v>0</v>
      </c>
      <c r="E26" s="306">
        <v>0</v>
      </c>
      <c r="F26" s="306">
        <v>0</v>
      </c>
      <c r="G26" s="306">
        <v>0</v>
      </c>
      <c r="H26" s="306">
        <v>0</v>
      </c>
      <c r="I26" s="306">
        <v>0</v>
      </c>
      <c r="J26" s="306">
        <v>0</v>
      </c>
      <c r="K26" s="306">
        <v>0</v>
      </c>
      <c r="L26" s="306">
        <v>0</v>
      </c>
      <c r="M26" s="306">
        <v>0</v>
      </c>
    </row>
    <row r="27" spans="1:13">
      <c r="A27" s="306" t="s">
        <v>27</v>
      </c>
      <c r="B27" s="306">
        <v>0</v>
      </c>
      <c r="C27" s="306">
        <v>0</v>
      </c>
      <c r="D27" s="306">
        <v>72000</v>
      </c>
      <c r="E27" s="306">
        <v>600000</v>
      </c>
      <c r="F27" s="306">
        <v>152000</v>
      </c>
      <c r="G27" s="306">
        <v>0</v>
      </c>
      <c r="H27" s="306">
        <v>0</v>
      </c>
      <c r="I27" s="306">
        <v>0</v>
      </c>
      <c r="J27" s="306">
        <v>0</v>
      </c>
      <c r="K27" s="306">
        <v>0</v>
      </c>
      <c r="L27" s="306">
        <v>0</v>
      </c>
      <c r="M27" s="306">
        <v>0</v>
      </c>
    </row>
    <row r="28" spans="1:13">
      <c r="A28" s="306" t="s">
        <v>28</v>
      </c>
      <c r="B28" s="306">
        <v>0</v>
      </c>
      <c r="C28" s="306">
        <v>0</v>
      </c>
      <c r="D28" s="306">
        <v>0</v>
      </c>
      <c r="E28" s="306">
        <v>0</v>
      </c>
      <c r="F28" s="306">
        <v>0</v>
      </c>
      <c r="G28" s="306">
        <v>0</v>
      </c>
      <c r="H28" s="306">
        <v>0</v>
      </c>
      <c r="I28" s="306">
        <v>0</v>
      </c>
      <c r="J28" s="306">
        <v>0</v>
      </c>
      <c r="K28" s="306">
        <v>0</v>
      </c>
      <c r="L28" s="306">
        <v>0</v>
      </c>
      <c r="M28" s="306">
        <v>0</v>
      </c>
    </row>
    <row r="29" spans="1:13">
      <c r="A29" s="306" t="s">
        <v>29</v>
      </c>
      <c r="B29" s="306">
        <v>0</v>
      </c>
      <c r="C29" s="306">
        <v>0</v>
      </c>
      <c r="D29" s="306">
        <v>0</v>
      </c>
      <c r="E29" s="306">
        <v>0</v>
      </c>
      <c r="F29" s="306">
        <v>0</v>
      </c>
      <c r="G29" s="306">
        <v>0</v>
      </c>
      <c r="H29" s="306">
        <v>0</v>
      </c>
      <c r="I29" s="306">
        <v>0</v>
      </c>
      <c r="J29" s="306">
        <v>0</v>
      </c>
      <c r="K29" s="306">
        <v>0</v>
      </c>
      <c r="L29" s="306">
        <v>0</v>
      </c>
      <c r="M29" s="306">
        <v>0</v>
      </c>
    </row>
    <row r="30" spans="1:13">
      <c r="A30" s="306" t="s">
        <v>30</v>
      </c>
      <c r="B30" s="306">
        <v>0</v>
      </c>
      <c r="C30" s="306">
        <v>0</v>
      </c>
      <c r="D30" s="306">
        <v>0</v>
      </c>
      <c r="E30" s="306">
        <v>0</v>
      </c>
      <c r="F30" s="306">
        <v>0</v>
      </c>
      <c r="G30" s="306">
        <v>0</v>
      </c>
      <c r="H30" s="306">
        <v>0</v>
      </c>
      <c r="I30" s="306">
        <v>0</v>
      </c>
      <c r="J30" s="306">
        <v>0</v>
      </c>
      <c r="K30" s="306">
        <v>0</v>
      </c>
      <c r="L30" s="306">
        <v>0</v>
      </c>
      <c r="M30" s="306">
        <v>0</v>
      </c>
    </row>
    <row r="31" spans="1:13">
      <c r="A31" s="306" t="s">
        <v>31</v>
      </c>
      <c r="B31" s="306">
        <v>630990</v>
      </c>
      <c r="C31" s="306">
        <v>0</v>
      </c>
      <c r="D31" s="306">
        <v>0</v>
      </c>
      <c r="E31" s="306">
        <v>0</v>
      </c>
      <c r="F31" s="306">
        <v>0</v>
      </c>
      <c r="G31" s="306">
        <v>0</v>
      </c>
      <c r="H31" s="306">
        <v>0</v>
      </c>
      <c r="I31" s="306">
        <v>0</v>
      </c>
      <c r="J31" s="306">
        <v>0</v>
      </c>
      <c r="K31" s="306">
        <v>0</v>
      </c>
      <c r="L31" s="306">
        <v>0</v>
      </c>
      <c r="M31" s="306">
        <v>0</v>
      </c>
    </row>
    <row r="32" spans="1:13">
      <c r="A32" s="306" t="s">
        <v>32</v>
      </c>
      <c r="B32" s="306">
        <v>0</v>
      </c>
      <c r="C32" s="306">
        <v>0</v>
      </c>
      <c r="D32" s="306">
        <v>0</v>
      </c>
      <c r="E32" s="306">
        <v>0</v>
      </c>
      <c r="F32" s="306">
        <v>0</v>
      </c>
      <c r="G32" s="306">
        <v>0</v>
      </c>
      <c r="H32" s="306">
        <v>0</v>
      </c>
      <c r="I32" s="306">
        <v>0</v>
      </c>
      <c r="J32" s="306">
        <v>0</v>
      </c>
      <c r="K32" s="306">
        <v>0</v>
      </c>
      <c r="L32" s="306">
        <v>0</v>
      </c>
      <c r="M32" s="306">
        <v>0</v>
      </c>
    </row>
    <row r="33" spans="1:13">
      <c r="A33" s="306" t="s">
        <v>33</v>
      </c>
      <c r="B33" s="306">
        <v>0</v>
      </c>
      <c r="C33" s="306">
        <v>0</v>
      </c>
      <c r="D33" s="306">
        <v>0</v>
      </c>
      <c r="E33" s="306">
        <v>0</v>
      </c>
      <c r="F33" s="306">
        <v>0</v>
      </c>
      <c r="G33" s="306">
        <v>66051004</v>
      </c>
      <c r="H33" s="306">
        <v>28867500</v>
      </c>
      <c r="I33" s="306">
        <v>0</v>
      </c>
      <c r="J33" s="306">
        <v>0</v>
      </c>
      <c r="K33" s="306">
        <v>0</v>
      </c>
      <c r="L33" s="306">
        <v>0</v>
      </c>
      <c r="M33" s="306">
        <v>0</v>
      </c>
    </row>
    <row r="34" spans="1:13">
      <c r="A34" s="306" t="s">
        <v>34</v>
      </c>
      <c r="B34" s="306">
        <v>0</v>
      </c>
      <c r="C34" s="306">
        <v>0</v>
      </c>
      <c r="D34" s="306">
        <v>0</v>
      </c>
      <c r="E34" s="306">
        <v>0</v>
      </c>
      <c r="F34" s="306">
        <v>0</v>
      </c>
      <c r="G34" s="306">
        <v>0</v>
      </c>
      <c r="H34" s="306">
        <v>0</v>
      </c>
      <c r="I34" s="306">
        <v>0</v>
      </c>
      <c r="J34" s="306">
        <v>0</v>
      </c>
      <c r="K34" s="306">
        <v>0</v>
      </c>
      <c r="L34" s="306">
        <v>0</v>
      </c>
      <c r="M34" s="306">
        <v>0</v>
      </c>
    </row>
    <row r="35" spans="1:13">
      <c r="A35" s="306" t="s">
        <v>35</v>
      </c>
      <c r="B35" s="306">
        <v>0</v>
      </c>
      <c r="C35" s="306">
        <v>6823</v>
      </c>
      <c r="D35" s="306">
        <v>2446</v>
      </c>
      <c r="E35" s="306">
        <v>0</v>
      </c>
      <c r="F35" s="306">
        <v>0</v>
      </c>
      <c r="G35" s="306">
        <v>0</v>
      </c>
      <c r="H35" s="306">
        <v>0</v>
      </c>
      <c r="I35" s="306">
        <v>5033</v>
      </c>
      <c r="J35" s="306">
        <v>1038</v>
      </c>
      <c r="K35" s="306">
        <v>0</v>
      </c>
      <c r="L35" s="306">
        <v>0</v>
      </c>
      <c r="M35" s="306">
        <v>0</v>
      </c>
    </row>
    <row r="36" spans="1:13">
      <c r="A36" s="306" t="s">
        <v>36</v>
      </c>
      <c r="B36" s="306">
        <v>11135384</v>
      </c>
      <c r="C36" s="306">
        <v>0</v>
      </c>
      <c r="D36" s="306">
        <v>0</v>
      </c>
      <c r="E36" s="306">
        <v>0</v>
      </c>
      <c r="F36" s="306">
        <v>0</v>
      </c>
      <c r="G36" s="306">
        <v>0</v>
      </c>
      <c r="H36" s="306">
        <v>0</v>
      </c>
      <c r="I36" s="306">
        <v>0</v>
      </c>
      <c r="J36" s="306">
        <v>0</v>
      </c>
      <c r="K36" s="306">
        <v>0</v>
      </c>
      <c r="L36" s="306">
        <v>0</v>
      </c>
      <c r="M36" s="306">
        <v>0</v>
      </c>
    </row>
    <row r="37" spans="1:13">
      <c r="A37" s="306" t="s">
        <v>37</v>
      </c>
      <c r="B37" s="306">
        <v>0</v>
      </c>
      <c r="C37" s="306">
        <v>0</v>
      </c>
      <c r="D37" s="306">
        <v>0</v>
      </c>
      <c r="E37" s="306">
        <v>0</v>
      </c>
      <c r="F37" s="306">
        <v>0</v>
      </c>
      <c r="G37" s="306">
        <v>0</v>
      </c>
      <c r="H37" s="306">
        <v>0</v>
      </c>
      <c r="I37" s="306">
        <v>0</v>
      </c>
      <c r="J37" s="306">
        <v>0</v>
      </c>
      <c r="K37" s="306">
        <v>0</v>
      </c>
      <c r="L37" s="306">
        <v>0</v>
      </c>
      <c r="M37" s="306">
        <v>0</v>
      </c>
    </row>
    <row r="38" spans="1:13">
      <c r="A38" s="306" t="s">
        <v>38</v>
      </c>
      <c r="B38" s="306">
        <v>1689913</v>
      </c>
      <c r="C38" s="306">
        <v>0</v>
      </c>
      <c r="D38" s="306">
        <v>4006170</v>
      </c>
      <c r="E38" s="306">
        <v>2003083</v>
      </c>
      <c r="F38" s="306">
        <v>0</v>
      </c>
      <c r="G38" s="306">
        <v>43408783</v>
      </c>
      <c r="H38" s="306">
        <v>32246230</v>
      </c>
      <c r="I38" s="306">
        <v>2242348</v>
      </c>
      <c r="J38" s="306">
        <v>3522286</v>
      </c>
      <c r="K38" s="306">
        <v>0</v>
      </c>
      <c r="L38" s="306">
        <v>0</v>
      </c>
      <c r="M38" s="306">
        <v>0</v>
      </c>
    </row>
    <row r="39" spans="1:13">
      <c r="A39" s="306" t="s">
        <v>39</v>
      </c>
      <c r="B39" s="306">
        <v>150550</v>
      </c>
      <c r="C39" s="306">
        <v>0</v>
      </c>
      <c r="D39" s="306">
        <v>150000</v>
      </c>
      <c r="E39" s="306">
        <v>0</v>
      </c>
      <c r="F39" s="306">
        <v>0</v>
      </c>
      <c r="G39" s="306">
        <v>450900</v>
      </c>
      <c r="H39" s="306">
        <v>0</v>
      </c>
      <c r="I39" s="306">
        <v>0</v>
      </c>
      <c r="J39" s="306">
        <v>0</v>
      </c>
      <c r="K39" s="306">
        <v>0</v>
      </c>
      <c r="L39" s="306">
        <v>0</v>
      </c>
      <c r="M39" s="306">
        <v>0</v>
      </c>
    </row>
    <row r="40" spans="1:13">
      <c r="A40" s="306" t="s">
        <v>40</v>
      </c>
      <c r="B40" s="306">
        <v>135045</v>
      </c>
      <c r="C40" s="306">
        <v>0</v>
      </c>
      <c r="D40" s="306">
        <v>173666</v>
      </c>
      <c r="E40" s="306">
        <v>88038</v>
      </c>
      <c r="F40" s="306">
        <v>0</v>
      </c>
      <c r="G40" s="306">
        <v>1632975</v>
      </c>
      <c r="H40" s="306">
        <v>77461</v>
      </c>
      <c r="I40" s="306">
        <v>76432</v>
      </c>
      <c r="J40" s="306">
        <v>174878</v>
      </c>
      <c r="K40" s="306">
        <v>0</v>
      </c>
      <c r="L40" s="306">
        <v>0</v>
      </c>
      <c r="M40" s="306">
        <v>0</v>
      </c>
    </row>
    <row r="41" spans="1:13">
      <c r="A41" s="306" t="s">
        <v>41</v>
      </c>
      <c r="B41" s="306">
        <v>0</v>
      </c>
      <c r="C41" s="306">
        <v>0</v>
      </c>
      <c r="D41" s="306">
        <v>0</v>
      </c>
      <c r="E41" s="306">
        <v>0</v>
      </c>
      <c r="F41" s="306">
        <v>0</v>
      </c>
      <c r="G41" s="306">
        <v>0</v>
      </c>
      <c r="H41" s="306">
        <v>0</v>
      </c>
      <c r="I41" s="306">
        <v>0</v>
      </c>
      <c r="J41" s="306">
        <v>0</v>
      </c>
      <c r="K41" s="306">
        <v>0</v>
      </c>
      <c r="L41" s="306">
        <v>0</v>
      </c>
      <c r="M41" s="306">
        <v>0</v>
      </c>
    </row>
    <row r="42" spans="1:13">
      <c r="A42" s="306" t="s">
        <v>42</v>
      </c>
      <c r="B42" s="306">
        <v>0</v>
      </c>
    </row>
  </sheetData>
  <phoneticPr fontId="1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/>
    <outlinePr summaryBelow="0" summaryRight="0"/>
  </sheetPr>
  <dimension ref="A1:N582"/>
  <sheetViews>
    <sheetView zoomScale="80" zoomScaleNormal="8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E18" sqref="E18"/>
    </sheetView>
  </sheetViews>
  <sheetFormatPr defaultRowHeight="18" customHeight="1"/>
  <cols>
    <col min="1" max="1" width="8.88671875" style="306"/>
    <col min="2" max="2" width="106.33203125" style="306" bestFit="1" customWidth="1"/>
    <col min="3" max="5" width="11.109375" style="306" bestFit="1" customWidth="1"/>
    <col min="6" max="8" width="12.21875" style="306" bestFit="1" customWidth="1"/>
    <col min="9" max="14" width="11.109375" style="306" bestFit="1" customWidth="1"/>
    <col min="15" max="16384" width="8.88671875" style="306"/>
  </cols>
  <sheetData>
    <row r="1" spans="1:14" ht="13.2">
      <c r="A1" s="306" t="s">
        <v>1</v>
      </c>
      <c r="B1" s="306" t="s">
        <v>44</v>
      </c>
      <c r="C1" s="307">
        <v>45839</v>
      </c>
      <c r="D1" s="307">
        <v>45870</v>
      </c>
      <c r="E1" s="307">
        <v>45901</v>
      </c>
      <c r="F1" s="307">
        <v>45931</v>
      </c>
      <c r="G1" s="307">
        <v>45962</v>
      </c>
      <c r="H1" s="307">
        <v>45992</v>
      </c>
      <c r="I1" s="307">
        <v>46023</v>
      </c>
      <c r="J1" s="307">
        <v>46054</v>
      </c>
      <c r="K1" s="307">
        <v>46082</v>
      </c>
      <c r="L1" s="307">
        <v>46113</v>
      </c>
      <c r="M1" s="307">
        <v>46143</v>
      </c>
      <c r="N1" s="307">
        <v>46174</v>
      </c>
    </row>
    <row r="2" spans="1:14" ht="13.2">
      <c r="A2" s="306" t="s">
        <v>2</v>
      </c>
      <c r="B2" s="306" t="s">
        <v>269</v>
      </c>
      <c r="C2" s="306">
        <v>45147</v>
      </c>
      <c r="D2" s="306">
        <v>0</v>
      </c>
      <c r="E2" s="306">
        <v>0</v>
      </c>
      <c r="F2" s="306">
        <v>0</v>
      </c>
      <c r="G2" s="306">
        <v>0</v>
      </c>
      <c r="H2" s="306">
        <v>0</v>
      </c>
      <c r="I2" s="306">
        <v>0</v>
      </c>
      <c r="J2" s="306">
        <v>0</v>
      </c>
      <c r="K2" s="306">
        <v>0</v>
      </c>
      <c r="L2" s="306">
        <v>0</v>
      </c>
      <c r="M2" s="306">
        <v>0</v>
      </c>
      <c r="N2" s="306">
        <v>0</v>
      </c>
    </row>
    <row r="3" spans="1:14" ht="13.2">
      <c r="A3" s="306" t="s">
        <v>2</v>
      </c>
      <c r="B3" s="306" t="s">
        <v>270</v>
      </c>
      <c r="C3" s="306">
        <v>2605</v>
      </c>
      <c r="D3" s="306">
        <v>0</v>
      </c>
      <c r="E3" s="306">
        <v>0</v>
      </c>
      <c r="F3" s="306">
        <v>0</v>
      </c>
      <c r="G3" s="306">
        <v>0</v>
      </c>
      <c r="H3" s="306">
        <v>0</v>
      </c>
      <c r="I3" s="306">
        <v>0</v>
      </c>
      <c r="J3" s="306">
        <v>0</v>
      </c>
      <c r="K3" s="306">
        <v>0</v>
      </c>
      <c r="L3" s="306">
        <v>0</v>
      </c>
      <c r="M3" s="306">
        <v>0</v>
      </c>
      <c r="N3" s="306">
        <v>0</v>
      </c>
    </row>
    <row r="4" spans="1:14" ht="13.2">
      <c r="A4" s="306" t="s">
        <v>2</v>
      </c>
      <c r="B4" s="306" t="s">
        <v>271</v>
      </c>
      <c r="C4" s="306">
        <v>232650</v>
      </c>
      <c r="D4" s="306">
        <v>0</v>
      </c>
      <c r="E4" s="306">
        <v>0</v>
      </c>
      <c r="F4" s="306">
        <v>0</v>
      </c>
      <c r="G4" s="306">
        <v>0</v>
      </c>
      <c r="H4" s="306">
        <v>0</v>
      </c>
      <c r="I4" s="306">
        <v>0</v>
      </c>
      <c r="J4" s="306">
        <v>0</v>
      </c>
      <c r="K4" s="306">
        <v>0</v>
      </c>
      <c r="L4" s="306">
        <v>0</v>
      </c>
      <c r="M4" s="306">
        <v>0</v>
      </c>
      <c r="N4" s="306">
        <v>0</v>
      </c>
    </row>
    <row r="5" spans="1:14" ht="13.2">
      <c r="A5" s="306" t="s">
        <v>2</v>
      </c>
      <c r="B5" s="306" t="s">
        <v>272</v>
      </c>
      <c r="C5" s="306">
        <v>5210</v>
      </c>
      <c r="D5" s="306">
        <v>0</v>
      </c>
      <c r="E5" s="306">
        <v>0</v>
      </c>
      <c r="F5" s="306">
        <v>0</v>
      </c>
      <c r="G5" s="306">
        <v>0</v>
      </c>
      <c r="H5" s="306">
        <v>0</v>
      </c>
      <c r="I5" s="306">
        <v>0</v>
      </c>
      <c r="J5" s="306">
        <v>0</v>
      </c>
      <c r="K5" s="306">
        <v>0</v>
      </c>
      <c r="L5" s="306">
        <v>0</v>
      </c>
      <c r="M5" s="306">
        <v>0</v>
      </c>
      <c r="N5" s="306">
        <v>0</v>
      </c>
    </row>
    <row r="6" spans="1:14" ht="13.2">
      <c r="A6" s="306" t="s">
        <v>2</v>
      </c>
      <c r="B6" s="306" t="s">
        <v>273</v>
      </c>
      <c r="C6" s="306">
        <v>44227</v>
      </c>
      <c r="D6" s="306">
        <v>0</v>
      </c>
      <c r="E6" s="306">
        <v>0</v>
      </c>
      <c r="F6" s="306">
        <v>0</v>
      </c>
      <c r="G6" s="306">
        <v>0</v>
      </c>
      <c r="H6" s="306">
        <v>0</v>
      </c>
      <c r="I6" s="306">
        <v>0</v>
      </c>
      <c r="J6" s="306">
        <v>0</v>
      </c>
      <c r="K6" s="306">
        <v>0</v>
      </c>
      <c r="L6" s="306">
        <v>0</v>
      </c>
      <c r="M6" s="306">
        <v>0</v>
      </c>
      <c r="N6" s="306">
        <v>0</v>
      </c>
    </row>
    <row r="7" spans="1:14" ht="13.2">
      <c r="A7" s="306" t="s">
        <v>2</v>
      </c>
      <c r="B7" s="306" t="s">
        <v>274</v>
      </c>
      <c r="C7" s="306">
        <v>198440</v>
      </c>
      <c r="D7" s="306">
        <v>0</v>
      </c>
      <c r="E7" s="306">
        <v>0</v>
      </c>
      <c r="F7" s="306">
        <v>0</v>
      </c>
      <c r="G7" s="306">
        <v>0</v>
      </c>
      <c r="H7" s="306">
        <v>0</v>
      </c>
      <c r="I7" s="306">
        <v>0</v>
      </c>
      <c r="J7" s="306">
        <v>0</v>
      </c>
      <c r="K7" s="306">
        <v>0</v>
      </c>
      <c r="L7" s="306">
        <v>0</v>
      </c>
      <c r="M7" s="306">
        <v>0</v>
      </c>
      <c r="N7" s="306">
        <v>0</v>
      </c>
    </row>
    <row r="8" spans="1:14" ht="13.2">
      <c r="A8" s="306" t="s">
        <v>2</v>
      </c>
      <c r="B8" s="306" t="s">
        <v>275</v>
      </c>
      <c r="C8" s="306">
        <v>777700</v>
      </c>
      <c r="D8" s="306">
        <v>0</v>
      </c>
      <c r="E8" s="306">
        <v>0</v>
      </c>
      <c r="F8" s="306">
        <v>0</v>
      </c>
      <c r="G8" s="306">
        <v>0</v>
      </c>
      <c r="H8" s="306">
        <v>0</v>
      </c>
      <c r="I8" s="306">
        <v>0</v>
      </c>
      <c r="J8" s="306">
        <v>0</v>
      </c>
      <c r="K8" s="306">
        <v>0</v>
      </c>
      <c r="L8" s="306">
        <v>0</v>
      </c>
      <c r="M8" s="306">
        <v>0</v>
      </c>
      <c r="N8" s="306">
        <v>0</v>
      </c>
    </row>
    <row r="9" spans="1:14" ht="13.2">
      <c r="A9" s="306" t="s">
        <v>2</v>
      </c>
      <c r="B9" s="306" t="s">
        <v>276</v>
      </c>
      <c r="C9" s="306">
        <v>37328802</v>
      </c>
      <c r="D9" s="306">
        <v>0</v>
      </c>
      <c r="E9" s="306">
        <v>0</v>
      </c>
      <c r="F9" s="306">
        <v>0</v>
      </c>
      <c r="G9" s="306">
        <v>0</v>
      </c>
      <c r="H9" s="306">
        <v>0</v>
      </c>
      <c r="I9" s="306">
        <v>0</v>
      </c>
      <c r="J9" s="306">
        <v>0</v>
      </c>
      <c r="K9" s="306">
        <v>0</v>
      </c>
      <c r="L9" s="306">
        <v>0</v>
      </c>
      <c r="M9" s="306">
        <v>0</v>
      </c>
      <c r="N9" s="306">
        <v>0</v>
      </c>
    </row>
    <row r="10" spans="1:14" ht="13.2">
      <c r="A10" s="306" t="s">
        <v>2</v>
      </c>
      <c r="B10" s="306" t="s">
        <v>277</v>
      </c>
      <c r="C10" s="306">
        <v>39458</v>
      </c>
      <c r="D10" s="306">
        <v>0</v>
      </c>
      <c r="E10" s="306">
        <v>0</v>
      </c>
      <c r="F10" s="306">
        <v>0</v>
      </c>
      <c r="G10" s="306">
        <v>0</v>
      </c>
      <c r="H10" s="306">
        <v>0</v>
      </c>
      <c r="I10" s="306">
        <v>0</v>
      </c>
      <c r="J10" s="306">
        <v>0</v>
      </c>
      <c r="K10" s="306">
        <v>0</v>
      </c>
      <c r="L10" s="306">
        <v>0</v>
      </c>
      <c r="M10" s="306">
        <v>0</v>
      </c>
      <c r="N10" s="306">
        <v>0</v>
      </c>
    </row>
    <row r="11" spans="1:14" ht="13.2">
      <c r="A11" s="306" t="s">
        <v>2</v>
      </c>
      <c r="B11" s="306" t="s">
        <v>278</v>
      </c>
      <c r="C11" s="306">
        <v>6000000</v>
      </c>
      <c r="D11" s="306">
        <v>0</v>
      </c>
      <c r="E11" s="306">
        <v>0</v>
      </c>
      <c r="F11" s="306">
        <v>0</v>
      </c>
      <c r="G11" s="306">
        <v>0</v>
      </c>
      <c r="H11" s="306">
        <v>0</v>
      </c>
      <c r="I11" s="306">
        <v>0</v>
      </c>
      <c r="J11" s="306">
        <v>0</v>
      </c>
      <c r="K11" s="306">
        <v>0</v>
      </c>
      <c r="L11" s="306">
        <v>0</v>
      </c>
      <c r="M11" s="306">
        <v>0</v>
      </c>
      <c r="N11" s="306">
        <v>0</v>
      </c>
    </row>
    <row r="12" spans="1:14" ht="13.2">
      <c r="A12" s="306" t="s">
        <v>2</v>
      </c>
      <c r="B12" s="306" t="s">
        <v>279</v>
      </c>
      <c r="C12" s="306">
        <v>1098900</v>
      </c>
      <c r="D12" s="306">
        <v>0</v>
      </c>
      <c r="E12" s="306">
        <v>0</v>
      </c>
      <c r="F12" s="306">
        <v>0</v>
      </c>
      <c r="G12" s="306">
        <v>0</v>
      </c>
      <c r="H12" s="306">
        <v>0</v>
      </c>
      <c r="I12" s="306">
        <v>0</v>
      </c>
      <c r="J12" s="306">
        <v>0</v>
      </c>
      <c r="K12" s="306">
        <v>0</v>
      </c>
      <c r="L12" s="306">
        <v>0</v>
      </c>
      <c r="M12" s="306">
        <v>0</v>
      </c>
      <c r="N12" s="306">
        <v>0</v>
      </c>
    </row>
    <row r="13" spans="1:14" ht="13.2">
      <c r="A13" s="306" t="s">
        <v>2</v>
      </c>
      <c r="B13" s="306" t="s">
        <v>280</v>
      </c>
      <c r="C13" s="306">
        <v>156266</v>
      </c>
      <c r="D13" s="306">
        <v>0</v>
      </c>
      <c r="E13" s="306">
        <v>0</v>
      </c>
      <c r="F13" s="306">
        <v>0</v>
      </c>
      <c r="G13" s="306">
        <v>0</v>
      </c>
      <c r="H13" s="306">
        <v>0</v>
      </c>
      <c r="I13" s="306">
        <v>0</v>
      </c>
      <c r="J13" s="306">
        <v>0</v>
      </c>
      <c r="K13" s="306">
        <v>0</v>
      </c>
      <c r="L13" s="306">
        <v>0</v>
      </c>
      <c r="M13" s="306">
        <v>0</v>
      </c>
      <c r="N13" s="306">
        <v>0</v>
      </c>
    </row>
    <row r="14" spans="1:14" ht="13.2">
      <c r="A14" s="306" t="s">
        <v>2</v>
      </c>
      <c r="B14" s="306" t="s">
        <v>281</v>
      </c>
      <c r="C14" s="306">
        <v>0</v>
      </c>
      <c r="D14" s="306">
        <v>28286</v>
      </c>
      <c r="E14" s="306">
        <v>0</v>
      </c>
      <c r="F14" s="306">
        <v>0</v>
      </c>
      <c r="G14" s="306">
        <v>0</v>
      </c>
      <c r="H14" s="306">
        <v>0</v>
      </c>
      <c r="I14" s="306">
        <v>0</v>
      </c>
      <c r="J14" s="306">
        <v>0</v>
      </c>
      <c r="K14" s="306">
        <v>0</v>
      </c>
      <c r="L14" s="306">
        <v>0</v>
      </c>
      <c r="M14" s="306">
        <v>0</v>
      </c>
      <c r="N14" s="306">
        <v>0</v>
      </c>
    </row>
    <row r="15" spans="1:14" ht="13.2">
      <c r="A15" s="306" t="s">
        <v>2</v>
      </c>
      <c r="B15" s="306" t="s">
        <v>282</v>
      </c>
      <c r="C15" s="306">
        <v>0</v>
      </c>
      <c r="D15" s="306">
        <v>12500000</v>
      </c>
      <c r="E15" s="306">
        <v>0</v>
      </c>
      <c r="F15" s="306">
        <v>0</v>
      </c>
      <c r="G15" s="306">
        <v>0</v>
      </c>
      <c r="H15" s="306">
        <v>0</v>
      </c>
      <c r="I15" s="306">
        <v>0</v>
      </c>
      <c r="J15" s="306">
        <v>0</v>
      </c>
      <c r="K15" s="306">
        <v>0</v>
      </c>
      <c r="L15" s="306">
        <v>0</v>
      </c>
      <c r="M15" s="306">
        <v>0</v>
      </c>
      <c r="N15" s="306">
        <v>0</v>
      </c>
    </row>
    <row r="16" spans="1:14" ht="13.2">
      <c r="A16" s="306" t="s">
        <v>2</v>
      </c>
      <c r="B16" s="306" t="s">
        <v>283</v>
      </c>
      <c r="C16" s="306">
        <v>0</v>
      </c>
      <c r="D16" s="306">
        <v>39600</v>
      </c>
      <c r="E16" s="306">
        <v>0</v>
      </c>
      <c r="F16" s="306">
        <v>0</v>
      </c>
      <c r="G16" s="306">
        <v>0</v>
      </c>
      <c r="H16" s="306">
        <v>0</v>
      </c>
      <c r="I16" s="306">
        <v>0</v>
      </c>
      <c r="J16" s="306">
        <v>0</v>
      </c>
      <c r="K16" s="306">
        <v>0</v>
      </c>
      <c r="L16" s="306">
        <v>0</v>
      </c>
      <c r="M16" s="306">
        <v>0</v>
      </c>
      <c r="N16" s="306">
        <v>0</v>
      </c>
    </row>
    <row r="17" spans="1:14" ht="13.2">
      <c r="A17" s="306" t="s">
        <v>2</v>
      </c>
      <c r="B17" s="306" t="s">
        <v>284</v>
      </c>
      <c r="C17" s="306">
        <v>0</v>
      </c>
      <c r="D17" s="306">
        <v>218315</v>
      </c>
      <c r="E17" s="306">
        <v>160717</v>
      </c>
      <c r="F17" s="306">
        <v>195205</v>
      </c>
      <c r="G17" s="306">
        <v>45955</v>
      </c>
      <c r="H17" s="306">
        <v>0</v>
      </c>
      <c r="I17" s="306">
        <v>0</v>
      </c>
      <c r="J17" s="306">
        <v>0</v>
      </c>
      <c r="K17" s="306">
        <v>0</v>
      </c>
      <c r="L17" s="306">
        <v>0</v>
      </c>
      <c r="M17" s="306">
        <v>0</v>
      </c>
      <c r="N17" s="306">
        <v>0</v>
      </c>
    </row>
    <row r="18" spans="1:14" ht="13.2">
      <c r="A18" s="306" t="s">
        <v>2</v>
      </c>
      <c r="B18" s="306" t="s">
        <v>285</v>
      </c>
      <c r="C18" s="306">
        <v>0</v>
      </c>
      <c r="D18" s="306">
        <v>979550</v>
      </c>
      <c r="E18" s="306">
        <v>0</v>
      </c>
      <c r="F18" s="306">
        <v>0</v>
      </c>
      <c r="G18" s="306">
        <v>0</v>
      </c>
      <c r="H18" s="306">
        <v>0</v>
      </c>
      <c r="I18" s="306">
        <v>0</v>
      </c>
      <c r="J18" s="306">
        <v>0</v>
      </c>
      <c r="K18" s="306">
        <v>0</v>
      </c>
      <c r="L18" s="306">
        <v>0</v>
      </c>
      <c r="M18" s="306">
        <v>0</v>
      </c>
      <c r="N18" s="306">
        <v>0</v>
      </c>
    </row>
    <row r="19" spans="1:14" ht="13.2">
      <c r="A19" s="306" t="s">
        <v>2</v>
      </c>
      <c r="B19" s="306" t="s">
        <v>286</v>
      </c>
      <c r="C19" s="306">
        <v>0</v>
      </c>
      <c r="D19" s="306">
        <v>777975</v>
      </c>
      <c r="E19" s="306">
        <v>0</v>
      </c>
      <c r="F19" s="306">
        <v>3902165</v>
      </c>
      <c r="G19" s="306">
        <v>0</v>
      </c>
      <c r="H19" s="306">
        <v>0</v>
      </c>
      <c r="I19" s="306">
        <v>0</v>
      </c>
      <c r="J19" s="306">
        <v>0</v>
      </c>
      <c r="K19" s="306">
        <v>1359600</v>
      </c>
      <c r="L19" s="306">
        <v>0</v>
      </c>
      <c r="M19" s="306">
        <v>0</v>
      </c>
      <c r="N19" s="306">
        <v>0</v>
      </c>
    </row>
    <row r="20" spans="1:14" ht="13.2">
      <c r="A20" s="306" t="s">
        <v>2</v>
      </c>
      <c r="B20" s="306" t="s">
        <v>287</v>
      </c>
      <c r="C20" s="306">
        <v>0</v>
      </c>
      <c r="D20" s="306">
        <v>13500000</v>
      </c>
      <c r="E20" s="306">
        <v>1758790</v>
      </c>
      <c r="F20" s="306">
        <v>12041609</v>
      </c>
      <c r="G20" s="306">
        <v>0</v>
      </c>
      <c r="H20" s="306">
        <v>0</v>
      </c>
      <c r="I20" s="306">
        <v>6653450</v>
      </c>
      <c r="J20" s="306">
        <v>5000000</v>
      </c>
      <c r="K20" s="306">
        <v>0</v>
      </c>
      <c r="L20" s="306">
        <v>0</v>
      </c>
      <c r="M20" s="306">
        <v>0</v>
      </c>
      <c r="N20" s="306">
        <v>0</v>
      </c>
    </row>
    <row r="21" spans="1:14" ht="13.2">
      <c r="A21" s="306" t="s">
        <v>2</v>
      </c>
      <c r="B21" s="306" t="s">
        <v>288</v>
      </c>
      <c r="C21" s="306">
        <v>0</v>
      </c>
      <c r="D21" s="306">
        <v>538263</v>
      </c>
      <c r="E21" s="306">
        <v>0</v>
      </c>
      <c r="F21" s="306">
        <v>0</v>
      </c>
      <c r="G21" s="306">
        <v>0</v>
      </c>
      <c r="H21" s="306">
        <v>0</v>
      </c>
      <c r="I21" s="306">
        <v>0</v>
      </c>
      <c r="J21" s="306">
        <v>0</v>
      </c>
      <c r="K21" s="306">
        <v>0</v>
      </c>
      <c r="L21" s="306">
        <v>0</v>
      </c>
      <c r="M21" s="306">
        <v>0</v>
      </c>
      <c r="N21" s="306">
        <v>0</v>
      </c>
    </row>
    <row r="22" spans="1:14" ht="13.2">
      <c r="A22" s="306" t="s">
        <v>2</v>
      </c>
      <c r="B22" s="306" t="s">
        <v>289</v>
      </c>
      <c r="C22" s="306">
        <v>0</v>
      </c>
      <c r="D22" s="306">
        <v>46113</v>
      </c>
      <c r="E22" s="306">
        <v>0</v>
      </c>
      <c r="F22" s="306">
        <v>0</v>
      </c>
      <c r="G22" s="306">
        <v>0</v>
      </c>
      <c r="H22" s="306">
        <v>0</v>
      </c>
      <c r="I22" s="306">
        <v>0</v>
      </c>
      <c r="J22" s="306">
        <v>0</v>
      </c>
      <c r="K22" s="306">
        <v>0</v>
      </c>
      <c r="L22" s="306">
        <v>0</v>
      </c>
      <c r="M22" s="306">
        <v>0</v>
      </c>
      <c r="N22" s="306">
        <v>0</v>
      </c>
    </row>
    <row r="23" spans="1:14" ht="13.2">
      <c r="A23" s="306" t="s">
        <v>2</v>
      </c>
      <c r="B23" s="306" t="s">
        <v>290</v>
      </c>
      <c r="C23" s="306">
        <v>0</v>
      </c>
      <c r="D23" s="306">
        <v>393032</v>
      </c>
      <c r="E23" s="306">
        <v>0</v>
      </c>
      <c r="F23" s="306">
        <v>0</v>
      </c>
      <c r="G23" s="306">
        <v>0</v>
      </c>
      <c r="H23" s="306">
        <v>0</v>
      </c>
      <c r="I23" s="306">
        <v>0</v>
      </c>
      <c r="J23" s="306">
        <v>0</v>
      </c>
      <c r="K23" s="306">
        <v>0</v>
      </c>
      <c r="L23" s="306">
        <v>0</v>
      </c>
      <c r="M23" s="306">
        <v>0</v>
      </c>
      <c r="N23" s="306">
        <v>0</v>
      </c>
    </row>
    <row r="24" spans="1:14" ht="13.2">
      <c r="A24" s="306" t="s">
        <v>2</v>
      </c>
      <c r="B24" s="306" t="s">
        <v>291</v>
      </c>
      <c r="C24" s="306">
        <v>0</v>
      </c>
      <c r="D24" s="306">
        <v>3070000</v>
      </c>
      <c r="E24" s="306">
        <v>1300000</v>
      </c>
      <c r="F24" s="306">
        <v>0</v>
      </c>
      <c r="G24" s="306">
        <v>0</v>
      </c>
      <c r="H24" s="306">
        <v>0</v>
      </c>
      <c r="I24" s="306">
        <v>0</v>
      </c>
      <c r="J24" s="306">
        <v>0</v>
      </c>
      <c r="K24" s="306">
        <v>0</v>
      </c>
      <c r="L24" s="306">
        <v>0</v>
      </c>
      <c r="M24" s="306">
        <v>0</v>
      </c>
      <c r="N24" s="306">
        <v>0</v>
      </c>
    </row>
    <row r="25" spans="1:14" ht="13.2">
      <c r="A25" s="306" t="s">
        <v>2</v>
      </c>
      <c r="B25" s="306" t="s">
        <v>292</v>
      </c>
      <c r="C25" s="306">
        <v>0</v>
      </c>
      <c r="D25" s="306">
        <v>2103761</v>
      </c>
      <c r="E25" s="306">
        <v>0</v>
      </c>
      <c r="F25" s="306">
        <v>0</v>
      </c>
      <c r="G25" s="306">
        <v>0</v>
      </c>
      <c r="H25" s="306">
        <v>0</v>
      </c>
      <c r="I25" s="306">
        <v>0</v>
      </c>
      <c r="J25" s="306">
        <v>0</v>
      </c>
      <c r="K25" s="306">
        <v>238150</v>
      </c>
      <c r="L25" s="306">
        <v>0</v>
      </c>
      <c r="M25" s="306">
        <v>0</v>
      </c>
      <c r="N25" s="306">
        <v>0</v>
      </c>
    </row>
    <row r="26" spans="1:14" ht="13.2">
      <c r="A26" s="306" t="s">
        <v>2</v>
      </c>
      <c r="B26" s="306" t="s">
        <v>293</v>
      </c>
      <c r="C26" s="306">
        <v>0</v>
      </c>
      <c r="D26" s="306">
        <v>182152</v>
      </c>
      <c r="E26" s="306">
        <v>223757</v>
      </c>
      <c r="F26" s="306">
        <v>118595</v>
      </c>
      <c r="G26" s="306">
        <v>187524</v>
      </c>
      <c r="H26" s="306">
        <v>0</v>
      </c>
      <c r="I26" s="306">
        <v>0</v>
      </c>
      <c r="J26" s="306">
        <v>0</v>
      </c>
      <c r="K26" s="306">
        <v>0</v>
      </c>
      <c r="L26" s="306">
        <v>0</v>
      </c>
      <c r="M26" s="306">
        <v>0</v>
      </c>
      <c r="N26" s="306">
        <v>0</v>
      </c>
    </row>
    <row r="27" spans="1:14" ht="13.2">
      <c r="A27" s="306" t="s">
        <v>2</v>
      </c>
      <c r="B27" s="306" t="s">
        <v>294</v>
      </c>
      <c r="C27" s="306">
        <v>0</v>
      </c>
      <c r="D27" s="306">
        <v>0</v>
      </c>
      <c r="E27" s="306">
        <v>252450</v>
      </c>
      <c r="F27" s="306">
        <v>0</v>
      </c>
      <c r="G27" s="306">
        <v>0</v>
      </c>
      <c r="H27" s="306">
        <v>0</v>
      </c>
      <c r="I27" s="306">
        <v>0</v>
      </c>
      <c r="J27" s="306">
        <v>0</v>
      </c>
      <c r="K27" s="306">
        <v>0</v>
      </c>
      <c r="L27" s="306">
        <v>0</v>
      </c>
      <c r="M27" s="306">
        <v>0</v>
      </c>
      <c r="N27" s="306">
        <v>0</v>
      </c>
    </row>
    <row r="28" spans="1:14" ht="13.2">
      <c r="A28" s="306" t="s">
        <v>2</v>
      </c>
      <c r="B28" s="306" t="s">
        <v>295</v>
      </c>
      <c r="C28" s="306">
        <v>0</v>
      </c>
      <c r="D28" s="306">
        <v>0</v>
      </c>
      <c r="E28" s="306">
        <v>6000000</v>
      </c>
      <c r="F28" s="306">
        <v>5000000</v>
      </c>
      <c r="G28" s="306">
        <v>0</v>
      </c>
      <c r="H28" s="306">
        <v>0</v>
      </c>
      <c r="I28" s="306">
        <v>0</v>
      </c>
      <c r="J28" s="306">
        <v>0</v>
      </c>
      <c r="K28" s="306">
        <v>0</v>
      </c>
      <c r="L28" s="306">
        <v>0</v>
      </c>
      <c r="M28" s="306">
        <v>0</v>
      </c>
      <c r="N28" s="306">
        <v>0</v>
      </c>
    </row>
    <row r="29" spans="1:14" ht="13.2">
      <c r="A29" s="306" t="s">
        <v>2</v>
      </c>
      <c r="B29" s="306" t="s">
        <v>296</v>
      </c>
      <c r="C29" s="306">
        <v>0</v>
      </c>
      <c r="D29" s="306">
        <v>0</v>
      </c>
      <c r="E29" s="306">
        <v>4119977</v>
      </c>
      <c r="F29" s="306">
        <v>0</v>
      </c>
      <c r="G29" s="306">
        <v>0</v>
      </c>
      <c r="H29" s="306">
        <v>0</v>
      </c>
      <c r="I29" s="306">
        <v>0</v>
      </c>
      <c r="J29" s="306">
        <v>0</v>
      </c>
      <c r="K29" s="306">
        <v>0</v>
      </c>
      <c r="L29" s="306">
        <v>0</v>
      </c>
      <c r="M29" s="306">
        <v>0</v>
      </c>
      <c r="N29" s="306">
        <v>0</v>
      </c>
    </row>
    <row r="30" spans="1:14" ht="13.2">
      <c r="A30" s="306" t="s">
        <v>2</v>
      </c>
      <c r="B30" s="306" t="s">
        <v>297</v>
      </c>
      <c r="C30" s="306">
        <v>0</v>
      </c>
      <c r="D30" s="306">
        <v>0</v>
      </c>
      <c r="E30" s="306">
        <v>3351000</v>
      </c>
      <c r="F30" s="306">
        <v>0</v>
      </c>
      <c r="G30" s="306">
        <v>0</v>
      </c>
      <c r="H30" s="306">
        <v>0</v>
      </c>
      <c r="I30" s="306">
        <v>0</v>
      </c>
      <c r="J30" s="306">
        <v>0</v>
      </c>
      <c r="K30" s="306">
        <v>0</v>
      </c>
      <c r="L30" s="306">
        <v>0</v>
      </c>
      <c r="M30" s="306">
        <v>0</v>
      </c>
      <c r="N30" s="306">
        <v>0</v>
      </c>
    </row>
    <row r="31" spans="1:14" ht="13.2">
      <c r="A31" s="306" t="s">
        <v>2</v>
      </c>
      <c r="B31" s="306" t="s">
        <v>298</v>
      </c>
      <c r="C31" s="306">
        <v>0</v>
      </c>
      <c r="D31" s="306">
        <v>0</v>
      </c>
      <c r="E31" s="306">
        <v>1200000</v>
      </c>
      <c r="F31" s="306">
        <v>0</v>
      </c>
      <c r="G31" s="306">
        <v>0</v>
      </c>
      <c r="H31" s="306">
        <v>0</v>
      </c>
      <c r="I31" s="306">
        <v>0</v>
      </c>
      <c r="J31" s="306">
        <v>0</v>
      </c>
      <c r="K31" s="306">
        <v>0</v>
      </c>
      <c r="L31" s="306">
        <v>0</v>
      </c>
      <c r="M31" s="306">
        <v>0</v>
      </c>
      <c r="N31" s="306">
        <v>0</v>
      </c>
    </row>
    <row r="32" spans="1:14" ht="13.2">
      <c r="A32" s="306" t="s">
        <v>2</v>
      </c>
      <c r="B32" s="306" t="s">
        <v>299</v>
      </c>
      <c r="C32" s="306">
        <v>0</v>
      </c>
      <c r="D32" s="306">
        <v>0</v>
      </c>
      <c r="E32" s="306">
        <v>2294</v>
      </c>
      <c r="F32" s="306">
        <v>0</v>
      </c>
      <c r="G32" s="306">
        <v>0</v>
      </c>
      <c r="H32" s="306">
        <v>0</v>
      </c>
      <c r="I32" s="306">
        <v>0</v>
      </c>
      <c r="J32" s="306">
        <v>0</v>
      </c>
      <c r="K32" s="306">
        <v>0</v>
      </c>
      <c r="L32" s="306">
        <v>0</v>
      </c>
      <c r="M32" s="306">
        <v>0</v>
      </c>
      <c r="N32" s="306">
        <v>0</v>
      </c>
    </row>
    <row r="33" spans="1:14" ht="13.2">
      <c r="A33" s="306" t="s">
        <v>2</v>
      </c>
      <c r="B33" s="306" t="s">
        <v>300</v>
      </c>
      <c r="C33" s="306">
        <v>0</v>
      </c>
      <c r="D33" s="306">
        <v>0</v>
      </c>
      <c r="E33" s="306">
        <v>11213</v>
      </c>
      <c r="F33" s="306">
        <v>0</v>
      </c>
      <c r="G33" s="306">
        <v>0</v>
      </c>
      <c r="H33" s="306">
        <v>0</v>
      </c>
      <c r="I33" s="306">
        <v>0</v>
      </c>
      <c r="J33" s="306">
        <v>0</v>
      </c>
      <c r="K33" s="306">
        <v>0</v>
      </c>
      <c r="L33" s="306">
        <v>0</v>
      </c>
      <c r="M33" s="306">
        <v>0</v>
      </c>
      <c r="N33" s="306">
        <v>0</v>
      </c>
    </row>
    <row r="34" spans="1:14" ht="13.2">
      <c r="A34" s="306" t="s">
        <v>2</v>
      </c>
      <c r="B34" s="306" t="s">
        <v>301</v>
      </c>
      <c r="C34" s="306">
        <v>0</v>
      </c>
      <c r="D34" s="306">
        <v>0</v>
      </c>
      <c r="E34" s="306">
        <v>0</v>
      </c>
      <c r="F34" s="306">
        <v>1343760</v>
      </c>
      <c r="G34" s="306">
        <v>0</v>
      </c>
      <c r="H34" s="306">
        <v>0</v>
      </c>
      <c r="I34" s="306">
        <v>0</v>
      </c>
      <c r="J34" s="306">
        <v>0</v>
      </c>
      <c r="K34" s="306">
        <v>0</v>
      </c>
      <c r="L34" s="306">
        <v>0</v>
      </c>
      <c r="M34" s="306">
        <v>0</v>
      </c>
      <c r="N34" s="306">
        <v>0</v>
      </c>
    </row>
    <row r="35" spans="1:14" ht="13.2">
      <c r="A35" s="306" t="s">
        <v>2</v>
      </c>
      <c r="B35" s="306" t="s">
        <v>302</v>
      </c>
      <c r="C35" s="306">
        <v>0</v>
      </c>
      <c r="D35" s="306">
        <v>0</v>
      </c>
      <c r="E35" s="306">
        <v>0</v>
      </c>
      <c r="F35" s="306">
        <v>7499780</v>
      </c>
      <c r="G35" s="306">
        <v>0</v>
      </c>
      <c r="H35" s="306">
        <v>0</v>
      </c>
      <c r="I35" s="306">
        <v>0</v>
      </c>
      <c r="J35" s="306">
        <v>0</v>
      </c>
      <c r="K35" s="306">
        <v>0</v>
      </c>
      <c r="L35" s="306">
        <v>0</v>
      </c>
      <c r="M35" s="306">
        <v>0</v>
      </c>
      <c r="N35" s="306">
        <v>0</v>
      </c>
    </row>
    <row r="36" spans="1:14" ht="13.2">
      <c r="A36" s="306" t="s">
        <v>2</v>
      </c>
      <c r="B36" s="306" t="s">
        <v>303</v>
      </c>
      <c r="C36" s="306">
        <v>0</v>
      </c>
      <c r="D36" s="306">
        <v>0</v>
      </c>
      <c r="E36" s="306">
        <v>0</v>
      </c>
      <c r="F36" s="306">
        <v>137500</v>
      </c>
      <c r="G36" s="306">
        <v>0</v>
      </c>
      <c r="H36" s="306">
        <v>0</v>
      </c>
      <c r="I36" s="306">
        <v>0</v>
      </c>
      <c r="J36" s="306">
        <v>0</v>
      </c>
      <c r="K36" s="306">
        <v>0</v>
      </c>
      <c r="L36" s="306">
        <v>0</v>
      </c>
      <c r="M36" s="306">
        <v>0</v>
      </c>
      <c r="N36" s="306">
        <v>0</v>
      </c>
    </row>
    <row r="37" spans="1:14" ht="13.2">
      <c r="A37" s="306" t="s">
        <v>2</v>
      </c>
      <c r="B37" s="306" t="s">
        <v>304</v>
      </c>
      <c r="C37" s="306">
        <v>0</v>
      </c>
      <c r="D37" s="306">
        <v>0</v>
      </c>
      <c r="E37" s="306">
        <v>0</v>
      </c>
      <c r="F37" s="306">
        <v>678771</v>
      </c>
      <c r="G37" s="306">
        <v>0</v>
      </c>
      <c r="H37" s="306">
        <v>0</v>
      </c>
      <c r="I37" s="306">
        <v>0</v>
      </c>
      <c r="J37" s="306">
        <v>0</v>
      </c>
      <c r="K37" s="306">
        <v>0</v>
      </c>
      <c r="L37" s="306">
        <v>0</v>
      </c>
      <c r="M37" s="306">
        <v>0</v>
      </c>
      <c r="N37" s="306">
        <v>0</v>
      </c>
    </row>
    <row r="38" spans="1:14" ht="13.2">
      <c r="A38" s="306" t="s">
        <v>2</v>
      </c>
      <c r="B38" s="306" t="s">
        <v>305</v>
      </c>
      <c r="C38" s="306">
        <v>0</v>
      </c>
      <c r="D38" s="306">
        <v>0</v>
      </c>
      <c r="E38" s="306">
        <v>0</v>
      </c>
      <c r="F38" s="306">
        <v>5264</v>
      </c>
      <c r="G38" s="306">
        <v>0</v>
      </c>
      <c r="H38" s="306">
        <v>0</v>
      </c>
      <c r="I38" s="306">
        <v>0</v>
      </c>
      <c r="J38" s="306">
        <v>0</v>
      </c>
      <c r="K38" s="306">
        <v>0</v>
      </c>
      <c r="L38" s="306">
        <v>0</v>
      </c>
      <c r="M38" s="306">
        <v>0</v>
      </c>
      <c r="N38" s="306">
        <v>0</v>
      </c>
    </row>
    <row r="39" spans="1:14" ht="13.2">
      <c r="A39" s="306" t="s">
        <v>2</v>
      </c>
      <c r="B39" s="306" t="s">
        <v>306</v>
      </c>
      <c r="C39" s="306">
        <v>0</v>
      </c>
      <c r="D39" s="306">
        <v>0</v>
      </c>
      <c r="E39" s="306">
        <v>0</v>
      </c>
      <c r="F39" s="306">
        <v>3000000</v>
      </c>
      <c r="G39" s="306">
        <v>3000000</v>
      </c>
      <c r="H39" s="306">
        <v>0</v>
      </c>
      <c r="I39" s="306">
        <v>2551458</v>
      </c>
      <c r="J39" s="306">
        <v>0</v>
      </c>
      <c r="K39" s="306">
        <v>0</v>
      </c>
      <c r="L39" s="306">
        <v>0</v>
      </c>
      <c r="M39" s="306">
        <v>0</v>
      </c>
      <c r="N39" s="306">
        <v>0</v>
      </c>
    </row>
    <row r="40" spans="1:14" ht="13.2">
      <c r="A40" s="306" t="s">
        <v>2</v>
      </c>
      <c r="B40" s="306" t="s">
        <v>307</v>
      </c>
      <c r="C40" s="306">
        <v>0</v>
      </c>
      <c r="D40" s="306">
        <v>0</v>
      </c>
      <c r="E40" s="306">
        <v>0</v>
      </c>
      <c r="F40" s="306">
        <v>393800</v>
      </c>
      <c r="G40" s="306">
        <v>0</v>
      </c>
      <c r="H40" s="306">
        <v>0</v>
      </c>
      <c r="I40" s="306">
        <v>0</v>
      </c>
      <c r="J40" s="306">
        <v>0</v>
      </c>
      <c r="K40" s="306">
        <v>0</v>
      </c>
      <c r="L40" s="306">
        <v>0</v>
      </c>
      <c r="M40" s="306">
        <v>0</v>
      </c>
      <c r="N40" s="306">
        <v>0</v>
      </c>
    </row>
    <row r="41" spans="1:14" ht="13.2">
      <c r="A41" s="306" t="s">
        <v>2</v>
      </c>
      <c r="B41" s="306" t="s">
        <v>308</v>
      </c>
      <c r="C41" s="306">
        <v>0</v>
      </c>
      <c r="D41" s="306">
        <v>0</v>
      </c>
      <c r="E41" s="306">
        <v>0</v>
      </c>
      <c r="F41" s="306">
        <v>0</v>
      </c>
      <c r="G41" s="306">
        <v>5061</v>
      </c>
      <c r="H41" s="306">
        <v>13564</v>
      </c>
      <c r="I41" s="306">
        <v>2578</v>
      </c>
      <c r="J41" s="306">
        <v>1687</v>
      </c>
      <c r="K41" s="306">
        <v>10745</v>
      </c>
      <c r="L41" s="306">
        <v>0</v>
      </c>
      <c r="M41" s="306">
        <v>0</v>
      </c>
      <c r="N41" s="306">
        <v>0</v>
      </c>
    </row>
    <row r="42" spans="1:14" ht="13.2">
      <c r="A42" s="306" t="s">
        <v>2</v>
      </c>
      <c r="B42" s="306" t="s">
        <v>309</v>
      </c>
      <c r="C42" s="306">
        <v>0</v>
      </c>
      <c r="D42" s="306">
        <v>0</v>
      </c>
      <c r="E42" s="306">
        <v>0</v>
      </c>
      <c r="F42" s="306">
        <v>0</v>
      </c>
      <c r="G42" s="306">
        <v>50000</v>
      </c>
      <c r="H42" s="306">
        <v>3150000</v>
      </c>
      <c r="I42" s="306">
        <v>0</v>
      </c>
      <c r="J42" s="306">
        <v>0</v>
      </c>
      <c r="K42" s="306">
        <v>0</v>
      </c>
      <c r="L42" s="306">
        <v>0</v>
      </c>
      <c r="M42" s="306">
        <v>0</v>
      </c>
      <c r="N42" s="306">
        <v>0</v>
      </c>
    </row>
    <row r="43" spans="1:14" ht="13.2">
      <c r="A43" s="306" t="s">
        <v>2</v>
      </c>
      <c r="B43" s="306" t="s">
        <v>310</v>
      </c>
      <c r="C43" s="306">
        <v>0</v>
      </c>
      <c r="D43" s="306">
        <v>0</v>
      </c>
      <c r="E43" s="306">
        <v>0</v>
      </c>
      <c r="F43" s="306">
        <v>0</v>
      </c>
      <c r="G43" s="306">
        <v>129104</v>
      </c>
      <c r="H43" s="306">
        <v>182422</v>
      </c>
      <c r="I43" s="306">
        <v>301915</v>
      </c>
      <c r="J43" s="306">
        <v>333656</v>
      </c>
      <c r="K43" s="306">
        <v>406989</v>
      </c>
      <c r="L43" s="306">
        <v>0</v>
      </c>
      <c r="M43" s="306">
        <v>0</v>
      </c>
      <c r="N43" s="306">
        <v>0</v>
      </c>
    </row>
    <row r="44" spans="1:14" ht="13.2">
      <c r="A44" s="306" t="s">
        <v>2</v>
      </c>
      <c r="B44" s="306" t="s">
        <v>311</v>
      </c>
      <c r="C44" s="306">
        <v>0</v>
      </c>
      <c r="D44" s="306">
        <v>0</v>
      </c>
      <c r="E44" s="306">
        <v>0</v>
      </c>
      <c r="F44" s="306">
        <v>0</v>
      </c>
      <c r="G44" s="306">
        <v>7499780</v>
      </c>
      <c r="H44" s="306">
        <v>0</v>
      </c>
      <c r="I44" s="306">
        <v>0</v>
      </c>
      <c r="J44" s="306">
        <v>5295689</v>
      </c>
      <c r="K44" s="306">
        <v>0</v>
      </c>
      <c r="L44" s="306">
        <v>0</v>
      </c>
      <c r="M44" s="306">
        <v>0</v>
      </c>
      <c r="N44" s="306">
        <v>0</v>
      </c>
    </row>
    <row r="45" spans="1:14" ht="13.2">
      <c r="A45" s="306" t="s">
        <v>2</v>
      </c>
      <c r="B45" s="306" t="s">
        <v>312</v>
      </c>
      <c r="C45" s="306">
        <v>0</v>
      </c>
      <c r="D45" s="306">
        <v>0</v>
      </c>
      <c r="E45" s="306">
        <v>0</v>
      </c>
      <c r="F45" s="306">
        <v>0</v>
      </c>
      <c r="G45" s="306">
        <v>4067450</v>
      </c>
      <c r="H45" s="306">
        <v>2879912</v>
      </c>
      <c r="I45" s="306">
        <v>0</v>
      </c>
      <c r="J45" s="306">
        <v>0</v>
      </c>
      <c r="K45" s="306">
        <v>0</v>
      </c>
      <c r="L45" s="306">
        <v>0</v>
      </c>
      <c r="M45" s="306">
        <v>0</v>
      </c>
      <c r="N45" s="306">
        <v>0</v>
      </c>
    </row>
    <row r="46" spans="1:14" ht="13.2">
      <c r="A46" s="306" t="s">
        <v>2</v>
      </c>
      <c r="B46" s="306" t="s">
        <v>313</v>
      </c>
      <c r="C46" s="306">
        <v>0</v>
      </c>
      <c r="D46" s="306">
        <v>0</v>
      </c>
      <c r="E46" s="306">
        <v>0</v>
      </c>
      <c r="F46" s="306">
        <v>0</v>
      </c>
      <c r="G46" s="306">
        <v>140000</v>
      </c>
      <c r="H46" s="306">
        <v>0</v>
      </c>
      <c r="I46" s="306">
        <v>0</v>
      </c>
      <c r="J46" s="306">
        <v>100000</v>
      </c>
      <c r="K46" s="306">
        <v>0</v>
      </c>
      <c r="L46" s="306">
        <v>0</v>
      </c>
      <c r="M46" s="306">
        <v>0</v>
      </c>
      <c r="N46" s="306">
        <v>0</v>
      </c>
    </row>
    <row r="47" spans="1:14" ht="13.2">
      <c r="A47" s="306" t="s">
        <v>2</v>
      </c>
      <c r="B47" s="306" t="s">
        <v>314</v>
      </c>
      <c r="C47" s="306">
        <v>0</v>
      </c>
      <c r="D47" s="306">
        <v>0</v>
      </c>
      <c r="E47" s="306">
        <v>0</v>
      </c>
      <c r="F47" s="306">
        <v>0</v>
      </c>
      <c r="G47" s="306">
        <v>13840000</v>
      </c>
      <c r="H47" s="306">
        <v>0</v>
      </c>
      <c r="I47" s="306">
        <v>0</v>
      </c>
      <c r="J47" s="306">
        <v>13840000</v>
      </c>
      <c r="K47" s="306">
        <v>0</v>
      </c>
      <c r="L47" s="306">
        <v>0</v>
      </c>
      <c r="M47" s="306">
        <v>0</v>
      </c>
      <c r="N47" s="306">
        <v>0</v>
      </c>
    </row>
    <row r="48" spans="1:14" ht="13.2">
      <c r="A48" s="306" t="s">
        <v>2</v>
      </c>
      <c r="B48" s="306" t="s">
        <v>315</v>
      </c>
      <c r="C48" s="306">
        <v>0</v>
      </c>
      <c r="D48" s="306">
        <v>0</v>
      </c>
      <c r="E48" s="306">
        <v>0</v>
      </c>
      <c r="F48" s="306">
        <v>0</v>
      </c>
      <c r="G48" s="306">
        <v>3000000</v>
      </c>
      <c r="H48" s="306">
        <v>0</v>
      </c>
      <c r="I48" s="306">
        <v>0</v>
      </c>
      <c r="J48" s="306">
        <v>0</v>
      </c>
      <c r="K48" s="306">
        <v>0</v>
      </c>
      <c r="L48" s="306">
        <v>0</v>
      </c>
      <c r="M48" s="306">
        <v>0</v>
      </c>
      <c r="N48" s="306">
        <v>0</v>
      </c>
    </row>
    <row r="49" spans="1:14" ht="13.2">
      <c r="A49" s="306" t="s">
        <v>2</v>
      </c>
      <c r="B49" s="306" t="s">
        <v>316</v>
      </c>
      <c r="C49" s="306">
        <v>0</v>
      </c>
      <c r="D49" s="306">
        <v>0</v>
      </c>
      <c r="E49" s="306">
        <v>0</v>
      </c>
      <c r="F49" s="306">
        <v>0</v>
      </c>
      <c r="G49" s="306">
        <v>0</v>
      </c>
      <c r="H49" s="306">
        <v>8250000</v>
      </c>
      <c r="I49" s="306">
        <v>0</v>
      </c>
      <c r="J49" s="306">
        <v>0</v>
      </c>
      <c r="K49" s="306">
        <v>0</v>
      </c>
      <c r="L49" s="306">
        <v>0</v>
      </c>
      <c r="M49" s="306">
        <v>0</v>
      </c>
      <c r="N49" s="306">
        <v>0</v>
      </c>
    </row>
    <row r="50" spans="1:14" ht="13.2">
      <c r="A50" s="306" t="s">
        <v>2</v>
      </c>
      <c r="B50" s="306" t="s">
        <v>317</v>
      </c>
      <c r="C50" s="306">
        <v>0</v>
      </c>
      <c r="D50" s="306">
        <v>0</v>
      </c>
      <c r="E50" s="306">
        <v>0</v>
      </c>
      <c r="F50" s="306">
        <v>0</v>
      </c>
      <c r="G50" s="306">
        <v>0</v>
      </c>
      <c r="H50" s="306">
        <v>1263828</v>
      </c>
      <c r="I50" s="306">
        <v>0</v>
      </c>
      <c r="J50" s="306">
        <v>0</v>
      </c>
      <c r="K50" s="306">
        <v>0</v>
      </c>
      <c r="L50" s="306">
        <v>0</v>
      </c>
      <c r="M50" s="306">
        <v>0</v>
      </c>
      <c r="N50" s="306">
        <v>0</v>
      </c>
    </row>
    <row r="51" spans="1:14" ht="13.2">
      <c r="A51" s="306" t="s">
        <v>2</v>
      </c>
      <c r="B51" s="306" t="s">
        <v>318</v>
      </c>
      <c r="C51" s="306">
        <v>0</v>
      </c>
      <c r="D51" s="306">
        <v>0</v>
      </c>
      <c r="E51" s="306">
        <v>0</v>
      </c>
      <c r="F51" s="306">
        <v>0</v>
      </c>
      <c r="G51" s="306">
        <v>0</v>
      </c>
      <c r="H51" s="306">
        <v>501000</v>
      </c>
      <c r="I51" s="306">
        <v>0</v>
      </c>
      <c r="J51" s="306">
        <v>195000</v>
      </c>
      <c r="K51" s="306">
        <v>956000</v>
      </c>
      <c r="L51" s="306">
        <v>0</v>
      </c>
      <c r="M51" s="306">
        <v>0</v>
      </c>
      <c r="N51" s="306">
        <v>0</v>
      </c>
    </row>
    <row r="52" spans="1:14" ht="13.2">
      <c r="A52" s="306" t="s">
        <v>2</v>
      </c>
      <c r="B52" s="306" t="s">
        <v>319</v>
      </c>
      <c r="C52" s="306">
        <v>0</v>
      </c>
      <c r="D52" s="306">
        <v>0</v>
      </c>
      <c r="E52" s="306">
        <v>0</v>
      </c>
      <c r="F52" s="306">
        <v>0</v>
      </c>
      <c r="G52" s="306">
        <v>0</v>
      </c>
      <c r="H52" s="306">
        <v>224000</v>
      </c>
      <c r="I52" s="306">
        <v>0</v>
      </c>
      <c r="J52" s="306">
        <v>0</v>
      </c>
      <c r="K52" s="306">
        <v>347000</v>
      </c>
      <c r="L52" s="306">
        <v>0</v>
      </c>
      <c r="M52" s="306">
        <v>0</v>
      </c>
      <c r="N52" s="306">
        <v>0</v>
      </c>
    </row>
    <row r="53" spans="1:14" ht="13.2">
      <c r="A53" s="306" t="s">
        <v>2</v>
      </c>
      <c r="B53" s="306" t="s">
        <v>320</v>
      </c>
      <c r="C53" s="306">
        <v>0</v>
      </c>
      <c r="D53" s="306">
        <v>0</v>
      </c>
      <c r="E53" s="306">
        <v>0</v>
      </c>
      <c r="F53" s="306">
        <v>0</v>
      </c>
      <c r="G53" s="306">
        <v>0</v>
      </c>
      <c r="H53" s="306">
        <v>656150</v>
      </c>
      <c r="I53" s="306">
        <v>0</v>
      </c>
      <c r="J53" s="306">
        <v>0</v>
      </c>
      <c r="K53" s="306">
        <v>0</v>
      </c>
      <c r="L53" s="306">
        <v>0</v>
      </c>
      <c r="M53" s="306">
        <v>0</v>
      </c>
      <c r="N53" s="306">
        <v>0</v>
      </c>
    </row>
    <row r="54" spans="1:14" ht="13.2">
      <c r="A54" s="306" t="s">
        <v>2</v>
      </c>
      <c r="B54" s="306" t="s">
        <v>321</v>
      </c>
      <c r="C54" s="306">
        <v>0</v>
      </c>
      <c r="D54" s="306">
        <v>0</v>
      </c>
      <c r="E54" s="306">
        <v>0</v>
      </c>
      <c r="F54" s="306">
        <v>0</v>
      </c>
      <c r="G54" s="306">
        <v>0</v>
      </c>
      <c r="H54" s="306">
        <v>130735</v>
      </c>
      <c r="I54" s="306">
        <v>0</v>
      </c>
      <c r="J54" s="306">
        <v>0</v>
      </c>
      <c r="K54" s="306">
        <v>0</v>
      </c>
      <c r="L54" s="306">
        <v>0</v>
      </c>
      <c r="M54" s="306">
        <v>0</v>
      </c>
      <c r="N54" s="306">
        <v>0</v>
      </c>
    </row>
    <row r="55" spans="1:14" ht="13.2">
      <c r="A55" s="306" t="s">
        <v>2</v>
      </c>
      <c r="B55" s="306" t="s">
        <v>322</v>
      </c>
      <c r="C55" s="306">
        <v>0</v>
      </c>
      <c r="D55" s="306">
        <v>0</v>
      </c>
      <c r="E55" s="306">
        <v>0</v>
      </c>
      <c r="F55" s="306">
        <v>0</v>
      </c>
      <c r="G55" s="306">
        <v>0</v>
      </c>
      <c r="H55" s="306">
        <v>207051</v>
      </c>
      <c r="I55" s="306">
        <v>8149</v>
      </c>
      <c r="J55" s="306">
        <v>0</v>
      </c>
      <c r="K55" s="306">
        <v>0</v>
      </c>
      <c r="L55" s="306">
        <v>0</v>
      </c>
      <c r="M55" s="306">
        <v>0</v>
      </c>
      <c r="N55" s="306">
        <v>0</v>
      </c>
    </row>
    <row r="56" spans="1:14" ht="13.2">
      <c r="A56" s="306" t="s">
        <v>2</v>
      </c>
      <c r="B56" s="306" t="s">
        <v>323</v>
      </c>
      <c r="C56" s="306">
        <v>0</v>
      </c>
      <c r="D56" s="306">
        <v>0</v>
      </c>
      <c r="E56" s="306">
        <v>0</v>
      </c>
      <c r="F56" s="306">
        <v>0</v>
      </c>
      <c r="G56" s="306">
        <v>0</v>
      </c>
      <c r="H56" s="306">
        <v>0</v>
      </c>
      <c r="I56" s="306">
        <v>15000000</v>
      </c>
      <c r="J56" s="306">
        <v>6000000</v>
      </c>
      <c r="K56" s="306">
        <v>14000000</v>
      </c>
      <c r="L56" s="306">
        <v>0</v>
      </c>
      <c r="M56" s="306">
        <v>0</v>
      </c>
      <c r="N56" s="306">
        <v>0</v>
      </c>
    </row>
    <row r="57" spans="1:14" ht="13.2">
      <c r="A57" s="306" t="s">
        <v>2</v>
      </c>
      <c r="B57" s="306" t="s">
        <v>324</v>
      </c>
      <c r="C57" s="306">
        <v>0</v>
      </c>
      <c r="D57" s="306">
        <v>0</v>
      </c>
      <c r="E57" s="306">
        <v>0</v>
      </c>
      <c r="F57" s="306">
        <v>0</v>
      </c>
      <c r="G57" s="306">
        <v>0</v>
      </c>
      <c r="H57" s="306">
        <v>0</v>
      </c>
      <c r="I57" s="306">
        <v>380000</v>
      </c>
      <c r="J57" s="306">
        <v>0</v>
      </c>
      <c r="K57" s="306">
        <v>0</v>
      </c>
      <c r="L57" s="306">
        <v>0</v>
      </c>
      <c r="M57" s="306">
        <v>0</v>
      </c>
      <c r="N57" s="306">
        <v>0</v>
      </c>
    </row>
    <row r="58" spans="1:14" ht="13.2">
      <c r="A58" s="306" t="s">
        <v>2</v>
      </c>
      <c r="B58" s="306" t="s">
        <v>325</v>
      </c>
      <c r="C58" s="306">
        <v>0</v>
      </c>
      <c r="D58" s="306">
        <v>0</v>
      </c>
      <c r="E58" s="306">
        <v>0</v>
      </c>
      <c r="F58" s="306">
        <v>0</v>
      </c>
      <c r="G58" s="306">
        <v>0</v>
      </c>
      <c r="H58" s="306">
        <v>0</v>
      </c>
      <c r="I58" s="306">
        <v>843012</v>
      </c>
      <c r="J58" s="306">
        <v>0</v>
      </c>
      <c r="K58" s="306">
        <v>0</v>
      </c>
      <c r="L58" s="306">
        <v>0</v>
      </c>
      <c r="M58" s="306">
        <v>0</v>
      </c>
      <c r="N58" s="306">
        <v>0</v>
      </c>
    </row>
    <row r="59" spans="1:14" ht="13.2">
      <c r="A59" s="306" t="s">
        <v>2</v>
      </c>
      <c r="B59" s="306" t="s">
        <v>326</v>
      </c>
      <c r="C59" s="306">
        <v>0</v>
      </c>
      <c r="D59" s="306">
        <v>0</v>
      </c>
      <c r="E59" s="306">
        <v>0</v>
      </c>
      <c r="F59" s="306">
        <v>0</v>
      </c>
      <c r="G59" s="306">
        <v>0</v>
      </c>
      <c r="H59" s="306">
        <v>0</v>
      </c>
      <c r="I59" s="306">
        <v>399532</v>
      </c>
      <c r="J59" s="306">
        <v>0</v>
      </c>
      <c r="K59" s="306">
        <v>0</v>
      </c>
      <c r="L59" s="306">
        <v>0</v>
      </c>
      <c r="M59" s="306">
        <v>0</v>
      </c>
      <c r="N59" s="306">
        <v>0</v>
      </c>
    </row>
    <row r="60" spans="1:14" ht="13.2">
      <c r="A60" s="306" t="s">
        <v>2</v>
      </c>
      <c r="B60" s="306" t="s">
        <v>327</v>
      </c>
      <c r="C60" s="306">
        <v>0</v>
      </c>
      <c r="D60" s="306">
        <v>0</v>
      </c>
      <c r="E60" s="306">
        <v>0</v>
      </c>
      <c r="F60" s="306">
        <v>0</v>
      </c>
      <c r="G60" s="306">
        <v>0</v>
      </c>
      <c r="H60" s="306">
        <v>0</v>
      </c>
      <c r="I60" s="306">
        <v>0</v>
      </c>
      <c r="J60" s="306">
        <v>2000000</v>
      </c>
      <c r="K60" s="306">
        <v>0</v>
      </c>
      <c r="L60" s="306">
        <v>0</v>
      </c>
      <c r="M60" s="306">
        <v>0</v>
      </c>
      <c r="N60" s="306">
        <v>0</v>
      </c>
    </row>
    <row r="61" spans="1:14" ht="13.2">
      <c r="A61" s="306" t="s">
        <v>2</v>
      </c>
      <c r="B61" s="306" t="s">
        <v>328</v>
      </c>
      <c r="C61" s="306">
        <v>0</v>
      </c>
      <c r="D61" s="306">
        <v>0</v>
      </c>
      <c r="E61" s="306">
        <v>0</v>
      </c>
      <c r="F61" s="306">
        <v>0</v>
      </c>
      <c r="G61" s="306">
        <v>0</v>
      </c>
      <c r="H61" s="306">
        <v>0</v>
      </c>
      <c r="I61" s="306">
        <v>0</v>
      </c>
      <c r="J61" s="306">
        <v>110000</v>
      </c>
      <c r="K61" s="306">
        <v>0</v>
      </c>
      <c r="L61" s="306">
        <v>0</v>
      </c>
      <c r="M61" s="306">
        <v>0</v>
      </c>
      <c r="N61" s="306">
        <v>0</v>
      </c>
    </row>
    <row r="62" spans="1:14" ht="13.2">
      <c r="A62" s="306" t="s">
        <v>2</v>
      </c>
      <c r="B62" s="306" t="s">
        <v>329</v>
      </c>
      <c r="C62" s="306">
        <v>0</v>
      </c>
      <c r="D62" s="306">
        <v>0</v>
      </c>
      <c r="E62" s="306">
        <v>0</v>
      </c>
      <c r="F62" s="306">
        <v>0</v>
      </c>
      <c r="G62" s="306">
        <v>0</v>
      </c>
      <c r="H62" s="306">
        <v>0</v>
      </c>
      <c r="I62" s="306">
        <v>0</v>
      </c>
      <c r="J62" s="306">
        <v>100870</v>
      </c>
      <c r="K62" s="306">
        <v>0</v>
      </c>
      <c r="L62" s="306">
        <v>0</v>
      </c>
      <c r="M62" s="306">
        <v>0</v>
      </c>
      <c r="N62" s="306">
        <v>0</v>
      </c>
    </row>
    <row r="63" spans="1:14" ht="13.2">
      <c r="A63" s="306" t="s">
        <v>2</v>
      </c>
      <c r="B63" s="306" t="s">
        <v>330</v>
      </c>
      <c r="C63" s="306">
        <v>0</v>
      </c>
      <c r="D63" s="306">
        <v>0</v>
      </c>
      <c r="E63" s="306">
        <v>0</v>
      </c>
      <c r="F63" s="306">
        <v>0</v>
      </c>
      <c r="G63" s="306">
        <v>0</v>
      </c>
      <c r="H63" s="306">
        <v>0</v>
      </c>
      <c r="I63" s="306">
        <v>0</v>
      </c>
      <c r="J63" s="306">
        <v>379919</v>
      </c>
      <c r="K63" s="306">
        <v>0</v>
      </c>
      <c r="L63" s="306">
        <v>0</v>
      </c>
      <c r="M63" s="306">
        <v>0</v>
      </c>
      <c r="N63" s="306">
        <v>0</v>
      </c>
    </row>
    <row r="64" spans="1:14" ht="13.2">
      <c r="A64" s="306" t="s">
        <v>2</v>
      </c>
      <c r="B64" s="306" t="s">
        <v>331</v>
      </c>
      <c r="C64" s="306">
        <v>0</v>
      </c>
      <c r="D64" s="306">
        <v>0</v>
      </c>
      <c r="E64" s="306">
        <v>0</v>
      </c>
      <c r="F64" s="306">
        <v>0</v>
      </c>
      <c r="G64" s="306">
        <v>0</v>
      </c>
      <c r="H64" s="306">
        <v>0</v>
      </c>
      <c r="I64" s="306">
        <v>0</v>
      </c>
      <c r="J64" s="306">
        <v>1607560</v>
      </c>
      <c r="K64" s="306">
        <v>0</v>
      </c>
      <c r="L64" s="306">
        <v>0</v>
      </c>
      <c r="M64" s="306">
        <v>0</v>
      </c>
      <c r="N64" s="306">
        <v>0</v>
      </c>
    </row>
    <row r="65" spans="1:14" ht="13.2">
      <c r="A65" s="306" t="s">
        <v>2</v>
      </c>
      <c r="B65" s="306" t="s">
        <v>332</v>
      </c>
      <c r="C65" s="306">
        <v>0</v>
      </c>
      <c r="D65" s="306">
        <v>0</v>
      </c>
      <c r="E65" s="306">
        <v>0</v>
      </c>
      <c r="F65" s="306">
        <v>0</v>
      </c>
      <c r="G65" s="306">
        <v>0</v>
      </c>
      <c r="H65" s="306">
        <v>0</v>
      </c>
      <c r="I65" s="306">
        <v>0</v>
      </c>
      <c r="J65" s="306">
        <v>220000</v>
      </c>
      <c r="K65" s="306">
        <v>0</v>
      </c>
      <c r="L65" s="306">
        <v>0</v>
      </c>
      <c r="M65" s="306">
        <v>0</v>
      </c>
      <c r="N65" s="306">
        <v>0</v>
      </c>
    </row>
    <row r="66" spans="1:14" ht="13.2">
      <c r="A66" s="306" t="s">
        <v>2</v>
      </c>
      <c r="B66" s="306" t="s">
        <v>333</v>
      </c>
      <c r="C66" s="306">
        <v>0</v>
      </c>
      <c r="D66" s="306">
        <v>0</v>
      </c>
      <c r="E66" s="306">
        <v>0</v>
      </c>
      <c r="F66" s="306">
        <v>0</v>
      </c>
      <c r="G66" s="306">
        <v>0</v>
      </c>
      <c r="H66" s="306">
        <v>0</v>
      </c>
      <c r="I66" s="306">
        <v>0</v>
      </c>
      <c r="J66" s="306">
        <v>0</v>
      </c>
      <c r="K66" s="306">
        <v>5844</v>
      </c>
      <c r="L66" s="306">
        <v>0</v>
      </c>
      <c r="M66" s="306">
        <v>0</v>
      </c>
      <c r="N66" s="306">
        <v>0</v>
      </c>
    </row>
    <row r="67" spans="1:14" ht="13.2">
      <c r="A67" s="306" t="s">
        <v>2</v>
      </c>
      <c r="B67" s="306" t="s">
        <v>334</v>
      </c>
      <c r="C67" s="306">
        <v>0</v>
      </c>
      <c r="D67" s="306">
        <v>0</v>
      </c>
      <c r="E67" s="306">
        <v>0</v>
      </c>
      <c r="F67" s="306">
        <v>0</v>
      </c>
      <c r="G67" s="306">
        <v>0</v>
      </c>
      <c r="H67" s="306">
        <v>0</v>
      </c>
      <c r="I67" s="306">
        <v>0</v>
      </c>
      <c r="J67" s="306">
        <v>0</v>
      </c>
      <c r="K67" s="306">
        <v>100000</v>
      </c>
      <c r="L67" s="306">
        <v>0</v>
      </c>
      <c r="M67" s="306">
        <v>0</v>
      </c>
      <c r="N67" s="306">
        <v>0</v>
      </c>
    </row>
    <row r="68" spans="1:14" ht="13.2">
      <c r="A68" s="306" t="s">
        <v>2</v>
      </c>
      <c r="B68" s="306" t="s">
        <v>335</v>
      </c>
      <c r="C68" s="306">
        <v>0</v>
      </c>
      <c r="D68" s="306">
        <v>0</v>
      </c>
      <c r="E68" s="306">
        <v>0</v>
      </c>
      <c r="F68" s="306">
        <v>0</v>
      </c>
      <c r="G68" s="306">
        <v>0</v>
      </c>
      <c r="H68" s="306">
        <v>0</v>
      </c>
      <c r="I68" s="306">
        <v>0</v>
      </c>
      <c r="J68" s="306">
        <v>0</v>
      </c>
      <c r="K68" s="306">
        <v>1300000</v>
      </c>
      <c r="L68" s="306">
        <v>0</v>
      </c>
      <c r="M68" s="306">
        <v>0</v>
      </c>
      <c r="N68" s="306">
        <v>0</v>
      </c>
    </row>
    <row r="69" spans="1:14" ht="13.2">
      <c r="A69" s="306" t="s">
        <v>2</v>
      </c>
      <c r="B69" s="306" t="s">
        <v>336</v>
      </c>
      <c r="C69" s="306">
        <v>7275843</v>
      </c>
      <c r="D69" s="306">
        <v>0</v>
      </c>
      <c r="E69" s="306">
        <v>1283411</v>
      </c>
      <c r="F69" s="306">
        <v>0</v>
      </c>
      <c r="G69" s="306">
        <v>0</v>
      </c>
      <c r="H69" s="306">
        <v>0</v>
      </c>
      <c r="I69" s="306">
        <v>0</v>
      </c>
      <c r="J69" s="306">
        <v>0</v>
      </c>
      <c r="K69" s="306">
        <v>0</v>
      </c>
      <c r="L69" s="306">
        <v>0</v>
      </c>
      <c r="M69" s="306">
        <v>0</v>
      </c>
      <c r="N69" s="306">
        <v>0</v>
      </c>
    </row>
    <row r="70" spans="1:14" ht="13.2">
      <c r="A70" s="306" t="s">
        <v>2</v>
      </c>
      <c r="B70" s="306" t="s">
        <v>337</v>
      </c>
      <c r="C70" s="306">
        <v>1192070</v>
      </c>
      <c r="D70" s="306">
        <v>0</v>
      </c>
      <c r="E70" s="306">
        <v>0</v>
      </c>
      <c r="F70" s="306">
        <v>0</v>
      </c>
      <c r="G70" s="306">
        <v>0</v>
      </c>
      <c r="H70" s="306">
        <v>0</v>
      </c>
      <c r="I70" s="306">
        <v>0</v>
      </c>
      <c r="J70" s="306">
        <v>0</v>
      </c>
      <c r="K70" s="306">
        <v>0</v>
      </c>
      <c r="L70" s="306">
        <v>0</v>
      </c>
      <c r="M70" s="306">
        <v>0</v>
      </c>
      <c r="N70" s="306">
        <v>0</v>
      </c>
    </row>
    <row r="71" spans="1:14" ht="13.2">
      <c r="A71" s="306" t="s">
        <v>2</v>
      </c>
      <c r="B71" s="306" t="s">
        <v>338</v>
      </c>
      <c r="C71" s="306">
        <v>0</v>
      </c>
      <c r="D71" s="306">
        <v>127737</v>
      </c>
      <c r="E71" s="306">
        <v>0</v>
      </c>
      <c r="F71" s="306">
        <v>0</v>
      </c>
      <c r="G71" s="306">
        <v>0</v>
      </c>
      <c r="H71" s="306">
        <v>0</v>
      </c>
      <c r="I71" s="306">
        <v>0</v>
      </c>
      <c r="J71" s="306">
        <v>0</v>
      </c>
      <c r="K71" s="306">
        <v>0</v>
      </c>
      <c r="L71" s="306">
        <v>0</v>
      </c>
      <c r="M71" s="306">
        <v>0</v>
      </c>
      <c r="N71" s="306">
        <v>0</v>
      </c>
    </row>
    <row r="72" spans="1:14" ht="13.2">
      <c r="A72" s="306" t="s">
        <v>2</v>
      </c>
      <c r="B72" s="306" t="s">
        <v>339</v>
      </c>
      <c r="C72" s="306">
        <v>0</v>
      </c>
      <c r="D72" s="306">
        <v>2073542</v>
      </c>
      <c r="E72" s="306">
        <v>0</v>
      </c>
      <c r="F72" s="306">
        <v>0</v>
      </c>
      <c r="G72" s="306">
        <v>0</v>
      </c>
      <c r="H72" s="306">
        <v>0</v>
      </c>
      <c r="I72" s="306">
        <v>0</v>
      </c>
      <c r="J72" s="306">
        <v>0</v>
      </c>
      <c r="K72" s="306">
        <v>0</v>
      </c>
      <c r="L72" s="306">
        <v>0</v>
      </c>
      <c r="M72" s="306">
        <v>0</v>
      </c>
      <c r="N72" s="306">
        <v>0</v>
      </c>
    </row>
    <row r="73" spans="1:14" ht="13.2">
      <c r="A73" s="306" t="s">
        <v>2</v>
      </c>
      <c r="B73" s="306" t="s">
        <v>340</v>
      </c>
      <c r="C73" s="306">
        <v>0</v>
      </c>
      <c r="D73" s="306">
        <v>55000</v>
      </c>
      <c r="E73" s="306">
        <v>0</v>
      </c>
      <c r="F73" s="306">
        <v>0</v>
      </c>
      <c r="G73" s="306">
        <v>0</v>
      </c>
      <c r="H73" s="306">
        <v>0</v>
      </c>
      <c r="I73" s="306">
        <v>0</v>
      </c>
      <c r="J73" s="306">
        <v>0</v>
      </c>
      <c r="K73" s="306">
        <v>0</v>
      </c>
      <c r="L73" s="306">
        <v>0</v>
      </c>
      <c r="M73" s="306">
        <v>0</v>
      </c>
      <c r="N73" s="306">
        <v>0</v>
      </c>
    </row>
    <row r="74" spans="1:14" ht="13.2">
      <c r="A74" s="306" t="s">
        <v>2</v>
      </c>
      <c r="B74" s="306" t="s">
        <v>341</v>
      </c>
      <c r="C74" s="306">
        <v>0</v>
      </c>
      <c r="D74" s="306">
        <v>0</v>
      </c>
      <c r="E74" s="306">
        <v>8000000</v>
      </c>
      <c r="F74" s="306">
        <v>6175000</v>
      </c>
      <c r="G74" s="306">
        <v>0</v>
      </c>
      <c r="H74" s="306">
        <v>6175000</v>
      </c>
      <c r="I74" s="306">
        <v>0</v>
      </c>
      <c r="J74" s="306">
        <v>0</v>
      </c>
      <c r="K74" s="306">
        <v>0</v>
      </c>
      <c r="L74" s="306">
        <v>0</v>
      </c>
      <c r="M74" s="306">
        <v>0</v>
      </c>
      <c r="N74" s="306">
        <v>0</v>
      </c>
    </row>
    <row r="75" spans="1:14" ht="13.2">
      <c r="A75" s="306" t="s">
        <v>2</v>
      </c>
      <c r="B75" s="306" t="s">
        <v>342</v>
      </c>
      <c r="C75" s="306">
        <v>0</v>
      </c>
      <c r="D75" s="306">
        <v>0</v>
      </c>
      <c r="E75" s="306">
        <v>0</v>
      </c>
      <c r="F75" s="306">
        <v>0</v>
      </c>
      <c r="G75" s="306">
        <v>414710</v>
      </c>
      <c r="H75" s="306">
        <v>0</v>
      </c>
      <c r="I75" s="306">
        <v>0</v>
      </c>
      <c r="J75" s="306">
        <v>0</v>
      </c>
      <c r="K75" s="306">
        <v>0</v>
      </c>
      <c r="L75" s="306">
        <v>0</v>
      </c>
      <c r="M75" s="306">
        <v>0</v>
      </c>
      <c r="N75" s="306">
        <v>0</v>
      </c>
    </row>
    <row r="76" spans="1:14" ht="13.2">
      <c r="A76" s="306" t="s">
        <v>2</v>
      </c>
      <c r="B76" s="306" t="s">
        <v>343</v>
      </c>
      <c r="C76" s="306">
        <v>0</v>
      </c>
      <c r="D76" s="306">
        <v>0</v>
      </c>
      <c r="E76" s="306">
        <v>0</v>
      </c>
      <c r="F76" s="306">
        <v>0</v>
      </c>
      <c r="G76" s="306">
        <v>0</v>
      </c>
      <c r="H76" s="306">
        <v>2095490</v>
      </c>
      <c r="I76" s="306">
        <v>0</v>
      </c>
      <c r="J76" s="306">
        <v>0</v>
      </c>
      <c r="K76" s="306">
        <v>0</v>
      </c>
      <c r="L76" s="306">
        <v>0</v>
      </c>
      <c r="M76" s="306">
        <v>0</v>
      </c>
      <c r="N76" s="306">
        <v>0</v>
      </c>
    </row>
    <row r="77" spans="1:14" ht="13.2">
      <c r="A77" s="306" t="s">
        <v>2</v>
      </c>
      <c r="B77" s="306" t="s">
        <v>344</v>
      </c>
      <c r="C77" s="306">
        <v>0</v>
      </c>
      <c r="D77" s="306">
        <v>0</v>
      </c>
      <c r="E77" s="306">
        <v>0</v>
      </c>
      <c r="F77" s="306">
        <v>0</v>
      </c>
      <c r="G77" s="306">
        <v>0</v>
      </c>
      <c r="H77" s="306">
        <v>0</v>
      </c>
      <c r="I77" s="306">
        <v>8418559</v>
      </c>
      <c r="J77" s="306">
        <v>0</v>
      </c>
      <c r="K77" s="306">
        <v>0</v>
      </c>
      <c r="L77" s="306">
        <v>0</v>
      </c>
      <c r="M77" s="306">
        <v>0</v>
      </c>
      <c r="N77" s="306">
        <v>0</v>
      </c>
    </row>
    <row r="78" spans="1:14" ht="13.2">
      <c r="A78" s="306" t="s">
        <v>2</v>
      </c>
      <c r="B78" s="306" t="s">
        <v>345</v>
      </c>
      <c r="C78" s="306">
        <v>0</v>
      </c>
      <c r="D78" s="306">
        <v>0</v>
      </c>
      <c r="E78" s="306">
        <v>0</v>
      </c>
      <c r="F78" s="306">
        <v>0</v>
      </c>
      <c r="G78" s="306">
        <v>0</v>
      </c>
      <c r="H78" s="306">
        <v>0</v>
      </c>
      <c r="I78" s="306">
        <v>20000000</v>
      </c>
      <c r="J78" s="306">
        <v>0</v>
      </c>
      <c r="K78" s="306">
        <v>0</v>
      </c>
      <c r="L78" s="306">
        <v>0</v>
      </c>
      <c r="M78" s="306">
        <v>0</v>
      </c>
      <c r="N78" s="306">
        <v>0</v>
      </c>
    </row>
    <row r="79" spans="1:14" ht="13.2">
      <c r="A79" s="306" t="s">
        <v>2</v>
      </c>
      <c r="B79" s="306" t="s">
        <v>346</v>
      </c>
      <c r="C79" s="306">
        <v>0</v>
      </c>
      <c r="D79" s="306">
        <v>0</v>
      </c>
      <c r="E79" s="306">
        <v>0</v>
      </c>
      <c r="F79" s="306">
        <v>206910</v>
      </c>
      <c r="G79" s="306">
        <v>0</v>
      </c>
      <c r="H79" s="306">
        <v>0</v>
      </c>
      <c r="I79" s="306">
        <v>0</v>
      </c>
      <c r="J79" s="306">
        <v>0</v>
      </c>
      <c r="K79" s="306">
        <v>0</v>
      </c>
      <c r="L79" s="306">
        <v>0</v>
      </c>
      <c r="M79" s="306">
        <v>0</v>
      </c>
      <c r="N79" s="306">
        <v>0</v>
      </c>
    </row>
    <row r="80" spans="1:14" ht="13.2">
      <c r="A80" s="306" t="s">
        <v>2</v>
      </c>
      <c r="B80" s="306" t="s">
        <v>347</v>
      </c>
      <c r="C80" s="306">
        <v>0</v>
      </c>
      <c r="D80" s="306">
        <v>0</v>
      </c>
      <c r="E80" s="306">
        <v>0</v>
      </c>
      <c r="F80" s="306">
        <v>0</v>
      </c>
      <c r="G80" s="306">
        <v>0</v>
      </c>
      <c r="H80" s="306">
        <v>0</v>
      </c>
      <c r="I80" s="306">
        <v>0</v>
      </c>
      <c r="J80" s="306">
        <v>16000000</v>
      </c>
      <c r="K80" s="306">
        <v>0</v>
      </c>
      <c r="L80" s="306">
        <v>0</v>
      </c>
      <c r="M80" s="306">
        <v>0</v>
      </c>
      <c r="N80" s="306">
        <v>0</v>
      </c>
    </row>
    <row r="81" spans="1:14" ht="13.2">
      <c r="A81" s="306" t="s">
        <v>2</v>
      </c>
      <c r="B81" s="306" t="s">
        <v>348</v>
      </c>
      <c r="C81" s="306">
        <v>0</v>
      </c>
      <c r="D81" s="306">
        <v>0</v>
      </c>
      <c r="E81" s="306">
        <v>0</v>
      </c>
      <c r="F81" s="306">
        <v>0</v>
      </c>
      <c r="G81" s="306">
        <v>0</v>
      </c>
      <c r="H81" s="306">
        <v>0</v>
      </c>
      <c r="I81" s="306">
        <v>0</v>
      </c>
      <c r="J81" s="306">
        <v>0</v>
      </c>
      <c r="K81" s="306">
        <v>111650</v>
      </c>
      <c r="L81" s="306">
        <v>0</v>
      </c>
      <c r="M81" s="306">
        <v>0</v>
      </c>
      <c r="N81" s="306">
        <v>0</v>
      </c>
    </row>
    <row r="82" spans="1:14" ht="13.2">
      <c r="A82" s="306" t="s">
        <v>3</v>
      </c>
      <c r="B82" s="306" t="s">
        <v>349</v>
      </c>
      <c r="C82" s="306">
        <v>46118</v>
      </c>
      <c r="D82" s="306">
        <v>0</v>
      </c>
      <c r="E82" s="306">
        <v>0</v>
      </c>
      <c r="F82" s="306">
        <v>0</v>
      </c>
      <c r="G82" s="306">
        <v>0</v>
      </c>
      <c r="H82" s="306">
        <v>0</v>
      </c>
      <c r="I82" s="306">
        <v>0</v>
      </c>
      <c r="J82" s="306">
        <v>0</v>
      </c>
      <c r="K82" s="306">
        <v>0</v>
      </c>
      <c r="L82" s="306">
        <v>0</v>
      </c>
      <c r="M82" s="306">
        <v>0</v>
      </c>
      <c r="N82" s="306">
        <v>0</v>
      </c>
    </row>
    <row r="83" spans="1:14" ht="13.2">
      <c r="A83" s="306" t="s">
        <v>3</v>
      </c>
      <c r="B83" s="306" t="s">
        <v>350</v>
      </c>
      <c r="C83" s="306">
        <v>0</v>
      </c>
      <c r="D83" s="306">
        <v>0</v>
      </c>
      <c r="E83" s="306">
        <v>550</v>
      </c>
      <c r="F83" s="306">
        <v>0</v>
      </c>
      <c r="G83" s="306">
        <v>0</v>
      </c>
      <c r="H83" s="306">
        <v>0</v>
      </c>
      <c r="I83" s="306">
        <v>0</v>
      </c>
      <c r="J83" s="306">
        <v>0</v>
      </c>
      <c r="K83" s="306">
        <v>0</v>
      </c>
      <c r="L83" s="306">
        <v>0</v>
      </c>
      <c r="M83" s="306">
        <v>0</v>
      </c>
      <c r="N83" s="306">
        <v>0</v>
      </c>
    </row>
    <row r="84" spans="1:14" ht="13.2">
      <c r="A84" s="306" t="s">
        <v>3</v>
      </c>
      <c r="B84" s="306" t="s">
        <v>351</v>
      </c>
      <c r="C84" s="306">
        <v>0</v>
      </c>
      <c r="D84" s="306">
        <v>0</v>
      </c>
      <c r="E84" s="306">
        <v>450</v>
      </c>
      <c r="F84" s="306">
        <v>0</v>
      </c>
      <c r="G84" s="306">
        <v>0</v>
      </c>
      <c r="H84" s="306">
        <v>0</v>
      </c>
      <c r="I84" s="306">
        <v>0</v>
      </c>
      <c r="J84" s="306">
        <v>0</v>
      </c>
      <c r="K84" s="306">
        <v>0</v>
      </c>
      <c r="L84" s="306">
        <v>0</v>
      </c>
      <c r="M84" s="306">
        <v>0</v>
      </c>
      <c r="N84" s="306">
        <v>0</v>
      </c>
    </row>
    <row r="85" spans="1:14" ht="13.2">
      <c r="A85" s="306" t="s">
        <v>3</v>
      </c>
      <c r="B85" s="306" t="s">
        <v>352</v>
      </c>
      <c r="C85" s="306">
        <v>0</v>
      </c>
      <c r="D85" s="306">
        <v>0</v>
      </c>
      <c r="E85" s="306">
        <v>46118</v>
      </c>
      <c r="F85" s="306">
        <v>46113</v>
      </c>
      <c r="G85" s="306">
        <v>46113</v>
      </c>
      <c r="H85" s="306">
        <v>46107</v>
      </c>
      <c r="I85" s="306">
        <v>46118</v>
      </c>
      <c r="J85" s="306">
        <v>46113</v>
      </c>
      <c r="K85" s="306">
        <v>46118</v>
      </c>
      <c r="L85" s="306">
        <v>0</v>
      </c>
      <c r="M85" s="306">
        <v>0</v>
      </c>
      <c r="N85" s="306">
        <v>0</v>
      </c>
    </row>
    <row r="86" spans="1:14" ht="13.2">
      <c r="A86" s="306" t="s">
        <v>3</v>
      </c>
      <c r="B86" s="306" t="s">
        <v>353</v>
      </c>
      <c r="C86" s="306">
        <v>0</v>
      </c>
      <c r="D86" s="306">
        <v>440</v>
      </c>
      <c r="E86" s="306">
        <v>0</v>
      </c>
      <c r="F86" s="306">
        <v>0</v>
      </c>
      <c r="G86" s="306">
        <v>0</v>
      </c>
      <c r="H86" s="306">
        <v>0</v>
      </c>
      <c r="I86" s="306">
        <v>0</v>
      </c>
      <c r="J86" s="306">
        <v>0</v>
      </c>
      <c r="K86" s="306">
        <v>0</v>
      </c>
      <c r="L86" s="306">
        <v>0</v>
      </c>
      <c r="M86" s="306">
        <v>0</v>
      </c>
      <c r="N86" s="306">
        <v>0</v>
      </c>
    </row>
    <row r="87" spans="1:14" ht="13.2">
      <c r="A87" s="306" t="s">
        <v>3</v>
      </c>
      <c r="B87" s="306" t="s">
        <v>354</v>
      </c>
      <c r="C87" s="306">
        <v>0</v>
      </c>
      <c r="D87" s="306">
        <v>0</v>
      </c>
      <c r="E87" s="306">
        <v>0</v>
      </c>
      <c r="F87" s="306">
        <v>0</v>
      </c>
      <c r="G87" s="306">
        <v>550</v>
      </c>
      <c r="H87" s="306">
        <v>0</v>
      </c>
      <c r="I87" s="306">
        <v>0</v>
      </c>
      <c r="J87" s="306">
        <v>0</v>
      </c>
      <c r="K87" s="306">
        <v>0</v>
      </c>
      <c r="L87" s="306">
        <v>0</v>
      </c>
      <c r="M87" s="306">
        <v>0</v>
      </c>
      <c r="N87" s="306">
        <v>0</v>
      </c>
    </row>
    <row r="88" spans="1:14" ht="13.2">
      <c r="A88" s="306" t="s">
        <v>3</v>
      </c>
      <c r="B88" s="306" t="s">
        <v>355</v>
      </c>
      <c r="C88" s="306">
        <v>0</v>
      </c>
      <c r="D88" s="306">
        <v>0</v>
      </c>
      <c r="E88" s="306">
        <v>0</v>
      </c>
      <c r="F88" s="306">
        <v>0</v>
      </c>
      <c r="G88" s="306">
        <v>0</v>
      </c>
      <c r="H88" s="306">
        <v>300000</v>
      </c>
      <c r="I88" s="306">
        <v>0</v>
      </c>
      <c r="J88" s="306">
        <v>0</v>
      </c>
      <c r="K88" s="306">
        <v>0</v>
      </c>
      <c r="L88" s="306">
        <v>0</v>
      </c>
      <c r="M88" s="306">
        <v>0</v>
      </c>
      <c r="N88" s="306">
        <v>0</v>
      </c>
    </row>
    <row r="89" spans="1:14" ht="13.2">
      <c r="A89" s="306" t="s">
        <v>3</v>
      </c>
      <c r="B89" s="306" t="s">
        <v>356</v>
      </c>
      <c r="C89" s="306">
        <v>0</v>
      </c>
      <c r="D89" s="306">
        <v>0</v>
      </c>
      <c r="E89" s="306">
        <v>0</v>
      </c>
      <c r="F89" s="306">
        <v>0</v>
      </c>
      <c r="G89" s="306">
        <v>0</v>
      </c>
      <c r="H89" s="306">
        <v>0</v>
      </c>
      <c r="I89" s="306">
        <v>440</v>
      </c>
      <c r="J89" s="306">
        <v>0</v>
      </c>
      <c r="K89" s="306">
        <v>0</v>
      </c>
      <c r="L89" s="306">
        <v>0</v>
      </c>
      <c r="M89" s="306">
        <v>0</v>
      </c>
      <c r="N89" s="306">
        <v>0</v>
      </c>
    </row>
    <row r="90" spans="1:14" ht="13.2">
      <c r="A90" s="306" t="s">
        <v>3</v>
      </c>
      <c r="B90" s="306" t="s">
        <v>357</v>
      </c>
      <c r="C90" s="306">
        <v>123102</v>
      </c>
      <c r="D90" s="306">
        <v>235220</v>
      </c>
      <c r="E90" s="306">
        <v>0</v>
      </c>
      <c r="F90" s="306">
        <v>0</v>
      </c>
      <c r="G90" s="306">
        <v>0</v>
      </c>
      <c r="H90" s="306">
        <v>0</v>
      </c>
      <c r="I90" s="306">
        <v>0</v>
      </c>
      <c r="J90" s="306">
        <v>0</v>
      </c>
      <c r="K90" s="306">
        <v>0</v>
      </c>
      <c r="L90" s="306">
        <v>0</v>
      </c>
      <c r="M90" s="306">
        <v>0</v>
      </c>
      <c r="N90" s="306">
        <v>0</v>
      </c>
    </row>
    <row r="91" spans="1:14" ht="13.2">
      <c r="A91" s="306" t="s">
        <v>3</v>
      </c>
      <c r="B91" s="306" t="s">
        <v>358</v>
      </c>
      <c r="C91" s="306">
        <v>0</v>
      </c>
      <c r="D91" s="306">
        <v>330</v>
      </c>
      <c r="E91" s="306">
        <v>330</v>
      </c>
      <c r="F91" s="306">
        <v>0</v>
      </c>
      <c r="G91" s="306">
        <v>330</v>
      </c>
      <c r="H91" s="306">
        <v>0</v>
      </c>
      <c r="I91" s="306">
        <v>330</v>
      </c>
      <c r="J91" s="306">
        <v>330</v>
      </c>
      <c r="K91" s="306">
        <v>330</v>
      </c>
      <c r="L91" s="306">
        <v>0</v>
      </c>
      <c r="M91" s="306">
        <v>0</v>
      </c>
      <c r="N91" s="306">
        <v>0</v>
      </c>
    </row>
    <row r="92" spans="1:14" ht="13.2">
      <c r="A92" s="306" t="s">
        <v>3</v>
      </c>
      <c r="B92" s="306" t="s">
        <v>359</v>
      </c>
      <c r="C92" s="306">
        <v>0</v>
      </c>
      <c r="D92" s="306">
        <v>112113</v>
      </c>
      <c r="E92" s="306">
        <v>0</v>
      </c>
      <c r="F92" s="306">
        <v>112113</v>
      </c>
      <c r="G92" s="306">
        <v>224226</v>
      </c>
      <c r="H92" s="306">
        <v>0</v>
      </c>
      <c r="I92" s="306">
        <v>112113</v>
      </c>
      <c r="J92" s="306">
        <v>112113</v>
      </c>
      <c r="K92" s="306">
        <v>112113</v>
      </c>
      <c r="L92" s="306">
        <v>0</v>
      </c>
      <c r="M92" s="306">
        <v>0</v>
      </c>
      <c r="N92" s="306">
        <v>0</v>
      </c>
    </row>
    <row r="93" spans="1:14" ht="13.2">
      <c r="A93" s="306" t="s">
        <v>3</v>
      </c>
      <c r="B93" s="306" t="s">
        <v>360</v>
      </c>
      <c r="C93" s="306">
        <v>0</v>
      </c>
      <c r="D93" s="306">
        <v>0</v>
      </c>
      <c r="E93" s="306">
        <v>70000</v>
      </c>
      <c r="F93" s="306">
        <v>70000</v>
      </c>
      <c r="G93" s="306">
        <v>70000</v>
      </c>
      <c r="H93" s="306">
        <v>70000</v>
      </c>
      <c r="I93" s="306">
        <v>70000</v>
      </c>
      <c r="J93" s="306">
        <v>70000</v>
      </c>
      <c r="K93" s="306">
        <v>70000</v>
      </c>
      <c r="L93" s="306">
        <v>0</v>
      </c>
      <c r="M93" s="306">
        <v>0</v>
      </c>
      <c r="N93" s="306">
        <v>0</v>
      </c>
    </row>
    <row r="94" spans="1:14" ht="13.2">
      <c r="A94" s="306" t="s">
        <v>3</v>
      </c>
      <c r="B94" s="306" t="s">
        <v>361</v>
      </c>
      <c r="C94" s="306">
        <v>0</v>
      </c>
      <c r="D94" s="306">
        <v>0</v>
      </c>
      <c r="E94" s="306">
        <v>53102</v>
      </c>
      <c r="F94" s="306">
        <v>53102</v>
      </c>
      <c r="G94" s="306">
        <v>53102</v>
      </c>
      <c r="H94" s="306">
        <v>53102</v>
      </c>
      <c r="I94" s="306">
        <v>53102</v>
      </c>
      <c r="J94" s="306">
        <v>53102</v>
      </c>
      <c r="K94" s="306">
        <v>53102</v>
      </c>
      <c r="L94" s="306">
        <v>0</v>
      </c>
      <c r="M94" s="306">
        <v>0</v>
      </c>
      <c r="N94" s="306">
        <v>0</v>
      </c>
    </row>
    <row r="95" spans="1:14" ht="13.2">
      <c r="A95" s="306" t="s">
        <v>3</v>
      </c>
      <c r="B95" s="306" t="s">
        <v>362</v>
      </c>
      <c r="C95" s="306">
        <v>0</v>
      </c>
      <c r="D95" s="306">
        <v>0</v>
      </c>
      <c r="E95" s="306">
        <v>330</v>
      </c>
      <c r="F95" s="306">
        <v>0</v>
      </c>
      <c r="G95" s="306">
        <v>0</v>
      </c>
      <c r="H95" s="306">
        <v>0</v>
      </c>
      <c r="I95" s="306">
        <v>0</v>
      </c>
      <c r="J95" s="306">
        <v>0</v>
      </c>
      <c r="K95" s="306">
        <v>0</v>
      </c>
      <c r="L95" s="306">
        <v>0</v>
      </c>
      <c r="M95" s="306">
        <v>0</v>
      </c>
      <c r="N95" s="306">
        <v>0</v>
      </c>
    </row>
    <row r="96" spans="1:14" ht="13.2">
      <c r="A96" s="306" t="s">
        <v>3</v>
      </c>
      <c r="B96" s="306" t="s">
        <v>363</v>
      </c>
      <c r="C96" s="306">
        <v>0</v>
      </c>
      <c r="D96" s="306">
        <v>0</v>
      </c>
      <c r="E96" s="306">
        <v>330</v>
      </c>
      <c r="F96" s="306">
        <v>0</v>
      </c>
      <c r="G96" s="306">
        <v>0</v>
      </c>
      <c r="H96" s="306">
        <v>0</v>
      </c>
      <c r="I96" s="306">
        <v>330</v>
      </c>
      <c r="J96" s="306">
        <v>0</v>
      </c>
      <c r="K96" s="306">
        <v>330</v>
      </c>
      <c r="L96" s="306">
        <v>0</v>
      </c>
      <c r="M96" s="306">
        <v>0</v>
      </c>
      <c r="N96" s="306">
        <v>0</v>
      </c>
    </row>
    <row r="97" spans="1:14" ht="13.2">
      <c r="A97" s="306" t="s">
        <v>3</v>
      </c>
      <c r="B97" s="306" t="s">
        <v>364</v>
      </c>
      <c r="C97" s="306">
        <v>0</v>
      </c>
      <c r="D97" s="306">
        <v>0</v>
      </c>
      <c r="E97" s="306">
        <v>330</v>
      </c>
      <c r="F97" s="306">
        <v>0</v>
      </c>
      <c r="G97" s="306">
        <v>0</v>
      </c>
      <c r="H97" s="306">
        <v>0</v>
      </c>
      <c r="I97" s="306">
        <v>0</v>
      </c>
      <c r="J97" s="306">
        <v>0</v>
      </c>
      <c r="K97" s="306">
        <v>330</v>
      </c>
      <c r="L97" s="306">
        <v>0</v>
      </c>
      <c r="M97" s="306">
        <v>0</v>
      </c>
      <c r="N97" s="306">
        <v>0</v>
      </c>
    </row>
    <row r="98" spans="1:14" ht="13.2">
      <c r="A98" s="306" t="s">
        <v>3</v>
      </c>
      <c r="B98" s="306" t="s">
        <v>365</v>
      </c>
      <c r="C98" s="306">
        <v>0</v>
      </c>
      <c r="D98" s="306">
        <v>0</v>
      </c>
      <c r="E98" s="306">
        <v>0</v>
      </c>
      <c r="F98" s="306">
        <v>605</v>
      </c>
      <c r="G98" s="306">
        <v>0</v>
      </c>
      <c r="H98" s="306">
        <v>0</v>
      </c>
      <c r="I98" s="306">
        <v>0</v>
      </c>
      <c r="J98" s="306">
        <v>0</v>
      </c>
      <c r="K98" s="306">
        <v>0</v>
      </c>
      <c r="L98" s="306">
        <v>0</v>
      </c>
      <c r="M98" s="306">
        <v>0</v>
      </c>
      <c r="N98" s="306">
        <v>0</v>
      </c>
    </row>
    <row r="99" spans="1:14" ht="13.2">
      <c r="A99" s="306" t="s">
        <v>3</v>
      </c>
      <c r="B99" s="306" t="s">
        <v>366</v>
      </c>
      <c r="C99" s="306">
        <v>0</v>
      </c>
      <c r="D99" s="306">
        <v>0</v>
      </c>
      <c r="E99" s="306">
        <v>0</v>
      </c>
      <c r="F99" s="306">
        <v>605</v>
      </c>
      <c r="G99" s="306">
        <v>0</v>
      </c>
      <c r="H99" s="306">
        <v>0</v>
      </c>
      <c r="I99" s="306">
        <v>0</v>
      </c>
      <c r="J99" s="306">
        <v>0</v>
      </c>
      <c r="K99" s="306">
        <v>0</v>
      </c>
      <c r="L99" s="306">
        <v>0</v>
      </c>
      <c r="M99" s="306">
        <v>0</v>
      </c>
      <c r="N99" s="306">
        <v>0</v>
      </c>
    </row>
    <row r="100" spans="1:14" ht="13.2">
      <c r="A100" s="306" t="s">
        <v>3</v>
      </c>
      <c r="B100" s="306" t="s">
        <v>367</v>
      </c>
      <c r="C100" s="306">
        <v>0</v>
      </c>
      <c r="D100" s="306">
        <v>0</v>
      </c>
      <c r="E100" s="306">
        <v>0</v>
      </c>
      <c r="F100" s="306">
        <v>330</v>
      </c>
      <c r="G100" s="306">
        <v>0</v>
      </c>
      <c r="H100" s="306">
        <v>0</v>
      </c>
      <c r="I100" s="306">
        <v>0</v>
      </c>
      <c r="J100" s="306">
        <v>0</v>
      </c>
      <c r="K100" s="306">
        <v>0</v>
      </c>
      <c r="L100" s="306">
        <v>0</v>
      </c>
      <c r="M100" s="306">
        <v>0</v>
      </c>
      <c r="N100" s="306">
        <v>0</v>
      </c>
    </row>
    <row r="101" spans="1:14" ht="13.2">
      <c r="A101" s="306" t="s">
        <v>3</v>
      </c>
      <c r="B101" s="306" t="s">
        <v>368</v>
      </c>
      <c r="C101" s="306">
        <v>0</v>
      </c>
      <c r="D101" s="306">
        <v>0</v>
      </c>
      <c r="E101" s="306">
        <v>0</v>
      </c>
      <c r="F101" s="306">
        <v>330</v>
      </c>
      <c r="G101" s="306">
        <v>0</v>
      </c>
      <c r="H101" s="306">
        <v>0</v>
      </c>
      <c r="I101" s="306">
        <v>0</v>
      </c>
      <c r="J101" s="306">
        <v>0</v>
      </c>
      <c r="K101" s="306">
        <v>330</v>
      </c>
      <c r="L101" s="306">
        <v>0</v>
      </c>
      <c r="M101" s="306">
        <v>0</v>
      </c>
      <c r="N101" s="306">
        <v>0</v>
      </c>
    </row>
    <row r="102" spans="1:14" ht="13.2">
      <c r="A102" s="306" t="s">
        <v>3</v>
      </c>
      <c r="B102" s="306" t="s">
        <v>369</v>
      </c>
      <c r="C102" s="306">
        <v>0</v>
      </c>
      <c r="D102" s="306">
        <v>0</v>
      </c>
      <c r="E102" s="306">
        <v>0</v>
      </c>
      <c r="F102" s="306">
        <v>0</v>
      </c>
      <c r="G102" s="306">
        <v>0</v>
      </c>
      <c r="H102" s="306">
        <v>540000</v>
      </c>
      <c r="I102" s="306">
        <v>0</v>
      </c>
      <c r="J102" s="306">
        <v>0</v>
      </c>
      <c r="K102" s="306">
        <v>0</v>
      </c>
      <c r="L102" s="306">
        <v>0</v>
      </c>
      <c r="M102" s="306">
        <v>0</v>
      </c>
      <c r="N102" s="306">
        <v>0</v>
      </c>
    </row>
    <row r="103" spans="1:14" ht="13.2">
      <c r="A103" s="306" t="s">
        <v>3</v>
      </c>
      <c r="B103" s="306" t="s">
        <v>370</v>
      </c>
      <c r="C103" s="306">
        <v>0</v>
      </c>
      <c r="D103" s="306">
        <v>0</v>
      </c>
      <c r="E103" s="306">
        <v>0</v>
      </c>
      <c r="F103" s="306">
        <v>0</v>
      </c>
      <c r="G103" s="306">
        <v>0</v>
      </c>
      <c r="H103" s="306">
        <v>1000000</v>
      </c>
      <c r="I103" s="306">
        <v>0</v>
      </c>
      <c r="J103" s="306">
        <v>0</v>
      </c>
      <c r="K103" s="306">
        <v>0</v>
      </c>
      <c r="L103" s="306">
        <v>0</v>
      </c>
      <c r="M103" s="306">
        <v>0</v>
      </c>
      <c r="N103" s="306">
        <v>0</v>
      </c>
    </row>
    <row r="104" spans="1:14" ht="13.2">
      <c r="A104" s="306" t="s">
        <v>3</v>
      </c>
      <c r="B104" s="306" t="s">
        <v>371</v>
      </c>
      <c r="C104" s="306">
        <v>0</v>
      </c>
      <c r="D104" s="306">
        <v>0</v>
      </c>
      <c r="E104" s="306">
        <v>0</v>
      </c>
      <c r="F104" s="306">
        <v>0</v>
      </c>
      <c r="G104" s="306">
        <v>0</v>
      </c>
      <c r="H104" s="306">
        <v>0</v>
      </c>
      <c r="I104" s="306">
        <v>0</v>
      </c>
      <c r="J104" s="306">
        <v>605</v>
      </c>
      <c r="K104" s="306">
        <v>0</v>
      </c>
      <c r="L104" s="306">
        <v>0</v>
      </c>
      <c r="M104" s="306">
        <v>0</v>
      </c>
      <c r="N104" s="306">
        <v>0</v>
      </c>
    </row>
    <row r="105" spans="1:14" ht="13.2">
      <c r="A105" s="306" t="s">
        <v>3</v>
      </c>
      <c r="B105" s="306" t="s">
        <v>372</v>
      </c>
      <c r="C105" s="306">
        <v>0</v>
      </c>
      <c r="D105" s="306">
        <v>0</v>
      </c>
      <c r="E105" s="306">
        <v>0</v>
      </c>
      <c r="F105" s="306">
        <v>0</v>
      </c>
      <c r="G105" s="306">
        <v>0</v>
      </c>
      <c r="H105" s="306">
        <v>0</v>
      </c>
      <c r="I105" s="306">
        <v>0</v>
      </c>
      <c r="J105" s="306">
        <v>605</v>
      </c>
      <c r="K105" s="306">
        <v>0</v>
      </c>
      <c r="L105" s="306">
        <v>0</v>
      </c>
      <c r="M105" s="306">
        <v>0</v>
      </c>
      <c r="N105" s="306">
        <v>0</v>
      </c>
    </row>
    <row r="106" spans="1:14" ht="13.2">
      <c r="A106" s="306" t="s">
        <v>3</v>
      </c>
      <c r="B106" s="306" t="s">
        <v>262</v>
      </c>
      <c r="C106" s="306">
        <v>0</v>
      </c>
      <c r="D106" s="306">
        <v>140000</v>
      </c>
      <c r="E106" s="306">
        <v>170000</v>
      </c>
      <c r="F106" s="306">
        <v>0</v>
      </c>
      <c r="G106" s="306">
        <v>0</v>
      </c>
      <c r="H106" s="306">
        <v>0</v>
      </c>
      <c r="I106" s="306">
        <v>0</v>
      </c>
      <c r="J106" s="306">
        <v>0</v>
      </c>
      <c r="K106" s="306">
        <v>0</v>
      </c>
      <c r="L106" s="306">
        <v>0</v>
      </c>
      <c r="M106" s="306">
        <v>0</v>
      </c>
      <c r="N106" s="306">
        <v>0</v>
      </c>
    </row>
    <row r="107" spans="1:14" ht="13.2">
      <c r="A107" s="306" t="s">
        <v>27</v>
      </c>
      <c r="B107" s="306" t="s">
        <v>373</v>
      </c>
      <c r="C107" s="306">
        <v>0</v>
      </c>
      <c r="D107" s="306">
        <v>0</v>
      </c>
      <c r="E107" s="306">
        <v>72000</v>
      </c>
      <c r="F107" s="306">
        <v>0</v>
      </c>
      <c r="G107" s="306">
        <v>0</v>
      </c>
      <c r="H107" s="306">
        <v>0</v>
      </c>
      <c r="I107" s="306">
        <v>0</v>
      </c>
      <c r="J107" s="306">
        <v>0</v>
      </c>
      <c r="K107" s="306">
        <v>0</v>
      </c>
      <c r="L107" s="306">
        <v>0</v>
      </c>
      <c r="M107" s="306">
        <v>0</v>
      </c>
      <c r="N107" s="306">
        <v>0</v>
      </c>
    </row>
    <row r="108" spans="1:14" ht="13.2">
      <c r="A108" s="306" t="s">
        <v>27</v>
      </c>
      <c r="B108" s="306" t="s">
        <v>374</v>
      </c>
      <c r="C108" s="306">
        <v>0</v>
      </c>
      <c r="D108" s="306">
        <v>0</v>
      </c>
      <c r="E108" s="306">
        <v>0</v>
      </c>
      <c r="F108" s="306">
        <v>100000</v>
      </c>
      <c r="G108" s="306">
        <v>0</v>
      </c>
      <c r="H108" s="306">
        <v>0</v>
      </c>
      <c r="I108" s="306">
        <v>0</v>
      </c>
      <c r="J108" s="306">
        <v>0</v>
      </c>
      <c r="K108" s="306">
        <v>0</v>
      </c>
      <c r="L108" s="306">
        <v>0</v>
      </c>
      <c r="M108" s="306">
        <v>0</v>
      </c>
      <c r="N108" s="306">
        <v>0</v>
      </c>
    </row>
    <row r="109" spans="1:14" ht="13.2">
      <c r="A109" s="306" t="s">
        <v>27</v>
      </c>
      <c r="B109" s="306" t="s">
        <v>375</v>
      </c>
      <c r="C109" s="306">
        <v>0</v>
      </c>
      <c r="D109" s="306">
        <v>0</v>
      </c>
      <c r="E109" s="306">
        <v>0</v>
      </c>
      <c r="F109" s="306">
        <v>0</v>
      </c>
      <c r="G109" s="306">
        <v>152000</v>
      </c>
      <c r="H109" s="306">
        <v>0</v>
      </c>
      <c r="I109" s="306">
        <v>0</v>
      </c>
      <c r="J109" s="306">
        <v>0</v>
      </c>
      <c r="K109" s="306">
        <v>0</v>
      </c>
      <c r="L109" s="306">
        <v>0</v>
      </c>
      <c r="M109" s="306">
        <v>0</v>
      </c>
      <c r="N109" s="306">
        <v>0</v>
      </c>
    </row>
    <row r="110" spans="1:14" ht="13.2">
      <c r="A110" s="306" t="s">
        <v>27</v>
      </c>
      <c r="B110" s="306" t="s">
        <v>376</v>
      </c>
      <c r="C110" s="306">
        <v>0</v>
      </c>
      <c r="D110" s="306">
        <v>0</v>
      </c>
      <c r="E110" s="306">
        <v>0</v>
      </c>
      <c r="F110" s="306">
        <v>500000</v>
      </c>
      <c r="G110" s="306">
        <v>0</v>
      </c>
      <c r="H110" s="306">
        <v>0</v>
      </c>
      <c r="I110" s="306">
        <v>0</v>
      </c>
      <c r="J110" s="306">
        <v>0</v>
      </c>
      <c r="K110" s="306">
        <v>0</v>
      </c>
      <c r="L110" s="306">
        <v>0</v>
      </c>
      <c r="M110" s="306">
        <v>0</v>
      </c>
      <c r="N110" s="306">
        <v>0</v>
      </c>
    </row>
    <row r="111" spans="1:14" ht="13.2">
      <c r="A111" s="306" t="s">
        <v>33</v>
      </c>
      <c r="B111" s="306" t="s">
        <v>377</v>
      </c>
      <c r="C111" s="306">
        <v>0</v>
      </c>
      <c r="D111" s="306">
        <v>0</v>
      </c>
      <c r="E111" s="306">
        <v>0</v>
      </c>
      <c r="F111" s="306">
        <v>0</v>
      </c>
      <c r="G111" s="306">
        <v>0</v>
      </c>
      <c r="H111" s="306">
        <v>42000000</v>
      </c>
      <c r="I111" s="306">
        <v>0</v>
      </c>
      <c r="J111" s="306">
        <v>0</v>
      </c>
      <c r="K111" s="306">
        <v>0</v>
      </c>
      <c r="L111" s="306">
        <v>0</v>
      </c>
      <c r="M111" s="306">
        <v>0</v>
      </c>
      <c r="N111" s="306">
        <v>0</v>
      </c>
    </row>
    <row r="112" spans="1:14" ht="13.2">
      <c r="A112" s="306" t="s">
        <v>33</v>
      </c>
      <c r="B112" s="306" t="s">
        <v>378</v>
      </c>
      <c r="C112" s="306">
        <v>0</v>
      </c>
      <c r="D112" s="306">
        <v>0</v>
      </c>
      <c r="E112" s="306">
        <v>0</v>
      </c>
      <c r="F112" s="306">
        <v>0</v>
      </c>
      <c r="G112" s="306">
        <v>0</v>
      </c>
      <c r="H112" s="306">
        <v>4711004</v>
      </c>
      <c r="I112" s="306">
        <v>0</v>
      </c>
      <c r="J112" s="306">
        <v>0</v>
      </c>
      <c r="K112" s="306">
        <v>0</v>
      </c>
      <c r="L112" s="306">
        <v>0</v>
      </c>
      <c r="M112" s="306">
        <v>0</v>
      </c>
      <c r="N112" s="306">
        <v>0</v>
      </c>
    </row>
    <row r="113" spans="1:14" ht="13.2">
      <c r="A113" s="306" t="s">
        <v>33</v>
      </c>
      <c r="B113" s="306" t="s">
        <v>379</v>
      </c>
      <c r="C113" s="306">
        <v>0</v>
      </c>
      <c r="D113" s="306">
        <v>0</v>
      </c>
      <c r="E113" s="306">
        <v>0</v>
      </c>
      <c r="F113" s="306">
        <v>0</v>
      </c>
      <c r="G113" s="306">
        <v>0</v>
      </c>
      <c r="H113" s="306">
        <v>19340000</v>
      </c>
      <c r="I113" s="306">
        <v>28867500</v>
      </c>
      <c r="J113" s="306">
        <v>0</v>
      </c>
      <c r="K113" s="306">
        <v>0</v>
      </c>
      <c r="L113" s="306">
        <v>0</v>
      </c>
      <c r="M113" s="306">
        <v>0</v>
      </c>
      <c r="N113" s="306">
        <v>0</v>
      </c>
    </row>
    <row r="114" spans="1:14" ht="13.2">
      <c r="A114" s="306" t="s">
        <v>35</v>
      </c>
      <c r="B114" s="306" t="s">
        <v>380</v>
      </c>
      <c r="C114" s="306">
        <v>0</v>
      </c>
      <c r="D114" s="306">
        <v>5372</v>
      </c>
      <c r="E114" s="306">
        <v>0</v>
      </c>
      <c r="F114" s="306">
        <v>0</v>
      </c>
      <c r="G114" s="306">
        <v>0</v>
      </c>
      <c r="H114" s="306">
        <v>0</v>
      </c>
      <c r="I114" s="306">
        <v>0</v>
      </c>
      <c r="J114" s="306">
        <v>4499</v>
      </c>
      <c r="K114" s="306">
        <v>0</v>
      </c>
      <c r="L114" s="306">
        <v>0</v>
      </c>
      <c r="M114" s="306">
        <v>0</v>
      </c>
      <c r="N114" s="306">
        <v>0</v>
      </c>
    </row>
    <row r="115" spans="1:14" ht="13.2">
      <c r="A115" s="306" t="s">
        <v>35</v>
      </c>
      <c r="B115" s="306" t="s">
        <v>381</v>
      </c>
      <c r="C115" s="306">
        <v>0</v>
      </c>
      <c r="D115" s="306">
        <v>0</v>
      </c>
      <c r="E115" s="306">
        <v>2446</v>
      </c>
      <c r="F115" s="306">
        <v>0</v>
      </c>
      <c r="G115" s="306">
        <v>0</v>
      </c>
      <c r="H115" s="306">
        <v>0</v>
      </c>
      <c r="I115" s="306">
        <v>0</v>
      </c>
      <c r="J115" s="306">
        <v>0</v>
      </c>
      <c r="K115" s="306">
        <v>1038</v>
      </c>
      <c r="L115" s="306">
        <v>0</v>
      </c>
      <c r="M115" s="306">
        <v>0</v>
      </c>
      <c r="N115" s="306">
        <v>0</v>
      </c>
    </row>
    <row r="116" spans="1:14" ht="13.2">
      <c r="A116" s="306" t="s">
        <v>35</v>
      </c>
      <c r="B116" s="306" t="s">
        <v>382</v>
      </c>
      <c r="C116" s="306">
        <v>0</v>
      </c>
      <c r="D116" s="306">
        <v>1405</v>
      </c>
      <c r="E116" s="306">
        <v>0</v>
      </c>
      <c r="F116" s="306">
        <v>0</v>
      </c>
      <c r="G116" s="306">
        <v>0</v>
      </c>
      <c r="H116" s="306">
        <v>0</v>
      </c>
      <c r="I116" s="306">
        <v>0</v>
      </c>
      <c r="J116" s="306">
        <v>517</v>
      </c>
      <c r="K116" s="306">
        <v>0</v>
      </c>
      <c r="L116" s="306">
        <v>0</v>
      </c>
      <c r="M116" s="306">
        <v>0</v>
      </c>
      <c r="N116" s="306">
        <v>0</v>
      </c>
    </row>
    <row r="117" spans="1:14" ht="13.2">
      <c r="A117" s="306" t="s">
        <v>35</v>
      </c>
      <c r="B117" s="306" t="s">
        <v>383</v>
      </c>
      <c r="C117" s="306">
        <v>0</v>
      </c>
      <c r="D117" s="306">
        <v>46</v>
      </c>
      <c r="E117" s="306">
        <v>0</v>
      </c>
      <c r="F117" s="306">
        <v>0</v>
      </c>
      <c r="G117" s="306">
        <v>0</v>
      </c>
      <c r="H117" s="306">
        <v>0</v>
      </c>
      <c r="I117" s="306">
        <v>0</v>
      </c>
      <c r="J117" s="306">
        <v>0</v>
      </c>
      <c r="K117" s="306">
        <v>0</v>
      </c>
      <c r="L117" s="306">
        <v>0</v>
      </c>
      <c r="M117" s="306">
        <v>0</v>
      </c>
      <c r="N117" s="306">
        <v>0</v>
      </c>
    </row>
    <row r="118" spans="1:14" ht="13.2">
      <c r="A118" s="306" t="s">
        <v>35</v>
      </c>
      <c r="B118" s="306" t="s">
        <v>384</v>
      </c>
      <c r="C118" s="306">
        <v>0</v>
      </c>
      <c r="D118" s="306">
        <v>0</v>
      </c>
      <c r="E118" s="306">
        <v>0</v>
      </c>
      <c r="F118" s="306">
        <v>0</v>
      </c>
      <c r="G118" s="306">
        <v>0</v>
      </c>
      <c r="H118" s="306">
        <v>0</v>
      </c>
      <c r="I118" s="306">
        <v>0</v>
      </c>
      <c r="J118" s="306">
        <v>17</v>
      </c>
      <c r="K118" s="306">
        <v>0</v>
      </c>
      <c r="L118" s="306">
        <v>0</v>
      </c>
      <c r="M118" s="306">
        <v>0</v>
      </c>
      <c r="N118" s="306">
        <v>0</v>
      </c>
    </row>
    <row r="119" spans="1:14" ht="13.2">
      <c r="A119" s="306" t="s">
        <v>36</v>
      </c>
      <c r="B119" s="306" t="s">
        <v>385</v>
      </c>
      <c r="C119" s="306">
        <v>6532328</v>
      </c>
      <c r="D119" s="306">
        <v>0</v>
      </c>
      <c r="E119" s="306">
        <v>0</v>
      </c>
      <c r="F119" s="306">
        <v>0</v>
      </c>
      <c r="G119" s="306">
        <v>0</v>
      </c>
      <c r="H119" s="306">
        <v>0</v>
      </c>
      <c r="I119" s="306">
        <v>0</v>
      </c>
      <c r="J119" s="306">
        <v>0</v>
      </c>
      <c r="K119" s="306">
        <v>0</v>
      </c>
      <c r="L119" s="306">
        <v>0</v>
      </c>
      <c r="M119" s="306">
        <v>0</v>
      </c>
      <c r="N119" s="306">
        <v>0</v>
      </c>
    </row>
    <row r="120" spans="1:14" ht="13.2">
      <c r="A120" s="306" t="s">
        <v>36</v>
      </c>
      <c r="B120" s="306" t="s">
        <v>386</v>
      </c>
      <c r="C120" s="306">
        <v>470000</v>
      </c>
      <c r="D120" s="306">
        <v>0</v>
      </c>
      <c r="E120" s="306">
        <v>0</v>
      </c>
      <c r="F120" s="306">
        <v>0</v>
      </c>
      <c r="G120" s="306">
        <v>0</v>
      </c>
      <c r="H120" s="306">
        <v>0</v>
      </c>
      <c r="I120" s="306">
        <v>0</v>
      </c>
      <c r="J120" s="306">
        <v>0</v>
      </c>
      <c r="K120" s="306">
        <v>0</v>
      </c>
      <c r="L120" s="306">
        <v>0</v>
      </c>
      <c r="M120" s="306">
        <v>0</v>
      </c>
      <c r="N120" s="306">
        <v>0</v>
      </c>
    </row>
    <row r="121" spans="1:14" ht="13.2">
      <c r="A121" s="306" t="s">
        <v>36</v>
      </c>
      <c r="B121" s="306" t="s">
        <v>385</v>
      </c>
      <c r="C121" s="306">
        <v>283684</v>
      </c>
      <c r="D121" s="306">
        <v>0</v>
      </c>
      <c r="E121" s="306">
        <v>0</v>
      </c>
      <c r="F121" s="306">
        <v>0</v>
      </c>
      <c r="G121" s="306">
        <v>0</v>
      </c>
      <c r="H121" s="306">
        <v>0</v>
      </c>
      <c r="I121" s="306">
        <v>0</v>
      </c>
      <c r="J121" s="306">
        <v>0</v>
      </c>
      <c r="K121" s="306">
        <v>0</v>
      </c>
      <c r="L121" s="306">
        <v>0</v>
      </c>
      <c r="M121" s="306">
        <v>0</v>
      </c>
      <c r="N121" s="306">
        <v>0</v>
      </c>
    </row>
    <row r="122" spans="1:14" ht="13.2">
      <c r="A122" s="306" t="s">
        <v>36</v>
      </c>
      <c r="B122" s="306" t="s">
        <v>385</v>
      </c>
      <c r="C122" s="306">
        <v>3841849</v>
      </c>
      <c r="D122" s="306">
        <v>0</v>
      </c>
      <c r="E122" s="306">
        <v>0</v>
      </c>
      <c r="F122" s="306">
        <v>0</v>
      </c>
      <c r="G122" s="306">
        <v>0</v>
      </c>
      <c r="H122" s="306">
        <v>0</v>
      </c>
      <c r="I122" s="306">
        <v>0</v>
      </c>
      <c r="J122" s="306">
        <v>0</v>
      </c>
      <c r="K122" s="306">
        <v>0</v>
      </c>
      <c r="L122" s="306">
        <v>0</v>
      </c>
      <c r="M122" s="306">
        <v>0</v>
      </c>
      <c r="N122" s="306">
        <v>0</v>
      </c>
    </row>
    <row r="123" spans="1:14" ht="13.2">
      <c r="A123" s="306" t="s">
        <v>36</v>
      </c>
      <c r="B123" s="306" t="s">
        <v>385</v>
      </c>
      <c r="C123" s="306">
        <v>7523</v>
      </c>
      <c r="D123" s="306">
        <v>0</v>
      </c>
      <c r="E123" s="306">
        <v>0</v>
      </c>
      <c r="F123" s="306">
        <v>0</v>
      </c>
      <c r="G123" s="306">
        <v>0</v>
      </c>
      <c r="H123" s="306">
        <v>0</v>
      </c>
      <c r="I123" s="306">
        <v>0</v>
      </c>
      <c r="J123" s="306">
        <v>0</v>
      </c>
      <c r="K123" s="306">
        <v>0</v>
      </c>
      <c r="L123" s="306">
        <v>0</v>
      </c>
      <c r="M123" s="306">
        <v>0</v>
      </c>
      <c r="N123" s="306">
        <v>0</v>
      </c>
    </row>
    <row r="124" spans="1:14" ht="13.2">
      <c r="A124" s="306" t="s">
        <v>4</v>
      </c>
      <c r="B124" s="306" t="s">
        <v>387</v>
      </c>
      <c r="C124" s="306">
        <v>5168350</v>
      </c>
      <c r="D124" s="306">
        <v>0</v>
      </c>
      <c r="E124" s="306">
        <v>0</v>
      </c>
      <c r="F124" s="306">
        <v>0</v>
      </c>
      <c r="G124" s="306">
        <v>0</v>
      </c>
      <c r="H124" s="306">
        <v>0</v>
      </c>
      <c r="I124" s="306">
        <v>0</v>
      </c>
      <c r="J124" s="306">
        <v>0</v>
      </c>
      <c r="K124" s="306">
        <v>0</v>
      </c>
      <c r="L124" s="306">
        <v>0</v>
      </c>
      <c r="M124" s="306">
        <v>0</v>
      </c>
      <c r="N124" s="306">
        <v>0</v>
      </c>
    </row>
    <row r="125" spans="1:14" ht="13.2">
      <c r="A125" s="306" t="s">
        <v>4</v>
      </c>
      <c r="B125" s="306" t="s">
        <v>388</v>
      </c>
      <c r="C125" s="306">
        <v>705161</v>
      </c>
      <c r="D125" s="306">
        <v>0</v>
      </c>
      <c r="E125" s="306">
        <v>0</v>
      </c>
      <c r="F125" s="306">
        <v>0</v>
      </c>
      <c r="G125" s="306">
        <v>0</v>
      </c>
      <c r="H125" s="306">
        <v>0</v>
      </c>
      <c r="I125" s="306">
        <v>0</v>
      </c>
      <c r="J125" s="306">
        <v>0</v>
      </c>
      <c r="K125" s="306">
        <v>0</v>
      </c>
      <c r="L125" s="306">
        <v>0</v>
      </c>
      <c r="M125" s="306">
        <v>0</v>
      </c>
      <c r="N125" s="306">
        <v>0</v>
      </c>
    </row>
    <row r="126" spans="1:14" ht="13.2">
      <c r="A126" s="306" t="s">
        <v>4</v>
      </c>
      <c r="B126" s="306" t="s">
        <v>389</v>
      </c>
      <c r="C126" s="306">
        <v>4919750</v>
      </c>
      <c r="D126" s="306">
        <v>0</v>
      </c>
      <c r="E126" s="306">
        <v>0</v>
      </c>
      <c r="F126" s="306">
        <v>0</v>
      </c>
      <c r="G126" s="306">
        <v>0</v>
      </c>
      <c r="H126" s="306">
        <v>0</v>
      </c>
      <c r="I126" s="306">
        <v>0</v>
      </c>
      <c r="J126" s="306">
        <v>0</v>
      </c>
      <c r="K126" s="306">
        <v>0</v>
      </c>
      <c r="L126" s="306">
        <v>0</v>
      </c>
      <c r="M126" s="306">
        <v>0</v>
      </c>
      <c r="N126" s="306">
        <v>0</v>
      </c>
    </row>
    <row r="127" spans="1:14" ht="13.2">
      <c r="A127" s="306" t="s">
        <v>4</v>
      </c>
      <c r="B127" s="306" t="s">
        <v>390</v>
      </c>
      <c r="C127" s="306">
        <v>1349191</v>
      </c>
      <c r="D127" s="306">
        <v>0</v>
      </c>
      <c r="E127" s="306">
        <v>0</v>
      </c>
      <c r="F127" s="306">
        <v>0</v>
      </c>
      <c r="G127" s="306">
        <v>0</v>
      </c>
      <c r="H127" s="306">
        <v>0</v>
      </c>
      <c r="I127" s="306">
        <v>0</v>
      </c>
      <c r="J127" s="306">
        <v>0</v>
      </c>
      <c r="K127" s="306">
        <v>0</v>
      </c>
      <c r="L127" s="306">
        <v>0</v>
      </c>
      <c r="M127" s="306">
        <v>0</v>
      </c>
      <c r="N127" s="306">
        <v>0</v>
      </c>
    </row>
    <row r="128" spans="1:14" ht="13.2">
      <c r="A128" s="306" t="s">
        <v>4</v>
      </c>
      <c r="B128" s="306" t="s">
        <v>391</v>
      </c>
      <c r="C128" s="306">
        <v>330550</v>
      </c>
      <c r="D128" s="306">
        <v>0</v>
      </c>
      <c r="E128" s="306">
        <v>0</v>
      </c>
      <c r="F128" s="306">
        <v>0</v>
      </c>
      <c r="G128" s="306">
        <v>0</v>
      </c>
      <c r="H128" s="306">
        <v>0</v>
      </c>
      <c r="I128" s="306">
        <v>0</v>
      </c>
      <c r="J128" s="306">
        <v>0</v>
      </c>
      <c r="K128" s="306">
        <v>0</v>
      </c>
      <c r="L128" s="306">
        <v>0</v>
      </c>
      <c r="M128" s="306">
        <v>0</v>
      </c>
      <c r="N128" s="306">
        <v>0</v>
      </c>
    </row>
    <row r="129" spans="1:14" ht="13.2">
      <c r="A129" s="306" t="s">
        <v>4</v>
      </c>
      <c r="B129" s="306" t="s">
        <v>392</v>
      </c>
      <c r="C129" s="306">
        <v>1832270</v>
      </c>
      <c r="D129" s="306">
        <v>0</v>
      </c>
      <c r="E129" s="306">
        <v>0</v>
      </c>
      <c r="F129" s="306">
        <v>0</v>
      </c>
      <c r="G129" s="306">
        <v>0</v>
      </c>
      <c r="H129" s="306">
        <v>0</v>
      </c>
      <c r="I129" s="306">
        <v>0</v>
      </c>
      <c r="J129" s="306">
        <v>0</v>
      </c>
      <c r="K129" s="306">
        <v>0</v>
      </c>
      <c r="L129" s="306">
        <v>0</v>
      </c>
      <c r="M129" s="306">
        <v>0</v>
      </c>
      <c r="N129" s="306">
        <v>0</v>
      </c>
    </row>
    <row r="130" spans="1:14" ht="13.2">
      <c r="A130" s="306" t="s">
        <v>4</v>
      </c>
      <c r="B130" s="306" t="s">
        <v>393</v>
      </c>
      <c r="C130" s="306">
        <v>67540</v>
      </c>
      <c r="D130" s="306">
        <v>0</v>
      </c>
      <c r="E130" s="306">
        <v>0</v>
      </c>
      <c r="F130" s="306">
        <v>0</v>
      </c>
      <c r="G130" s="306">
        <v>0</v>
      </c>
      <c r="H130" s="306">
        <v>0</v>
      </c>
      <c r="I130" s="306">
        <v>0</v>
      </c>
      <c r="J130" s="306">
        <v>0</v>
      </c>
      <c r="K130" s="306">
        <v>0</v>
      </c>
      <c r="L130" s="306">
        <v>0</v>
      </c>
      <c r="M130" s="306">
        <v>0</v>
      </c>
      <c r="N130" s="306">
        <v>0</v>
      </c>
    </row>
    <row r="131" spans="1:14" ht="13.2">
      <c r="A131" s="306" t="s">
        <v>4</v>
      </c>
      <c r="B131" s="306" t="s">
        <v>394</v>
      </c>
      <c r="C131" s="306">
        <v>868230</v>
      </c>
      <c r="D131" s="306">
        <v>0</v>
      </c>
      <c r="E131" s="306">
        <v>0</v>
      </c>
      <c r="F131" s="306">
        <v>0</v>
      </c>
      <c r="G131" s="306">
        <v>0</v>
      </c>
      <c r="H131" s="306">
        <v>0</v>
      </c>
      <c r="I131" s="306">
        <v>0</v>
      </c>
      <c r="J131" s="306">
        <v>0</v>
      </c>
      <c r="K131" s="306">
        <v>0</v>
      </c>
      <c r="L131" s="306">
        <v>0</v>
      </c>
      <c r="M131" s="306">
        <v>0</v>
      </c>
      <c r="N131" s="306">
        <v>0</v>
      </c>
    </row>
    <row r="132" spans="1:14" ht="13.2">
      <c r="A132" s="306" t="s">
        <v>4</v>
      </c>
      <c r="B132" s="306" t="s">
        <v>395</v>
      </c>
      <c r="C132" s="306">
        <v>136609</v>
      </c>
      <c r="D132" s="306">
        <v>0</v>
      </c>
      <c r="E132" s="306">
        <v>0</v>
      </c>
      <c r="F132" s="306">
        <v>0</v>
      </c>
      <c r="G132" s="306">
        <v>0</v>
      </c>
      <c r="H132" s="306">
        <v>0</v>
      </c>
      <c r="I132" s="306">
        <v>0</v>
      </c>
      <c r="J132" s="306">
        <v>0</v>
      </c>
      <c r="K132" s="306">
        <v>0</v>
      </c>
      <c r="L132" s="306">
        <v>0</v>
      </c>
      <c r="M132" s="306">
        <v>0</v>
      </c>
      <c r="N132" s="306">
        <v>0</v>
      </c>
    </row>
    <row r="133" spans="1:14" ht="13.2">
      <c r="A133" s="306" t="s">
        <v>4</v>
      </c>
      <c r="B133" s="306" t="s">
        <v>396</v>
      </c>
      <c r="C133" s="306">
        <v>1249719</v>
      </c>
      <c r="D133" s="306">
        <v>0</v>
      </c>
      <c r="E133" s="306">
        <v>0</v>
      </c>
      <c r="F133" s="306">
        <v>0</v>
      </c>
      <c r="G133" s="306">
        <v>0</v>
      </c>
      <c r="H133" s="306">
        <v>0</v>
      </c>
      <c r="I133" s="306">
        <v>0</v>
      </c>
      <c r="J133" s="306">
        <v>0</v>
      </c>
      <c r="K133" s="306">
        <v>0</v>
      </c>
      <c r="L133" s="306">
        <v>0</v>
      </c>
      <c r="M133" s="306">
        <v>0</v>
      </c>
      <c r="N133" s="306">
        <v>0</v>
      </c>
    </row>
    <row r="134" spans="1:14" ht="13.2">
      <c r="A134" s="306" t="s">
        <v>4</v>
      </c>
      <c r="B134" s="306" t="s">
        <v>397</v>
      </c>
      <c r="C134" s="306">
        <v>9900</v>
      </c>
      <c r="D134" s="306">
        <v>0</v>
      </c>
      <c r="E134" s="306">
        <v>0</v>
      </c>
      <c r="F134" s="306">
        <v>0</v>
      </c>
      <c r="G134" s="306">
        <v>0</v>
      </c>
      <c r="H134" s="306">
        <v>0</v>
      </c>
      <c r="I134" s="306">
        <v>0</v>
      </c>
      <c r="J134" s="306">
        <v>0</v>
      </c>
      <c r="K134" s="306">
        <v>0</v>
      </c>
      <c r="L134" s="306">
        <v>0</v>
      </c>
      <c r="M134" s="306">
        <v>0</v>
      </c>
      <c r="N134" s="306">
        <v>0</v>
      </c>
    </row>
    <row r="135" spans="1:14" ht="13.2">
      <c r="A135" s="306" t="s">
        <v>4</v>
      </c>
      <c r="B135" s="306" t="s">
        <v>398</v>
      </c>
      <c r="C135" s="306">
        <v>66220</v>
      </c>
      <c r="D135" s="306">
        <v>0</v>
      </c>
      <c r="E135" s="306">
        <v>0</v>
      </c>
      <c r="F135" s="306">
        <v>0</v>
      </c>
      <c r="G135" s="306">
        <v>0</v>
      </c>
      <c r="H135" s="306">
        <v>0</v>
      </c>
      <c r="I135" s="306">
        <v>0</v>
      </c>
      <c r="J135" s="306">
        <v>0</v>
      </c>
      <c r="K135" s="306">
        <v>0</v>
      </c>
      <c r="L135" s="306">
        <v>0</v>
      </c>
      <c r="M135" s="306">
        <v>0</v>
      </c>
      <c r="N135" s="306">
        <v>0</v>
      </c>
    </row>
    <row r="136" spans="1:14" ht="13.2">
      <c r="A136" s="306" t="s">
        <v>4</v>
      </c>
      <c r="B136" s="306" t="s">
        <v>399</v>
      </c>
      <c r="C136" s="306">
        <v>1944000</v>
      </c>
      <c r="D136" s="306">
        <v>0</v>
      </c>
      <c r="E136" s="306">
        <v>0</v>
      </c>
      <c r="F136" s="306">
        <v>0</v>
      </c>
      <c r="G136" s="306">
        <v>0</v>
      </c>
      <c r="H136" s="306">
        <v>0</v>
      </c>
      <c r="I136" s="306">
        <v>0</v>
      </c>
      <c r="J136" s="306">
        <v>0</v>
      </c>
      <c r="K136" s="306">
        <v>0</v>
      </c>
      <c r="L136" s="306">
        <v>0</v>
      </c>
      <c r="M136" s="306">
        <v>0</v>
      </c>
      <c r="N136" s="306">
        <v>0</v>
      </c>
    </row>
    <row r="137" spans="1:14" ht="13.2">
      <c r="A137" s="306" t="s">
        <v>4</v>
      </c>
      <c r="B137" s="306" t="s">
        <v>400</v>
      </c>
      <c r="C137" s="306">
        <v>325050</v>
      </c>
      <c r="D137" s="306">
        <v>0</v>
      </c>
      <c r="E137" s="306">
        <v>0</v>
      </c>
      <c r="F137" s="306">
        <v>0</v>
      </c>
      <c r="G137" s="306">
        <v>0</v>
      </c>
      <c r="H137" s="306">
        <v>0</v>
      </c>
      <c r="I137" s="306">
        <v>0</v>
      </c>
      <c r="J137" s="306">
        <v>0</v>
      </c>
      <c r="K137" s="306">
        <v>0</v>
      </c>
      <c r="L137" s="306">
        <v>0</v>
      </c>
      <c r="M137" s="306">
        <v>0</v>
      </c>
      <c r="N137" s="306">
        <v>0</v>
      </c>
    </row>
    <row r="138" spans="1:14" ht="13.2">
      <c r="A138" s="306" t="s">
        <v>4</v>
      </c>
      <c r="B138" s="306" t="s">
        <v>401</v>
      </c>
      <c r="C138" s="306">
        <v>1218910</v>
      </c>
      <c r="D138" s="306">
        <v>0</v>
      </c>
      <c r="E138" s="306">
        <v>0</v>
      </c>
      <c r="F138" s="306">
        <v>0</v>
      </c>
      <c r="G138" s="306">
        <v>0</v>
      </c>
      <c r="H138" s="306">
        <v>0</v>
      </c>
      <c r="I138" s="306">
        <v>0</v>
      </c>
      <c r="J138" s="306">
        <v>0</v>
      </c>
      <c r="K138" s="306">
        <v>0</v>
      </c>
      <c r="L138" s="306">
        <v>0</v>
      </c>
      <c r="M138" s="306">
        <v>0</v>
      </c>
      <c r="N138" s="306">
        <v>0</v>
      </c>
    </row>
    <row r="139" spans="1:14" ht="13.2">
      <c r="A139" s="306" t="s">
        <v>4</v>
      </c>
      <c r="B139" s="306" t="s">
        <v>402</v>
      </c>
      <c r="C139" s="306">
        <v>1180124</v>
      </c>
      <c r="D139" s="306">
        <v>0</v>
      </c>
      <c r="E139" s="306">
        <v>0</v>
      </c>
      <c r="F139" s="306">
        <v>0</v>
      </c>
      <c r="G139" s="306">
        <v>0</v>
      </c>
      <c r="H139" s="306">
        <v>0</v>
      </c>
      <c r="I139" s="306">
        <v>0</v>
      </c>
      <c r="J139" s="306">
        <v>0</v>
      </c>
      <c r="K139" s="306">
        <v>0</v>
      </c>
      <c r="L139" s="306">
        <v>0</v>
      </c>
      <c r="M139" s="306">
        <v>0</v>
      </c>
      <c r="N139" s="306">
        <v>0</v>
      </c>
    </row>
    <row r="140" spans="1:14" ht="13.2">
      <c r="A140" s="306" t="s">
        <v>4</v>
      </c>
      <c r="B140" s="306" t="s">
        <v>403</v>
      </c>
      <c r="C140" s="306">
        <v>185020</v>
      </c>
      <c r="D140" s="306">
        <v>0</v>
      </c>
      <c r="E140" s="306">
        <v>0</v>
      </c>
      <c r="F140" s="306">
        <v>0</v>
      </c>
      <c r="G140" s="306">
        <v>0</v>
      </c>
      <c r="H140" s="306">
        <v>0</v>
      </c>
      <c r="I140" s="306">
        <v>0</v>
      </c>
      <c r="J140" s="306">
        <v>0</v>
      </c>
      <c r="K140" s="306">
        <v>0</v>
      </c>
      <c r="L140" s="306">
        <v>0</v>
      </c>
      <c r="M140" s="306">
        <v>0</v>
      </c>
      <c r="N140" s="306">
        <v>0</v>
      </c>
    </row>
    <row r="141" spans="1:14" ht="13.2">
      <c r="A141" s="306" t="s">
        <v>4</v>
      </c>
      <c r="B141" s="306" t="s">
        <v>404</v>
      </c>
      <c r="C141" s="306">
        <v>140250</v>
      </c>
      <c r="D141" s="306">
        <v>0</v>
      </c>
      <c r="E141" s="306">
        <v>0</v>
      </c>
      <c r="F141" s="306">
        <v>0</v>
      </c>
      <c r="G141" s="306">
        <v>0</v>
      </c>
      <c r="H141" s="306">
        <v>0</v>
      </c>
      <c r="I141" s="306">
        <v>0</v>
      </c>
      <c r="J141" s="306">
        <v>0</v>
      </c>
      <c r="K141" s="306">
        <v>0</v>
      </c>
      <c r="L141" s="306">
        <v>0</v>
      </c>
      <c r="M141" s="306">
        <v>0</v>
      </c>
      <c r="N141" s="306">
        <v>0</v>
      </c>
    </row>
    <row r="142" spans="1:14" ht="13.2">
      <c r="A142" s="306" t="s">
        <v>4</v>
      </c>
      <c r="B142" s="306" t="s">
        <v>405</v>
      </c>
      <c r="C142" s="306">
        <v>1087900</v>
      </c>
      <c r="D142" s="306">
        <v>0</v>
      </c>
      <c r="E142" s="306">
        <v>0</v>
      </c>
      <c r="F142" s="306">
        <v>0</v>
      </c>
      <c r="G142" s="306">
        <v>0</v>
      </c>
      <c r="H142" s="306">
        <v>0</v>
      </c>
      <c r="I142" s="306">
        <v>0</v>
      </c>
      <c r="J142" s="306">
        <v>0</v>
      </c>
      <c r="K142" s="306">
        <v>0</v>
      </c>
      <c r="L142" s="306">
        <v>0</v>
      </c>
      <c r="M142" s="306">
        <v>0</v>
      </c>
      <c r="N142" s="306">
        <v>0</v>
      </c>
    </row>
    <row r="143" spans="1:14" ht="13.2">
      <c r="A143" s="306" t="s">
        <v>4</v>
      </c>
      <c r="B143" s="306" t="s">
        <v>406</v>
      </c>
      <c r="C143" s="306">
        <v>227515</v>
      </c>
      <c r="D143" s="306">
        <v>0</v>
      </c>
      <c r="E143" s="306">
        <v>0</v>
      </c>
      <c r="F143" s="306">
        <v>0</v>
      </c>
      <c r="G143" s="306">
        <v>0</v>
      </c>
      <c r="H143" s="306">
        <v>0</v>
      </c>
      <c r="I143" s="306">
        <v>0</v>
      </c>
      <c r="J143" s="306">
        <v>0</v>
      </c>
      <c r="K143" s="306">
        <v>0</v>
      </c>
      <c r="L143" s="306">
        <v>0</v>
      </c>
      <c r="M143" s="306">
        <v>0</v>
      </c>
      <c r="N143" s="306">
        <v>0</v>
      </c>
    </row>
    <row r="144" spans="1:14" ht="13.2">
      <c r="A144" s="306" t="s">
        <v>4</v>
      </c>
      <c r="B144" s="306" t="s">
        <v>407</v>
      </c>
      <c r="C144" s="306">
        <v>107470</v>
      </c>
      <c r="D144" s="306">
        <v>0</v>
      </c>
      <c r="E144" s="306">
        <v>0</v>
      </c>
      <c r="F144" s="306">
        <v>0</v>
      </c>
      <c r="G144" s="306">
        <v>0</v>
      </c>
      <c r="H144" s="306">
        <v>0</v>
      </c>
      <c r="I144" s="306">
        <v>0</v>
      </c>
      <c r="J144" s="306">
        <v>0</v>
      </c>
      <c r="K144" s="306">
        <v>0</v>
      </c>
      <c r="L144" s="306">
        <v>0</v>
      </c>
      <c r="M144" s="306">
        <v>0</v>
      </c>
      <c r="N144" s="306">
        <v>0</v>
      </c>
    </row>
    <row r="145" spans="1:14" ht="13.2">
      <c r="A145" s="306" t="s">
        <v>4</v>
      </c>
      <c r="B145" s="306" t="s">
        <v>408</v>
      </c>
      <c r="C145" s="306">
        <v>42680</v>
      </c>
      <c r="D145" s="306">
        <v>0</v>
      </c>
      <c r="E145" s="306">
        <v>0</v>
      </c>
      <c r="F145" s="306">
        <v>0</v>
      </c>
      <c r="G145" s="306">
        <v>0</v>
      </c>
      <c r="H145" s="306">
        <v>0</v>
      </c>
      <c r="I145" s="306">
        <v>0</v>
      </c>
      <c r="J145" s="306">
        <v>0</v>
      </c>
      <c r="K145" s="306">
        <v>0</v>
      </c>
      <c r="L145" s="306">
        <v>0</v>
      </c>
      <c r="M145" s="306">
        <v>0</v>
      </c>
      <c r="N145" s="306">
        <v>0</v>
      </c>
    </row>
    <row r="146" spans="1:14" ht="13.2">
      <c r="A146" s="306" t="s">
        <v>4</v>
      </c>
      <c r="B146" s="306" t="s">
        <v>409</v>
      </c>
      <c r="C146" s="306">
        <v>1658750</v>
      </c>
      <c r="D146" s="306">
        <v>0</v>
      </c>
      <c r="E146" s="306">
        <v>0</v>
      </c>
      <c r="F146" s="306">
        <v>0</v>
      </c>
      <c r="G146" s="306">
        <v>0</v>
      </c>
      <c r="H146" s="306">
        <v>0</v>
      </c>
      <c r="I146" s="306">
        <v>0</v>
      </c>
      <c r="J146" s="306">
        <v>0</v>
      </c>
      <c r="K146" s="306">
        <v>0</v>
      </c>
      <c r="L146" s="306">
        <v>0</v>
      </c>
      <c r="M146" s="306">
        <v>0</v>
      </c>
      <c r="N146" s="306">
        <v>0</v>
      </c>
    </row>
    <row r="147" spans="1:14" ht="13.2">
      <c r="A147" s="306" t="s">
        <v>4</v>
      </c>
      <c r="B147" s="306" t="s">
        <v>410</v>
      </c>
      <c r="C147" s="306">
        <v>51040</v>
      </c>
      <c r="D147" s="306">
        <v>0</v>
      </c>
      <c r="E147" s="306">
        <v>0</v>
      </c>
      <c r="F147" s="306">
        <v>0</v>
      </c>
      <c r="G147" s="306">
        <v>0</v>
      </c>
      <c r="H147" s="306">
        <v>0</v>
      </c>
      <c r="I147" s="306">
        <v>0</v>
      </c>
      <c r="J147" s="306">
        <v>0</v>
      </c>
      <c r="K147" s="306">
        <v>0</v>
      </c>
      <c r="L147" s="306">
        <v>0</v>
      </c>
      <c r="M147" s="306">
        <v>0</v>
      </c>
      <c r="N147" s="306">
        <v>0</v>
      </c>
    </row>
    <row r="148" spans="1:14" ht="13.2">
      <c r="A148" s="306" t="s">
        <v>4</v>
      </c>
      <c r="B148" s="306" t="s">
        <v>411</v>
      </c>
      <c r="C148" s="306">
        <v>113355</v>
      </c>
      <c r="D148" s="306">
        <v>0</v>
      </c>
      <c r="E148" s="306">
        <v>0</v>
      </c>
      <c r="F148" s="306">
        <v>0</v>
      </c>
      <c r="G148" s="306">
        <v>0</v>
      </c>
      <c r="H148" s="306">
        <v>0</v>
      </c>
      <c r="I148" s="306">
        <v>0</v>
      </c>
      <c r="J148" s="306">
        <v>0</v>
      </c>
      <c r="K148" s="306">
        <v>0</v>
      </c>
      <c r="L148" s="306">
        <v>0</v>
      </c>
      <c r="M148" s="306">
        <v>0</v>
      </c>
      <c r="N148" s="306">
        <v>0</v>
      </c>
    </row>
    <row r="149" spans="1:14" ht="13.2">
      <c r="A149" s="306" t="s">
        <v>4</v>
      </c>
      <c r="B149" s="306" t="s">
        <v>412</v>
      </c>
      <c r="C149" s="306">
        <v>2047364</v>
      </c>
      <c r="D149" s="306">
        <v>0</v>
      </c>
      <c r="E149" s="306">
        <v>0</v>
      </c>
      <c r="F149" s="306">
        <v>0</v>
      </c>
      <c r="G149" s="306">
        <v>0</v>
      </c>
      <c r="H149" s="306">
        <v>0</v>
      </c>
      <c r="I149" s="306">
        <v>0</v>
      </c>
      <c r="J149" s="306">
        <v>0</v>
      </c>
      <c r="K149" s="306">
        <v>0</v>
      </c>
      <c r="L149" s="306">
        <v>0</v>
      </c>
      <c r="M149" s="306">
        <v>0</v>
      </c>
      <c r="N149" s="306">
        <v>0</v>
      </c>
    </row>
    <row r="150" spans="1:14" ht="13.2">
      <c r="A150" s="306" t="s">
        <v>4</v>
      </c>
      <c r="B150" s="306" t="s">
        <v>413</v>
      </c>
      <c r="C150" s="306">
        <v>880000</v>
      </c>
      <c r="D150" s="306">
        <v>0</v>
      </c>
      <c r="E150" s="306">
        <v>0</v>
      </c>
      <c r="F150" s="306">
        <v>0</v>
      </c>
      <c r="G150" s="306">
        <v>0</v>
      </c>
      <c r="H150" s="306">
        <v>0</v>
      </c>
      <c r="I150" s="306">
        <v>0</v>
      </c>
      <c r="J150" s="306">
        <v>0</v>
      </c>
      <c r="K150" s="306">
        <v>0</v>
      </c>
      <c r="L150" s="306">
        <v>0</v>
      </c>
      <c r="M150" s="306">
        <v>0</v>
      </c>
      <c r="N150" s="306">
        <v>0</v>
      </c>
    </row>
    <row r="151" spans="1:14" ht="13.2">
      <c r="A151" s="306" t="s">
        <v>4</v>
      </c>
      <c r="B151" s="306" t="s">
        <v>414</v>
      </c>
      <c r="C151" s="306">
        <v>1089000</v>
      </c>
      <c r="D151" s="306">
        <v>0</v>
      </c>
      <c r="E151" s="306">
        <v>0</v>
      </c>
      <c r="F151" s="306">
        <v>0</v>
      </c>
      <c r="G151" s="306">
        <v>0</v>
      </c>
      <c r="H151" s="306">
        <v>0</v>
      </c>
      <c r="I151" s="306">
        <v>0</v>
      </c>
      <c r="J151" s="306">
        <v>0</v>
      </c>
      <c r="K151" s="306">
        <v>0</v>
      </c>
      <c r="L151" s="306">
        <v>0</v>
      </c>
      <c r="M151" s="306">
        <v>0</v>
      </c>
      <c r="N151" s="306">
        <v>0</v>
      </c>
    </row>
    <row r="152" spans="1:14" ht="13.2">
      <c r="A152" s="306" t="s">
        <v>4</v>
      </c>
      <c r="B152" s="306" t="s">
        <v>415</v>
      </c>
      <c r="C152" s="306">
        <v>44000</v>
      </c>
      <c r="D152" s="306">
        <v>0</v>
      </c>
      <c r="E152" s="306">
        <v>0</v>
      </c>
      <c r="F152" s="306">
        <v>0</v>
      </c>
      <c r="G152" s="306">
        <v>0</v>
      </c>
      <c r="H152" s="306">
        <v>0</v>
      </c>
      <c r="I152" s="306">
        <v>0</v>
      </c>
      <c r="J152" s="306">
        <v>0</v>
      </c>
      <c r="K152" s="306">
        <v>0</v>
      </c>
      <c r="L152" s="306">
        <v>0</v>
      </c>
      <c r="M152" s="306">
        <v>0</v>
      </c>
      <c r="N152" s="306">
        <v>0</v>
      </c>
    </row>
    <row r="153" spans="1:14" ht="13.2">
      <c r="A153" s="306" t="s">
        <v>4</v>
      </c>
      <c r="B153" s="306" t="s">
        <v>416</v>
      </c>
      <c r="C153" s="306">
        <v>478500</v>
      </c>
      <c r="D153" s="306">
        <v>0</v>
      </c>
      <c r="E153" s="306">
        <v>0</v>
      </c>
      <c r="F153" s="306">
        <v>0</v>
      </c>
      <c r="G153" s="306">
        <v>0</v>
      </c>
      <c r="H153" s="306">
        <v>0</v>
      </c>
      <c r="I153" s="306">
        <v>0</v>
      </c>
      <c r="J153" s="306">
        <v>0</v>
      </c>
      <c r="K153" s="306">
        <v>0</v>
      </c>
      <c r="L153" s="306">
        <v>0</v>
      </c>
      <c r="M153" s="306">
        <v>0</v>
      </c>
      <c r="N153" s="306">
        <v>0</v>
      </c>
    </row>
    <row r="154" spans="1:14" ht="13.2">
      <c r="A154" s="306" t="s">
        <v>4</v>
      </c>
      <c r="B154" s="306" t="s">
        <v>417</v>
      </c>
      <c r="C154" s="306">
        <v>365200</v>
      </c>
      <c r="D154" s="306">
        <v>0</v>
      </c>
      <c r="E154" s="306">
        <v>0</v>
      </c>
      <c r="F154" s="306">
        <v>0</v>
      </c>
      <c r="G154" s="306">
        <v>0</v>
      </c>
      <c r="H154" s="306">
        <v>0</v>
      </c>
      <c r="I154" s="306">
        <v>0</v>
      </c>
      <c r="J154" s="306">
        <v>0</v>
      </c>
      <c r="K154" s="306">
        <v>0</v>
      </c>
      <c r="L154" s="306">
        <v>0</v>
      </c>
      <c r="M154" s="306">
        <v>0</v>
      </c>
      <c r="N154" s="306">
        <v>0</v>
      </c>
    </row>
    <row r="155" spans="1:14" ht="13.2">
      <c r="A155" s="306" t="s">
        <v>4</v>
      </c>
      <c r="B155" s="306" t="s">
        <v>418</v>
      </c>
      <c r="C155" s="306">
        <v>341550</v>
      </c>
      <c r="D155" s="306">
        <v>0</v>
      </c>
      <c r="E155" s="306">
        <v>0</v>
      </c>
      <c r="F155" s="306">
        <v>0</v>
      </c>
      <c r="G155" s="306">
        <v>0</v>
      </c>
      <c r="H155" s="306">
        <v>0</v>
      </c>
      <c r="I155" s="306">
        <v>0</v>
      </c>
      <c r="J155" s="306">
        <v>0</v>
      </c>
      <c r="K155" s="306">
        <v>0</v>
      </c>
      <c r="L155" s="306">
        <v>0</v>
      </c>
      <c r="M155" s="306">
        <v>0</v>
      </c>
      <c r="N155" s="306">
        <v>0</v>
      </c>
    </row>
    <row r="156" spans="1:14" ht="13.2">
      <c r="A156" s="306" t="s">
        <v>4</v>
      </c>
      <c r="B156" s="306" t="s">
        <v>419</v>
      </c>
      <c r="C156" s="306">
        <v>898521</v>
      </c>
      <c r="D156" s="306">
        <v>0</v>
      </c>
      <c r="E156" s="306">
        <v>0</v>
      </c>
      <c r="F156" s="306">
        <v>0</v>
      </c>
      <c r="G156" s="306">
        <v>0</v>
      </c>
      <c r="H156" s="306">
        <v>0</v>
      </c>
      <c r="I156" s="306">
        <v>0</v>
      </c>
      <c r="J156" s="306">
        <v>0</v>
      </c>
      <c r="K156" s="306">
        <v>0</v>
      </c>
      <c r="L156" s="306">
        <v>0</v>
      </c>
      <c r="M156" s="306">
        <v>0</v>
      </c>
      <c r="N156" s="306">
        <v>0</v>
      </c>
    </row>
    <row r="157" spans="1:14" ht="13.2">
      <c r="A157" s="306" t="s">
        <v>4</v>
      </c>
      <c r="B157" s="306" t="s">
        <v>420</v>
      </c>
      <c r="C157" s="306">
        <v>1857328</v>
      </c>
      <c r="D157" s="306">
        <v>0</v>
      </c>
      <c r="E157" s="306">
        <v>0</v>
      </c>
      <c r="F157" s="306">
        <v>0</v>
      </c>
      <c r="G157" s="306">
        <v>0</v>
      </c>
      <c r="H157" s="306">
        <v>0</v>
      </c>
      <c r="I157" s="306">
        <v>0</v>
      </c>
      <c r="J157" s="306">
        <v>0</v>
      </c>
      <c r="K157" s="306">
        <v>0</v>
      </c>
      <c r="L157" s="306">
        <v>0</v>
      </c>
      <c r="M157" s="306">
        <v>0</v>
      </c>
      <c r="N157" s="306">
        <v>0</v>
      </c>
    </row>
    <row r="158" spans="1:14" ht="13.2">
      <c r="A158" s="306" t="s">
        <v>4</v>
      </c>
      <c r="B158" s="306" t="s">
        <v>421</v>
      </c>
      <c r="C158" s="306">
        <v>10000550</v>
      </c>
      <c r="D158" s="306">
        <v>0</v>
      </c>
      <c r="E158" s="306">
        <v>0</v>
      </c>
      <c r="F158" s="306">
        <v>0</v>
      </c>
      <c r="G158" s="306">
        <v>0</v>
      </c>
      <c r="H158" s="306">
        <v>0</v>
      </c>
      <c r="I158" s="306">
        <v>0</v>
      </c>
      <c r="J158" s="306">
        <v>0</v>
      </c>
      <c r="K158" s="306">
        <v>0</v>
      </c>
      <c r="L158" s="306">
        <v>0</v>
      </c>
      <c r="M158" s="306">
        <v>0</v>
      </c>
      <c r="N158" s="306">
        <v>0</v>
      </c>
    </row>
    <row r="159" spans="1:14" ht="13.2">
      <c r="A159" s="306" t="s">
        <v>4</v>
      </c>
      <c r="B159" s="306" t="s">
        <v>422</v>
      </c>
      <c r="C159" s="306">
        <v>35200</v>
      </c>
      <c r="D159" s="306">
        <v>0</v>
      </c>
      <c r="E159" s="306">
        <v>0</v>
      </c>
      <c r="F159" s="306">
        <v>0</v>
      </c>
      <c r="G159" s="306">
        <v>0</v>
      </c>
      <c r="H159" s="306">
        <v>0</v>
      </c>
      <c r="I159" s="306">
        <v>0</v>
      </c>
      <c r="J159" s="306">
        <v>0</v>
      </c>
      <c r="K159" s="306">
        <v>0</v>
      </c>
      <c r="L159" s="306">
        <v>0</v>
      </c>
      <c r="M159" s="306">
        <v>0</v>
      </c>
      <c r="N159" s="306">
        <v>0</v>
      </c>
    </row>
    <row r="160" spans="1:14" ht="13.2">
      <c r="A160" s="306" t="s">
        <v>4</v>
      </c>
      <c r="B160" s="306" t="s">
        <v>423</v>
      </c>
      <c r="C160" s="306">
        <v>0</v>
      </c>
      <c r="D160" s="306">
        <v>16830</v>
      </c>
      <c r="E160" s="306">
        <v>0</v>
      </c>
      <c r="F160" s="306">
        <v>0</v>
      </c>
      <c r="G160" s="306">
        <v>0</v>
      </c>
      <c r="H160" s="306">
        <v>0</v>
      </c>
      <c r="I160" s="306">
        <v>0</v>
      </c>
      <c r="J160" s="306">
        <v>0</v>
      </c>
      <c r="K160" s="306">
        <v>0</v>
      </c>
      <c r="L160" s="306">
        <v>0</v>
      </c>
      <c r="M160" s="306">
        <v>0</v>
      </c>
      <c r="N160" s="306">
        <v>0</v>
      </c>
    </row>
    <row r="161" spans="1:14" ht="13.2">
      <c r="A161" s="306" t="s">
        <v>4</v>
      </c>
      <c r="B161" s="306" t="s">
        <v>424</v>
      </c>
      <c r="C161" s="306">
        <v>0</v>
      </c>
      <c r="D161" s="306">
        <v>677930</v>
      </c>
      <c r="E161" s="306">
        <v>0</v>
      </c>
      <c r="F161" s="306">
        <v>0</v>
      </c>
      <c r="G161" s="306">
        <v>973060</v>
      </c>
      <c r="H161" s="306">
        <v>0</v>
      </c>
      <c r="I161" s="306">
        <v>0</v>
      </c>
      <c r="J161" s="306">
        <v>0</v>
      </c>
      <c r="K161" s="306">
        <v>0</v>
      </c>
      <c r="L161" s="306">
        <v>0</v>
      </c>
      <c r="M161" s="306">
        <v>0</v>
      </c>
      <c r="N161" s="306">
        <v>0</v>
      </c>
    </row>
    <row r="162" spans="1:14" ht="13.2">
      <c r="A162" s="306" t="s">
        <v>4</v>
      </c>
      <c r="B162" s="306" t="s">
        <v>425</v>
      </c>
      <c r="C162" s="306">
        <v>0</v>
      </c>
      <c r="D162" s="306">
        <v>88000</v>
      </c>
      <c r="E162" s="306">
        <v>0</v>
      </c>
      <c r="F162" s="306">
        <v>0</v>
      </c>
      <c r="G162" s="306">
        <v>1421453</v>
      </c>
      <c r="H162" s="306">
        <v>0</v>
      </c>
      <c r="I162" s="306">
        <v>783200</v>
      </c>
      <c r="J162" s="306">
        <v>0</v>
      </c>
      <c r="K162" s="306">
        <v>0</v>
      </c>
      <c r="L162" s="306">
        <v>0</v>
      </c>
      <c r="M162" s="306">
        <v>0</v>
      </c>
      <c r="N162" s="306">
        <v>0</v>
      </c>
    </row>
    <row r="163" spans="1:14" ht="13.2">
      <c r="A163" s="306" t="s">
        <v>4</v>
      </c>
      <c r="B163" s="306" t="s">
        <v>426</v>
      </c>
      <c r="C163" s="306">
        <v>0</v>
      </c>
      <c r="D163" s="306">
        <v>115500</v>
      </c>
      <c r="E163" s="306">
        <v>0</v>
      </c>
      <c r="F163" s="306">
        <v>0</v>
      </c>
      <c r="G163" s="306">
        <v>126500</v>
      </c>
      <c r="H163" s="306">
        <v>0</v>
      </c>
      <c r="I163" s="306">
        <v>220000</v>
      </c>
      <c r="J163" s="306">
        <v>99000</v>
      </c>
      <c r="K163" s="306">
        <v>0</v>
      </c>
      <c r="L163" s="306">
        <v>0</v>
      </c>
      <c r="M163" s="306">
        <v>0</v>
      </c>
      <c r="N163" s="306">
        <v>0</v>
      </c>
    </row>
    <row r="164" spans="1:14" ht="13.2">
      <c r="A164" s="306" t="s">
        <v>4</v>
      </c>
      <c r="B164" s="306" t="s">
        <v>427</v>
      </c>
      <c r="C164" s="306">
        <v>0</v>
      </c>
      <c r="D164" s="306">
        <v>404800</v>
      </c>
      <c r="E164" s="306">
        <v>0</v>
      </c>
      <c r="F164" s="306">
        <v>0</v>
      </c>
      <c r="G164" s="306">
        <v>0</v>
      </c>
      <c r="H164" s="306">
        <v>0</v>
      </c>
      <c r="I164" s="306">
        <v>0</v>
      </c>
      <c r="J164" s="306">
        <v>0</v>
      </c>
      <c r="K164" s="306">
        <v>0</v>
      </c>
      <c r="L164" s="306">
        <v>0</v>
      </c>
      <c r="M164" s="306">
        <v>0</v>
      </c>
      <c r="N164" s="306">
        <v>0</v>
      </c>
    </row>
    <row r="165" spans="1:14" ht="13.2">
      <c r="A165" s="306" t="s">
        <v>4</v>
      </c>
      <c r="B165" s="306" t="s">
        <v>428</v>
      </c>
      <c r="C165" s="306">
        <v>0</v>
      </c>
      <c r="D165" s="306">
        <v>773201</v>
      </c>
      <c r="E165" s="306">
        <v>3391861</v>
      </c>
      <c r="F165" s="306">
        <v>4123713</v>
      </c>
      <c r="G165" s="306">
        <v>2320978</v>
      </c>
      <c r="H165" s="306">
        <v>0</v>
      </c>
      <c r="I165" s="306">
        <v>5181715</v>
      </c>
      <c r="J165" s="306">
        <v>291412</v>
      </c>
      <c r="K165" s="306">
        <v>5915734</v>
      </c>
      <c r="L165" s="306">
        <v>0</v>
      </c>
      <c r="M165" s="306">
        <v>0</v>
      </c>
      <c r="N165" s="306">
        <v>0</v>
      </c>
    </row>
    <row r="166" spans="1:14" ht="13.2">
      <c r="A166" s="306" t="s">
        <v>4</v>
      </c>
      <c r="B166" s="306" t="s">
        <v>429</v>
      </c>
      <c r="C166" s="306">
        <v>0</v>
      </c>
      <c r="D166" s="306">
        <v>1683000</v>
      </c>
      <c r="E166" s="306">
        <v>0</v>
      </c>
      <c r="F166" s="306">
        <v>0</v>
      </c>
      <c r="G166" s="306">
        <v>0</v>
      </c>
      <c r="H166" s="306">
        <v>0</v>
      </c>
      <c r="I166" s="306">
        <v>0</v>
      </c>
      <c r="J166" s="306">
        <v>0</v>
      </c>
      <c r="K166" s="306">
        <v>0</v>
      </c>
      <c r="L166" s="306">
        <v>0</v>
      </c>
      <c r="M166" s="306">
        <v>0</v>
      </c>
      <c r="N166" s="306">
        <v>0</v>
      </c>
    </row>
    <row r="167" spans="1:14" ht="13.2">
      <c r="A167" s="306" t="s">
        <v>4</v>
      </c>
      <c r="B167" s="306" t="s">
        <v>430</v>
      </c>
      <c r="C167" s="306">
        <v>0</v>
      </c>
      <c r="D167" s="306">
        <v>2196458</v>
      </c>
      <c r="E167" s="306">
        <v>0</v>
      </c>
      <c r="F167" s="306">
        <v>5000000</v>
      </c>
      <c r="G167" s="306">
        <v>1249721</v>
      </c>
      <c r="H167" s="306">
        <v>0</v>
      </c>
      <c r="I167" s="306">
        <v>0</v>
      </c>
      <c r="J167" s="306">
        <v>0</v>
      </c>
      <c r="K167" s="306">
        <v>0</v>
      </c>
      <c r="L167" s="306">
        <v>0</v>
      </c>
      <c r="M167" s="306">
        <v>0</v>
      </c>
      <c r="N167" s="306">
        <v>0</v>
      </c>
    </row>
    <row r="168" spans="1:14" ht="13.2">
      <c r="A168" s="306" t="s">
        <v>4</v>
      </c>
      <c r="B168" s="306" t="s">
        <v>431</v>
      </c>
      <c r="C168" s="306">
        <v>0</v>
      </c>
      <c r="D168" s="306">
        <v>865235</v>
      </c>
      <c r="E168" s="306">
        <v>0</v>
      </c>
      <c r="F168" s="306">
        <v>0</v>
      </c>
      <c r="G168" s="306">
        <v>0</v>
      </c>
      <c r="H168" s="306">
        <v>0</v>
      </c>
      <c r="I168" s="306">
        <v>885510</v>
      </c>
      <c r="J168" s="306">
        <v>0</v>
      </c>
      <c r="K168" s="306">
        <v>0</v>
      </c>
      <c r="L168" s="306">
        <v>0</v>
      </c>
      <c r="M168" s="306">
        <v>0</v>
      </c>
      <c r="N168" s="306">
        <v>0</v>
      </c>
    </row>
    <row r="169" spans="1:14" ht="13.2">
      <c r="A169" s="306" t="s">
        <v>4</v>
      </c>
      <c r="B169" s="306" t="s">
        <v>432</v>
      </c>
      <c r="C169" s="306">
        <v>0</v>
      </c>
      <c r="D169" s="306">
        <v>259069</v>
      </c>
      <c r="E169" s="306">
        <v>297926</v>
      </c>
      <c r="F169" s="306">
        <v>0</v>
      </c>
      <c r="G169" s="306">
        <v>305061</v>
      </c>
      <c r="H169" s="306">
        <v>274348</v>
      </c>
      <c r="I169" s="306">
        <v>0</v>
      </c>
      <c r="J169" s="306">
        <v>0</v>
      </c>
      <c r="K169" s="306">
        <v>0</v>
      </c>
      <c r="L169" s="306">
        <v>0</v>
      </c>
      <c r="M169" s="306">
        <v>0</v>
      </c>
      <c r="N169" s="306">
        <v>0</v>
      </c>
    </row>
    <row r="170" spans="1:14" ht="13.2">
      <c r="A170" s="306" t="s">
        <v>4</v>
      </c>
      <c r="B170" s="306" t="s">
        <v>433</v>
      </c>
      <c r="C170" s="306">
        <v>0</v>
      </c>
      <c r="D170" s="306">
        <v>814349</v>
      </c>
      <c r="E170" s="306">
        <v>0</v>
      </c>
      <c r="F170" s="306">
        <v>0</v>
      </c>
      <c r="G170" s="306">
        <v>0</v>
      </c>
      <c r="H170" s="306">
        <v>0</v>
      </c>
      <c r="I170" s="306">
        <v>0</v>
      </c>
      <c r="J170" s="306">
        <v>0</v>
      </c>
      <c r="K170" s="306">
        <v>0</v>
      </c>
      <c r="L170" s="306">
        <v>0</v>
      </c>
      <c r="M170" s="306">
        <v>0</v>
      </c>
      <c r="N170" s="306">
        <v>0</v>
      </c>
    </row>
    <row r="171" spans="1:14" ht="13.2">
      <c r="A171" s="306" t="s">
        <v>4</v>
      </c>
      <c r="B171" s="306" t="s">
        <v>434</v>
      </c>
      <c r="C171" s="306">
        <v>0</v>
      </c>
      <c r="D171" s="306">
        <v>6717260</v>
      </c>
      <c r="E171" s="306">
        <v>0</v>
      </c>
      <c r="F171" s="306">
        <v>0</v>
      </c>
      <c r="G171" s="306">
        <v>0</v>
      </c>
      <c r="H171" s="306">
        <v>0</v>
      </c>
      <c r="I171" s="306">
        <v>0</v>
      </c>
      <c r="J171" s="306">
        <v>0</v>
      </c>
      <c r="K171" s="306">
        <v>0</v>
      </c>
      <c r="L171" s="306">
        <v>0</v>
      </c>
      <c r="M171" s="306">
        <v>0</v>
      </c>
      <c r="N171" s="306">
        <v>0</v>
      </c>
    </row>
    <row r="172" spans="1:14" ht="13.2">
      <c r="A172" s="306" t="s">
        <v>4</v>
      </c>
      <c r="B172" s="306" t="s">
        <v>435</v>
      </c>
      <c r="C172" s="306">
        <v>0</v>
      </c>
      <c r="D172" s="306">
        <v>2503089</v>
      </c>
      <c r="E172" s="306">
        <v>0</v>
      </c>
      <c r="F172" s="306">
        <v>0</v>
      </c>
      <c r="G172" s="306">
        <v>0</v>
      </c>
      <c r="H172" s="306">
        <v>0</v>
      </c>
      <c r="I172" s="306">
        <v>0</v>
      </c>
      <c r="J172" s="306">
        <v>96882</v>
      </c>
      <c r="K172" s="306">
        <v>799700</v>
      </c>
      <c r="L172" s="306">
        <v>0</v>
      </c>
      <c r="M172" s="306">
        <v>0</v>
      </c>
      <c r="N172" s="306">
        <v>0</v>
      </c>
    </row>
    <row r="173" spans="1:14" ht="13.2">
      <c r="A173" s="306" t="s">
        <v>4</v>
      </c>
      <c r="B173" s="306" t="s">
        <v>436</v>
      </c>
      <c r="C173" s="306">
        <v>0</v>
      </c>
      <c r="D173" s="306">
        <v>1534150</v>
      </c>
      <c r="E173" s="306">
        <v>0</v>
      </c>
      <c r="F173" s="306">
        <v>0</v>
      </c>
      <c r="G173" s="306">
        <v>0</v>
      </c>
      <c r="H173" s="306">
        <v>0</v>
      </c>
      <c r="I173" s="306">
        <v>0</v>
      </c>
      <c r="J173" s="306">
        <v>0</v>
      </c>
      <c r="K173" s="306">
        <v>0</v>
      </c>
      <c r="L173" s="306">
        <v>0</v>
      </c>
      <c r="M173" s="306">
        <v>0</v>
      </c>
      <c r="N173" s="306">
        <v>0</v>
      </c>
    </row>
    <row r="174" spans="1:14" ht="13.2">
      <c r="A174" s="306" t="s">
        <v>4</v>
      </c>
      <c r="B174" s="306" t="s">
        <v>437</v>
      </c>
      <c r="C174" s="306">
        <v>0</v>
      </c>
      <c r="D174" s="306">
        <v>641800</v>
      </c>
      <c r="E174" s="306">
        <v>0</v>
      </c>
      <c r="F174" s="306">
        <v>0</v>
      </c>
      <c r="G174" s="306">
        <v>0</v>
      </c>
      <c r="H174" s="306">
        <v>0</v>
      </c>
      <c r="I174" s="306">
        <v>0</v>
      </c>
      <c r="J174" s="306">
        <v>431343</v>
      </c>
      <c r="K174" s="306">
        <v>0</v>
      </c>
      <c r="L174" s="306">
        <v>0</v>
      </c>
      <c r="M174" s="306">
        <v>0</v>
      </c>
      <c r="N174" s="306">
        <v>0</v>
      </c>
    </row>
    <row r="175" spans="1:14" ht="13.2">
      <c r="A175" s="306" t="s">
        <v>4</v>
      </c>
      <c r="B175" s="306" t="s">
        <v>438</v>
      </c>
      <c r="C175" s="306">
        <v>0</v>
      </c>
      <c r="D175" s="306">
        <v>272800</v>
      </c>
      <c r="E175" s="306">
        <v>176000</v>
      </c>
      <c r="F175" s="306">
        <v>0</v>
      </c>
      <c r="G175" s="306">
        <v>251900</v>
      </c>
      <c r="H175" s="306">
        <v>0</v>
      </c>
      <c r="I175" s="306">
        <v>679800</v>
      </c>
      <c r="J175" s="306">
        <v>206800</v>
      </c>
      <c r="K175" s="306">
        <v>170500</v>
      </c>
      <c r="L175" s="306">
        <v>0</v>
      </c>
      <c r="M175" s="306">
        <v>0</v>
      </c>
      <c r="N175" s="306">
        <v>0</v>
      </c>
    </row>
    <row r="176" spans="1:14" ht="13.2">
      <c r="A176" s="306" t="s">
        <v>4</v>
      </c>
      <c r="B176" s="306" t="s">
        <v>439</v>
      </c>
      <c r="C176" s="306">
        <v>0</v>
      </c>
      <c r="D176" s="306">
        <v>63250</v>
      </c>
      <c r="E176" s="306">
        <v>0</v>
      </c>
      <c r="F176" s="306">
        <v>0</v>
      </c>
      <c r="G176" s="306">
        <v>0</v>
      </c>
      <c r="H176" s="306">
        <v>0</v>
      </c>
      <c r="I176" s="306">
        <v>115500</v>
      </c>
      <c r="J176" s="306">
        <v>29700</v>
      </c>
      <c r="K176" s="306">
        <v>0</v>
      </c>
      <c r="L176" s="306">
        <v>0</v>
      </c>
      <c r="M176" s="306">
        <v>0</v>
      </c>
      <c r="N176" s="306">
        <v>0</v>
      </c>
    </row>
    <row r="177" spans="1:14" ht="13.2">
      <c r="A177" s="306" t="s">
        <v>4</v>
      </c>
      <c r="B177" s="306" t="s">
        <v>440</v>
      </c>
      <c r="C177" s="306">
        <v>0</v>
      </c>
      <c r="D177" s="306">
        <v>130440</v>
      </c>
      <c r="E177" s="306">
        <v>0</v>
      </c>
      <c r="F177" s="306">
        <v>130440</v>
      </c>
      <c r="G177" s="306">
        <v>0</v>
      </c>
      <c r="H177" s="306">
        <v>130440</v>
      </c>
      <c r="I177" s="306">
        <v>130440</v>
      </c>
      <c r="J177" s="306">
        <v>130440</v>
      </c>
      <c r="K177" s="306">
        <v>130440</v>
      </c>
      <c r="L177" s="306">
        <v>0</v>
      </c>
      <c r="M177" s="306">
        <v>0</v>
      </c>
      <c r="N177" s="306">
        <v>0</v>
      </c>
    </row>
    <row r="178" spans="1:14" ht="13.2">
      <c r="A178" s="306" t="s">
        <v>4</v>
      </c>
      <c r="B178" s="306" t="s">
        <v>441</v>
      </c>
      <c r="C178" s="306">
        <v>0</v>
      </c>
      <c r="D178" s="306">
        <v>58443</v>
      </c>
      <c r="E178" s="306">
        <v>0</v>
      </c>
      <c r="F178" s="306">
        <v>184247</v>
      </c>
      <c r="G178" s="306">
        <v>0</v>
      </c>
      <c r="H178" s="306">
        <v>0</v>
      </c>
      <c r="I178" s="306">
        <v>267300</v>
      </c>
      <c r="J178" s="306">
        <v>439148</v>
      </c>
      <c r="K178" s="306">
        <v>68486</v>
      </c>
      <c r="L178" s="306">
        <v>0</v>
      </c>
      <c r="M178" s="306">
        <v>0</v>
      </c>
      <c r="N178" s="306">
        <v>0</v>
      </c>
    </row>
    <row r="179" spans="1:14" ht="13.2">
      <c r="A179" s="306" t="s">
        <v>4</v>
      </c>
      <c r="B179" s="306" t="s">
        <v>442</v>
      </c>
      <c r="C179" s="306">
        <v>0</v>
      </c>
      <c r="D179" s="306">
        <v>13310</v>
      </c>
      <c r="E179" s="306">
        <v>0</v>
      </c>
      <c r="F179" s="306">
        <v>0</v>
      </c>
      <c r="G179" s="306">
        <v>0</v>
      </c>
      <c r="H179" s="306">
        <v>0</v>
      </c>
      <c r="I179" s="306">
        <v>0</v>
      </c>
      <c r="J179" s="306">
        <v>0</v>
      </c>
      <c r="K179" s="306">
        <v>0</v>
      </c>
      <c r="L179" s="306">
        <v>0</v>
      </c>
      <c r="M179" s="306">
        <v>0</v>
      </c>
      <c r="N179" s="306">
        <v>0</v>
      </c>
    </row>
    <row r="180" spans="1:14" ht="13.2">
      <c r="A180" s="306" t="s">
        <v>4</v>
      </c>
      <c r="B180" s="306" t="s">
        <v>443</v>
      </c>
      <c r="C180" s="306">
        <v>0</v>
      </c>
      <c r="D180" s="306">
        <v>374000</v>
      </c>
      <c r="E180" s="306">
        <v>0</v>
      </c>
      <c r="F180" s="306">
        <v>0</v>
      </c>
      <c r="G180" s="306">
        <v>0</v>
      </c>
      <c r="H180" s="306">
        <v>0</v>
      </c>
      <c r="I180" s="306">
        <v>0</v>
      </c>
      <c r="J180" s="306">
        <v>0</v>
      </c>
      <c r="K180" s="306">
        <v>0</v>
      </c>
      <c r="L180" s="306">
        <v>0</v>
      </c>
      <c r="M180" s="306">
        <v>0</v>
      </c>
      <c r="N180" s="306">
        <v>0</v>
      </c>
    </row>
    <row r="181" spans="1:14" ht="13.2">
      <c r="A181" s="306" t="s">
        <v>4</v>
      </c>
      <c r="B181" s="306" t="s">
        <v>444</v>
      </c>
      <c r="C181" s="306">
        <v>0</v>
      </c>
      <c r="D181" s="306">
        <v>139260</v>
      </c>
      <c r="E181" s="306">
        <v>0</v>
      </c>
      <c r="F181" s="306">
        <v>0</v>
      </c>
      <c r="G181" s="306">
        <v>0</v>
      </c>
      <c r="H181" s="306">
        <v>0</v>
      </c>
      <c r="I181" s="306">
        <v>0</v>
      </c>
      <c r="J181" s="306">
        <v>0</v>
      </c>
      <c r="K181" s="306">
        <v>0</v>
      </c>
      <c r="L181" s="306">
        <v>0</v>
      </c>
      <c r="M181" s="306">
        <v>0</v>
      </c>
      <c r="N181" s="306">
        <v>0</v>
      </c>
    </row>
    <row r="182" spans="1:14" ht="13.2">
      <c r="A182" s="306" t="s">
        <v>4</v>
      </c>
      <c r="B182" s="306" t="s">
        <v>445</v>
      </c>
      <c r="C182" s="306">
        <v>0</v>
      </c>
      <c r="D182" s="306">
        <v>203510</v>
      </c>
      <c r="E182" s="306">
        <v>0</v>
      </c>
      <c r="F182" s="306">
        <v>0</v>
      </c>
      <c r="G182" s="306">
        <v>0</v>
      </c>
      <c r="H182" s="306">
        <v>0</v>
      </c>
      <c r="I182" s="306">
        <v>0</v>
      </c>
      <c r="J182" s="306">
        <v>0</v>
      </c>
      <c r="K182" s="306">
        <v>0</v>
      </c>
      <c r="L182" s="306">
        <v>0</v>
      </c>
      <c r="M182" s="306">
        <v>0</v>
      </c>
      <c r="N182" s="306">
        <v>0</v>
      </c>
    </row>
    <row r="183" spans="1:14" ht="13.2">
      <c r="A183" s="306" t="s">
        <v>4</v>
      </c>
      <c r="B183" s="306" t="s">
        <v>446</v>
      </c>
      <c r="C183" s="306">
        <v>0</v>
      </c>
      <c r="D183" s="306">
        <v>536770</v>
      </c>
      <c r="E183" s="306">
        <v>0</v>
      </c>
      <c r="F183" s="306">
        <v>212270</v>
      </c>
      <c r="G183" s="306">
        <v>0</v>
      </c>
      <c r="H183" s="306">
        <v>0</v>
      </c>
      <c r="I183" s="306">
        <v>0</v>
      </c>
      <c r="J183" s="306">
        <v>0</v>
      </c>
      <c r="K183" s="306">
        <v>0</v>
      </c>
      <c r="L183" s="306">
        <v>0</v>
      </c>
      <c r="M183" s="306">
        <v>0</v>
      </c>
      <c r="N183" s="306">
        <v>0</v>
      </c>
    </row>
    <row r="184" spans="1:14" ht="13.2">
      <c r="A184" s="306" t="s">
        <v>4</v>
      </c>
      <c r="B184" s="306" t="s">
        <v>447</v>
      </c>
      <c r="C184" s="306">
        <v>0</v>
      </c>
      <c r="D184" s="306">
        <v>881648</v>
      </c>
      <c r="E184" s="306">
        <v>0</v>
      </c>
      <c r="F184" s="306">
        <v>0</v>
      </c>
      <c r="G184" s="306">
        <v>0</v>
      </c>
      <c r="H184" s="306">
        <v>0</v>
      </c>
      <c r="I184" s="306">
        <v>0</v>
      </c>
      <c r="J184" s="306">
        <v>0</v>
      </c>
      <c r="K184" s="306">
        <v>0</v>
      </c>
      <c r="L184" s="306">
        <v>0</v>
      </c>
      <c r="M184" s="306">
        <v>0</v>
      </c>
      <c r="N184" s="306">
        <v>0</v>
      </c>
    </row>
    <row r="185" spans="1:14" ht="13.2">
      <c r="A185" s="306" t="s">
        <v>4</v>
      </c>
      <c r="B185" s="306" t="s">
        <v>448</v>
      </c>
      <c r="C185" s="306">
        <v>0</v>
      </c>
      <c r="D185" s="306">
        <v>0</v>
      </c>
      <c r="E185" s="306">
        <v>141024</v>
      </c>
      <c r="F185" s="306">
        <v>73520</v>
      </c>
      <c r="G185" s="306">
        <v>59658</v>
      </c>
      <c r="H185" s="306">
        <v>62068</v>
      </c>
      <c r="I185" s="306">
        <v>0</v>
      </c>
      <c r="J185" s="306">
        <v>54051</v>
      </c>
      <c r="K185" s="306">
        <v>0</v>
      </c>
      <c r="L185" s="306">
        <v>0</v>
      </c>
      <c r="M185" s="306">
        <v>0</v>
      </c>
      <c r="N185" s="306">
        <v>0</v>
      </c>
    </row>
    <row r="186" spans="1:14" ht="13.2">
      <c r="A186" s="306" t="s">
        <v>4</v>
      </c>
      <c r="B186" s="306" t="s">
        <v>449</v>
      </c>
      <c r="C186" s="306">
        <v>0</v>
      </c>
      <c r="D186" s="306">
        <v>0</v>
      </c>
      <c r="E186" s="306">
        <v>880000</v>
      </c>
      <c r="F186" s="306">
        <v>0</v>
      </c>
      <c r="G186" s="306">
        <v>80300</v>
      </c>
      <c r="H186" s="306">
        <v>0</v>
      </c>
      <c r="I186" s="306">
        <v>0</v>
      </c>
      <c r="J186" s="306">
        <v>0</v>
      </c>
      <c r="K186" s="306">
        <v>0</v>
      </c>
      <c r="L186" s="306">
        <v>0</v>
      </c>
      <c r="M186" s="306">
        <v>0</v>
      </c>
      <c r="N186" s="306">
        <v>0</v>
      </c>
    </row>
    <row r="187" spans="1:14" ht="13.2">
      <c r="A187" s="306" t="s">
        <v>4</v>
      </c>
      <c r="B187" s="306" t="s">
        <v>450</v>
      </c>
      <c r="C187" s="306">
        <v>0</v>
      </c>
      <c r="D187" s="306">
        <v>0</v>
      </c>
      <c r="E187" s="306">
        <v>50600</v>
      </c>
      <c r="F187" s="306">
        <v>0</v>
      </c>
      <c r="G187" s="306">
        <v>0</v>
      </c>
      <c r="H187" s="306">
        <v>0</v>
      </c>
      <c r="I187" s="306">
        <v>0</v>
      </c>
      <c r="J187" s="306">
        <v>0</v>
      </c>
      <c r="K187" s="306">
        <v>0</v>
      </c>
      <c r="L187" s="306">
        <v>0</v>
      </c>
      <c r="M187" s="306">
        <v>0</v>
      </c>
      <c r="N187" s="306">
        <v>0</v>
      </c>
    </row>
    <row r="188" spans="1:14" ht="13.2">
      <c r="A188" s="306" t="s">
        <v>4</v>
      </c>
      <c r="B188" s="306" t="s">
        <v>451</v>
      </c>
      <c r="C188" s="306">
        <v>0</v>
      </c>
      <c r="D188" s="306">
        <v>0</v>
      </c>
      <c r="E188" s="306">
        <v>448800</v>
      </c>
      <c r="F188" s="306">
        <v>0</v>
      </c>
      <c r="G188" s="306">
        <v>0</v>
      </c>
      <c r="H188" s="306">
        <v>0</v>
      </c>
      <c r="I188" s="306">
        <v>0</v>
      </c>
      <c r="J188" s="306">
        <v>0</v>
      </c>
      <c r="K188" s="306">
        <v>0</v>
      </c>
      <c r="L188" s="306">
        <v>0</v>
      </c>
      <c r="M188" s="306">
        <v>0</v>
      </c>
      <c r="N188" s="306">
        <v>0</v>
      </c>
    </row>
    <row r="189" spans="1:14" ht="13.2">
      <c r="A189" s="306" t="s">
        <v>4</v>
      </c>
      <c r="B189" s="306" t="s">
        <v>452</v>
      </c>
      <c r="C189" s="306">
        <v>0</v>
      </c>
      <c r="D189" s="306">
        <v>0</v>
      </c>
      <c r="E189" s="306">
        <v>22330</v>
      </c>
      <c r="F189" s="306">
        <v>0</v>
      </c>
      <c r="G189" s="306">
        <v>0</v>
      </c>
      <c r="H189" s="306">
        <v>0</v>
      </c>
      <c r="I189" s="306">
        <v>0</v>
      </c>
      <c r="J189" s="306">
        <v>0</v>
      </c>
      <c r="K189" s="306">
        <v>0</v>
      </c>
      <c r="L189" s="306">
        <v>0</v>
      </c>
      <c r="M189" s="306">
        <v>0</v>
      </c>
      <c r="N189" s="306">
        <v>0</v>
      </c>
    </row>
    <row r="190" spans="1:14" ht="13.2">
      <c r="A190" s="306" t="s">
        <v>4</v>
      </c>
      <c r="B190" s="306" t="s">
        <v>453</v>
      </c>
      <c r="C190" s="306">
        <v>0</v>
      </c>
      <c r="D190" s="306">
        <v>0</v>
      </c>
      <c r="E190" s="306">
        <v>534105</v>
      </c>
      <c r="F190" s="306">
        <v>0</v>
      </c>
      <c r="G190" s="306">
        <v>0</v>
      </c>
      <c r="H190" s="306">
        <v>0</v>
      </c>
      <c r="I190" s="306">
        <v>0</v>
      </c>
      <c r="J190" s="306">
        <v>0</v>
      </c>
      <c r="K190" s="306">
        <v>0</v>
      </c>
      <c r="L190" s="306">
        <v>0</v>
      </c>
      <c r="M190" s="306">
        <v>0</v>
      </c>
      <c r="N190" s="306">
        <v>0</v>
      </c>
    </row>
    <row r="191" spans="1:14" ht="13.2">
      <c r="A191" s="306" t="s">
        <v>4</v>
      </c>
      <c r="B191" s="306" t="s">
        <v>454</v>
      </c>
      <c r="C191" s="306">
        <v>0</v>
      </c>
      <c r="D191" s="306">
        <v>0</v>
      </c>
      <c r="E191" s="306">
        <v>117700</v>
      </c>
      <c r="F191" s="306">
        <v>0</v>
      </c>
      <c r="G191" s="306">
        <v>0</v>
      </c>
      <c r="H191" s="306">
        <v>0</v>
      </c>
      <c r="I191" s="306">
        <v>0</v>
      </c>
      <c r="J191" s="306">
        <v>259545</v>
      </c>
      <c r="K191" s="306">
        <v>0</v>
      </c>
      <c r="L191" s="306">
        <v>0</v>
      </c>
      <c r="M191" s="306">
        <v>0</v>
      </c>
      <c r="N191" s="306">
        <v>0</v>
      </c>
    </row>
    <row r="192" spans="1:14" ht="13.2">
      <c r="A192" s="306" t="s">
        <v>4</v>
      </c>
      <c r="B192" s="306" t="s">
        <v>455</v>
      </c>
      <c r="C192" s="306">
        <v>0</v>
      </c>
      <c r="D192" s="306">
        <v>0</v>
      </c>
      <c r="E192" s="306">
        <v>557700</v>
      </c>
      <c r="F192" s="306">
        <v>0</v>
      </c>
      <c r="G192" s="306">
        <v>1056000</v>
      </c>
      <c r="H192" s="306">
        <v>0</v>
      </c>
      <c r="I192" s="306">
        <v>132000</v>
      </c>
      <c r="J192" s="306">
        <v>45100</v>
      </c>
      <c r="K192" s="306">
        <v>0</v>
      </c>
      <c r="L192" s="306">
        <v>0</v>
      </c>
      <c r="M192" s="306">
        <v>0</v>
      </c>
      <c r="N192" s="306">
        <v>0</v>
      </c>
    </row>
    <row r="193" spans="1:14" ht="13.2">
      <c r="A193" s="306" t="s">
        <v>4</v>
      </c>
      <c r="B193" s="306" t="s">
        <v>456</v>
      </c>
      <c r="C193" s="306">
        <v>0</v>
      </c>
      <c r="D193" s="306">
        <v>0</v>
      </c>
      <c r="E193" s="306">
        <v>57200</v>
      </c>
      <c r="F193" s="306">
        <v>0</v>
      </c>
      <c r="G193" s="306">
        <v>0</v>
      </c>
      <c r="H193" s="306">
        <v>0</v>
      </c>
      <c r="I193" s="306">
        <v>46200</v>
      </c>
      <c r="J193" s="306">
        <v>0</v>
      </c>
      <c r="K193" s="306">
        <v>87153</v>
      </c>
      <c r="L193" s="306">
        <v>0</v>
      </c>
      <c r="M193" s="306">
        <v>0</v>
      </c>
      <c r="N193" s="306">
        <v>0</v>
      </c>
    </row>
    <row r="194" spans="1:14" ht="13.2">
      <c r="A194" s="306" t="s">
        <v>4</v>
      </c>
      <c r="B194" s="306" t="s">
        <v>457</v>
      </c>
      <c r="C194" s="306">
        <v>0</v>
      </c>
      <c r="D194" s="306">
        <v>0</v>
      </c>
      <c r="E194" s="306">
        <v>317637</v>
      </c>
      <c r="F194" s="306">
        <v>138727</v>
      </c>
      <c r="G194" s="306">
        <v>917920</v>
      </c>
      <c r="H194" s="306">
        <v>0</v>
      </c>
      <c r="I194" s="306">
        <v>0</v>
      </c>
      <c r="J194" s="306">
        <v>1919792</v>
      </c>
      <c r="K194" s="306">
        <v>0</v>
      </c>
      <c r="L194" s="306">
        <v>0</v>
      </c>
      <c r="M194" s="306">
        <v>0</v>
      </c>
      <c r="N194" s="306">
        <v>0</v>
      </c>
    </row>
    <row r="195" spans="1:14" ht="13.2">
      <c r="A195" s="306" t="s">
        <v>4</v>
      </c>
      <c r="B195" s="306" t="s">
        <v>458</v>
      </c>
      <c r="C195" s="306">
        <v>0</v>
      </c>
      <c r="D195" s="306">
        <v>0</v>
      </c>
      <c r="E195" s="306">
        <v>1868856</v>
      </c>
      <c r="F195" s="306">
        <v>3099046</v>
      </c>
      <c r="G195" s="306">
        <v>3912655</v>
      </c>
      <c r="H195" s="306">
        <v>1526403</v>
      </c>
      <c r="I195" s="306">
        <v>4703643</v>
      </c>
      <c r="J195" s="306">
        <v>917675</v>
      </c>
      <c r="K195" s="306">
        <v>0</v>
      </c>
      <c r="L195" s="306">
        <v>0</v>
      </c>
      <c r="M195" s="306">
        <v>0</v>
      </c>
      <c r="N195" s="306">
        <v>0</v>
      </c>
    </row>
    <row r="196" spans="1:14" ht="13.2">
      <c r="A196" s="306" t="s">
        <v>4</v>
      </c>
      <c r="B196" s="306" t="s">
        <v>459</v>
      </c>
      <c r="C196" s="306">
        <v>0</v>
      </c>
      <c r="D196" s="306">
        <v>0</v>
      </c>
      <c r="E196" s="306">
        <v>172700</v>
      </c>
      <c r="F196" s="306">
        <v>0</v>
      </c>
      <c r="G196" s="306">
        <v>0</v>
      </c>
      <c r="H196" s="306">
        <v>0</v>
      </c>
      <c r="I196" s="306">
        <v>0</v>
      </c>
      <c r="J196" s="306">
        <v>0</v>
      </c>
      <c r="K196" s="306">
        <v>0</v>
      </c>
      <c r="L196" s="306">
        <v>0</v>
      </c>
      <c r="M196" s="306">
        <v>0</v>
      </c>
      <c r="N196" s="306">
        <v>0</v>
      </c>
    </row>
    <row r="197" spans="1:14" ht="13.2">
      <c r="A197" s="306" t="s">
        <v>4</v>
      </c>
      <c r="B197" s="306" t="s">
        <v>460</v>
      </c>
      <c r="C197" s="306">
        <v>0</v>
      </c>
      <c r="D197" s="306">
        <v>0</v>
      </c>
      <c r="E197" s="306">
        <v>73700</v>
      </c>
      <c r="F197" s="306">
        <v>0</v>
      </c>
      <c r="G197" s="306">
        <v>182600</v>
      </c>
      <c r="H197" s="306">
        <v>0</v>
      </c>
      <c r="I197" s="306">
        <v>0</v>
      </c>
      <c r="J197" s="306">
        <v>711700</v>
      </c>
      <c r="K197" s="306">
        <v>370000</v>
      </c>
      <c r="L197" s="306">
        <v>0</v>
      </c>
      <c r="M197" s="306">
        <v>0</v>
      </c>
      <c r="N197" s="306">
        <v>0</v>
      </c>
    </row>
    <row r="198" spans="1:14" ht="13.2">
      <c r="A198" s="306" t="s">
        <v>4</v>
      </c>
      <c r="B198" s="306" t="s">
        <v>461</v>
      </c>
      <c r="C198" s="306">
        <v>0</v>
      </c>
      <c r="D198" s="306">
        <v>0</v>
      </c>
      <c r="E198" s="306">
        <v>75570</v>
      </c>
      <c r="F198" s="306">
        <v>0</v>
      </c>
      <c r="G198" s="306">
        <v>0</v>
      </c>
      <c r="H198" s="306">
        <v>0</v>
      </c>
      <c r="I198" s="306">
        <v>0</v>
      </c>
      <c r="J198" s="306">
        <v>0</v>
      </c>
      <c r="K198" s="306">
        <v>0</v>
      </c>
      <c r="L198" s="306">
        <v>0</v>
      </c>
      <c r="M198" s="306">
        <v>0</v>
      </c>
      <c r="N198" s="306">
        <v>0</v>
      </c>
    </row>
    <row r="199" spans="1:14" ht="13.2">
      <c r="A199" s="306" t="s">
        <v>4</v>
      </c>
      <c r="B199" s="306" t="s">
        <v>462</v>
      </c>
      <c r="C199" s="306">
        <v>0</v>
      </c>
      <c r="D199" s="306">
        <v>0</v>
      </c>
      <c r="E199" s="306">
        <v>120450</v>
      </c>
      <c r="F199" s="306">
        <v>0</v>
      </c>
      <c r="G199" s="306">
        <v>0</v>
      </c>
      <c r="H199" s="306">
        <v>0</v>
      </c>
      <c r="I199" s="306">
        <v>272983</v>
      </c>
      <c r="J199" s="306">
        <v>273240</v>
      </c>
      <c r="K199" s="306">
        <v>999209</v>
      </c>
      <c r="L199" s="306">
        <v>0</v>
      </c>
      <c r="M199" s="306">
        <v>0</v>
      </c>
      <c r="N199" s="306">
        <v>0</v>
      </c>
    </row>
    <row r="200" spans="1:14" ht="13.2">
      <c r="A200" s="306" t="s">
        <v>4</v>
      </c>
      <c r="B200" s="306" t="s">
        <v>463</v>
      </c>
      <c r="C200" s="306">
        <v>0</v>
      </c>
      <c r="D200" s="306">
        <v>0</v>
      </c>
      <c r="E200" s="306">
        <v>777532</v>
      </c>
      <c r="F200" s="306">
        <v>0</v>
      </c>
      <c r="G200" s="306">
        <v>894960</v>
      </c>
      <c r="H200" s="306">
        <v>0</v>
      </c>
      <c r="I200" s="306">
        <v>0</v>
      </c>
      <c r="J200" s="306">
        <v>0</v>
      </c>
      <c r="K200" s="306">
        <v>418140</v>
      </c>
      <c r="L200" s="306">
        <v>0</v>
      </c>
      <c r="M200" s="306">
        <v>0</v>
      </c>
      <c r="N200" s="306">
        <v>0</v>
      </c>
    </row>
    <row r="201" spans="1:14" ht="13.2">
      <c r="A201" s="306" t="s">
        <v>4</v>
      </c>
      <c r="B201" s="306" t="s">
        <v>464</v>
      </c>
      <c r="C201" s="306">
        <v>0</v>
      </c>
      <c r="D201" s="306">
        <v>0</v>
      </c>
      <c r="E201" s="306">
        <v>121000</v>
      </c>
      <c r="F201" s="306">
        <v>0</v>
      </c>
      <c r="G201" s="306">
        <v>0</v>
      </c>
      <c r="H201" s="306">
        <v>0</v>
      </c>
      <c r="I201" s="306">
        <v>0</v>
      </c>
      <c r="J201" s="306">
        <v>0</v>
      </c>
      <c r="K201" s="306">
        <v>0</v>
      </c>
      <c r="L201" s="306">
        <v>0</v>
      </c>
      <c r="M201" s="306">
        <v>0</v>
      </c>
      <c r="N201" s="306">
        <v>0</v>
      </c>
    </row>
    <row r="202" spans="1:14" ht="13.2">
      <c r="A202" s="306" t="s">
        <v>4</v>
      </c>
      <c r="B202" s="306" t="s">
        <v>465</v>
      </c>
      <c r="C202" s="306">
        <v>0</v>
      </c>
      <c r="D202" s="306">
        <v>0</v>
      </c>
      <c r="E202" s="306">
        <v>0</v>
      </c>
      <c r="F202" s="306">
        <v>4730</v>
      </c>
      <c r="G202" s="306">
        <v>12320</v>
      </c>
      <c r="H202" s="306">
        <v>0</v>
      </c>
      <c r="I202" s="306">
        <v>10890</v>
      </c>
      <c r="J202" s="306">
        <v>0</v>
      </c>
      <c r="K202" s="306">
        <v>2178</v>
      </c>
      <c r="L202" s="306">
        <v>0</v>
      </c>
      <c r="M202" s="306">
        <v>0</v>
      </c>
      <c r="N202" s="306">
        <v>0</v>
      </c>
    </row>
    <row r="203" spans="1:14" ht="13.2">
      <c r="A203" s="306" t="s">
        <v>4</v>
      </c>
      <c r="B203" s="306" t="s">
        <v>466</v>
      </c>
      <c r="C203" s="306">
        <v>0</v>
      </c>
      <c r="D203" s="306">
        <v>0</v>
      </c>
      <c r="E203" s="306">
        <v>0</v>
      </c>
      <c r="F203" s="306">
        <v>2058870</v>
      </c>
      <c r="G203" s="306">
        <v>1370545</v>
      </c>
      <c r="H203" s="306">
        <v>0</v>
      </c>
      <c r="I203" s="306">
        <v>0</v>
      </c>
      <c r="J203" s="306">
        <v>599500</v>
      </c>
      <c r="K203" s="306">
        <v>0</v>
      </c>
      <c r="L203" s="306">
        <v>0</v>
      </c>
      <c r="M203" s="306">
        <v>0</v>
      </c>
      <c r="N203" s="306">
        <v>0</v>
      </c>
    </row>
    <row r="204" spans="1:14" ht="13.2">
      <c r="A204" s="306" t="s">
        <v>4</v>
      </c>
      <c r="B204" s="306" t="s">
        <v>467</v>
      </c>
      <c r="C204" s="306">
        <v>0</v>
      </c>
      <c r="D204" s="306">
        <v>0</v>
      </c>
      <c r="E204" s="306">
        <v>0</v>
      </c>
      <c r="F204" s="306">
        <v>301600</v>
      </c>
      <c r="G204" s="306">
        <v>99000</v>
      </c>
      <c r="H204" s="306">
        <v>0</v>
      </c>
      <c r="I204" s="306">
        <v>0</v>
      </c>
      <c r="J204" s="306">
        <v>113000</v>
      </c>
      <c r="K204" s="306">
        <v>416000</v>
      </c>
      <c r="L204" s="306">
        <v>0</v>
      </c>
      <c r="M204" s="306">
        <v>0</v>
      </c>
      <c r="N204" s="306">
        <v>0</v>
      </c>
    </row>
    <row r="205" spans="1:14" ht="13.2">
      <c r="A205" s="306" t="s">
        <v>4</v>
      </c>
      <c r="B205" s="306" t="s">
        <v>468</v>
      </c>
      <c r="C205" s="306">
        <v>0</v>
      </c>
      <c r="D205" s="306">
        <v>0</v>
      </c>
      <c r="E205" s="306">
        <v>0</v>
      </c>
      <c r="F205" s="306">
        <v>266200</v>
      </c>
      <c r="G205" s="306">
        <v>0</v>
      </c>
      <c r="H205" s="306">
        <v>0</v>
      </c>
      <c r="I205" s="306">
        <v>54120</v>
      </c>
      <c r="J205" s="306">
        <v>0</v>
      </c>
      <c r="K205" s="306">
        <v>0</v>
      </c>
      <c r="L205" s="306">
        <v>0</v>
      </c>
      <c r="M205" s="306">
        <v>0</v>
      </c>
      <c r="N205" s="306">
        <v>0</v>
      </c>
    </row>
    <row r="206" spans="1:14" ht="13.2">
      <c r="A206" s="306" t="s">
        <v>4</v>
      </c>
      <c r="B206" s="306" t="s">
        <v>469</v>
      </c>
      <c r="C206" s="306">
        <v>0</v>
      </c>
      <c r="D206" s="306">
        <v>0</v>
      </c>
      <c r="E206" s="306">
        <v>0</v>
      </c>
      <c r="F206" s="306">
        <v>2560800</v>
      </c>
      <c r="G206" s="306">
        <v>0</v>
      </c>
      <c r="H206" s="306">
        <v>0</v>
      </c>
      <c r="I206" s="306">
        <v>0</v>
      </c>
      <c r="J206" s="306">
        <v>5055600</v>
      </c>
      <c r="K206" s="306">
        <v>259600</v>
      </c>
      <c r="L206" s="306">
        <v>0</v>
      </c>
      <c r="M206" s="306">
        <v>0</v>
      </c>
      <c r="N206" s="306">
        <v>0</v>
      </c>
    </row>
    <row r="207" spans="1:14" ht="13.2">
      <c r="A207" s="306" t="s">
        <v>4</v>
      </c>
      <c r="B207" s="306" t="s">
        <v>470</v>
      </c>
      <c r="C207" s="306">
        <v>0</v>
      </c>
      <c r="D207" s="306">
        <v>0</v>
      </c>
      <c r="E207" s="306">
        <v>0</v>
      </c>
      <c r="F207" s="306">
        <v>0</v>
      </c>
      <c r="G207" s="306">
        <v>2151820</v>
      </c>
      <c r="H207" s="306">
        <v>0</v>
      </c>
      <c r="I207" s="306">
        <v>0</v>
      </c>
      <c r="J207" s="306">
        <v>0</v>
      </c>
      <c r="K207" s="306">
        <v>0</v>
      </c>
      <c r="L207" s="306">
        <v>0</v>
      </c>
      <c r="M207" s="306">
        <v>0</v>
      </c>
      <c r="N207" s="306">
        <v>0</v>
      </c>
    </row>
    <row r="208" spans="1:14" ht="13.2">
      <c r="A208" s="306" t="s">
        <v>4</v>
      </c>
      <c r="B208" s="306" t="s">
        <v>471</v>
      </c>
      <c r="C208" s="306">
        <v>0</v>
      </c>
      <c r="D208" s="306">
        <v>0</v>
      </c>
      <c r="E208" s="306">
        <v>0</v>
      </c>
      <c r="F208" s="306">
        <v>0</v>
      </c>
      <c r="G208" s="306">
        <v>19800</v>
      </c>
      <c r="H208" s="306">
        <v>0</v>
      </c>
      <c r="I208" s="306">
        <v>0</v>
      </c>
      <c r="J208" s="306">
        <v>0</v>
      </c>
      <c r="K208" s="306">
        <v>0</v>
      </c>
      <c r="L208" s="306">
        <v>0</v>
      </c>
      <c r="M208" s="306">
        <v>0</v>
      </c>
      <c r="N208" s="306">
        <v>0</v>
      </c>
    </row>
    <row r="209" spans="1:14" ht="13.2">
      <c r="A209" s="306" t="s">
        <v>4</v>
      </c>
      <c r="B209" s="306" t="s">
        <v>472</v>
      </c>
      <c r="C209" s="306">
        <v>0</v>
      </c>
      <c r="D209" s="306">
        <v>0</v>
      </c>
      <c r="E209" s="306">
        <v>0</v>
      </c>
      <c r="F209" s="306">
        <v>0</v>
      </c>
      <c r="G209" s="306">
        <v>81576</v>
      </c>
      <c r="H209" s="306">
        <v>0</v>
      </c>
      <c r="I209" s="306">
        <v>0</v>
      </c>
      <c r="J209" s="306">
        <v>0</v>
      </c>
      <c r="K209" s="306">
        <v>0</v>
      </c>
      <c r="L209" s="306">
        <v>0</v>
      </c>
      <c r="M209" s="306">
        <v>0</v>
      </c>
      <c r="N209" s="306">
        <v>0</v>
      </c>
    </row>
    <row r="210" spans="1:14" ht="13.2">
      <c r="A210" s="306" t="s">
        <v>4</v>
      </c>
      <c r="B210" s="306" t="s">
        <v>473</v>
      </c>
      <c r="C210" s="306">
        <v>0</v>
      </c>
      <c r="D210" s="306">
        <v>0</v>
      </c>
      <c r="E210" s="306">
        <v>0</v>
      </c>
      <c r="F210" s="306">
        <v>0</v>
      </c>
      <c r="G210" s="306">
        <v>434500</v>
      </c>
      <c r="H210" s="306">
        <v>0</v>
      </c>
      <c r="I210" s="306">
        <v>1765500</v>
      </c>
      <c r="J210" s="306">
        <v>154000</v>
      </c>
      <c r="K210" s="306">
        <v>0</v>
      </c>
      <c r="L210" s="306">
        <v>0</v>
      </c>
      <c r="M210" s="306">
        <v>0</v>
      </c>
      <c r="N210" s="306">
        <v>0</v>
      </c>
    </row>
    <row r="211" spans="1:14" ht="13.2">
      <c r="A211" s="306" t="s">
        <v>4</v>
      </c>
      <c r="B211" s="306" t="s">
        <v>474</v>
      </c>
      <c r="C211" s="306">
        <v>0</v>
      </c>
      <c r="D211" s="306">
        <v>0</v>
      </c>
      <c r="E211" s="306">
        <v>0</v>
      </c>
      <c r="F211" s="306">
        <v>0</v>
      </c>
      <c r="G211" s="306">
        <v>166014</v>
      </c>
      <c r="H211" s="306">
        <v>0</v>
      </c>
      <c r="I211" s="306">
        <v>0</v>
      </c>
      <c r="J211" s="306">
        <v>0</v>
      </c>
      <c r="K211" s="306">
        <v>0</v>
      </c>
      <c r="L211" s="306">
        <v>0</v>
      </c>
      <c r="M211" s="306">
        <v>0</v>
      </c>
      <c r="N211" s="306">
        <v>0</v>
      </c>
    </row>
    <row r="212" spans="1:14" ht="13.2">
      <c r="A212" s="306" t="s">
        <v>4</v>
      </c>
      <c r="B212" s="306" t="s">
        <v>475</v>
      </c>
      <c r="C212" s="306">
        <v>0</v>
      </c>
      <c r="D212" s="306">
        <v>0</v>
      </c>
      <c r="E212" s="306">
        <v>0</v>
      </c>
      <c r="F212" s="306">
        <v>0</v>
      </c>
      <c r="G212" s="306">
        <v>506000</v>
      </c>
      <c r="H212" s="306">
        <v>0</v>
      </c>
      <c r="I212" s="306">
        <v>0</v>
      </c>
      <c r="J212" s="306">
        <v>1452000</v>
      </c>
      <c r="K212" s="306">
        <v>3443000</v>
      </c>
      <c r="L212" s="306">
        <v>0</v>
      </c>
      <c r="M212" s="306">
        <v>0</v>
      </c>
      <c r="N212" s="306">
        <v>0</v>
      </c>
    </row>
    <row r="213" spans="1:14" ht="13.2">
      <c r="A213" s="306" t="s">
        <v>4</v>
      </c>
      <c r="B213" s="306" t="s">
        <v>476</v>
      </c>
      <c r="C213" s="306">
        <v>0</v>
      </c>
      <c r="D213" s="306">
        <v>0</v>
      </c>
      <c r="E213" s="306">
        <v>0</v>
      </c>
      <c r="F213" s="306">
        <v>0</v>
      </c>
      <c r="G213" s="306">
        <v>440000</v>
      </c>
      <c r="H213" s="306">
        <v>0</v>
      </c>
      <c r="I213" s="306">
        <v>0</v>
      </c>
      <c r="J213" s="306">
        <v>0</v>
      </c>
      <c r="K213" s="306">
        <v>0</v>
      </c>
      <c r="L213" s="306">
        <v>0</v>
      </c>
      <c r="M213" s="306">
        <v>0</v>
      </c>
      <c r="N213" s="306">
        <v>0</v>
      </c>
    </row>
    <row r="214" spans="1:14" ht="13.2">
      <c r="A214" s="306" t="s">
        <v>4</v>
      </c>
      <c r="B214" s="306" t="s">
        <v>477</v>
      </c>
      <c r="C214" s="306">
        <v>0</v>
      </c>
      <c r="D214" s="306">
        <v>0</v>
      </c>
      <c r="E214" s="306">
        <v>0</v>
      </c>
      <c r="F214" s="306">
        <v>0</v>
      </c>
      <c r="G214" s="306">
        <v>204050</v>
      </c>
      <c r="H214" s="306">
        <v>0</v>
      </c>
      <c r="I214" s="306">
        <v>0</v>
      </c>
      <c r="J214" s="306">
        <v>0</v>
      </c>
      <c r="K214" s="306">
        <v>0</v>
      </c>
      <c r="L214" s="306">
        <v>0</v>
      </c>
      <c r="M214" s="306">
        <v>0</v>
      </c>
      <c r="N214" s="306">
        <v>0</v>
      </c>
    </row>
    <row r="215" spans="1:14" ht="13.2">
      <c r="A215" s="306" t="s">
        <v>4</v>
      </c>
      <c r="B215" s="306" t="s">
        <v>478</v>
      </c>
      <c r="C215" s="306">
        <v>0</v>
      </c>
      <c r="D215" s="306">
        <v>0</v>
      </c>
      <c r="E215" s="306">
        <v>0</v>
      </c>
      <c r="F215" s="306">
        <v>0</v>
      </c>
      <c r="G215" s="306">
        <v>772557</v>
      </c>
      <c r="H215" s="306">
        <v>0</v>
      </c>
      <c r="I215" s="306">
        <v>0</v>
      </c>
      <c r="J215" s="306">
        <v>2143035</v>
      </c>
      <c r="K215" s="306">
        <v>0</v>
      </c>
      <c r="L215" s="306">
        <v>0</v>
      </c>
      <c r="M215" s="306">
        <v>0</v>
      </c>
      <c r="N215" s="306">
        <v>0</v>
      </c>
    </row>
    <row r="216" spans="1:14" ht="13.2">
      <c r="A216" s="306" t="s">
        <v>4</v>
      </c>
      <c r="B216" s="306" t="s">
        <v>479</v>
      </c>
      <c r="C216" s="306">
        <v>0</v>
      </c>
      <c r="D216" s="306">
        <v>0</v>
      </c>
      <c r="E216" s="306">
        <v>0</v>
      </c>
      <c r="F216" s="306">
        <v>0</v>
      </c>
      <c r="G216" s="306">
        <v>93500</v>
      </c>
      <c r="H216" s="306">
        <v>0</v>
      </c>
      <c r="I216" s="306">
        <v>287760</v>
      </c>
      <c r="J216" s="306">
        <v>0</v>
      </c>
      <c r="K216" s="306">
        <v>240000</v>
      </c>
      <c r="L216" s="306">
        <v>0</v>
      </c>
      <c r="M216" s="306">
        <v>0</v>
      </c>
      <c r="N216" s="306">
        <v>0</v>
      </c>
    </row>
    <row r="217" spans="1:14" ht="13.2">
      <c r="A217" s="306" t="s">
        <v>4</v>
      </c>
      <c r="B217" s="306" t="s">
        <v>480</v>
      </c>
      <c r="C217" s="306">
        <v>0</v>
      </c>
      <c r="D217" s="306">
        <v>0</v>
      </c>
      <c r="E217" s="306">
        <v>0</v>
      </c>
      <c r="F217" s="306">
        <v>0</v>
      </c>
      <c r="G217" s="306">
        <v>53290</v>
      </c>
      <c r="H217" s="306">
        <v>72310</v>
      </c>
      <c r="I217" s="306">
        <v>0</v>
      </c>
      <c r="J217" s="306">
        <v>0</v>
      </c>
      <c r="K217" s="306">
        <v>0</v>
      </c>
      <c r="L217" s="306">
        <v>0</v>
      </c>
      <c r="M217" s="306">
        <v>0</v>
      </c>
      <c r="N217" s="306">
        <v>0</v>
      </c>
    </row>
    <row r="218" spans="1:14" ht="13.2">
      <c r="A218" s="306" t="s">
        <v>4</v>
      </c>
      <c r="B218" s="306" t="s">
        <v>481</v>
      </c>
      <c r="C218" s="306">
        <v>0</v>
      </c>
      <c r="D218" s="306">
        <v>0</v>
      </c>
      <c r="E218" s="306">
        <v>0</v>
      </c>
      <c r="F218" s="306">
        <v>0</v>
      </c>
      <c r="G218" s="306">
        <v>253000</v>
      </c>
      <c r="H218" s="306">
        <v>0</v>
      </c>
      <c r="I218" s="306">
        <v>0</v>
      </c>
      <c r="J218" s="306">
        <v>215921</v>
      </c>
      <c r="K218" s="306">
        <v>0</v>
      </c>
      <c r="L218" s="306">
        <v>0</v>
      </c>
      <c r="M218" s="306">
        <v>0</v>
      </c>
      <c r="N218" s="306">
        <v>0</v>
      </c>
    </row>
    <row r="219" spans="1:14" ht="13.2">
      <c r="A219" s="306" t="s">
        <v>4</v>
      </c>
      <c r="B219" s="306" t="s">
        <v>482</v>
      </c>
      <c r="C219" s="306">
        <v>0</v>
      </c>
      <c r="D219" s="306">
        <v>0</v>
      </c>
      <c r="E219" s="306">
        <v>0</v>
      </c>
      <c r="F219" s="306">
        <v>0</v>
      </c>
      <c r="G219" s="306">
        <v>169719</v>
      </c>
      <c r="H219" s="306">
        <v>0</v>
      </c>
      <c r="I219" s="306">
        <v>0</v>
      </c>
      <c r="J219" s="306">
        <v>0</v>
      </c>
      <c r="K219" s="306">
        <v>0</v>
      </c>
      <c r="L219" s="306">
        <v>0</v>
      </c>
      <c r="M219" s="306">
        <v>0</v>
      </c>
      <c r="N219" s="306">
        <v>0</v>
      </c>
    </row>
    <row r="220" spans="1:14" ht="13.2">
      <c r="A220" s="306" t="s">
        <v>4</v>
      </c>
      <c r="B220" s="306" t="s">
        <v>483</v>
      </c>
      <c r="C220" s="306">
        <v>0</v>
      </c>
      <c r="D220" s="306">
        <v>0</v>
      </c>
      <c r="E220" s="306">
        <v>0</v>
      </c>
      <c r="F220" s="306">
        <v>0</v>
      </c>
      <c r="G220" s="306">
        <v>1870000</v>
      </c>
      <c r="H220" s="306">
        <v>0</v>
      </c>
      <c r="I220" s="306">
        <v>0</v>
      </c>
      <c r="J220" s="306">
        <v>1523000</v>
      </c>
      <c r="K220" s="306">
        <v>0</v>
      </c>
      <c r="L220" s="306">
        <v>0</v>
      </c>
      <c r="M220" s="306">
        <v>0</v>
      </c>
      <c r="N220" s="306">
        <v>0</v>
      </c>
    </row>
    <row r="221" spans="1:14" ht="13.2">
      <c r="A221" s="306" t="s">
        <v>4</v>
      </c>
      <c r="B221" s="306" t="s">
        <v>484</v>
      </c>
      <c r="C221" s="306">
        <v>0</v>
      </c>
      <c r="D221" s="306">
        <v>0</v>
      </c>
      <c r="E221" s="306">
        <v>0</v>
      </c>
      <c r="F221" s="306">
        <v>0</v>
      </c>
      <c r="G221" s="306">
        <v>0</v>
      </c>
      <c r="H221" s="306">
        <v>50380</v>
      </c>
      <c r="I221" s="306">
        <v>0</v>
      </c>
      <c r="J221" s="306">
        <v>0</v>
      </c>
      <c r="K221" s="306">
        <v>0</v>
      </c>
      <c r="L221" s="306">
        <v>0</v>
      </c>
      <c r="M221" s="306">
        <v>0</v>
      </c>
      <c r="N221" s="306">
        <v>0</v>
      </c>
    </row>
    <row r="222" spans="1:14" ht="13.2">
      <c r="A222" s="306" t="s">
        <v>4</v>
      </c>
      <c r="B222" s="306" t="s">
        <v>485</v>
      </c>
      <c r="C222" s="306">
        <v>0</v>
      </c>
      <c r="D222" s="306">
        <v>0</v>
      </c>
      <c r="E222" s="306">
        <v>0</v>
      </c>
      <c r="F222" s="306">
        <v>0</v>
      </c>
      <c r="G222" s="306">
        <v>0</v>
      </c>
      <c r="H222" s="306">
        <v>245905</v>
      </c>
      <c r="I222" s="306">
        <v>0</v>
      </c>
      <c r="J222" s="306">
        <v>0</v>
      </c>
      <c r="K222" s="306">
        <v>0</v>
      </c>
      <c r="L222" s="306">
        <v>0</v>
      </c>
      <c r="M222" s="306">
        <v>0</v>
      </c>
      <c r="N222" s="306">
        <v>0</v>
      </c>
    </row>
    <row r="223" spans="1:14" ht="13.2">
      <c r="A223" s="306" t="s">
        <v>4</v>
      </c>
      <c r="B223" s="306" t="s">
        <v>486</v>
      </c>
      <c r="C223" s="306">
        <v>0</v>
      </c>
      <c r="D223" s="306">
        <v>0</v>
      </c>
      <c r="E223" s="306">
        <v>0</v>
      </c>
      <c r="F223" s="306">
        <v>0</v>
      </c>
      <c r="G223" s="306">
        <v>0</v>
      </c>
      <c r="H223" s="306">
        <v>80300</v>
      </c>
      <c r="I223" s="306">
        <v>0</v>
      </c>
      <c r="J223" s="306">
        <v>0</v>
      </c>
      <c r="K223" s="306">
        <v>0</v>
      </c>
      <c r="L223" s="306">
        <v>0</v>
      </c>
      <c r="M223" s="306">
        <v>0</v>
      </c>
      <c r="N223" s="306">
        <v>0</v>
      </c>
    </row>
    <row r="224" spans="1:14" ht="13.2">
      <c r="A224" s="306" t="s">
        <v>4</v>
      </c>
      <c r="B224" s="306" t="s">
        <v>487</v>
      </c>
      <c r="C224" s="306">
        <v>0</v>
      </c>
      <c r="D224" s="306">
        <v>0</v>
      </c>
      <c r="E224" s="306">
        <v>0</v>
      </c>
      <c r="F224" s="306">
        <v>0</v>
      </c>
      <c r="G224" s="306">
        <v>0</v>
      </c>
      <c r="H224" s="306">
        <v>2147915</v>
      </c>
      <c r="I224" s="306">
        <v>0</v>
      </c>
      <c r="J224" s="306">
        <v>0</v>
      </c>
      <c r="K224" s="306">
        <v>0</v>
      </c>
      <c r="L224" s="306">
        <v>0</v>
      </c>
      <c r="M224" s="306">
        <v>0</v>
      </c>
      <c r="N224" s="306">
        <v>0</v>
      </c>
    </row>
    <row r="225" spans="1:14" ht="13.2">
      <c r="A225" s="306" t="s">
        <v>4</v>
      </c>
      <c r="B225" s="306" t="s">
        <v>488</v>
      </c>
      <c r="C225" s="306">
        <v>0</v>
      </c>
      <c r="D225" s="306">
        <v>0</v>
      </c>
      <c r="E225" s="306">
        <v>0</v>
      </c>
      <c r="F225" s="306">
        <v>0</v>
      </c>
      <c r="G225" s="306">
        <v>0</v>
      </c>
      <c r="H225" s="306">
        <v>176000</v>
      </c>
      <c r="I225" s="306">
        <v>304370</v>
      </c>
      <c r="J225" s="306">
        <v>91300</v>
      </c>
      <c r="K225" s="306">
        <v>0</v>
      </c>
      <c r="L225" s="306">
        <v>0</v>
      </c>
      <c r="M225" s="306">
        <v>0</v>
      </c>
      <c r="N225" s="306">
        <v>0</v>
      </c>
    </row>
    <row r="226" spans="1:14" ht="13.2">
      <c r="A226" s="306" t="s">
        <v>4</v>
      </c>
      <c r="B226" s="306" t="s">
        <v>489</v>
      </c>
      <c r="C226" s="306">
        <v>0</v>
      </c>
      <c r="D226" s="306">
        <v>0</v>
      </c>
      <c r="E226" s="306">
        <v>0</v>
      </c>
      <c r="F226" s="306">
        <v>0</v>
      </c>
      <c r="G226" s="306">
        <v>0</v>
      </c>
      <c r="H226" s="306">
        <v>369407</v>
      </c>
      <c r="I226" s="306">
        <v>360728</v>
      </c>
      <c r="J226" s="306">
        <v>0</v>
      </c>
      <c r="K226" s="306">
        <v>0</v>
      </c>
      <c r="L226" s="306">
        <v>0</v>
      </c>
      <c r="M226" s="306">
        <v>0</v>
      </c>
      <c r="N226" s="306">
        <v>0</v>
      </c>
    </row>
    <row r="227" spans="1:14" ht="13.2">
      <c r="A227" s="306" t="s">
        <v>4</v>
      </c>
      <c r="B227" s="306" t="s">
        <v>490</v>
      </c>
      <c r="C227" s="306">
        <v>0</v>
      </c>
      <c r="D227" s="306">
        <v>0</v>
      </c>
      <c r="E227" s="306">
        <v>0</v>
      </c>
      <c r="F227" s="306">
        <v>0</v>
      </c>
      <c r="G227" s="306">
        <v>0</v>
      </c>
      <c r="H227" s="306">
        <v>716408</v>
      </c>
      <c r="I227" s="306">
        <v>0</v>
      </c>
      <c r="J227" s="306">
        <v>0</v>
      </c>
      <c r="K227" s="306">
        <v>0</v>
      </c>
      <c r="L227" s="306">
        <v>0</v>
      </c>
      <c r="M227" s="306">
        <v>0</v>
      </c>
      <c r="N227" s="306">
        <v>0</v>
      </c>
    </row>
    <row r="228" spans="1:14" ht="13.2">
      <c r="A228" s="306" t="s">
        <v>4</v>
      </c>
      <c r="B228" s="306" t="s">
        <v>491</v>
      </c>
      <c r="C228" s="306">
        <v>0</v>
      </c>
      <c r="D228" s="306">
        <v>0</v>
      </c>
      <c r="E228" s="306">
        <v>0</v>
      </c>
      <c r="F228" s="306">
        <v>0</v>
      </c>
      <c r="G228" s="306">
        <v>0</v>
      </c>
      <c r="H228" s="306">
        <v>0</v>
      </c>
      <c r="I228" s="306">
        <v>5500</v>
      </c>
      <c r="J228" s="306">
        <v>0</v>
      </c>
      <c r="K228" s="306">
        <v>5500</v>
      </c>
      <c r="L228" s="306">
        <v>0</v>
      </c>
      <c r="M228" s="306">
        <v>0</v>
      </c>
      <c r="N228" s="306">
        <v>0</v>
      </c>
    </row>
    <row r="229" spans="1:14" ht="13.2">
      <c r="A229" s="306" t="s">
        <v>4</v>
      </c>
      <c r="B229" s="306" t="s">
        <v>492</v>
      </c>
      <c r="C229" s="306">
        <v>0</v>
      </c>
      <c r="D229" s="306">
        <v>0</v>
      </c>
      <c r="E229" s="306">
        <v>0</v>
      </c>
      <c r="F229" s="306">
        <v>0</v>
      </c>
      <c r="G229" s="306">
        <v>0</v>
      </c>
      <c r="H229" s="306">
        <v>0</v>
      </c>
      <c r="I229" s="306">
        <v>3850</v>
      </c>
      <c r="J229" s="306">
        <v>0</v>
      </c>
      <c r="K229" s="306">
        <v>0</v>
      </c>
      <c r="L229" s="306">
        <v>0</v>
      </c>
      <c r="M229" s="306">
        <v>0</v>
      </c>
      <c r="N229" s="306">
        <v>0</v>
      </c>
    </row>
    <row r="230" spans="1:14" ht="13.2">
      <c r="A230" s="306" t="s">
        <v>4</v>
      </c>
      <c r="B230" s="306" t="s">
        <v>493</v>
      </c>
      <c r="C230" s="306">
        <v>0</v>
      </c>
      <c r="D230" s="306">
        <v>0</v>
      </c>
      <c r="E230" s="306">
        <v>0</v>
      </c>
      <c r="F230" s="306">
        <v>0</v>
      </c>
      <c r="G230" s="306">
        <v>0</v>
      </c>
      <c r="H230" s="306">
        <v>0</v>
      </c>
      <c r="I230" s="306">
        <v>22000</v>
      </c>
      <c r="J230" s="306">
        <v>0</v>
      </c>
      <c r="K230" s="306">
        <v>0</v>
      </c>
      <c r="L230" s="306">
        <v>0</v>
      </c>
      <c r="M230" s="306">
        <v>0</v>
      </c>
      <c r="N230" s="306">
        <v>0</v>
      </c>
    </row>
    <row r="231" spans="1:14" ht="13.2">
      <c r="A231" s="306" t="s">
        <v>4</v>
      </c>
      <c r="B231" s="306" t="s">
        <v>494</v>
      </c>
      <c r="C231" s="306">
        <v>0</v>
      </c>
      <c r="D231" s="306">
        <v>0</v>
      </c>
      <c r="E231" s="306">
        <v>0</v>
      </c>
      <c r="F231" s="306">
        <v>0</v>
      </c>
      <c r="G231" s="306">
        <v>0</v>
      </c>
      <c r="H231" s="306">
        <v>0</v>
      </c>
      <c r="I231" s="306">
        <v>9537</v>
      </c>
      <c r="J231" s="306">
        <v>0</v>
      </c>
      <c r="K231" s="306">
        <v>0</v>
      </c>
      <c r="L231" s="306">
        <v>0</v>
      </c>
      <c r="M231" s="306">
        <v>0</v>
      </c>
      <c r="N231" s="306">
        <v>0</v>
      </c>
    </row>
    <row r="232" spans="1:14" ht="13.2">
      <c r="A232" s="306" t="s">
        <v>4</v>
      </c>
      <c r="B232" s="306" t="s">
        <v>495</v>
      </c>
      <c r="C232" s="306">
        <v>0</v>
      </c>
      <c r="D232" s="306">
        <v>0</v>
      </c>
      <c r="E232" s="306">
        <v>0</v>
      </c>
      <c r="F232" s="306">
        <v>0</v>
      </c>
      <c r="G232" s="306">
        <v>0</v>
      </c>
      <c r="H232" s="306">
        <v>0</v>
      </c>
      <c r="I232" s="306">
        <v>1716000</v>
      </c>
      <c r="J232" s="306">
        <v>0</v>
      </c>
      <c r="K232" s="306">
        <v>1557600</v>
      </c>
      <c r="L232" s="306">
        <v>0</v>
      </c>
      <c r="M232" s="306">
        <v>0</v>
      </c>
      <c r="N232" s="306">
        <v>0</v>
      </c>
    </row>
    <row r="233" spans="1:14" ht="13.2">
      <c r="A233" s="306" t="s">
        <v>4</v>
      </c>
      <c r="B233" s="306" t="s">
        <v>496</v>
      </c>
      <c r="C233" s="306">
        <v>0</v>
      </c>
      <c r="D233" s="306">
        <v>0</v>
      </c>
      <c r="E233" s="306">
        <v>0</v>
      </c>
      <c r="F233" s="306">
        <v>0</v>
      </c>
      <c r="G233" s="306">
        <v>0</v>
      </c>
      <c r="H233" s="306">
        <v>0</v>
      </c>
      <c r="I233" s="306">
        <v>372286</v>
      </c>
      <c r="J233" s="306">
        <v>0</v>
      </c>
      <c r="K233" s="306">
        <v>0</v>
      </c>
      <c r="L233" s="306">
        <v>0</v>
      </c>
      <c r="M233" s="306">
        <v>0</v>
      </c>
      <c r="N233" s="306">
        <v>0</v>
      </c>
    </row>
    <row r="234" spans="1:14" ht="13.2">
      <c r="A234" s="306" t="s">
        <v>4</v>
      </c>
      <c r="B234" s="306" t="s">
        <v>497</v>
      </c>
      <c r="C234" s="306">
        <v>0</v>
      </c>
      <c r="D234" s="306">
        <v>0</v>
      </c>
      <c r="E234" s="306">
        <v>0</v>
      </c>
      <c r="F234" s="306">
        <v>0</v>
      </c>
      <c r="G234" s="306">
        <v>0</v>
      </c>
      <c r="H234" s="306">
        <v>0</v>
      </c>
      <c r="I234" s="306">
        <v>1684000</v>
      </c>
      <c r="J234" s="306">
        <v>225797</v>
      </c>
      <c r="K234" s="306">
        <v>0</v>
      </c>
      <c r="L234" s="306">
        <v>0</v>
      </c>
      <c r="M234" s="306">
        <v>0</v>
      </c>
      <c r="N234" s="306">
        <v>0</v>
      </c>
    </row>
    <row r="235" spans="1:14" ht="13.2">
      <c r="A235" s="306" t="s">
        <v>4</v>
      </c>
      <c r="B235" s="306" t="s">
        <v>498</v>
      </c>
      <c r="C235" s="306">
        <v>0</v>
      </c>
      <c r="D235" s="306">
        <v>0</v>
      </c>
      <c r="E235" s="306">
        <v>0</v>
      </c>
      <c r="F235" s="306">
        <v>0</v>
      </c>
      <c r="G235" s="306">
        <v>0</v>
      </c>
      <c r="H235" s="306">
        <v>0</v>
      </c>
      <c r="I235" s="306">
        <v>0</v>
      </c>
      <c r="J235" s="306">
        <v>517000</v>
      </c>
      <c r="K235" s="306">
        <v>0</v>
      </c>
      <c r="L235" s="306">
        <v>0</v>
      </c>
      <c r="M235" s="306">
        <v>0</v>
      </c>
      <c r="N235" s="306">
        <v>0</v>
      </c>
    </row>
    <row r="236" spans="1:14" ht="13.2">
      <c r="A236" s="306" t="s">
        <v>4</v>
      </c>
      <c r="B236" s="306" t="s">
        <v>499</v>
      </c>
      <c r="C236" s="306">
        <v>0</v>
      </c>
      <c r="D236" s="306">
        <v>0</v>
      </c>
      <c r="E236" s="306">
        <v>0</v>
      </c>
      <c r="F236" s="306">
        <v>0</v>
      </c>
      <c r="G236" s="306">
        <v>0</v>
      </c>
      <c r="H236" s="306">
        <v>0</v>
      </c>
      <c r="I236" s="306">
        <v>0</v>
      </c>
      <c r="J236" s="306">
        <v>478940</v>
      </c>
      <c r="K236" s="306">
        <v>0</v>
      </c>
      <c r="L236" s="306">
        <v>0</v>
      </c>
      <c r="M236" s="306">
        <v>0</v>
      </c>
      <c r="N236" s="306">
        <v>0</v>
      </c>
    </row>
    <row r="237" spans="1:14" ht="13.2">
      <c r="A237" s="306" t="s">
        <v>4</v>
      </c>
      <c r="B237" s="306" t="s">
        <v>500</v>
      </c>
      <c r="C237" s="306">
        <v>0</v>
      </c>
      <c r="D237" s="306">
        <v>0</v>
      </c>
      <c r="E237" s="306">
        <v>0</v>
      </c>
      <c r="F237" s="306">
        <v>0</v>
      </c>
      <c r="G237" s="306">
        <v>0</v>
      </c>
      <c r="H237" s="306">
        <v>0</v>
      </c>
      <c r="I237" s="306">
        <v>0</v>
      </c>
      <c r="J237" s="306">
        <v>126687</v>
      </c>
      <c r="K237" s="306">
        <v>0</v>
      </c>
      <c r="L237" s="306">
        <v>0</v>
      </c>
      <c r="M237" s="306">
        <v>0</v>
      </c>
      <c r="N237" s="306">
        <v>0</v>
      </c>
    </row>
    <row r="238" spans="1:14" ht="13.2">
      <c r="A238" s="306" t="s">
        <v>4</v>
      </c>
      <c r="B238" s="306" t="s">
        <v>501</v>
      </c>
      <c r="C238" s="306">
        <v>0</v>
      </c>
      <c r="D238" s="306">
        <v>0</v>
      </c>
      <c r="E238" s="306">
        <v>0</v>
      </c>
      <c r="F238" s="306">
        <v>0</v>
      </c>
      <c r="G238" s="306">
        <v>0</v>
      </c>
      <c r="H238" s="306">
        <v>0</v>
      </c>
      <c r="I238" s="306">
        <v>0</v>
      </c>
      <c r="J238" s="306">
        <v>66000</v>
      </c>
      <c r="K238" s="306">
        <v>0</v>
      </c>
      <c r="L238" s="306">
        <v>0</v>
      </c>
      <c r="M238" s="306">
        <v>0</v>
      </c>
      <c r="N238" s="306">
        <v>0</v>
      </c>
    </row>
    <row r="239" spans="1:14" ht="13.2">
      <c r="A239" s="306" t="s">
        <v>4</v>
      </c>
      <c r="B239" s="306" t="s">
        <v>502</v>
      </c>
      <c r="C239" s="306">
        <v>0</v>
      </c>
      <c r="D239" s="306">
        <v>0</v>
      </c>
      <c r="E239" s="306">
        <v>0</v>
      </c>
      <c r="F239" s="306">
        <v>0</v>
      </c>
      <c r="G239" s="306">
        <v>0</v>
      </c>
      <c r="H239" s="306">
        <v>0</v>
      </c>
      <c r="I239" s="306">
        <v>0</v>
      </c>
      <c r="J239" s="306">
        <v>451000</v>
      </c>
      <c r="K239" s="306">
        <v>0</v>
      </c>
      <c r="L239" s="306">
        <v>0</v>
      </c>
      <c r="M239" s="306">
        <v>0</v>
      </c>
      <c r="N239" s="306">
        <v>0</v>
      </c>
    </row>
    <row r="240" spans="1:14" ht="13.2">
      <c r="A240" s="306" t="s">
        <v>4</v>
      </c>
      <c r="B240" s="306" t="s">
        <v>503</v>
      </c>
      <c r="C240" s="306">
        <v>0</v>
      </c>
      <c r="D240" s="306">
        <v>0</v>
      </c>
      <c r="E240" s="306">
        <v>0</v>
      </c>
      <c r="F240" s="306">
        <v>0</v>
      </c>
      <c r="G240" s="306">
        <v>0</v>
      </c>
      <c r="H240" s="306">
        <v>0</v>
      </c>
      <c r="I240" s="306">
        <v>0</v>
      </c>
      <c r="J240" s="306">
        <v>0</v>
      </c>
      <c r="K240" s="306">
        <v>500000</v>
      </c>
      <c r="L240" s="306">
        <v>0</v>
      </c>
      <c r="M240" s="306">
        <v>0</v>
      </c>
      <c r="N240" s="306">
        <v>0</v>
      </c>
    </row>
    <row r="241" spans="1:14" ht="13.2">
      <c r="A241" s="306" t="s">
        <v>4</v>
      </c>
      <c r="B241" s="306" t="s">
        <v>504</v>
      </c>
      <c r="C241" s="306">
        <v>0</v>
      </c>
      <c r="D241" s="306">
        <v>0</v>
      </c>
      <c r="E241" s="306">
        <v>0</v>
      </c>
      <c r="F241" s="306">
        <v>0</v>
      </c>
      <c r="G241" s="306">
        <v>0</v>
      </c>
      <c r="H241" s="306">
        <v>0</v>
      </c>
      <c r="I241" s="306">
        <v>0</v>
      </c>
      <c r="J241" s="306">
        <v>0</v>
      </c>
      <c r="K241" s="306">
        <v>77000</v>
      </c>
      <c r="L241" s="306">
        <v>0</v>
      </c>
      <c r="M241" s="306">
        <v>0</v>
      </c>
      <c r="N241" s="306">
        <v>0</v>
      </c>
    </row>
    <row r="242" spans="1:14" ht="13.2">
      <c r="A242" s="306" t="s">
        <v>4</v>
      </c>
      <c r="B242" s="306" t="s">
        <v>505</v>
      </c>
      <c r="C242" s="306">
        <v>0</v>
      </c>
      <c r="D242" s="306">
        <v>0</v>
      </c>
      <c r="E242" s="306">
        <v>0</v>
      </c>
      <c r="F242" s="306">
        <v>0</v>
      </c>
      <c r="G242" s="306">
        <v>0</v>
      </c>
      <c r="H242" s="306">
        <v>0</v>
      </c>
      <c r="I242" s="306">
        <v>0</v>
      </c>
      <c r="J242" s="306">
        <v>0</v>
      </c>
      <c r="K242" s="306">
        <v>2057000</v>
      </c>
      <c r="L242" s="306">
        <v>0</v>
      </c>
      <c r="M242" s="306">
        <v>0</v>
      </c>
      <c r="N242" s="306">
        <v>0</v>
      </c>
    </row>
    <row r="243" spans="1:14" ht="13.2">
      <c r="A243" s="306" t="s">
        <v>4</v>
      </c>
      <c r="B243" s="306" t="s">
        <v>506</v>
      </c>
      <c r="C243" s="306">
        <v>0</v>
      </c>
      <c r="D243" s="306">
        <v>0</v>
      </c>
      <c r="E243" s="306">
        <v>0</v>
      </c>
      <c r="F243" s="306">
        <v>0</v>
      </c>
      <c r="G243" s="306">
        <v>0</v>
      </c>
      <c r="H243" s="306">
        <v>0</v>
      </c>
      <c r="I243" s="306">
        <v>0</v>
      </c>
      <c r="J243" s="306">
        <v>0</v>
      </c>
      <c r="K243" s="306">
        <v>275628</v>
      </c>
      <c r="L243" s="306">
        <v>0</v>
      </c>
      <c r="M243" s="306">
        <v>0</v>
      </c>
      <c r="N243" s="306">
        <v>0</v>
      </c>
    </row>
    <row r="244" spans="1:14" ht="13.2">
      <c r="A244" s="306" t="s">
        <v>4</v>
      </c>
      <c r="B244" s="306" t="s">
        <v>507</v>
      </c>
      <c r="C244" s="306">
        <v>0</v>
      </c>
      <c r="D244" s="306">
        <v>292710</v>
      </c>
      <c r="E244" s="306">
        <v>0</v>
      </c>
      <c r="F244" s="306">
        <v>0</v>
      </c>
      <c r="G244" s="306">
        <v>0</v>
      </c>
      <c r="H244" s="306">
        <v>0</v>
      </c>
      <c r="I244" s="306">
        <v>0</v>
      </c>
      <c r="J244" s="306">
        <v>0</v>
      </c>
      <c r="K244" s="306">
        <v>0</v>
      </c>
      <c r="L244" s="306">
        <v>0</v>
      </c>
      <c r="M244" s="306">
        <v>0</v>
      </c>
      <c r="N244" s="306">
        <v>0</v>
      </c>
    </row>
    <row r="245" spans="1:14" ht="13.2">
      <c r="A245" s="306" t="s">
        <v>4</v>
      </c>
      <c r="B245" s="306" t="s">
        <v>508</v>
      </c>
      <c r="C245" s="306">
        <v>0</v>
      </c>
      <c r="D245" s="306">
        <v>605000</v>
      </c>
      <c r="E245" s="306">
        <v>0</v>
      </c>
      <c r="F245" s="306">
        <v>0</v>
      </c>
      <c r="G245" s="306">
        <v>0</v>
      </c>
      <c r="H245" s="306">
        <v>0</v>
      </c>
      <c r="I245" s="306">
        <v>1320000</v>
      </c>
      <c r="J245" s="306">
        <v>0</v>
      </c>
      <c r="K245" s="306">
        <v>0</v>
      </c>
      <c r="L245" s="306">
        <v>0</v>
      </c>
      <c r="M245" s="306">
        <v>0</v>
      </c>
      <c r="N245" s="306">
        <v>0</v>
      </c>
    </row>
    <row r="246" spans="1:14" ht="13.2">
      <c r="A246" s="306" t="s">
        <v>4</v>
      </c>
      <c r="B246" s="306" t="s">
        <v>509</v>
      </c>
      <c r="C246" s="306">
        <v>0</v>
      </c>
      <c r="D246" s="306">
        <v>458425</v>
      </c>
      <c r="E246" s="306">
        <v>0</v>
      </c>
      <c r="F246" s="306">
        <v>0</v>
      </c>
      <c r="G246" s="306">
        <v>0</v>
      </c>
      <c r="H246" s="306">
        <v>0</v>
      </c>
      <c r="I246" s="306">
        <v>0</v>
      </c>
      <c r="J246" s="306">
        <v>0</v>
      </c>
      <c r="K246" s="306">
        <v>0</v>
      </c>
      <c r="L246" s="306">
        <v>0</v>
      </c>
      <c r="M246" s="306">
        <v>0</v>
      </c>
      <c r="N246" s="306">
        <v>0</v>
      </c>
    </row>
    <row r="247" spans="1:14" ht="13.2">
      <c r="A247" s="306" t="s">
        <v>4</v>
      </c>
      <c r="B247" s="306" t="s">
        <v>510</v>
      </c>
      <c r="C247" s="306">
        <v>0</v>
      </c>
      <c r="D247" s="306">
        <v>0</v>
      </c>
      <c r="E247" s="306">
        <v>0</v>
      </c>
      <c r="F247" s="306">
        <v>31410</v>
      </c>
      <c r="G247" s="306">
        <v>0</v>
      </c>
      <c r="H247" s="306">
        <v>28170</v>
      </c>
      <c r="I247" s="306">
        <v>28170</v>
      </c>
      <c r="J247" s="306">
        <v>33570</v>
      </c>
      <c r="K247" s="306">
        <v>0</v>
      </c>
      <c r="L247" s="306">
        <v>0</v>
      </c>
      <c r="M247" s="306">
        <v>0</v>
      </c>
      <c r="N247" s="306">
        <v>0</v>
      </c>
    </row>
    <row r="248" spans="1:14" ht="13.2">
      <c r="A248" s="306" t="s">
        <v>4</v>
      </c>
      <c r="B248" s="306" t="s">
        <v>511</v>
      </c>
      <c r="C248" s="306">
        <v>0</v>
      </c>
      <c r="D248" s="306">
        <v>0</v>
      </c>
      <c r="E248" s="306">
        <v>0</v>
      </c>
      <c r="F248" s="306">
        <v>0</v>
      </c>
      <c r="G248" s="306">
        <v>112380</v>
      </c>
      <c r="H248" s="306">
        <v>0</v>
      </c>
      <c r="I248" s="306">
        <v>11550</v>
      </c>
      <c r="J248" s="306">
        <v>3223</v>
      </c>
      <c r="K248" s="306">
        <v>19448</v>
      </c>
      <c r="L248" s="306">
        <v>0</v>
      </c>
      <c r="M248" s="306">
        <v>0</v>
      </c>
      <c r="N248" s="306">
        <v>0</v>
      </c>
    </row>
    <row r="249" spans="1:14" ht="13.2">
      <c r="A249" s="306" t="s">
        <v>4</v>
      </c>
      <c r="B249" s="306" t="s">
        <v>512</v>
      </c>
      <c r="C249" s="306">
        <v>0</v>
      </c>
      <c r="D249" s="306">
        <v>0</v>
      </c>
      <c r="E249" s="306">
        <v>0</v>
      </c>
      <c r="F249" s="306">
        <v>0</v>
      </c>
      <c r="G249" s="306">
        <v>67361</v>
      </c>
      <c r="H249" s="306">
        <v>0</v>
      </c>
      <c r="I249" s="306">
        <v>0</v>
      </c>
      <c r="J249" s="306">
        <v>0</v>
      </c>
      <c r="K249" s="306">
        <v>0</v>
      </c>
      <c r="L249" s="306">
        <v>0</v>
      </c>
      <c r="M249" s="306">
        <v>0</v>
      </c>
      <c r="N249" s="306">
        <v>0</v>
      </c>
    </row>
    <row r="250" spans="1:14" ht="13.2">
      <c r="A250" s="306" t="s">
        <v>4</v>
      </c>
      <c r="B250" s="306" t="s">
        <v>513</v>
      </c>
      <c r="C250" s="306">
        <v>0</v>
      </c>
      <c r="D250" s="306">
        <v>0</v>
      </c>
      <c r="E250" s="306">
        <v>0</v>
      </c>
      <c r="F250" s="306">
        <v>0</v>
      </c>
      <c r="G250" s="306">
        <v>0</v>
      </c>
      <c r="H250" s="306">
        <v>75457</v>
      </c>
      <c r="I250" s="306">
        <v>0</v>
      </c>
      <c r="J250" s="306">
        <v>0</v>
      </c>
      <c r="K250" s="306">
        <v>0</v>
      </c>
      <c r="L250" s="306">
        <v>0</v>
      </c>
      <c r="M250" s="306">
        <v>0</v>
      </c>
      <c r="N250" s="306">
        <v>0</v>
      </c>
    </row>
    <row r="251" spans="1:14" ht="13.2">
      <c r="A251" s="306" t="s">
        <v>4</v>
      </c>
      <c r="B251" s="306" t="s">
        <v>514</v>
      </c>
      <c r="C251" s="306">
        <v>0</v>
      </c>
      <c r="D251" s="306">
        <v>0</v>
      </c>
      <c r="E251" s="306">
        <v>0</v>
      </c>
      <c r="F251" s="306">
        <v>0</v>
      </c>
      <c r="G251" s="306">
        <v>0</v>
      </c>
      <c r="H251" s="306">
        <v>0</v>
      </c>
      <c r="I251" s="306">
        <v>266552</v>
      </c>
      <c r="J251" s="306">
        <v>0</v>
      </c>
      <c r="K251" s="306">
        <v>0</v>
      </c>
      <c r="L251" s="306">
        <v>0</v>
      </c>
      <c r="M251" s="306">
        <v>0</v>
      </c>
      <c r="N251" s="306">
        <v>0</v>
      </c>
    </row>
    <row r="252" spans="1:14" ht="13.2">
      <c r="A252" s="306" t="s">
        <v>4</v>
      </c>
      <c r="B252" s="306" t="s">
        <v>515</v>
      </c>
      <c r="C252" s="306">
        <v>0</v>
      </c>
      <c r="D252" s="306">
        <v>0</v>
      </c>
      <c r="E252" s="306">
        <v>0</v>
      </c>
      <c r="F252" s="306">
        <v>0</v>
      </c>
      <c r="G252" s="306">
        <v>0</v>
      </c>
      <c r="H252" s="306">
        <v>0</v>
      </c>
      <c r="I252" s="306">
        <v>31955</v>
      </c>
      <c r="J252" s="306">
        <v>0</v>
      </c>
      <c r="K252" s="306">
        <v>0</v>
      </c>
      <c r="L252" s="306">
        <v>0</v>
      </c>
      <c r="M252" s="306">
        <v>0</v>
      </c>
      <c r="N252" s="306">
        <v>0</v>
      </c>
    </row>
    <row r="253" spans="1:14" ht="13.2">
      <c r="A253" s="306" t="s">
        <v>4</v>
      </c>
      <c r="B253" s="306" t="s">
        <v>516</v>
      </c>
      <c r="C253" s="306">
        <v>0</v>
      </c>
      <c r="D253" s="306">
        <v>0</v>
      </c>
      <c r="E253" s="306">
        <v>0</v>
      </c>
      <c r="F253" s="306">
        <v>0</v>
      </c>
      <c r="G253" s="306">
        <v>0</v>
      </c>
      <c r="H253" s="306">
        <v>0</v>
      </c>
      <c r="I253" s="306">
        <v>264000</v>
      </c>
      <c r="J253" s="306">
        <v>0</v>
      </c>
      <c r="K253" s="306">
        <v>0</v>
      </c>
      <c r="L253" s="306">
        <v>0</v>
      </c>
      <c r="M253" s="306">
        <v>0</v>
      </c>
      <c r="N253" s="306">
        <v>0</v>
      </c>
    </row>
    <row r="254" spans="1:14" ht="13.2">
      <c r="A254" s="306" t="s">
        <v>4</v>
      </c>
      <c r="B254" s="306" t="s">
        <v>517</v>
      </c>
      <c r="C254" s="306">
        <v>0</v>
      </c>
      <c r="D254" s="306">
        <v>0</v>
      </c>
      <c r="E254" s="306">
        <v>0</v>
      </c>
      <c r="F254" s="306">
        <v>0</v>
      </c>
      <c r="G254" s="306">
        <v>0</v>
      </c>
      <c r="H254" s="306">
        <v>0</v>
      </c>
      <c r="I254" s="306">
        <v>247014</v>
      </c>
      <c r="J254" s="306">
        <v>0</v>
      </c>
      <c r="K254" s="306">
        <v>0</v>
      </c>
      <c r="L254" s="306">
        <v>0</v>
      </c>
      <c r="M254" s="306">
        <v>0</v>
      </c>
      <c r="N254" s="306">
        <v>0</v>
      </c>
    </row>
    <row r="255" spans="1:14" ht="13.2">
      <c r="A255" s="306" t="s">
        <v>4</v>
      </c>
      <c r="B255" s="306" t="s">
        <v>518</v>
      </c>
      <c r="C255" s="306">
        <v>0</v>
      </c>
      <c r="D255" s="306">
        <v>0</v>
      </c>
      <c r="E255" s="306">
        <v>0</v>
      </c>
      <c r="F255" s="306">
        <v>0</v>
      </c>
      <c r="G255" s="306">
        <v>0</v>
      </c>
      <c r="H255" s="306">
        <v>0</v>
      </c>
      <c r="I255" s="306">
        <v>11000</v>
      </c>
      <c r="J255" s="306">
        <v>0</v>
      </c>
      <c r="K255" s="306">
        <v>0</v>
      </c>
      <c r="L255" s="306">
        <v>0</v>
      </c>
      <c r="M255" s="306">
        <v>0</v>
      </c>
      <c r="N255" s="306">
        <v>0</v>
      </c>
    </row>
    <row r="256" spans="1:14" ht="13.2">
      <c r="A256" s="306" t="s">
        <v>4</v>
      </c>
      <c r="B256" s="306" t="s">
        <v>519</v>
      </c>
      <c r="C256" s="306">
        <v>0</v>
      </c>
      <c r="D256" s="306">
        <v>0</v>
      </c>
      <c r="E256" s="306">
        <v>0</v>
      </c>
      <c r="F256" s="306">
        <v>0</v>
      </c>
      <c r="G256" s="306">
        <v>0</v>
      </c>
      <c r="H256" s="306">
        <v>0</v>
      </c>
      <c r="I256" s="306">
        <v>94050</v>
      </c>
      <c r="J256" s="306">
        <v>0</v>
      </c>
      <c r="K256" s="306">
        <v>0</v>
      </c>
      <c r="L256" s="306">
        <v>0</v>
      </c>
      <c r="M256" s="306">
        <v>0</v>
      </c>
      <c r="N256" s="306">
        <v>0</v>
      </c>
    </row>
    <row r="257" spans="1:14" ht="13.2">
      <c r="A257" s="306" t="s">
        <v>4</v>
      </c>
      <c r="B257" s="306" t="s">
        <v>520</v>
      </c>
      <c r="C257" s="306">
        <v>0</v>
      </c>
      <c r="D257" s="306">
        <v>0</v>
      </c>
      <c r="E257" s="306">
        <v>0</v>
      </c>
      <c r="F257" s="306">
        <v>0</v>
      </c>
      <c r="G257" s="306">
        <v>0</v>
      </c>
      <c r="H257" s="306">
        <v>0</v>
      </c>
      <c r="I257" s="306">
        <v>166650</v>
      </c>
      <c r="J257" s="306">
        <v>0</v>
      </c>
      <c r="K257" s="306">
        <v>0</v>
      </c>
      <c r="L257" s="306">
        <v>0</v>
      </c>
      <c r="M257" s="306">
        <v>0</v>
      </c>
      <c r="N257" s="306">
        <v>0</v>
      </c>
    </row>
    <row r="258" spans="1:14" ht="13.2">
      <c r="A258" s="306" t="s">
        <v>4</v>
      </c>
      <c r="B258" s="306" t="s">
        <v>521</v>
      </c>
      <c r="C258" s="306">
        <v>0</v>
      </c>
      <c r="D258" s="306">
        <v>0</v>
      </c>
      <c r="E258" s="306">
        <v>0</v>
      </c>
      <c r="F258" s="306">
        <v>0</v>
      </c>
      <c r="G258" s="306">
        <v>0</v>
      </c>
      <c r="H258" s="306">
        <v>0</v>
      </c>
      <c r="I258" s="306">
        <v>3616910</v>
      </c>
      <c r="J258" s="306">
        <v>0</v>
      </c>
      <c r="K258" s="306">
        <v>0</v>
      </c>
      <c r="L258" s="306">
        <v>0</v>
      </c>
      <c r="M258" s="306">
        <v>0</v>
      </c>
      <c r="N258" s="306">
        <v>0</v>
      </c>
    </row>
    <row r="259" spans="1:14" ht="13.2">
      <c r="A259" s="306" t="s">
        <v>4</v>
      </c>
      <c r="B259" s="306" t="s">
        <v>522</v>
      </c>
      <c r="C259" s="306">
        <v>0</v>
      </c>
      <c r="D259" s="306">
        <v>0</v>
      </c>
      <c r="E259" s="306">
        <v>0</v>
      </c>
      <c r="F259" s="306">
        <v>0</v>
      </c>
      <c r="G259" s="306">
        <v>0</v>
      </c>
      <c r="H259" s="306">
        <v>0</v>
      </c>
      <c r="I259" s="306">
        <v>560000</v>
      </c>
      <c r="J259" s="306">
        <v>0</v>
      </c>
      <c r="K259" s="306">
        <v>0</v>
      </c>
      <c r="L259" s="306">
        <v>0</v>
      </c>
      <c r="M259" s="306">
        <v>0</v>
      </c>
      <c r="N259" s="306">
        <v>0</v>
      </c>
    </row>
    <row r="260" spans="1:14" ht="13.2">
      <c r="A260" s="306" t="s">
        <v>4</v>
      </c>
      <c r="B260" s="306" t="s">
        <v>396</v>
      </c>
      <c r="C260" s="306">
        <v>4463314</v>
      </c>
      <c r="D260" s="306">
        <v>257620</v>
      </c>
      <c r="E260" s="306">
        <v>0</v>
      </c>
      <c r="F260" s="306">
        <v>0</v>
      </c>
      <c r="G260" s="306">
        <v>0</v>
      </c>
      <c r="H260" s="306">
        <v>0</v>
      </c>
      <c r="I260" s="306">
        <v>0</v>
      </c>
      <c r="J260" s="306">
        <v>0</v>
      </c>
      <c r="K260" s="306">
        <v>0</v>
      </c>
      <c r="L260" s="306">
        <v>0</v>
      </c>
      <c r="M260" s="306">
        <v>0</v>
      </c>
      <c r="N260" s="306">
        <v>0</v>
      </c>
    </row>
    <row r="261" spans="1:14" ht="13.2">
      <c r="A261" s="306" t="s">
        <v>4</v>
      </c>
      <c r="B261" s="306" t="s">
        <v>523</v>
      </c>
      <c r="C261" s="306">
        <v>279265</v>
      </c>
      <c r="D261" s="306">
        <v>0</v>
      </c>
      <c r="E261" s="306">
        <v>0</v>
      </c>
      <c r="F261" s="306">
        <v>0</v>
      </c>
      <c r="G261" s="306">
        <v>0</v>
      </c>
      <c r="H261" s="306">
        <v>0</v>
      </c>
      <c r="I261" s="306">
        <v>0</v>
      </c>
      <c r="J261" s="306">
        <v>0</v>
      </c>
      <c r="K261" s="306">
        <v>0</v>
      </c>
      <c r="L261" s="306">
        <v>0</v>
      </c>
      <c r="M261" s="306">
        <v>0</v>
      </c>
      <c r="N261" s="306">
        <v>0</v>
      </c>
    </row>
    <row r="262" spans="1:14" ht="13.2">
      <c r="A262" s="306" t="s">
        <v>4</v>
      </c>
      <c r="B262" s="306" t="s">
        <v>524</v>
      </c>
      <c r="C262" s="306">
        <v>0</v>
      </c>
      <c r="D262" s="306">
        <v>126519</v>
      </c>
      <c r="E262" s="306">
        <v>181762</v>
      </c>
      <c r="F262" s="306">
        <v>0</v>
      </c>
      <c r="G262" s="306">
        <v>0</v>
      </c>
      <c r="H262" s="306">
        <v>0</v>
      </c>
      <c r="I262" s="306">
        <v>0</v>
      </c>
      <c r="J262" s="306">
        <v>0</v>
      </c>
      <c r="K262" s="306">
        <v>136569</v>
      </c>
      <c r="L262" s="306">
        <v>0</v>
      </c>
      <c r="M262" s="306">
        <v>0</v>
      </c>
      <c r="N262" s="306">
        <v>0</v>
      </c>
    </row>
    <row r="263" spans="1:14" ht="13.2">
      <c r="A263" s="306" t="s">
        <v>4</v>
      </c>
      <c r="B263" s="306" t="s">
        <v>525</v>
      </c>
      <c r="C263" s="306">
        <v>0</v>
      </c>
      <c r="D263" s="306">
        <v>5500</v>
      </c>
      <c r="E263" s="306">
        <v>27500</v>
      </c>
      <c r="F263" s="306">
        <v>0</v>
      </c>
      <c r="G263" s="306">
        <v>66220</v>
      </c>
      <c r="H263" s="306">
        <v>0</v>
      </c>
      <c r="I263" s="306">
        <v>96580</v>
      </c>
      <c r="J263" s="306">
        <v>41800</v>
      </c>
      <c r="K263" s="306">
        <v>119570</v>
      </c>
      <c r="L263" s="306">
        <v>0</v>
      </c>
      <c r="M263" s="306">
        <v>0</v>
      </c>
      <c r="N263" s="306">
        <v>0</v>
      </c>
    </row>
    <row r="264" spans="1:14" ht="13.2">
      <c r="A264" s="306" t="s">
        <v>4</v>
      </c>
      <c r="B264" s="306" t="s">
        <v>526</v>
      </c>
      <c r="C264" s="306">
        <v>0</v>
      </c>
      <c r="D264" s="306">
        <v>61600</v>
      </c>
      <c r="E264" s="306">
        <v>0</v>
      </c>
      <c r="F264" s="306">
        <v>187000</v>
      </c>
      <c r="G264" s="306">
        <v>0</v>
      </c>
      <c r="H264" s="306">
        <v>0</v>
      </c>
      <c r="I264" s="306">
        <v>0</v>
      </c>
      <c r="J264" s="306">
        <v>0</v>
      </c>
      <c r="K264" s="306">
        <v>187000</v>
      </c>
      <c r="L264" s="306">
        <v>0</v>
      </c>
      <c r="M264" s="306">
        <v>0</v>
      </c>
      <c r="N264" s="306">
        <v>0</v>
      </c>
    </row>
    <row r="265" spans="1:14" ht="13.2">
      <c r="A265" s="306" t="s">
        <v>4</v>
      </c>
      <c r="B265" s="306" t="s">
        <v>527</v>
      </c>
      <c r="C265" s="306">
        <v>0</v>
      </c>
      <c r="D265" s="306">
        <v>0</v>
      </c>
      <c r="E265" s="306">
        <v>3130710</v>
      </c>
      <c r="F265" s="306">
        <v>247170</v>
      </c>
      <c r="G265" s="306">
        <v>0</v>
      </c>
      <c r="H265" s="306">
        <v>0</v>
      </c>
      <c r="I265" s="306">
        <v>0</v>
      </c>
      <c r="J265" s="306">
        <v>828630</v>
      </c>
      <c r="K265" s="306">
        <v>412295</v>
      </c>
      <c r="L265" s="306">
        <v>0</v>
      </c>
      <c r="M265" s="306">
        <v>0</v>
      </c>
      <c r="N265" s="306">
        <v>0</v>
      </c>
    </row>
    <row r="266" spans="1:14" ht="13.2">
      <c r="A266" s="306" t="s">
        <v>4</v>
      </c>
      <c r="B266" s="306" t="s">
        <v>528</v>
      </c>
      <c r="C266" s="306">
        <v>0</v>
      </c>
      <c r="D266" s="306">
        <v>0</v>
      </c>
      <c r="E266" s="306">
        <v>2970000</v>
      </c>
      <c r="F266" s="306">
        <v>0</v>
      </c>
      <c r="G266" s="306">
        <v>0</v>
      </c>
      <c r="H266" s="306">
        <v>0</v>
      </c>
      <c r="I266" s="306">
        <v>0</v>
      </c>
      <c r="J266" s="306">
        <v>0</v>
      </c>
      <c r="K266" s="306">
        <v>0</v>
      </c>
      <c r="L266" s="306">
        <v>0</v>
      </c>
      <c r="M266" s="306">
        <v>0</v>
      </c>
      <c r="N266" s="306">
        <v>0</v>
      </c>
    </row>
    <row r="267" spans="1:14" ht="13.2">
      <c r="A267" s="306" t="s">
        <v>4</v>
      </c>
      <c r="B267" s="306" t="s">
        <v>529</v>
      </c>
      <c r="C267" s="306">
        <v>0</v>
      </c>
      <c r="D267" s="306">
        <v>0</v>
      </c>
      <c r="E267" s="306">
        <v>868320</v>
      </c>
      <c r="F267" s="306">
        <v>0</v>
      </c>
      <c r="G267" s="306">
        <v>0</v>
      </c>
      <c r="H267" s="306">
        <v>0</v>
      </c>
      <c r="I267" s="306">
        <v>0</v>
      </c>
      <c r="J267" s="306">
        <v>0</v>
      </c>
      <c r="K267" s="306">
        <v>1105920</v>
      </c>
      <c r="L267" s="306">
        <v>0</v>
      </c>
      <c r="M267" s="306">
        <v>0</v>
      </c>
      <c r="N267" s="306">
        <v>0</v>
      </c>
    </row>
    <row r="268" spans="1:14" ht="13.2">
      <c r="A268" s="306" t="s">
        <v>4</v>
      </c>
      <c r="B268" s="306" t="s">
        <v>530</v>
      </c>
      <c r="C268" s="306">
        <v>0</v>
      </c>
      <c r="D268" s="306">
        <v>0</v>
      </c>
      <c r="E268" s="306">
        <v>69498</v>
      </c>
      <c r="F268" s="306">
        <v>0</v>
      </c>
      <c r="G268" s="306">
        <v>0</v>
      </c>
      <c r="H268" s="306">
        <v>0</v>
      </c>
      <c r="I268" s="306">
        <v>1454781</v>
      </c>
      <c r="J268" s="306">
        <v>0</v>
      </c>
      <c r="K268" s="306">
        <v>559555</v>
      </c>
      <c r="L268" s="306">
        <v>0</v>
      </c>
      <c r="M268" s="306">
        <v>0</v>
      </c>
      <c r="N268" s="306">
        <v>0</v>
      </c>
    </row>
    <row r="269" spans="1:14" ht="13.2">
      <c r="A269" s="306" t="s">
        <v>4</v>
      </c>
      <c r="B269" s="306" t="s">
        <v>531</v>
      </c>
      <c r="C269" s="306">
        <v>0</v>
      </c>
      <c r="D269" s="306">
        <v>0</v>
      </c>
      <c r="E269" s="306">
        <v>38500</v>
      </c>
      <c r="F269" s="306">
        <v>889350</v>
      </c>
      <c r="G269" s="306">
        <v>0</v>
      </c>
      <c r="H269" s="306">
        <v>0</v>
      </c>
      <c r="I269" s="306">
        <v>0</v>
      </c>
      <c r="J269" s="306">
        <v>0</v>
      </c>
      <c r="K269" s="306">
        <v>537900</v>
      </c>
      <c r="L269" s="306">
        <v>0</v>
      </c>
      <c r="M269" s="306">
        <v>0</v>
      </c>
      <c r="N269" s="306">
        <v>0</v>
      </c>
    </row>
    <row r="270" spans="1:14" ht="13.2">
      <c r="A270" s="306" t="s">
        <v>4</v>
      </c>
      <c r="B270" s="306" t="s">
        <v>532</v>
      </c>
      <c r="C270" s="306">
        <v>0</v>
      </c>
      <c r="D270" s="306">
        <v>0</v>
      </c>
      <c r="E270" s="306">
        <v>399850</v>
      </c>
      <c r="F270" s="306">
        <v>0</v>
      </c>
      <c r="G270" s="306">
        <v>0</v>
      </c>
      <c r="H270" s="306">
        <v>0</v>
      </c>
      <c r="I270" s="306">
        <v>0</v>
      </c>
      <c r="J270" s="306">
        <v>0</v>
      </c>
      <c r="K270" s="306">
        <v>8250</v>
      </c>
      <c r="L270" s="306">
        <v>0</v>
      </c>
      <c r="M270" s="306">
        <v>0</v>
      </c>
      <c r="N270" s="306">
        <v>0</v>
      </c>
    </row>
    <row r="271" spans="1:14" ht="13.2">
      <c r="A271" s="306" t="s">
        <v>4</v>
      </c>
      <c r="B271" s="306" t="s">
        <v>533</v>
      </c>
      <c r="C271" s="306">
        <v>0</v>
      </c>
      <c r="D271" s="306">
        <v>0</v>
      </c>
      <c r="E271" s="306">
        <v>0</v>
      </c>
      <c r="F271" s="306">
        <v>1595000</v>
      </c>
      <c r="G271" s="306">
        <v>0</v>
      </c>
      <c r="H271" s="306">
        <v>0</v>
      </c>
      <c r="I271" s="306">
        <v>0</v>
      </c>
      <c r="J271" s="306">
        <v>0</v>
      </c>
      <c r="K271" s="306">
        <v>0</v>
      </c>
      <c r="L271" s="306">
        <v>0</v>
      </c>
      <c r="M271" s="306">
        <v>0</v>
      </c>
      <c r="N271" s="306">
        <v>0</v>
      </c>
    </row>
    <row r="272" spans="1:14" ht="13.2">
      <c r="A272" s="306" t="s">
        <v>4</v>
      </c>
      <c r="B272" s="306" t="s">
        <v>534</v>
      </c>
      <c r="C272" s="306">
        <v>0</v>
      </c>
      <c r="D272" s="306">
        <v>0</v>
      </c>
      <c r="E272" s="306">
        <v>0</v>
      </c>
      <c r="F272" s="306">
        <v>19800</v>
      </c>
      <c r="G272" s="306">
        <v>0</v>
      </c>
      <c r="H272" s="306">
        <v>0</v>
      </c>
      <c r="I272" s="306">
        <v>0</v>
      </c>
      <c r="J272" s="306">
        <v>0</v>
      </c>
      <c r="K272" s="306">
        <v>0</v>
      </c>
      <c r="L272" s="306">
        <v>0</v>
      </c>
      <c r="M272" s="306">
        <v>0</v>
      </c>
      <c r="N272" s="306">
        <v>0</v>
      </c>
    </row>
    <row r="273" spans="1:14" ht="13.2">
      <c r="A273" s="306" t="s">
        <v>4</v>
      </c>
      <c r="B273" s="306" t="s">
        <v>535</v>
      </c>
      <c r="C273" s="306">
        <v>0</v>
      </c>
      <c r="D273" s="306">
        <v>0</v>
      </c>
      <c r="E273" s="306">
        <v>0</v>
      </c>
      <c r="F273" s="306">
        <v>212101</v>
      </c>
      <c r="G273" s="306">
        <v>0</v>
      </c>
      <c r="H273" s="306">
        <v>0</v>
      </c>
      <c r="I273" s="306">
        <v>0</v>
      </c>
      <c r="J273" s="306">
        <v>0</v>
      </c>
      <c r="K273" s="306">
        <v>0</v>
      </c>
      <c r="L273" s="306">
        <v>0</v>
      </c>
      <c r="M273" s="306">
        <v>0</v>
      </c>
      <c r="N273" s="306">
        <v>0</v>
      </c>
    </row>
    <row r="274" spans="1:14" ht="13.2">
      <c r="A274" s="306" t="s">
        <v>4</v>
      </c>
      <c r="B274" s="306" t="s">
        <v>536</v>
      </c>
      <c r="C274" s="306">
        <v>0</v>
      </c>
      <c r="D274" s="306">
        <v>0</v>
      </c>
      <c r="E274" s="306">
        <v>0</v>
      </c>
      <c r="F274" s="306">
        <v>71500</v>
      </c>
      <c r="G274" s="306">
        <v>0</v>
      </c>
      <c r="H274" s="306">
        <v>0</v>
      </c>
      <c r="I274" s="306">
        <v>0</v>
      </c>
      <c r="J274" s="306">
        <v>0</v>
      </c>
      <c r="K274" s="306">
        <v>121000</v>
      </c>
      <c r="L274" s="306">
        <v>0</v>
      </c>
      <c r="M274" s="306">
        <v>0</v>
      </c>
      <c r="N274" s="306">
        <v>0</v>
      </c>
    </row>
    <row r="275" spans="1:14" ht="13.2">
      <c r="A275" s="306" t="s">
        <v>4</v>
      </c>
      <c r="B275" s="306" t="s">
        <v>537</v>
      </c>
      <c r="C275" s="306">
        <v>0</v>
      </c>
      <c r="D275" s="306">
        <v>0</v>
      </c>
      <c r="E275" s="306">
        <v>0</v>
      </c>
      <c r="F275" s="306">
        <v>3828</v>
      </c>
      <c r="G275" s="306">
        <v>0</v>
      </c>
      <c r="H275" s="306">
        <v>0</v>
      </c>
      <c r="I275" s="306">
        <v>0</v>
      </c>
      <c r="J275" s="306">
        <v>0</v>
      </c>
      <c r="K275" s="306">
        <v>0</v>
      </c>
      <c r="L275" s="306">
        <v>0</v>
      </c>
      <c r="M275" s="306">
        <v>0</v>
      </c>
      <c r="N275" s="306">
        <v>0</v>
      </c>
    </row>
    <row r="276" spans="1:14" ht="13.2">
      <c r="A276" s="306" t="s">
        <v>4</v>
      </c>
      <c r="B276" s="306" t="s">
        <v>538</v>
      </c>
      <c r="C276" s="306">
        <v>0</v>
      </c>
      <c r="D276" s="306">
        <v>0</v>
      </c>
      <c r="E276" s="306">
        <v>0</v>
      </c>
      <c r="F276" s="306">
        <v>2049900</v>
      </c>
      <c r="G276" s="306">
        <v>0</v>
      </c>
      <c r="H276" s="306">
        <v>0</v>
      </c>
      <c r="I276" s="306">
        <v>0</v>
      </c>
      <c r="J276" s="306">
        <v>0</v>
      </c>
      <c r="K276" s="306">
        <v>0</v>
      </c>
      <c r="L276" s="306">
        <v>0</v>
      </c>
      <c r="M276" s="306">
        <v>0</v>
      </c>
      <c r="N276" s="306">
        <v>0</v>
      </c>
    </row>
    <row r="277" spans="1:14" ht="13.2">
      <c r="A277" s="306" t="s">
        <v>4</v>
      </c>
      <c r="B277" s="306" t="s">
        <v>539</v>
      </c>
      <c r="C277" s="306">
        <v>0</v>
      </c>
      <c r="D277" s="306">
        <v>0</v>
      </c>
      <c r="E277" s="306">
        <v>0</v>
      </c>
      <c r="F277" s="306">
        <v>19800</v>
      </c>
      <c r="G277" s="306">
        <v>0</v>
      </c>
      <c r="H277" s="306">
        <v>0</v>
      </c>
      <c r="I277" s="306">
        <v>0</v>
      </c>
      <c r="J277" s="306">
        <v>0</v>
      </c>
      <c r="K277" s="306">
        <v>0</v>
      </c>
      <c r="L277" s="306">
        <v>0</v>
      </c>
      <c r="M277" s="306">
        <v>0</v>
      </c>
      <c r="N277" s="306">
        <v>0</v>
      </c>
    </row>
    <row r="278" spans="1:14" ht="13.2">
      <c r="A278" s="306" t="s">
        <v>4</v>
      </c>
      <c r="B278" s="306" t="s">
        <v>540</v>
      </c>
      <c r="C278" s="306">
        <v>0</v>
      </c>
      <c r="D278" s="306">
        <v>0</v>
      </c>
      <c r="E278" s="306">
        <v>0</v>
      </c>
      <c r="F278" s="306">
        <v>0</v>
      </c>
      <c r="G278" s="306">
        <v>46200</v>
      </c>
      <c r="H278" s="306">
        <v>0</v>
      </c>
      <c r="I278" s="306">
        <v>0</v>
      </c>
      <c r="J278" s="306">
        <v>0</v>
      </c>
      <c r="K278" s="306">
        <v>0</v>
      </c>
      <c r="L278" s="306">
        <v>0</v>
      </c>
      <c r="M278" s="306">
        <v>0</v>
      </c>
      <c r="N278" s="306">
        <v>0</v>
      </c>
    </row>
    <row r="279" spans="1:14" ht="13.2">
      <c r="A279" s="306" t="s">
        <v>4</v>
      </c>
      <c r="B279" s="306" t="s">
        <v>541</v>
      </c>
      <c r="C279" s="306">
        <v>0</v>
      </c>
      <c r="D279" s="306">
        <v>0</v>
      </c>
      <c r="E279" s="306">
        <v>0</v>
      </c>
      <c r="F279" s="306">
        <v>0</v>
      </c>
      <c r="G279" s="306">
        <v>49907</v>
      </c>
      <c r="H279" s="306">
        <v>0</v>
      </c>
      <c r="I279" s="306">
        <v>0</v>
      </c>
      <c r="J279" s="306">
        <v>0</v>
      </c>
      <c r="K279" s="306">
        <v>0</v>
      </c>
      <c r="L279" s="306">
        <v>0</v>
      </c>
      <c r="M279" s="306">
        <v>0</v>
      </c>
      <c r="N279" s="306">
        <v>0</v>
      </c>
    </row>
    <row r="280" spans="1:14" ht="13.2">
      <c r="A280" s="306" t="s">
        <v>4</v>
      </c>
      <c r="B280" s="306" t="s">
        <v>542</v>
      </c>
      <c r="C280" s="306">
        <v>0</v>
      </c>
      <c r="D280" s="306">
        <v>0</v>
      </c>
      <c r="E280" s="306">
        <v>0</v>
      </c>
      <c r="F280" s="306">
        <v>0</v>
      </c>
      <c r="G280" s="306">
        <v>0</v>
      </c>
      <c r="H280" s="306">
        <v>363022</v>
      </c>
      <c r="I280" s="306">
        <v>0</v>
      </c>
      <c r="J280" s="306">
        <v>127</v>
      </c>
      <c r="K280" s="306">
        <v>0</v>
      </c>
      <c r="L280" s="306">
        <v>0</v>
      </c>
      <c r="M280" s="306">
        <v>0</v>
      </c>
      <c r="N280" s="306">
        <v>0</v>
      </c>
    </row>
    <row r="281" spans="1:14" ht="13.2">
      <c r="A281" s="306" t="s">
        <v>4</v>
      </c>
      <c r="B281" s="306" t="s">
        <v>543</v>
      </c>
      <c r="C281" s="306">
        <v>0</v>
      </c>
      <c r="D281" s="306">
        <v>0</v>
      </c>
      <c r="E281" s="306">
        <v>0</v>
      </c>
      <c r="F281" s="306">
        <v>0</v>
      </c>
      <c r="G281" s="306">
        <v>0</v>
      </c>
      <c r="H281" s="306">
        <v>0</v>
      </c>
      <c r="I281" s="306">
        <v>55208</v>
      </c>
      <c r="J281" s="306">
        <v>0</v>
      </c>
      <c r="K281" s="306">
        <v>0</v>
      </c>
      <c r="L281" s="306">
        <v>0</v>
      </c>
      <c r="M281" s="306">
        <v>0</v>
      </c>
      <c r="N281" s="306">
        <v>0</v>
      </c>
    </row>
    <row r="282" spans="1:14" ht="13.2">
      <c r="A282" s="306" t="s">
        <v>4</v>
      </c>
      <c r="B282" s="306" t="s">
        <v>544</v>
      </c>
      <c r="C282" s="306">
        <v>0</v>
      </c>
      <c r="D282" s="306">
        <v>0</v>
      </c>
      <c r="E282" s="306">
        <v>0</v>
      </c>
      <c r="F282" s="306">
        <v>0</v>
      </c>
      <c r="G282" s="306">
        <v>0</v>
      </c>
      <c r="H282" s="306">
        <v>0</v>
      </c>
      <c r="I282" s="306">
        <v>0</v>
      </c>
      <c r="J282" s="306">
        <v>368500</v>
      </c>
      <c r="K282" s="306">
        <v>0</v>
      </c>
      <c r="L282" s="306">
        <v>0</v>
      </c>
      <c r="M282" s="306">
        <v>0</v>
      </c>
      <c r="N282" s="306">
        <v>0</v>
      </c>
    </row>
    <row r="283" spans="1:14" ht="13.2">
      <c r="A283" s="306" t="s">
        <v>4</v>
      </c>
      <c r="B283" s="306" t="s">
        <v>545</v>
      </c>
      <c r="C283" s="306">
        <v>0</v>
      </c>
      <c r="D283" s="306">
        <v>0</v>
      </c>
      <c r="E283" s="306">
        <v>0</v>
      </c>
      <c r="F283" s="306">
        <v>0</v>
      </c>
      <c r="G283" s="306">
        <v>0</v>
      </c>
      <c r="H283" s="306">
        <v>0</v>
      </c>
      <c r="I283" s="306">
        <v>0</v>
      </c>
      <c r="J283" s="306">
        <v>117700</v>
      </c>
      <c r="K283" s="306">
        <v>0</v>
      </c>
      <c r="L283" s="306">
        <v>0</v>
      </c>
      <c r="M283" s="306">
        <v>0</v>
      </c>
      <c r="N283" s="306">
        <v>0</v>
      </c>
    </row>
    <row r="284" spans="1:14" ht="13.2">
      <c r="A284" s="306" t="s">
        <v>4</v>
      </c>
      <c r="B284" s="306" t="s">
        <v>546</v>
      </c>
      <c r="C284" s="306">
        <v>0</v>
      </c>
      <c r="D284" s="306">
        <v>0</v>
      </c>
      <c r="E284" s="306">
        <v>0</v>
      </c>
      <c r="F284" s="306">
        <v>0</v>
      </c>
      <c r="G284" s="306">
        <v>0</v>
      </c>
      <c r="H284" s="306">
        <v>0</v>
      </c>
      <c r="I284" s="306">
        <v>0</v>
      </c>
      <c r="J284" s="306">
        <v>2018500</v>
      </c>
      <c r="K284" s="306">
        <v>0</v>
      </c>
      <c r="L284" s="306">
        <v>0</v>
      </c>
      <c r="M284" s="306">
        <v>0</v>
      </c>
      <c r="N284" s="306">
        <v>0</v>
      </c>
    </row>
    <row r="285" spans="1:14" ht="13.2">
      <c r="A285" s="306" t="s">
        <v>4</v>
      </c>
      <c r="B285" s="306" t="s">
        <v>547</v>
      </c>
      <c r="C285" s="306">
        <v>0</v>
      </c>
      <c r="D285" s="306">
        <v>0</v>
      </c>
      <c r="E285" s="306">
        <v>0</v>
      </c>
      <c r="F285" s="306">
        <v>0</v>
      </c>
      <c r="G285" s="306">
        <v>0</v>
      </c>
      <c r="H285" s="306">
        <v>0</v>
      </c>
      <c r="I285" s="306">
        <v>0</v>
      </c>
      <c r="J285" s="306">
        <v>210870</v>
      </c>
      <c r="K285" s="306">
        <v>0</v>
      </c>
      <c r="L285" s="306">
        <v>0</v>
      </c>
      <c r="M285" s="306">
        <v>0</v>
      </c>
      <c r="N285" s="306">
        <v>0</v>
      </c>
    </row>
    <row r="286" spans="1:14" ht="13.2">
      <c r="A286" s="306" t="s">
        <v>4</v>
      </c>
      <c r="B286" s="306" t="s">
        <v>548</v>
      </c>
      <c r="C286" s="306">
        <v>0</v>
      </c>
      <c r="D286" s="306">
        <v>0</v>
      </c>
      <c r="E286" s="306">
        <v>0</v>
      </c>
      <c r="F286" s="306">
        <v>0</v>
      </c>
      <c r="G286" s="306">
        <v>0</v>
      </c>
      <c r="H286" s="306">
        <v>0</v>
      </c>
      <c r="I286" s="306">
        <v>0</v>
      </c>
      <c r="J286" s="306">
        <v>312169</v>
      </c>
      <c r="K286" s="306">
        <v>0</v>
      </c>
      <c r="L286" s="306">
        <v>0</v>
      </c>
      <c r="M286" s="306">
        <v>0</v>
      </c>
      <c r="N286" s="306">
        <v>0</v>
      </c>
    </row>
    <row r="287" spans="1:14" ht="13.2">
      <c r="A287" s="306" t="s">
        <v>4</v>
      </c>
      <c r="B287" s="306" t="s">
        <v>549</v>
      </c>
      <c r="C287" s="306">
        <v>0</v>
      </c>
      <c r="D287" s="306">
        <v>0</v>
      </c>
      <c r="E287" s="306">
        <v>0</v>
      </c>
      <c r="F287" s="306">
        <v>0</v>
      </c>
      <c r="G287" s="306">
        <v>0</v>
      </c>
      <c r="H287" s="306">
        <v>0</v>
      </c>
      <c r="I287" s="306">
        <v>0</v>
      </c>
      <c r="J287" s="306">
        <v>626890</v>
      </c>
      <c r="K287" s="306">
        <v>0</v>
      </c>
      <c r="L287" s="306">
        <v>0</v>
      </c>
      <c r="M287" s="306">
        <v>0</v>
      </c>
      <c r="N287" s="306">
        <v>0</v>
      </c>
    </row>
    <row r="288" spans="1:14" ht="13.2">
      <c r="A288" s="306" t="s">
        <v>5</v>
      </c>
      <c r="B288" s="306" t="s">
        <v>550</v>
      </c>
      <c r="C288" s="306">
        <v>36300</v>
      </c>
      <c r="D288" s="306">
        <v>0</v>
      </c>
      <c r="E288" s="306">
        <v>0</v>
      </c>
      <c r="F288" s="306">
        <v>0</v>
      </c>
      <c r="G288" s="306">
        <v>0</v>
      </c>
      <c r="H288" s="306">
        <v>0</v>
      </c>
      <c r="I288" s="306">
        <v>0</v>
      </c>
      <c r="J288" s="306">
        <v>0</v>
      </c>
      <c r="K288" s="306">
        <v>0</v>
      </c>
      <c r="L288" s="306">
        <v>0</v>
      </c>
      <c r="M288" s="306">
        <v>0</v>
      </c>
      <c r="N288" s="306">
        <v>0</v>
      </c>
    </row>
    <row r="289" spans="1:14" ht="13.2">
      <c r="A289" s="306" t="s">
        <v>5</v>
      </c>
      <c r="B289" s="306" t="s">
        <v>551</v>
      </c>
      <c r="C289" s="306">
        <v>3382280</v>
      </c>
      <c r="D289" s="306">
        <v>0</v>
      </c>
      <c r="E289" s="306">
        <v>0</v>
      </c>
      <c r="F289" s="306">
        <v>0</v>
      </c>
      <c r="G289" s="306">
        <v>0</v>
      </c>
      <c r="H289" s="306">
        <v>0</v>
      </c>
      <c r="I289" s="306">
        <v>0</v>
      </c>
      <c r="J289" s="306">
        <v>0</v>
      </c>
      <c r="K289" s="306">
        <v>0</v>
      </c>
      <c r="L289" s="306">
        <v>0</v>
      </c>
      <c r="M289" s="306">
        <v>0</v>
      </c>
      <c r="N289" s="306">
        <v>0</v>
      </c>
    </row>
    <row r="290" spans="1:14" ht="13.2">
      <c r="A290" s="306" t="s">
        <v>5</v>
      </c>
      <c r="B290" s="306" t="s">
        <v>552</v>
      </c>
      <c r="C290" s="306">
        <v>480000</v>
      </c>
      <c r="D290" s="306">
        <v>0</v>
      </c>
      <c r="E290" s="306">
        <v>0</v>
      </c>
      <c r="F290" s="306">
        <v>0</v>
      </c>
      <c r="G290" s="306">
        <v>0</v>
      </c>
      <c r="H290" s="306">
        <v>0</v>
      </c>
      <c r="I290" s="306">
        <v>0</v>
      </c>
      <c r="J290" s="306">
        <v>0</v>
      </c>
      <c r="K290" s="306">
        <v>0</v>
      </c>
      <c r="L290" s="306">
        <v>0</v>
      </c>
      <c r="M290" s="306">
        <v>0</v>
      </c>
      <c r="N290" s="306">
        <v>0</v>
      </c>
    </row>
    <row r="291" spans="1:14" ht="13.2">
      <c r="A291" s="306" t="s">
        <v>5</v>
      </c>
      <c r="B291" s="306" t="s">
        <v>553</v>
      </c>
      <c r="C291" s="306">
        <v>63800</v>
      </c>
      <c r="D291" s="306">
        <v>0</v>
      </c>
      <c r="E291" s="306">
        <v>0</v>
      </c>
      <c r="F291" s="306">
        <v>0</v>
      </c>
      <c r="G291" s="306">
        <v>0</v>
      </c>
      <c r="H291" s="306">
        <v>0</v>
      </c>
      <c r="I291" s="306">
        <v>0</v>
      </c>
      <c r="J291" s="306">
        <v>0</v>
      </c>
      <c r="K291" s="306">
        <v>0</v>
      </c>
      <c r="L291" s="306">
        <v>0</v>
      </c>
      <c r="M291" s="306">
        <v>0</v>
      </c>
      <c r="N291" s="306">
        <v>0</v>
      </c>
    </row>
    <row r="292" spans="1:14" ht="13.2">
      <c r="A292" s="306" t="s">
        <v>5</v>
      </c>
      <c r="B292" s="306" t="s">
        <v>554</v>
      </c>
      <c r="C292" s="306">
        <v>0</v>
      </c>
      <c r="D292" s="306">
        <v>550000</v>
      </c>
      <c r="E292" s="306">
        <v>242000</v>
      </c>
      <c r="F292" s="306">
        <v>539000</v>
      </c>
      <c r="G292" s="306">
        <v>550000</v>
      </c>
      <c r="H292" s="306">
        <v>319000</v>
      </c>
      <c r="I292" s="306">
        <v>495000</v>
      </c>
      <c r="J292" s="306">
        <v>0</v>
      </c>
      <c r="K292" s="306">
        <v>0</v>
      </c>
      <c r="L292" s="306">
        <v>0</v>
      </c>
      <c r="M292" s="306">
        <v>0</v>
      </c>
      <c r="N292" s="306">
        <v>0</v>
      </c>
    </row>
    <row r="293" spans="1:14" ht="13.2">
      <c r="A293" s="306" t="s">
        <v>5</v>
      </c>
      <c r="B293" s="306" t="s">
        <v>555</v>
      </c>
      <c r="C293" s="306">
        <v>0</v>
      </c>
      <c r="D293" s="306">
        <v>1156469</v>
      </c>
      <c r="E293" s="306">
        <v>0</v>
      </c>
      <c r="F293" s="306">
        <v>0</v>
      </c>
      <c r="G293" s="306">
        <v>0</v>
      </c>
      <c r="H293" s="306">
        <v>0</v>
      </c>
      <c r="I293" s="306">
        <v>0</v>
      </c>
      <c r="J293" s="306">
        <v>0</v>
      </c>
      <c r="K293" s="306">
        <v>0</v>
      </c>
      <c r="L293" s="306">
        <v>0</v>
      </c>
      <c r="M293" s="306">
        <v>0</v>
      </c>
      <c r="N293" s="306">
        <v>0</v>
      </c>
    </row>
    <row r="294" spans="1:14" ht="13.2">
      <c r="A294" s="306" t="s">
        <v>5</v>
      </c>
      <c r="B294" s="306" t="s">
        <v>556</v>
      </c>
      <c r="C294" s="306">
        <v>0</v>
      </c>
      <c r="D294" s="306">
        <v>378400</v>
      </c>
      <c r="E294" s="306">
        <v>0</v>
      </c>
      <c r="F294" s="306">
        <v>0</v>
      </c>
      <c r="G294" s="306">
        <v>385550</v>
      </c>
      <c r="H294" s="306">
        <v>0</v>
      </c>
      <c r="I294" s="306">
        <v>0</v>
      </c>
      <c r="J294" s="306">
        <v>0</v>
      </c>
      <c r="K294" s="306">
        <v>0</v>
      </c>
      <c r="L294" s="306">
        <v>0</v>
      </c>
      <c r="M294" s="306">
        <v>0</v>
      </c>
      <c r="N294" s="306">
        <v>0</v>
      </c>
    </row>
    <row r="295" spans="1:14" ht="13.2">
      <c r="A295" s="306" t="s">
        <v>5</v>
      </c>
      <c r="B295" s="306" t="s">
        <v>557</v>
      </c>
      <c r="C295" s="306">
        <v>0</v>
      </c>
      <c r="D295" s="306">
        <v>572000</v>
      </c>
      <c r="E295" s="306">
        <v>0</v>
      </c>
      <c r="F295" s="306">
        <v>0</v>
      </c>
      <c r="G295" s="306">
        <v>0</v>
      </c>
      <c r="H295" s="306">
        <v>8173650</v>
      </c>
      <c r="I295" s="306">
        <v>0</v>
      </c>
      <c r="J295" s="306">
        <v>0</v>
      </c>
      <c r="K295" s="306">
        <v>0</v>
      </c>
      <c r="L295" s="306">
        <v>0</v>
      </c>
      <c r="M295" s="306">
        <v>0</v>
      </c>
      <c r="N295" s="306">
        <v>0</v>
      </c>
    </row>
    <row r="296" spans="1:14" ht="13.2">
      <c r="A296" s="306" t="s">
        <v>5</v>
      </c>
      <c r="B296" s="306" t="s">
        <v>558</v>
      </c>
      <c r="C296" s="306">
        <v>0</v>
      </c>
      <c r="D296" s="306">
        <v>229361</v>
      </c>
      <c r="E296" s="306">
        <v>0</v>
      </c>
      <c r="F296" s="306">
        <v>0</v>
      </c>
      <c r="G296" s="306">
        <v>0</v>
      </c>
      <c r="H296" s="306">
        <v>0</v>
      </c>
      <c r="I296" s="306">
        <v>0</v>
      </c>
      <c r="J296" s="306">
        <v>0</v>
      </c>
      <c r="K296" s="306">
        <v>0</v>
      </c>
      <c r="L296" s="306">
        <v>0</v>
      </c>
      <c r="M296" s="306">
        <v>0</v>
      </c>
      <c r="N296" s="306">
        <v>0</v>
      </c>
    </row>
    <row r="297" spans="1:14" ht="13.2">
      <c r="A297" s="306" t="s">
        <v>5</v>
      </c>
      <c r="B297" s="306" t="s">
        <v>559</v>
      </c>
      <c r="C297" s="306">
        <v>0</v>
      </c>
      <c r="D297" s="306">
        <v>1157640</v>
      </c>
      <c r="E297" s="306">
        <v>0</v>
      </c>
      <c r="F297" s="306">
        <v>0</v>
      </c>
      <c r="G297" s="306">
        <v>0</v>
      </c>
      <c r="H297" s="306">
        <v>503632</v>
      </c>
      <c r="I297" s="306">
        <v>0</v>
      </c>
      <c r="J297" s="306">
        <v>0</v>
      </c>
      <c r="K297" s="306">
        <v>0</v>
      </c>
      <c r="L297" s="306">
        <v>0</v>
      </c>
      <c r="M297" s="306">
        <v>0</v>
      </c>
      <c r="N297" s="306">
        <v>0</v>
      </c>
    </row>
    <row r="298" spans="1:14" ht="13.2">
      <c r="A298" s="306" t="s">
        <v>5</v>
      </c>
      <c r="B298" s="306" t="s">
        <v>560</v>
      </c>
      <c r="C298" s="306">
        <v>0</v>
      </c>
      <c r="D298" s="306">
        <v>45650</v>
      </c>
      <c r="E298" s="306">
        <v>0</v>
      </c>
      <c r="F298" s="306">
        <v>0</v>
      </c>
      <c r="G298" s="306">
        <v>0</v>
      </c>
      <c r="H298" s="306">
        <v>0</v>
      </c>
      <c r="I298" s="306">
        <v>0</v>
      </c>
      <c r="J298" s="306">
        <v>0</v>
      </c>
      <c r="K298" s="306">
        <v>0</v>
      </c>
      <c r="L298" s="306">
        <v>0</v>
      </c>
      <c r="M298" s="306">
        <v>0</v>
      </c>
      <c r="N298" s="306">
        <v>0</v>
      </c>
    </row>
    <row r="299" spans="1:14" ht="13.2">
      <c r="A299" s="306" t="s">
        <v>5</v>
      </c>
      <c r="B299" s="306" t="s">
        <v>561</v>
      </c>
      <c r="C299" s="306">
        <v>0</v>
      </c>
      <c r="D299" s="306">
        <v>326810</v>
      </c>
      <c r="E299" s="306">
        <v>0</v>
      </c>
      <c r="F299" s="306">
        <v>0</v>
      </c>
      <c r="G299" s="306">
        <v>0</v>
      </c>
      <c r="H299" s="306">
        <v>11000</v>
      </c>
      <c r="I299" s="306">
        <v>0</v>
      </c>
      <c r="J299" s="306">
        <v>0</v>
      </c>
      <c r="K299" s="306">
        <v>0</v>
      </c>
      <c r="L299" s="306">
        <v>0</v>
      </c>
      <c r="M299" s="306">
        <v>0</v>
      </c>
      <c r="N299" s="306">
        <v>0</v>
      </c>
    </row>
    <row r="300" spans="1:14" ht="13.2">
      <c r="A300" s="306" t="s">
        <v>5</v>
      </c>
      <c r="B300" s="306" t="s">
        <v>562</v>
      </c>
      <c r="C300" s="306">
        <v>0</v>
      </c>
      <c r="D300" s="306">
        <v>280500</v>
      </c>
      <c r="E300" s="306">
        <v>0</v>
      </c>
      <c r="F300" s="306">
        <v>0</v>
      </c>
      <c r="G300" s="306">
        <v>0</v>
      </c>
      <c r="H300" s="306">
        <v>2200000</v>
      </c>
      <c r="I300" s="306">
        <v>0</v>
      </c>
      <c r="J300" s="306">
        <v>0</v>
      </c>
      <c r="K300" s="306">
        <v>0</v>
      </c>
      <c r="L300" s="306">
        <v>0</v>
      </c>
      <c r="M300" s="306">
        <v>0</v>
      </c>
      <c r="N300" s="306">
        <v>0</v>
      </c>
    </row>
    <row r="301" spans="1:14" ht="13.2">
      <c r="A301" s="306" t="s">
        <v>5</v>
      </c>
      <c r="B301" s="306" t="s">
        <v>563</v>
      </c>
      <c r="C301" s="306">
        <v>0</v>
      </c>
      <c r="D301" s="306">
        <v>198550</v>
      </c>
      <c r="E301" s="306">
        <v>0</v>
      </c>
      <c r="F301" s="306">
        <v>0</v>
      </c>
      <c r="G301" s="306">
        <v>0</v>
      </c>
      <c r="H301" s="306">
        <v>0</v>
      </c>
      <c r="I301" s="306">
        <v>0</v>
      </c>
      <c r="J301" s="306">
        <v>0</v>
      </c>
      <c r="K301" s="306">
        <v>0</v>
      </c>
      <c r="L301" s="306">
        <v>0</v>
      </c>
      <c r="M301" s="306">
        <v>0</v>
      </c>
      <c r="N301" s="306">
        <v>0</v>
      </c>
    </row>
    <row r="302" spans="1:14" ht="13.2">
      <c r="A302" s="306" t="s">
        <v>5</v>
      </c>
      <c r="B302" s="306" t="s">
        <v>564</v>
      </c>
      <c r="C302" s="306">
        <v>0</v>
      </c>
      <c r="D302" s="306">
        <v>0</v>
      </c>
      <c r="E302" s="306">
        <v>130440</v>
      </c>
      <c r="F302" s="306">
        <v>0</v>
      </c>
      <c r="G302" s="306">
        <v>130440</v>
      </c>
      <c r="H302" s="306">
        <v>0</v>
      </c>
      <c r="I302" s="306">
        <v>0</v>
      </c>
      <c r="J302" s="306">
        <v>0</v>
      </c>
      <c r="K302" s="306">
        <v>0</v>
      </c>
      <c r="L302" s="306">
        <v>0</v>
      </c>
      <c r="M302" s="306">
        <v>0</v>
      </c>
      <c r="N302" s="306">
        <v>0</v>
      </c>
    </row>
    <row r="303" spans="1:14" ht="13.2">
      <c r="A303" s="306" t="s">
        <v>5</v>
      </c>
      <c r="B303" s="306" t="s">
        <v>565</v>
      </c>
      <c r="C303" s="306">
        <v>0</v>
      </c>
      <c r="D303" s="306">
        <v>0</v>
      </c>
      <c r="E303" s="306">
        <v>55000</v>
      </c>
      <c r="F303" s="306">
        <v>0</v>
      </c>
      <c r="G303" s="306">
        <v>0</v>
      </c>
      <c r="H303" s="306">
        <v>0</v>
      </c>
      <c r="I303" s="306">
        <v>0</v>
      </c>
      <c r="J303" s="306">
        <v>0</v>
      </c>
      <c r="K303" s="306">
        <v>0</v>
      </c>
      <c r="L303" s="306">
        <v>0</v>
      </c>
      <c r="M303" s="306">
        <v>0</v>
      </c>
      <c r="N303" s="306">
        <v>0</v>
      </c>
    </row>
    <row r="304" spans="1:14" ht="13.2">
      <c r="A304" s="306" t="s">
        <v>5</v>
      </c>
      <c r="B304" s="306" t="s">
        <v>566</v>
      </c>
      <c r="C304" s="306">
        <v>0</v>
      </c>
      <c r="D304" s="306">
        <v>0</v>
      </c>
      <c r="E304" s="306">
        <v>689150</v>
      </c>
      <c r="F304" s="306">
        <v>0</v>
      </c>
      <c r="G304" s="306">
        <v>1597750</v>
      </c>
      <c r="H304" s="306">
        <v>180950</v>
      </c>
      <c r="I304" s="306">
        <v>0</v>
      </c>
      <c r="J304" s="306">
        <v>0</v>
      </c>
      <c r="K304" s="306">
        <v>0</v>
      </c>
      <c r="L304" s="306">
        <v>0</v>
      </c>
      <c r="M304" s="306">
        <v>0</v>
      </c>
      <c r="N304" s="306">
        <v>0</v>
      </c>
    </row>
    <row r="305" spans="1:14" ht="13.2">
      <c r="A305" s="306" t="s">
        <v>5</v>
      </c>
      <c r="B305" s="306" t="s">
        <v>567</v>
      </c>
      <c r="C305" s="306">
        <v>0</v>
      </c>
      <c r="D305" s="306">
        <v>0</v>
      </c>
      <c r="E305" s="306">
        <v>691429</v>
      </c>
      <c r="F305" s="306">
        <v>0</v>
      </c>
      <c r="G305" s="306">
        <v>179256</v>
      </c>
      <c r="H305" s="306">
        <v>0</v>
      </c>
      <c r="I305" s="306">
        <v>0</v>
      </c>
      <c r="J305" s="306">
        <v>0</v>
      </c>
      <c r="K305" s="306">
        <v>0</v>
      </c>
      <c r="L305" s="306">
        <v>0</v>
      </c>
      <c r="M305" s="306">
        <v>0</v>
      </c>
      <c r="N305" s="306">
        <v>0</v>
      </c>
    </row>
    <row r="306" spans="1:14" ht="13.2">
      <c r="A306" s="306" t="s">
        <v>5</v>
      </c>
      <c r="B306" s="306" t="s">
        <v>568</v>
      </c>
      <c r="C306" s="306">
        <v>0</v>
      </c>
      <c r="D306" s="306">
        <v>0</v>
      </c>
      <c r="E306" s="306">
        <v>500000</v>
      </c>
      <c r="F306" s="306">
        <v>440000</v>
      </c>
      <c r="G306" s="306">
        <v>400000</v>
      </c>
      <c r="H306" s="306">
        <v>30000</v>
      </c>
      <c r="I306" s="306">
        <v>0</v>
      </c>
      <c r="J306" s="306">
        <v>0</v>
      </c>
      <c r="K306" s="306">
        <v>165210</v>
      </c>
      <c r="L306" s="306">
        <v>0</v>
      </c>
      <c r="M306" s="306">
        <v>0</v>
      </c>
      <c r="N306" s="306">
        <v>0</v>
      </c>
    </row>
    <row r="307" spans="1:14" ht="13.2">
      <c r="A307" s="306" t="s">
        <v>5</v>
      </c>
      <c r="B307" s="306" t="s">
        <v>569</v>
      </c>
      <c r="C307" s="306">
        <v>0</v>
      </c>
      <c r="D307" s="306">
        <v>0</v>
      </c>
      <c r="E307" s="306">
        <v>885395</v>
      </c>
      <c r="F307" s="306">
        <v>864195</v>
      </c>
      <c r="G307" s="306">
        <v>888000</v>
      </c>
      <c r="H307" s="306">
        <v>869214</v>
      </c>
      <c r="I307" s="306">
        <v>0</v>
      </c>
      <c r="J307" s="306">
        <v>0</v>
      </c>
      <c r="K307" s="306">
        <v>0</v>
      </c>
      <c r="L307" s="306">
        <v>0</v>
      </c>
      <c r="M307" s="306">
        <v>0</v>
      </c>
      <c r="N307" s="306">
        <v>0</v>
      </c>
    </row>
    <row r="308" spans="1:14" ht="13.2">
      <c r="A308" s="306" t="s">
        <v>5</v>
      </c>
      <c r="B308" s="306" t="s">
        <v>570</v>
      </c>
      <c r="C308" s="306">
        <v>0</v>
      </c>
      <c r="D308" s="306">
        <v>0</v>
      </c>
      <c r="E308" s="306">
        <v>0</v>
      </c>
      <c r="F308" s="306">
        <v>12045</v>
      </c>
      <c r="G308" s="306">
        <v>0</v>
      </c>
      <c r="H308" s="306">
        <v>0</v>
      </c>
      <c r="I308" s="306">
        <v>0</v>
      </c>
      <c r="J308" s="306">
        <v>0</v>
      </c>
      <c r="K308" s="306">
        <v>0</v>
      </c>
      <c r="L308" s="306">
        <v>0</v>
      </c>
      <c r="M308" s="306">
        <v>0</v>
      </c>
      <c r="N308" s="306">
        <v>0</v>
      </c>
    </row>
    <row r="309" spans="1:14" ht="13.2">
      <c r="A309" s="306" t="s">
        <v>5</v>
      </c>
      <c r="B309" s="306" t="s">
        <v>571</v>
      </c>
      <c r="C309" s="306">
        <v>0</v>
      </c>
      <c r="D309" s="306">
        <v>0</v>
      </c>
      <c r="E309" s="306">
        <v>0</v>
      </c>
      <c r="F309" s="306">
        <v>410300</v>
      </c>
      <c r="G309" s="306">
        <v>0</v>
      </c>
      <c r="H309" s="306">
        <v>760100</v>
      </c>
      <c r="I309" s="306">
        <v>0</v>
      </c>
      <c r="J309" s="306">
        <v>0</v>
      </c>
      <c r="K309" s="306">
        <v>0</v>
      </c>
      <c r="L309" s="306">
        <v>0</v>
      </c>
      <c r="M309" s="306">
        <v>0</v>
      </c>
      <c r="N309" s="306">
        <v>0</v>
      </c>
    </row>
    <row r="310" spans="1:14" ht="13.2">
      <c r="A310" s="306" t="s">
        <v>5</v>
      </c>
      <c r="B310" s="306" t="s">
        <v>572</v>
      </c>
      <c r="C310" s="306">
        <v>0</v>
      </c>
      <c r="D310" s="306">
        <v>0</v>
      </c>
      <c r="E310" s="306">
        <v>0</v>
      </c>
      <c r="F310" s="306">
        <v>189200</v>
      </c>
      <c r="G310" s="306">
        <v>0</v>
      </c>
      <c r="H310" s="306">
        <v>55000</v>
      </c>
      <c r="I310" s="306">
        <v>103400</v>
      </c>
      <c r="J310" s="306">
        <v>0</v>
      </c>
      <c r="K310" s="306">
        <v>0</v>
      </c>
      <c r="L310" s="306">
        <v>0</v>
      </c>
      <c r="M310" s="306">
        <v>0</v>
      </c>
      <c r="N310" s="306">
        <v>0</v>
      </c>
    </row>
    <row r="311" spans="1:14" ht="13.2">
      <c r="A311" s="306" t="s">
        <v>5</v>
      </c>
      <c r="B311" s="306" t="s">
        <v>573</v>
      </c>
      <c r="C311" s="306">
        <v>0</v>
      </c>
      <c r="D311" s="306">
        <v>0</v>
      </c>
      <c r="E311" s="306">
        <v>0</v>
      </c>
      <c r="F311" s="306">
        <v>35260</v>
      </c>
      <c r="G311" s="306">
        <v>0</v>
      </c>
      <c r="H311" s="306">
        <v>0</v>
      </c>
      <c r="I311" s="306">
        <v>0</v>
      </c>
      <c r="J311" s="306">
        <v>0</v>
      </c>
      <c r="K311" s="306">
        <v>0</v>
      </c>
      <c r="L311" s="306">
        <v>0</v>
      </c>
      <c r="M311" s="306">
        <v>0</v>
      </c>
      <c r="N311" s="306">
        <v>0</v>
      </c>
    </row>
    <row r="312" spans="1:14" ht="13.2">
      <c r="A312" s="306" t="s">
        <v>5</v>
      </c>
      <c r="B312" s="306" t="s">
        <v>574</v>
      </c>
      <c r="C312" s="306">
        <v>0</v>
      </c>
      <c r="D312" s="306">
        <v>0</v>
      </c>
      <c r="E312" s="306">
        <v>0</v>
      </c>
      <c r="F312" s="306">
        <v>0</v>
      </c>
      <c r="G312" s="306">
        <v>187000</v>
      </c>
      <c r="H312" s="306">
        <v>0</v>
      </c>
      <c r="I312" s="306">
        <v>0</v>
      </c>
      <c r="J312" s="306">
        <v>0</v>
      </c>
      <c r="K312" s="306">
        <v>0</v>
      </c>
      <c r="L312" s="306">
        <v>0</v>
      </c>
      <c r="M312" s="306">
        <v>0</v>
      </c>
      <c r="N312" s="306">
        <v>0</v>
      </c>
    </row>
    <row r="313" spans="1:14" ht="13.2">
      <c r="A313" s="306" t="s">
        <v>5</v>
      </c>
      <c r="B313" s="306" t="s">
        <v>575</v>
      </c>
      <c r="C313" s="306">
        <v>0</v>
      </c>
      <c r="D313" s="306">
        <v>0</v>
      </c>
      <c r="E313" s="306">
        <v>0</v>
      </c>
      <c r="F313" s="306">
        <v>0</v>
      </c>
      <c r="G313" s="306">
        <v>75020</v>
      </c>
      <c r="H313" s="306">
        <v>0</v>
      </c>
      <c r="I313" s="306">
        <v>0</v>
      </c>
      <c r="J313" s="306">
        <v>0</v>
      </c>
      <c r="K313" s="306">
        <v>0</v>
      </c>
      <c r="L313" s="306">
        <v>0</v>
      </c>
      <c r="M313" s="306">
        <v>0</v>
      </c>
      <c r="N313" s="306">
        <v>0</v>
      </c>
    </row>
    <row r="314" spans="1:14" ht="13.2">
      <c r="A314" s="306" t="s">
        <v>5</v>
      </c>
      <c r="B314" s="306" t="s">
        <v>576</v>
      </c>
      <c r="C314" s="306">
        <v>0</v>
      </c>
      <c r="D314" s="306">
        <v>0</v>
      </c>
      <c r="E314" s="306">
        <v>0</v>
      </c>
      <c r="F314" s="306">
        <v>0</v>
      </c>
      <c r="G314" s="306">
        <v>32340</v>
      </c>
      <c r="H314" s="306">
        <v>0</v>
      </c>
      <c r="I314" s="306">
        <v>0</v>
      </c>
      <c r="J314" s="306">
        <v>0</v>
      </c>
      <c r="K314" s="306">
        <v>0</v>
      </c>
      <c r="L314" s="306">
        <v>0</v>
      </c>
      <c r="M314" s="306">
        <v>0</v>
      </c>
      <c r="N314" s="306">
        <v>0</v>
      </c>
    </row>
    <row r="315" spans="1:14" ht="13.2">
      <c r="A315" s="306" t="s">
        <v>5</v>
      </c>
      <c r="B315" s="306" t="s">
        <v>577</v>
      </c>
      <c r="C315" s="306">
        <v>0</v>
      </c>
      <c r="D315" s="306">
        <v>0</v>
      </c>
      <c r="E315" s="306">
        <v>0</v>
      </c>
      <c r="F315" s="306">
        <v>0</v>
      </c>
      <c r="G315" s="306">
        <v>0</v>
      </c>
      <c r="H315" s="306">
        <v>41250</v>
      </c>
      <c r="I315" s="306">
        <v>0</v>
      </c>
      <c r="J315" s="306">
        <v>0</v>
      </c>
      <c r="K315" s="306">
        <v>0</v>
      </c>
      <c r="L315" s="306">
        <v>0</v>
      </c>
      <c r="M315" s="306">
        <v>0</v>
      </c>
      <c r="N315" s="306">
        <v>0</v>
      </c>
    </row>
    <row r="316" spans="1:14" ht="13.2">
      <c r="A316" s="306" t="s">
        <v>5</v>
      </c>
      <c r="B316" s="306" t="s">
        <v>578</v>
      </c>
      <c r="C316" s="306">
        <v>0</v>
      </c>
      <c r="D316" s="306">
        <v>0</v>
      </c>
      <c r="E316" s="306">
        <v>0</v>
      </c>
      <c r="F316" s="306">
        <v>0</v>
      </c>
      <c r="G316" s="306">
        <v>0</v>
      </c>
      <c r="H316" s="306">
        <v>1389430</v>
      </c>
      <c r="I316" s="306">
        <v>0</v>
      </c>
      <c r="J316" s="306">
        <v>0</v>
      </c>
      <c r="K316" s="306">
        <v>0</v>
      </c>
      <c r="L316" s="306">
        <v>0</v>
      </c>
      <c r="M316" s="306">
        <v>0</v>
      </c>
      <c r="N316" s="306">
        <v>0</v>
      </c>
    </row>
    <row r="317" spans="1:14" ht="13.2">
      <c r="A317" s="306" t="s">
        <v>5</v>
      </c>
      <c r="B317" s="306" t="s">
        <v>579</v>
      </c>
      <c r="C317" s="306">
        <v>0</v>
      </c>
      <c r="D317" s="306">
        <v>0</v>
      </c>
      <c r="E317" s="306">
        <v>0</v>
      </c>
      <c r="F317" s="306">
        <v>0</v>
      </c>
      <c r="G317" s="306">
        <v>0</v>
      </c>
      <c r="H317" s="306">
        <v>869000</v>
      </c>
      <c r="I317" s="306">
        <v>0</v>
      </c>
      <c r="J317" s="306">
        <v>0</v>
      </c>
      <c r="K317" s="306">
        <v>0</v>
      </c>
      <c r="L317" s="306">
        <v>0</v>
      </c>
      <c r="M317" s="306">
        <v>0</v>
      </c>
      <c r="N317" s="306">
        <v>0</v>
      </c>
    </row>
    <row r="318" spans="1:14" ht="13.2">
      <c r="A318" s="306" t="s">
        <v>5</v>
      </c>
      <c r="B318" s="306" t="s">
        <v>580</v>
      </c>
      <c r="C318" s="306">
        <v>0</v>
      </c>
      <c r="D318" s="306">
        <v>0</v>
      </c>
      <c r="E318" s="306">
        <v>0</v>
      </c>
      <c r="F318" s="306">
        <v>0</v>
      </c>
      <c r="G318" s="306">
        <v>0</v>
      </c>
      <c r="H318" s="306">
        <v>214500</v>
      </c>
      <c r="I318" s="306">
        <v>3899530</v>
      </c>
      <c r="J318" s="306">
        <v>350550</v>
      </c>
      <c r="K318" s="306">
        <v>0</v>
      </c>
      <c r="L318" s="306">
        <v>0</v>
      </c>
      <c r="M318" s="306">
        <v>0</v>
      </c>
      <c r="N318" s="306">
        <v>0</v>
      </c>
    </row>
    <row r="319" spans="1:14" ht="13.2">
      <c r="A319" s="306" t="s">
        <v>5</v>
      </c>
      <c r="B319" s="306" t="s">
        <v>581</v>
      </c>
      <c r="C319" s="306">
        <v>0</v>
      </c>
      <c r="D319" s="306">
        <v>0</v>
      </c>
      <c r="E319" s="306">
        <v>0</v>
      </c>
      <c r="F319" s="306">
        <v>0</v>
      </c>
      <c r="G319" s="306">
        <v>0</v>
      </c>
      <c r="H319" s="306">
        <v>948936</v>
      </c>
      <c r="I319" s="306">
        <v>0</v>
      </c>
      <c r="J319" s="306">
        <v>0</v>
      </c>
      <c r="K319" s="306">
        <v>0</v>
      </c>
      <c r="L319" s="306">
        <v>0</v>
      </c>
      <c r="M319" s="306">
        <v>0</v>
      </c>
      <c r="N319" s="306">
        <v>0</v>
      </c>
    </row>
    <row r="320" spans="1:14" ht="13.2">
      <c r="A320" s="306" t="s">
        <v>5</v>
      </c>
      <c r="B320" s="306" t="s">
        <v>582</v>
      </c>
      <c r="C320" s="306">
        <v>0</v>
      </c>
      <c r="D320" s="306">
        <v>0</v>
      </c>
      <c r="E320" s="306">
        <v>0</v>
      </c>
      <c r="F320" s="306">
        <v>0</v>
      </c>
      <c r="G320" s="306">
        <v>0</v>
      </c>
      <c r="H320" s="306">
        <v>644700</v>
      </c>
      <c r="I320" s="306">
        <v>0</v>
      </c>
      <c r="J320" s="306">
        <v>0</v>
      </c>
      <c r="K320" s="306">
        <v>0</v>
      </c>
      <c r="L320" s="306">
        <v>0</v>
      </c>
      <c r="M320" s="306">
        <v>0</v>
      </c>
      <c r="N320" s="306">
        <v>0</v>
      </c>
    </row>
    <row r="321" spans="1:14" ht="13.2">
      <c r="A321" s="306" t="s">
        <v>5</v>
      </c>
      <c r="B321" s="306" t="s">
        <v>583</v>
      </c>
      <c r="C321" s="306">
        <v>0</v>
      </c>
      <c r="D321" s="306">
        <v>0</v>
      </c>
      <c r="E321" s="306">
        <v>0</v>
      </c>
      <c r="F321" s="306">
        <v>0</v>
      </c>
      <c r="G321" s="306">
        <v>0</v>
      </c>
      <c r="H321" s="306">
        <v>22000</v>
      </c>
      <c r="I321" s="306">
        <v>0</v>
      </c>
      <c r="J321" s="306">
        <v>0</v>
      </c>
      <c r="K321" s="306">
        <v>0</v>
      </c>
      <c r="L321" s="306">
        <v>0</v>
      </c>
      <c r="M321" s="306">
        <v>0</v>
      </c>
      <c r="N321" s="306">
        <v>0</v>
      </c>
    </row>
    <row r="322" spans="1:14" ht="13.2">
      <c r="A322" s="306" t="s">
        <v>5</v>
      </c>
      <c r="B322" s="306" t="s">
        <v>584</v>
      </c>
      <c r="C322" s="306">
        <v>0</v>
      </c>
      <c r="D322" s="306">
        <v>0</v>
      </c>
      <c r="E322" s="306">
        <v>0</v>
      </c>
      <c r="F322" s="306">
        <v>0</v>
      </c>
      <c r="G322" s="306">
        <v>0</v>
      </c>
      <c r="H322" s="306">
        <v>1687158</v>
      </c>
      <c r="I322" s="306">
        <v>0</v>
      </c>
      <c r="J322" s="306">
        <v>0</v>
      </c>
      <c r="K322" s="306">
        <v>0</v>
      </c>
      <c r="L322" s="306">
        <v>0</v>
      </c>
      <c r="M322" s="306">
        <v>0</v>
      </c>
      <c r="N322" s="306">
        <v>0</v>
      </c>
    </row>
    <row r="323" spans="1:14" ht="13.2">
      <c r="A323" s="306" t="s">
        <v>5</v>
      </c>
      <c r="B323" s="306" t="s">
        <v>585</v>
      </c>
      <c r="C323" s="306">
        <v>0</v>
      </c>
      <c r="D323" s="306">
        <v>0</v>
      </c>
      <c r="E323" s="306">
        <v>0</v>
      </c>
      <c r="F323" s="306">
        <v>0</v>
      </c>
      <c r="G323" s="306">
        <v>0</v>
      </c>
      <c r="H323" s="306">
        <v>165000</v>
      </c>
      <c r="I323" s="306">
        <v>0</v>
      </c>
      <c r="J323" s="306">
        <v>0</v>
      </c>
      <c r="K323" s="306">
        <v>0</v>
      </c>
      <c r="L323" s="306">
        <v>0</v>
      </c>
      <c r="M323" s="306">
        <v>0</v>
      </c>
      <c r="N323" s="306">
        <v>0</v>
      </c>
    </row>
    <row r="324" spans="1:14" ht="13.2">
      <c r="A324" s="306" t="s">
        <v>5</v>
      </c>
      <c r="B324" s="306" t="s">
        <v>586</v>
      </c>
      <c r="C324" s="306">
        <v>0</v>
      </c>
      <c r="D324" s="306">
        <v>0</v>
      </c>
      <c r="E324" s="306">
        <v>0</v>
      </c>
      <c r="F324" s="306">
        <v>0</v>
      </c>
      <c r="G324" s="306">
        <v>0</v>
      </c>
      <c r="H324" s="306">
        <v>47480</v>
      </c>
      <c r="I324" s="306">
        <v>0</v>
      </c>
      <c r="J324" s="306">
        <v>0</v>
      </c>
      <c r="K324" s="306">
        <v>0</v>
      </c>
      <c r="L324" s="306">
        <v>0</v>
      </c>
      <c r="M324" s="306">
        <v>0</v>
      </c>
      <c r="N324" s="306">
        <v>0</v>
      </c>
    </row>
    <row r="325" spans="1:14" ht="13.2">
      <c r="A325" s="306" t="s">
        <v>5</v>
      </c>
      <c r="B325" s="306" t="s">
        <v>587</v>
      </c>
      <c r="C325" s="306">
        <v>0</v>
      </c>
      <c r="D325" s="306">
        <v>0</v>
      </c>
      <c r="E325" s="306">
        <v>0</v>
      </c>
      <c r="F325" s="306">
        <v>0</v>
      </c>
      <c r="G325" s="306">
        <v>0</v>
      </c>
      <c r="H325" s="306">
        <v>60550</v>
      </c>
      <c r="I325" s="306">
        <v>0</v>
      </c>
      <c r="J325" s="306">
        <v>0</v>
      </c>
      <c r="K325" s="306">
        <v>0</v>
      </c>
      <c r="L325" s="306">
        <v>0</v>
      </c>
      <c r="M325" s="306">
        <v>0</v>
      </c>
      <c r="N325" s="306">
        <v>0</v>
      </c>
    </row>
    <row r="326" spans="1:14" ht="13.2">
      <c r="A326" s="306" t="s">
        <v>5</v>
      </c>
      <c r="B326" s="306" t="s">
        <v>588</v>
      </c>
      <c r="C326" s="306">
        <v>0</v>
      </c>
      <c r="D326" s="306">
        <v>0</v>
      </c>
      <c r="E326" s="306">
        <v>0</v>
      </c>
      <c r="F326" s="306">
        <v>0</v>
      </c>
      <c r="G326" s="306">
        <v>0</v>
      </c>
      <c r="H326" s="306">
        <v>278080</v>
      </c>
      <c r="I326" s="306">
        <v>0</v>
      </c>
      <c r="J326" s="306">
        <v>0</v>
      </c>
      <c r="K326" s="306">
        <v>0</v>
      </c>
      <c r="L326" s="306">
        <v>0</v>
      </c>
      <c r="M326" s="306">
        <v>0</v>
      </c>
      <c r="N326" s="306">
        <v>0</v>
      </c>
    </row>
    <row r="327" spans="1:14" ht="13.2">
      <c r="A327" s="306" t="s">
        <v>5</v>
      </c>
      <c r="B327" s="306" t="s">
        <v>589</v>
      </c>
      <c r="C327" s="306">
        <v>0</v>
      </c>
      <c r="D327" s="306">
        <v>0</v>
      </c>
      <c r="E327" s="306">
        <v>0</v>
      </c>
      <c r="F327" s="306">
        <v>0</v>
      </c>
      <c r="G327" s="306">
        <v>0</v>
      </c>
      <c r="H327" s="306">
        <v>185400</v>
      </c>
      <c r="I327" s="306">
        <v>0</v>
      </c>
      <c r="J327" s="306">
        <v>0</v>
      </c>
      <c r="K327" s="306">
        <v>0</v>
      </c>
      <c r="L327" s="306">
        <v>0</v>
      </c>
      <c r="M327" s="306">
        <v>0</v>
      </c>
      <c r="N327" s="306">
        <v>0</v>
      </c>
    </row>
    <row r="328" spans="1:14" ht="13.2">
      <c r="A328" s="306" t="s">
        <v>5</v>
      </c>
      <c r="B328" s="306" t="s">
        <v>590</v>
      </c>
      <c r="C328" s="306">
        <v>0</v>
      </c>
      <c r="D328" s="306">
        <v>0</v>
      </c>
      <c r="E328" s="306">
        <v>0</v>
      </c>
      <c r="F328" s="306">
        <v>0</v>
      </c>
      <c r="G328" s="306">
        <v>0</v>
      </c>
      <c r="H328" s="306">
        <v>38500</v>
      </c>
      <c r="I328" s="306">
        <v>0</v>
      </c>
      <c r="J328" s="306">
        <v>0</v>
      </c>
      <c r="K328" s="306">
        <v>0</v>
      </c>
      <c r="L328" s="306">
        <v>0</v>
      </c>
      <c r="M328" s="306">
        <v>0</v>
      </c>
      <c r="N328" s="306">
        <v>0</v>
      </c>
    </row>
    <row r="329" spans="1:14" ht="13.2">
      <c r="A329" s="306" t="s">
        <v>5</v>
      </c>
      <c r="B329" s="306" t="s">
        <v>591</v>
      </c>
      <c r="C329" s="306">
        <v>0</v>
      </c>
      <c r="D329" s="306">
        <v>0</v>
      </c>
      <c r="E329" s="306">
        <v>0</v>
      </c>
      <c r="F329" s="306">
        <v>0</v>
      </c>
      <c r="G329" s="306">
        <v>0</v>
      </c>
      <c r="H329" s="306">
        <v>202150</v>
      </c>
      <c r="I329" s="306">
        <v>0</v>
      </c>
      <c r="J329" s="306">
        <v>0</v>
      </c>
      <c r="K329" s="306">
        <v>0</v>
      </c>
      <c r="L329" s="306">
        <v>0</v>
      </c>
      <c r="M329" s="306">
        <v>0</v>
      </c>
      <c r="N329" s="306">
        <v>0</v>
      </c>
    </row>
    <row r="330" spans="1:14" ht="13.2">
      <c r="A330" s="306" t="s">
        <v>5</v>
      </c>
      <c r="B330" s="306" t="s">
        <v>592</v>
      </c>
      <c r="C330" s="306">
        <v>0</v>
      </c>
      <c r="D330" s="306">
        <v>0</v>
      </c>
      <c r="E330" s="306">
        <v>0</v>
      </c>
      <c r="F330" s="306">
        <v>0</v>
      </c>
      <c r="G330" s="306">
        <v>0</v>
      </c>
      <c r="H330" s="306">
        <v>0</v>
      </c>
      <c r="I330" s="306">
        <v>10450</v>
      </c>
      <c r="J330" s="306">
        <v>0</v>
      </c>
      <c r="K330" s="306">
        <v>0</v>
      </c>
      <c r="L330" s="306">
        <v>0</v>
      </c>
      <c r="M330" s="306">
        <v>0</v>
      </c>
      <c r="N330" s="306">
        <v>0</v>
      </c>
    </row>
    <row r="331" spans="1:14" ht="13.2">
      <c r="A331" s="306" t="s">
        <v>5</v>
      </c>
      <c r="B331" s="306" t="s">
        <v>593</v>
      </c>
      <c r="C331" s="306">
        <v>0</v>
      </c>
      <c r="D331" s="306">
        <v>0</v>
      </c>
      <c r="E331" s="306">
        <v>0</v>
      </c>
      <c r="F331" s="306">
        <v>0</v>
      </c>
      <c r="G331" s="306">
        <v>0</v>
      </c>
      <c r="H331" s="306">
        <v>0</v>
      </c>
      <c r="I331" s="306">
        <v>717822</v>
      </c>
      <c r="J331" s="306">
        <v>0</v>
      </c>
      <c r="K331" s="306">
        <v>0</v>
      </c>
      <c r="L331" s="306">
        <v>0</v>
      </c>
      <c r="M331" s="306">
        <v>0</v>
      </c>
      <c r="N331" s="306">
        <v>0</v>
      </c>
    </row>
    <row r="332" spans="1:14" ht="13.2">
      <c r="A332" s="306" t="s">
        <v>5</v>
      </c>
      <c r="B332" s="306" t="s">
        <v>594</v>
      </c>
      <c r="C332" s="306">
        <v>0</v>
      </c>
      <c r="D332" s="306">
        <v>50600</v>
      </c>
      <c r="E332" s="306">
        <v>0</v>
      </c>
      <c r="F332" s="306">
        <v>0</v>
      </c>
      <c r="G332" s="306">
        <v>0</v>
      </c>
      <c r="H332" s="306">
        <v>0</v>
      </c>
      <c r="I332" s="306">
        <v>0</v>
      </c>
      <c r="J332" s="306">
        <v>0</v>
      </c>
      <c r="K332" s="306">
        <v>0</v>
      </c>
      <c r="L332" s="306">
        <v>0</v>
      </c>
      <c r="M332" s="306">
        <v>0</v>
      </c>
      <c r="N332" s="306">
        <v>0</v>
      </c>
    </row>
    <row r="333" spans="1:14" ht="13.2">
      <c r="A333" s="306" t="s">
        <v>5</v>
      </c>
      <c r="B333" s="306" t="s">
        <v>595</v>
      </c>
      <c r="C333" s="306">
        <v>0</v>
      </c>
      <c r="D333" s="306">
        <v>520000</v>
      </c>
      <c r="E333" s="306">
        <v>0</v>
      </c>
      <c r="F333" s="306">
        <v>0</v>
      </c>
      <c r="G333" s="306">
        <v>0</v>
      </c>
      <c r="H333" s="306">
        <v>0</v>
      </c>
      <c r="I333" s="306">
        <v>0</v>
      </c>
      <c r="J333" s="306">
        <v>0</v>
      </c>
      <c r="K333" s="306">
        <v>0</v>
      </c>
      <c r="L333" s="306">
        <v>0</v>
      </c>
      <c r="M333" s="306">
        <v>0</v>
      </c>
      <c r="N333" s="306">
        <v>0</v>
      </c>
    </row>
    <row r="334" spans="1:14" ht="13.2">
      <c r="A334" s="306" t="s">
        <v>5</v>
      </c>
      <c r="B334" s="306" t="s">
        <v>596</v>
      </c>
      <c r="C334" s="306">
        <v>0</v>
      </c>
      <c r="D334" s="306">
        <v>0</v>
      </c>
      <c r="E334" s="306">
        <v>0</v>
      </c>
      <c r="F334" s="306">
        <v>0</v>
      </c>
      <c r="G334" s="306">
        <v>0</v>
      </c>
      <c r="H334" s="306">
        <v>56100</v>
      </c>
      <c r="I334" s="306">
        <v>0</v>
      </c>
      <c r="J334" s="306">
        <v>0</v>
      </c>
      <c r="K334" s="306">
        <v>0</v>
      </c>
      <c r="L334" s="306">
        <v>0</v>
      </c>
      <c r="M334" s="306">
        <v>0</v>
      </c>
      <c r="N334" s="306">
        <v>0</v>
      </c>
    </row>
    <row r="335" spans="1:14" ht="13.2">
      <c r="A335" s="306" t="s">
        <v>5</v>
      </c>
      <c r="B335" s="306" t="s">
        <v>597</v>
      </c>
      <c r="C335" s="306">
        <v>0</v>
      </c>
      <c r="D335" s="306">
        <v>0</v>
      </c>
      <c r="E335" s="306">
        <v>0</v>
      </c>
      <c r="F335" s="306">
        <v>0</v>
      </c>
      <c r="G335" s="306">
        <v>0</v>
      </c>
      <c r="H335" s="306">
        <v>33000</v>
      </c>
      <c r="I335" s="306">
        <v>0</v>
      </c>
      <c r="J335" s="306">
        <v>0</v>
      </c>
      <c r="K335" s="306">
        <v>0</v>
      </c>
      <c r="L335" s="306">
        <v>0</v>
      </c>
      <c r="M335" s="306">
        <v>0</v>
      </c>
      <c r="N335" s="306">
        <v>0</v>
      </c>
    </row>
    <row r="336" spans="1:14" ht="13.2">
      <c r="A336" s="306" t="s">
        <v>5</v>
      </c>
      <c r="B336" s="306" t="s">
        <v>598</v>
      </c>
      <c r="C336" s="306">
        <v>0</v>
      </c>
      <c r="D336" s="306">
        <v>0</v>
      </c>
      <c r="E336" s="306">
        <v>0</v>
      </c>
      <c r="F336" s="306">
        <v>0</v>
      </c>
      <c r="G336" s="306">
        <v>0</v>
      </c>
      <c r="H336" s="306">
        <v>4816790</v>
      </c>
      <c r="I336" s="306">
        <v>0</v>
      </c>
      <c r="J336" s="306">
        <v>0</v>
      </c>
      <c r="K336" s="306">
        <v>0</v>
      </c>
      <c r="L336" s="306">
        <v>0</v>
      </c>
      <c r="M336" s="306">
        <v>0</v>
      </c>
      <c r="N336" s="306">
        <v>0</v>
      </c>
    </row>
    <row r="337" spans="1:14" ht="13.2">
      <c r="A337" s="306" t="s">
        <v>5</v>
      </c>
      <c r="B337" s="306" t="s">
        <v>599</v>
      </c>
      <c r="C337" s="306">
        <v>0</v>
      </c>
      <c r="D337" s="306">
        <v>0</v>
      </c>
      <c r="E337" s="306">
        <v>0</v>
      </c>
      <c r="F337" s="306">
        <v>0</v>
      </c>
      <c r="G337" s="306">
        <v>0</v>
      </c>
      <c r="H337" s="306">
        <v>1340172</v>
      </c>
      <c r="I337" s="306">
        <v>0</v>
      </c>
      <c r="J337" s="306">
        <v>0</v>
      </c>
      <c r="K337" s="306">
        <v>0</v>
      </c>
      <c r="L337" s="306">
        <v>0</v>
      </c>
      <c r="M337" s="306">
        <v>0</v>
      </c>
      <c r="N337" s="306">
        <v>0</v>
      </c>
    </row>
    <row r="338" spans="1:14" ht="13.2">
      <c r="A338" s="306" t="s">
        <v>5</v>
      </c>
      <c r="B338" s="306" t="s">
        <v>600</v>
      </c>
      <c r="C338" s="306">
        <v>0</v>
      </c>
      <c r="D338" s="306">
        <v>0</v>
      </c>
      <c r="E338" s="306">
        <v>0</v>
      </c>
      <c r="F338" s="306">
        <v>0</v>
      </c>
      <c r="G338" s="306">
        <v>0</v>
      </c>
      <c r="H338" s="306">
        <v>0</v>
      </c>
      <c r="I338" s="306">
        <v>117150</v>
      </c>
      <c r="J338" s="306">
        <v>0</v>
      </c>
      <c r="K338" s="306">
        <v>0</v>
      </c>
      <c r="L338" s="306">
        <v>0</v>
      </c>
      <c r="M338" s="306">
        <v>0</v>
      </c>
      <c r="N338" s="306">
        <v>0</v>
      </c>
    </row>
    <row r="339" spans="1:14" ht="13.2">
      <c r="A339" s="306" t="s">
        <v>5</v>
      </c>
      <c r="B339" s="306" t="s">
        <v>601</v>
      </c>
      <c r="C339" s="306">
        <v>0</v>
      </c>
      <c r="D339" s="306">
        <v>0</v>
      </c>
      <c r="E339" s="306">
        <v>0</v>
      </c>
      <c r="F339" s="306">
        <v>0</v>
      </c>
      <c r="G339" s="306">
        <v>0</v>
      </c>
      <c r="H339" s="306">
        <v>0</v>
      </c>
      <c r="I339" s="306">
        <v>892540</v>
      </c>
      <c r="J339" s="306">
        <v>0</v>
      </c>
      <c r="K339" s="306">
        <v>0</v>
      </c>
      <c r="L339" s="306">
        <v>0</v>
      </c>
      <c r="M339" s="306">
        <v>0</v>
      </c>
      <c r="N339" s="306">
        <v>0</v>
      </c>
    </row>
    <row r="340" spans="1:14" ht="13.2">
      <c r="A340" s="306" t="s">
        <v>5</v>
      </c>
      <c r="B340" s="306" t="s">
        <v>602</v>
      </c>
      <c r="C340" s="306">
        <v>0</v>
      </c>
      <c r="D340" s="306">
        <v>0</v>
      </c>
      <c r="E340" s="306">
        <v>123200</v>
      </c>
      <c r="F340" s="306">
        <v>0</v>
      </c>
      <c r="G340" s="306">
        <v>0</v>
      </c>
      <c r="H340" s="306">
        <v>0</v>
      </c>
      <c r="I340" s="306">
        <v>0</v>
      </c>
      <c r="J340" s="306">
        <v>0</v>
      </c>
      <c r="K340" s="306">
        <v>0</v>
      </c>
      <c r="L340" s="306">
        <v>0</v>
      </c>
      <c r="M340" s="306">
        <v>0</v>
      </c>
      <c r="N340" s="306">
        <v>0</v>
      </c>
    </row>
    <row r="341" spans="1:14" ht="13.2">
      <c r="A341" s="306" t="s">
        <v>5</v>
      </c>
      <c r="B341" s="306" t="s">
        <v>603</v>
      </c>
      <c r="C341" s="306">
        <v>0</v>
      </c>
      <c r="D341" s="306">
        <v>0</v>
      </c>
      <c r="E341" s="306">
        <v>0</v>
      </c>
      <c r="F341" s="306">
        <v>0</v>
      </c>
      <c r="G341" s="306">
        <v>285070</v>
      </c>
      <c r="H341" s="306">
        <v>0</v>
      </c>
      <c r="I341" s="306">
        <v>0</v>
      </c>
      <c r="J341" s="306">
        <v>0</v>
      </c>
      <c r="K341" s="306">
        <v>0</v>
      </c>
      <c r="L341" s="306">
        <v>0</v>
      </c>
      <c r="M341" s="306">
        <v>0</v>
      </c>
      <c r="N341" s="306">
        <v>0</v>
      </c>
    </row>
    <row r="342" spans="1:14" ht="13.2">
      <c r="A342" s="306" t="s">
        <v>5</v>
      </c>
      <c r="B342" s="306" t="s">
        <v>604</v>
      </c>
      <c r="C342" s="306">
        <v>0</v>
      </c>
      <c r="D342" s="306">
        <v>0</v>
      </c>
      <c r="E342" s="306">
        <v>0</v>
      </c>
      <c r="F342" s="306">
        <v>0</v>
      </c>
      <c r="G342" s="306">
        <v>0</v>
      </c>
      <c r="H342" s="306">
        <v>1108080</v>
      </c>
      <c r="I342" s="306">
        <v>0</v>
      </c>
      <c r="J342" s="306">
        <v>0</v>
      </c>
      <c r="K342" s="306">
        <v>0</v>
      </c>
      <c r="L342" s="306">
        <v>0</v>
      </c>
      <c r="M342" s="306">
        <v>0</v>
      </c>
      <c r="N342" s="306">
        <v>0</v>
      </c>
    </row>
    <row r="343" spans="1:14" ht="13.2">
      <c r="A343" s="306" t="s">
        <v>5</v>
      </c>
      <c r="B343" s="306" t="s">
        <v>605</v>
      </c>
      <c r="C343" s="306">
        <v>0</v>
      </c>
      <c r="D343" s="306">
        <v>0</v>
      </c>
      <c r="E343" s="306">
        <v>0</v>
      </c>
      <c r="F343" s="306">
        <v>0</v>
      </c>
      <c r="G343" s="306">
        <v>0</v>
      </c>
      <c r="H343" s="306">
        <v>28380</v>
      </c>
      <c r="I343" s="306">
        <v>76010</v>
      </c>
      <c r="J343" s="306">
        <v>2928068</v>
      </c>
      <c r="K343" s="306">
        <v>0</v>
      </c>
      <c r="L343" s="306">
        <v>0</v>
      </c>
      <c r="M343" s="306">
        <v>0</v>
      </c>
      <c r="N343" s="306">
        <v>0</v>
      </c>
    </row>
    <row r="344" spans="1:14" ht="13.2">
      <c r="A344" s="306" t="s">
        <v>5</v>
      </c>
      <c r="B344" s="306" t="s">
        <v>606</v>
      </c>
      <c r="C344" s="306">
        <v>0</v>
      </c>
      <c r="D344" s="306">
        <v>0</v>
      </c>
      <c r="E344" s="306">
        <v>0</v>
      </c>
      <c r="F344" s="306">
        <v>0</v>
      </c>
      <c r="G344" s="306">
        <v>0</v>
      </c>
      <c r="H344" s="306">
        <v>0</v>
      </c>
      <c r="I344" s="306">
        <v>33000</v>
      </c>
      <c r="J344" s="306">
        <v>0</v>
      </c>
      <c r="K344" s="306">
        <v>0</v>
      </c>
      <c r="L344" s="306">
        <v>0</v>
      </c>
      <c r="M344" s="306">
        <v>0</v>
      </c>
      <c r="N344" s="306">
        <v>0</v>
      </c>
    </row>
    <row r="345" spans="1:14" ht="13.2">
      <c r="A345" s="306" t="s">
        <v>5</v>
      </c>
      <c r="B345" s="306" t="s">
        <v>607</v>
      </c>
      <c r="C345" s="306">
        <v>0</v>
      </c>
      <c r="D345" s="306">
        <v>0</v>
      </c>
      <c r="E345" s="306">
        <v>0</v>
      </c>
      <c r="F345" s="306">
        <v>0</v>
      </c>
      <c r="G345" s="306">
        <v>0</v>
      </c>
      <c r="H345" s="306">
        <v>0</v>
      </c>
      <c r="I345" s="306">
        <v>0</v>
      </c>
      <c r="J345" s="306">
        <v>92730</v>
      </c>
      <c r="K345" s="306">
        <v>0</v>
      </c>
      <c r="L345" s="306">
        <v>0</v>
      </c>
      <c r="M345" s="306">
        <v>0</v>
      </c>
      <c r="N345" s="306">
        <v>0</v>
      </c>
    </row>
    <row r="346" spans="1:14" ht="13.2">
      <c r="A346" s="306" t="s">
        <v>6</v>
      </c>
      <c r="B346" s="306" t="s">
        <v>608</v>
      </c>
      <c r="C346" s="306">
        <v>189764</v>
      </c>
      <c r="D346" s="306">
        <v>0</v>
      </c>
      <c r="E346" s="306">
        <v>0</v>
      </c>
      <c r="F346" s="306">
        <v>0</v>
      </c>
      <c r="G346" s="306">
        <v>0</v>
      </c>
      <c r="H346" s="306">
        <v>0</v>
      </c>
      <c r="I346" s="306">
        <v>0</v>
      </c>
      <c r="J346" s="306">
        <v>0</v>
      </c>
      <c r="K346" s="306">
        <v>0</v>
      </c>
      <c r="L346" s="306">
        <v>0</v>
      </c>
      <c r="M346" s="306">
        <v>0</v>
      </c>
      <c r="N346" s="306">
        <v>0</v>
      </c>
    </row>
    <row r="347" spans="1:14" ht="13.2">
      <c r="A347" s="306" t="s">
        <v>6</v>
      </c>
      <c r="B347" s="306" t="s">
        <v>609</v>
      </c>
      <c r="C347" s="306">
        <v>126474</v>
      </c>
      <c r="D347" s="306">
        <v>0</v>
      </c>
      <c r="E347" s="306">
        <v>0</v>
      </c>
      <c r="F347" s="306">
        <v>0</v>
      </c>
      <c r="G347" s="306">
        <v>0</v>
      </c>
      <c r="H347" s="306">
        <v>0</v>
      </c>
      <c r="I347" s="306">
        <v>0</v>
      </c>
      <c r="J347" s="306">
        <v>0</v>
      </c>
      <c r="K347" s="306">
        <v>0</v>
      </c>
      <c r="L347" s="306">
        <v>0</v>
      </c>
      <c r="M347" s="306">
        <v>0</v>
      </c>
      <c r="N347" s="306">
        <v>0</v>
      </c>
    </row>
    <row r="348" spans="1:14" ht="13.2">
      <c r="A348" s="306" t="s">
        <v>6</v>
      </c>
      <c r="B348" s="306" t="s">
        <v>610</v>
      </c>
      <c r="C348" s="306">
        <v>34650</v>
      </c>
      <c r="D348" s="306">
        <v>0</v>
      </c>
      <c r="E348" s="306">
        <v>0</v>
      </c>
      <c r="F348" s="306">
        <v>0</v>
      </c>
      <c r="G348" s="306">
        <v>0</v>
      </c>
      <c r="H348" s="306">
        <v>0</v>
      </c>
      <c r="I348" s="306">
        <v>0</v>
      </c>
      <c r="J348" s="306">
        <v>0</v>
      </c>
      <c r="K348" s="306">
        <v>0</v>
      </c>
      <c r="L348" s="306">
        <v>0</v>
      </c>
      <c r="M348" s="306">
        <v>0</v>
      </c>
      <c r="N348" s="306">
        <v>0</v>
      </c>
    </row>
    <row r="349" spans="1:14" ht="13.2">
      <c r="A349" s="306" t="s">
        <v>6</v>
      </c>
      <c r="B349" s="306" t="s">
        <v>611</v>
      </c>
      <c r="C349" s="306">
        <v>154733</v>
      </c>
      <c r="D349" s="306">
        <v>0</v>
      </c>
      <c r="E349" s="306">
        <v>0</v>
      </c>
      <c r="F349" s="306">
        <v>0</v>
      </c>
      <c r="G349" s="306">
        <v>0</v>
      </c>
      <c r="H349" s="306">
        <v>0</v>
      </c>
      <c r="I349" s="306">
        <v>0</v>
      </c>
      <c r="J349" s="306">
        <v>0</v>
      </c>
      <c r="K349" s="306">
        <v>0</v>
      </c>
      <c r="L349" s="306">
        <v>0</v>
      </c>
      <c r="M349" s="306">
        <v>0</v>
      </c>
      <c r="N349" s="306">
        <v>0</v>
      </c>
    </row>
    <row r="350" spans="1:14" ht="13.2">
      <c r="A350" s="306" t="s">
        <v>6</v>
      </c>
      <c r="B350" s="306" t="s">
        <v>612</v>
      </c>
      <c r="C350" s="306">
        <v>16724</v>
      </c>
      <c r="D350" s="306">
        <v>0</v>
      </c>
      <c r="E350" s="306">
        <v>0</v>
      </c>
      <c r="F350" s="306">
        <v>0</v>
      </c>
      <c r="G350" s="306">
        <v>0</v>
      </c>
      <c r="H350" s="306">
        <v>0</v>
      </c>
      <c r="I350" s="306">
        <v>0</v>
      </c>
      <c r="J350" s="306">
        <v>0</v>
      </c>
      <c r="K350" s="306">
        <v>0</v>
      </c>
      <c r="L350" s="306">
        <v>0</v>
      </c>
      <c r="M350" s="306">
        <v>0</v>
      </c>
      <c r="N350" s="306">
        <v>0</v>
      </c>
    </row>
    <row r="351" spans="1:14" ht="13.2">
      <c r="A351" s="306" t="s">
        <v>6</v>
      </c>
      <c r="B351" s="306" t="s">
        <v>613</v>
      </c>
      <c r="C351" s="306">
        <v>199722</v>
      </c>
      <c r="D351" s="306">
        <v>0</v>
      </c>
      <c r="E351" s="306">
        <v>0</v>
      </c>
      <c r="F351" s="306">
        <v>0</v>
      </c>
      <c r="G351" s="306">
        <v>0</v>
      </c>
      <c r="H351" s="306">
        <v>0</v>
      </c>
      <c r="I351" s="306">
        <v>0</v>
      </c>
      <c r="J351" s="306">
        <v>0</v>
      </c>
      <c r="K351" s="306">
        <v>0</v>
      </c>
      <c r="L351" s="306">
        <v>0</v>
      </c>
      <c r="M351" s="306">
        <v>0</v>
      </c>
      <c r="N351" s="306">
        <v>0</v>
      </c>
    </row>
    <row r="352" spans="1:14" ht="13.2">
      <c r="A352" s="306" t="s">
        <v>6</v>
      </c>
      <c r="B352" s="306" t="s">
        <v>614</v>
      </c>
      <c r="C352" s="306">
        <v>381730</v>
      </c>
      <c r="D352" s="306">
        <v>0</v>
      </c>
      <c r="E352" s="306">
        <v>0</v>
      </c>
      <c r="F352" s="306">
        <v>0</v>
      </c>
      <c r="G352" s="306">
        <v>0</v>
      </c>
      <c r="H352" s="306">
        <v>0</v>
      </c>
      <c r="I352" s="306">
        <v>0</v>
      </c>
      <c r="J352" s="306">
        <v>0</v>
      </c>
      <c r="K352" s="306">
        <v>0</v>
      </c>
      <c r="L352" s="306">
        <v>0</v>
      </c>
      <c r="M352" s="306">
        <v>0</v>
      </c>
      <c r="N352" s="306">
        <v>0</v>
      </c>
    </row>
    <row r="353" spans="1:14" ht="13.2">
      <c r="A353" s="306" t="s">
        <v>6</v>
      </c>
      <c r="B353" s="306" t="s">
        <v>615</v>
      </c>
      <c r="C353" s="306">
        <v>0</v>
      </c>
      <c r="D353" s="306">
        <v>239095</v>
      </c>
      <c r="E353" s="306">
        <v>0</v>
      </c>
      <c r="F353" s="306">
        <v>0</v>
      </c>
      <c r="G353" s="306">
        <v>244847</v>
      </c>
      <c r="H353" s="306">
        <v>0</v>
      </c>
      <c r="I353" s="306">
        <v>0</v>
      </c>
      <c r="J353" s="306">
        <v>0</v>
      </c>
      <c r="K353" s="306">
        <v>0</v>
      </c>
      <c r="L353" s="306">
        <v>0</v>
      </c>
      <c r="M353" s="306">
        <v>0</v>
      </c>
      <c r="N353" s="306">
        <v>0</v>
      </c>
    </row>
    <row r="354" spans="1:14" ht="13.2">
      <c r="A354" s="306" t="s">
        <v>6</v>
      </c>
      <c r="B354" s="306" t="s">
        <v>616</v>
      </c>
      <c r="C354" s="306">
        <v>0</v>
      </c>
      <c r="D354" s="306">
        <v>158479</v>
      </c>
      <c r="E354" s="306">
        <v>158458</v>
      </c>
      <c r="F354" s="306">
        <v>171206</v>
      </c>
      <c r="G354" s="306">
        <v>162219</v>
      </c>
      <c r="H354" s="306">
        <v>187728</v>
      </c>
      <c r="I354" s="306">
        <v>180305</v>
      </c>
      <c r="J354" s="306">
        <v>200501</v>
      </c>
      <c r="K354" s="306">
        <v>174770</v>
      </c>
      <c r="L354" s="306">
        <v>0</v>
      </c>
      <c r="M354" s="306">
        <v>0</v>
      </c>
      <c r="N354" s="306">
        <v>0</v>
      </c>
    </row>
    <row r="355" spans="1:14" ht="13.2">
      <c r="A355" s="306" t="s">
        <v>6</v>
      </c>
      <c r="B355" s="306" t="s">
        <v>617</v>
      </c>
      <c r="C355" s="306">
        <v>0</v>
      </c>
      <c r="D355" s="306">
        <v>163398</v>
      </c>
      <c r="E355" s="306">
        <v>183311</v>
      </c>
      <c r="F355" s="306">
        <v>168819</v>
      </c>
      <c r="G355" s="306">
        <v>0</v>
      </c>
      <c r="H355" s="306">
        <v>164660</v>
      </c>
      <c r="I355" s="306">
        <v>150220</v>
      </c>
      <c r="J355" s="306">
        <v>165616</v>
      </c>
      <c r="K355" s="306">
        <v>166436</v>
      </c>
      <c r="L355" s="306">
        <v>0</v>
      </c>
      <c r="M355" s="306">
        <v>0</v>
      </c>
      <c r="N355" s="306">
        <v>0</v>
      </c>
    </row>
    <row r="356" spans="1:14" ht="13.2">
      <c r="A356" s="306" t="s">
        <v>6</v>
      </c>
      <c r="B356" s="306" t="s">
        <v>618</v>
      </c>
      <c r="C356" s="306">
        <v>0</v>
      </c>
      <c r="D356" s="306">
        <v>122229</v>
      </c>
      <c r="E356" s="306">
        <v>0</v>
      </c>
      <c r="F356" s="306">
        <v>0</v>
      </c>
      <c r="G356" s="306">
        <v>112124</v>
      </c>
      <c r="H356" s="306">
        <v>107666</v>
      </c>
      <c r="I356" s="306">
        <v>51787</v>
      </c>
      <c r="J356" s="306">
        <v>40324</v>
      </c>
      <c r="K356" s="306">
        <v>0</v>
      </c>
      <c r="L356" s="306">
        <v>0</v>
      </c>
      <c r="M356" s="306">
        <v>0</v>
      </c>
      <c r="N356" s="306">
        <v>0</v>
      </c>
    </row>
    <row r="357" spans="1:14" ht="13.2">
      <c r="A357" s="306" t="s">
        <v>6</v>
      </c>
      <c r="B357" s="306" t="s">
        <v>619</v>
      </c>
      <c r="C357" s="306">
        <v>0</v>
      </c>
      <c r="D357" s="306">
        <v>28875</v>
      </c>
      <c r="E357" s="306">
        <v>28692</v>
      </c>
      <c r="F357" s="306">
        <v>38042</v>
      </c>
      <c r="G357" s="306">
        <v>28600</v>
      </c>
      <c r="H357" s="306">
        <v>27500</v>
      </c>
      <c r="I357" s="306">
        <v>0</v>
      </c>
      <c r="J357" s="306">
        <v>0</v>
      </c>
      <c r="K357" s="306">
        <v>0</v>
      </c>
      <c r="L357" s="306">
        <v>0</v>
      </c>
      <c r="M357" s="306">
        <v>0</v>
      </c>
      <c r="N357" s="306">
        <v>0</v>
      </c>
    </row>
    <row r="358" spans="1:14" ht="13.2">
      <c r="A358" s="306" t="s">
        <v>6</v>
      </c>
      <c r="B358" s="306" t="s">
        <v>620</v>
      </c>
      <c r="C358" s="306">
        <v>0</v>
      </c>
      <c r="D358" s="306">
        <v>26650</v>
      </c>
      <c r="E358" s="306">
        <v>10569</v>
      </c>
      <c r="F358" s="306">
        <v>22145</v>
      </c>
      <c r="G358" s="306">
        <v>17365</v>
      </c>
      <c r="H358" s="306">
        <v>15990</v>
      </c>
      <c r="I358" s="306">
        <v>21196</v>
      </c>
      <c r="J358" s="306">
        <v>15990</v>
      </c>
      <c r="K358" s="306">
        <v>20220</v>
      </c>
      <c r="L358" s="306">
        <v>0</v>
      </c>
      <c r="M358" s="306">
        <v>0</v>
      </c>
      <c r="N358" s="306">
        <v>0</v>
      </c>
    </row>
    <row r="359" spans="1:14" ht="13.2">
      <c r="A359" s="306" t="s">
        <v>6</v>
      </c>
      <c r="B359" s="306" t="s">
        <v>621</v>
      </c>
      <c r="C359" s="306">
        <v>0</v>
      </c>
      <c r="D359" s="306">
        <v>381730</v>
      </c>
      <c r="E359" s="306">
        <v>531627</v>
      </c>
      <c r="F359" s="306">
        <v>381730</v>
      </c>
      <c r="G359" s="306">
        <v>381730</v>
      </c>
      <c r="H359" s="306">
        <v>381730</v>
      </c>
      <c r="I359" s="306">
        <v>382580</v>
      </c>
      <c r="J359" s="306">
        <v>382580</v>
      </c>
      <c r="K359" s="306">
        <v>382580</v>
      </c>
      <c r="L359" s="306">
        <v>0</v>
      </c>
      <c r="M359" s="306">
        <v>0</v>
      </c>
      <c r="N359" s="306">
        <v>0</v>
      </c>
    </row>
    <row r="360" spans="1:14" ht="13.2">
      <c r="A360" s="306" t="s">
        <v>6</v>
      </c>
      <c r="B360" s="306" t="s">
        <v>622</v>
      </c>
      <c r="C360" s="306">
        <v>0</v>
      </c>
      <c r="D360" s="306">
        <v>10330</v>
      </c>
      <c r="E360" s="306">
        <v>0</v>
      </c>
      <c r="F360" s="306">
        <v>0</v>
      </c>
      <c r="G360" s="306">
        <v>0</v>
      </c>
      <c r="H360" s="306">
        <v>0</v>
      </c>
      <c r="I360" s="306">
        <v>0</v>
      </c>
      <c r="J360" s="306">
        <v>0</v>
      </c>
      <c r="K360" s="306">
        <v>0</v>
      </c>
      <c r="L360" s="306">
        <v>0</v>
      </c>
      <c r="M360" s="306">
        <v>0</v>
      </c>
      <c r="N360" s="306">
        <v>0</v>
      </c>
    </row>
    <row r="361" spans="1:14" ht="13.2">
      <c r="A361" s="306" t="s">
        <v>6</v>
      </c>
      <c r="B361" s="306" t="s">
        <v>623</v>
      </c>
      <c r="C361" s="306">
        <v>0</v>
      </c>
      <c r="D361" s="306">
        <v>199722</v>
      </c>
      <c r="E361" s="306">
        <v>199722</v>
      </c>
      <c r="F361" s="306">
        <v>199722</v>
      </c>
      <c r="G361" s="306">
        <v>199722</v>
      </c>
      <c r="H361" s="306">
        <v>199722</v>
      </c>
      <c r="I361" s="306">
        <v>200142</v>
      </c>
      <c r="J361" s="306">
        <v>200142</v>
      </c>
      <c r="K361" s="306">
        <v>200142</v>
      </c>
      <c r="L361" s="306">
        <v>0</v>
      </c>
      <c r="M361" s="306">
        <v>0</v>
      </c>
      <c r="N361" s="306">
        <v>0</v>
      </c>
    </row>
    <row r="362" spans="1:14" ht="13.2">
      <c r="A362" s="306" t="s">
        <v>6</v>
      </c>
      <c r="B362" s="306" t="s">
        <v>624</v>
      </c>
      <c r="C362" s="306">
        <v>0</v>
      </c>
      <c r="D362" s="306">
        <v>0</v>
      </c>
      <c r="E362" s="306">
        <v>9900</v>
      </c>
      <c r="F362" s="306">
        <v>0</v>
      </c>
      <c r="G362" s="306">
        <v>0</v>
      </c>
      <c r="H362" s="306">
        <v>0</v>
      </c>
      <c r="I362" s="306">
        <v>0</v>
      </c>
      <c r="J362" s="306">
        <v>0</v>
      </c>
      <c r="K362" s="306">
        <v>0</v>
      </c>
      <c r="L362" s="306">
        <v>0</v>
      </c>
      <c r="M362" s="306">
        <v>0</v>
      </c>
      <c r="N362" s="306">
        <v>0</v>
      </c>
    </row>
    <row r="363" spans="1:14" ht="13.2">
      <c r="A363" s="306" t="s">
        <v>6</v>
      </c>
      <c r="B363" s="306" t="s">
        <v>625</v>
      </c>
      <c r="C363" s="306">
        <v>0</v>
      </c>
      <c r="D363" s="306">
        <v>0</v>
      </c>
      <c r="E363" s="306">
        <v>0</v>
      </c>
      <c r="F363" s="306">
        <v>0</v>
      </c>
      <c r="G363" s="306">
        <v>198409</v>
      </c>
      <c r="H363" s="306">
        <v>0</v>
      </c>
      <c r="I363" s="306">
        <v>0</v>
      </c>
      <c r="J363" s="306">
        <v>0</v>
      </c>
      <c r="K363" s="306">
        <v>0</v>
      </c>
      <c r="L363" s="306">
        <v>0</v>
      </c>
      <c r="M363" s="306">
        <v>0</v>
      </c>
      <c r="N363" s="306">
        <v>0</v>
      </c>
    </row>
    <row r="364" spans="1:14" ht="13.2">
      <c r="A364" s="306" t="s">
        <v>6</v>
      </c>
      <c r="B364" s="306" t="s">
        <v>626</v>
      </c>
      <c r="C364" s="306">
        <v>0</v>
      </c>
      <c r="D364" s="306">
        <v>0</v>
      </c>
      <c r="E364" s="306">
        <v>0</v>
      </c>
      <c r="F364" s="306">
        <v>0</v>
      </c>
      <c r="G364" s="306">
        <v>319675</v>
      </c>
      <c r="H364" s="306">
        <v>985912</v>
      </c>
      <c r="I364" s="306">
        <v>0</v>
      </c>
      <c r="J364" s="306">
        <v>328087</v>
      </c>
      <c r="K364" s="306">
        <v>0</v>
      </c>
      <c r="L364" s="306">
        <v>0</v>
      </c>
      <c r="M364" s="306">
        <v>0</v>
      </c>
      <c r="N364" s="306">
        <v>0</v>
      </c>
    </row>
    <row r="365" spans="1:14" ht="13.2">
      <c r="A365" s="306" t="s">
        <v>6</v>
      </c>
      <c r="B365" s="306" t="s">
        <v>627</v>
      </c>
      <c r="C365" s="306">
        <v>0</v>
      </c>
      <c r="D365" s="306">
        <v>0</v>
      </c>
      <c r="E365" s="306">
        <v>0</v>
      </c>
      <c r="F365" s="306">
        <v>0</v>
      </c>
      <c r="G365" s="306">
        <v>0</v>
      </c>
      <c r="H365" s="306">
        <v>224220</v>
      </c>
      <c r="I365" s="306">
        <v>0</v>
      </c>
      <c r="J365" s="306">
        <v>0</v>
      </c>
      <c r="K365" s="306">
        <v>0</v>
      </c>
      <c r="L365" s="306">
        <v>0</v>
      </c>
      <c r="M365" s="306">
        <v>0</v>
      </c>
      <c r="N365" s="306">
        <v>0</v>
      </c>
    </row>
    <row r="366" spans="1:14" ht="13.2">
      <c r="A366" s="306" t="s">
        <v>6</v>
      </c>
      <c r="B366" s="306" t="s">
        <v>628</v>
      </c>
      <c r="C366" s="306">
        <v>0</v>
      </c>
      <c r="D366" s="306">
        <v>0</v>
      </c>
      <c r="E366" s="306">
        <v>0</v>
      </c>
      <c r="F366" s="306">
        <v>0</v>
      </c>
      <c r="G366" s="306">
        <v>0</v>
      </c>
      <c r="H366" s="306">
        <v>200550</v>
      </c>
      <c r="I366" s="306">
        <v>0</v>
      </c>
      <c r="J366" s="306">
        <v>0</v>
      </c>
      <c r="K366" s="306">
        <v>0</v>
      </c>
      <c r="L366" s="306">
        <v>0</v>
      </c>
      <c r="M366" s="306">
        <v>0</v>
      </c>
      <c r="N366" s="306">
        <v>0</v>
      </c>
    </row>
    <row r="367" spans="1:14" ht="13.2">
      <c r="A367" s="306" t="s">
        <v>6</v>
      </c>
      <c r="B367" s="306" t="s">
        <v>629</v>
      </c>
      <c r="C367" s="306">
        <v>13738</v>
      </c>
      <c r="D367" s="306">
        <v>18900</v>
      </c>
      <c r="E367" s="306">
        <v>14175</v>
      </c>
      <c r="F367" s="306">
        <v>13325</v>
      </c>
      <c r="G367" s="306">
        <v>18975</v>
      </c>
      <c r="H367" s="306">
        <v>19984</v>
      </c>
      <c r="I367" s="306">
        <v>0</v>
      </c>
      <c r="J367" s="306">
        <v>15125</v>
      </c>
      <c r="K367" s="306">
        <v>14300</v>
      </c>
      <c r="L367" s="306">
        <v>0</v>
      </c>
      <c r="M367" s="306">
        <v>0</v>
      </c>
      <c r="N367" s="306">
        <v>0</v>
      </c>
    </row>
    <row r="368" spans="1:14" ht="13.2">
      <c r="A368" s="306" t="s">
        <v>6</v>
      </c>
      <c r="B368" s="306" t="s">
        <v>630</v>
      </c>
      <c r="C368" s="306">
        <v>22000</v>
      </c>
      <c r="D368" s="306">
        <v>24200</v>
      </c>
      <c r="E368" s="306">
        <v>31075</v>
      </c>
      <c r="F368" s="306">
        <v>24567</v>
      </c>
      <c r="G368" s="306">
        <v>23100</v>
      </c>
      <c r="H368" s="306">
        <v>24292</v>
      </c>
      <c r="I368" s="306">
        <v>37400</v>
      </c>
      <c r="J368" s="306">
        <v>37309</v>
      </c>
      <c r="K368" s="306">
        <v>33550</v>
      </c>
      <c r="L368" s="306">
        <v>0</v>
      </c>
      <c r="M368" s="306">
        <v>0</v>
      </c>
      <c r="N368" s="306">
        <v>0</v>
      </c>
    </row>
    <row r="369" spans="1:14" ht="13.2">
      <c r="A369" s="306" t="s">
        <v>6</v>
      </c>
      <c r="B369" s="306" t="s">
        <v>631</v>
      </c>
      <c r="C369" s="306">
        <v>29242</v>
      </c>
      <c r="D369" s="306">
        <v>26241</v>
      </c>
      <c r="E369" s="306">
        <v>26470</v>
      </c>
      <c r="F369" s="306">
        <v>15492</v>
      </c>
      <c r="G369" s="306">
        <v>19250</v>
      </c>
      <c r="H369" s="306">
        <v>39280</v>
      </c>
      <c r="I369" s="306">
        <v>0</v>
      </c>
      <c r="J369" s="306">
        <v>0</v>
      </c>
      <c r="K369" s="306">
        <v>0</v>
      </c>
      <c r="L369" s="306">
        <v>0</v>
      </c>
      <c r="M369" s="306">
        <v>0</v>
      </c>
      <c r="N369" s="306">
        <v>0</v>
      </c>
    </row>
    <row r="370" spans="1:14" ht="13.2">
      <c r="A370" s="306" t="s">
        <v>6</v>
      </c>
      <c r="B370" s="306" t="s">
        <v>632</v>
      </c>
      <c r="C370" s="306">
        <v>10844</v>
      </c>
      <c r="D370" s="306">
        <v>15990</v>
      </c>
      <c r="E370" s="306">
        <v>21595</v>
      </c>
      <c r="F370" s="306">
        <v>16449</v>
      </c>
      <c r="G370" s="306">
        <v>25917</v>
      </c>
      <c r="H370" s="306">
        <v>29374</v>
      </c>
      <c r="I370" s="306">
        <v>26784</v>
      </c>
      <c r="J370" s="306">
        <v>24542</v>
      </c>
      <c r="K370" s="306">
        <v>21320</v>
      </c>
      <c r="L370" s="306">
        <v>0</v>
      </c>
      <c r="M370" s="306">
        <v>0</v>
      </c>
      <c r="N370" s="306">
        <v>0</v>
      </c>
    </row>
    <row r="371" spans="1:14" ht="13.2">
      <c r="A371" s="306" t="s">
        <v>6</v>
      </c>
      <c r="B371" s="306" t="s">
        <v>633</v>
      </c>
      <c r="C371" s="306">
        <v>0</v>
      </c>
      <c r="D371" s="306">
        <v>319125</v>
      </c>
      <c r="E371" s="306">
        <v>0</v>
      </c>
      <c r="F371" s="306">
        <v>0</v>
      </c>
      <c r="G371" s="306">
        <v>0</v>
      </c>
      <c r="H371" s="306">
        <v>0</v>
      </c>
      <c r="I371" s="306">
        <v>0</v>
      </c>
      <c r="J371" s="306">
        <v>0</v>
      </c>
      <c r="K371" s="306">
        <v>0</v>
      </c>
      <c r="L371" s="306">
        <v>0</v>
      </c>
      <c r="M371" s="306">
        <v>0</v>
      </c>
      <c r="N371" s="306">
        <v>0</v>
      </c>
    </row>
    <row r="372" spans="1:14" ht="13.2">
      <c r="A372" s="306" t="s">
        <v>6</v>
      </c>
      <c r="B372" s="306" t="s">
        <v>634</v>
      </c>
      <c r="C372" s="306">
        <v>0</v>
      </c>
      <c r="D372" s="306">
        <v>0</v>
      </c>
      <c r="E372" s="306">
        <v>238545</v>
      </c>
      <c r="F372" s="306">
        <v>244297</v>
      </c>
      <c r="G372" s="306">
        <v>0</v>
      </c>
      <c r="H372" s="306">
        <v>0</v>
      </c>
      <c r="I372" s="306">
        <v>244727</v>
      </c>
      <c r="J372" s="306">
        <v>0</v>
      </c>
      <c r="K372" s="306">
        <v>0</v>
      </c>
      <c r="L372" s="306">
        <v>0</v>
      </c>
      <c r="M372" s="306">
        <v>0</v>
      </c>
      <c r="N372" s="306">
        <v>0</v>
      </c>
    </row>
    <row r="373" spans="1:14" ht="13.2">
      <c r="A373" s="306" t="s">
        <v>6</v>
      </c>
      <c r="B373" s="306" t="s">
        <v>635</v>
      </c>
      <c r="C373" s="306">
        <v>0</v>
      </c>
      <c r="D373" s="306">
        <v>0</v>
      </c>
      <c r="E373" s="306">
        <v>319125</v>
      </c>
      <c r="F373" s="306">
        <v>319125</v>
      </c>
      <c r="G373" s="306">
        <v>0</v>
      </c>
      <c r="H373" s="306">
        <v>0</v>
      </c>
      <c r="I373" s="306">
        <v>328087</v>
      </c>
      <c r="J373" s="306">
        <v>0</v>
      </c>
      <c r="K373" s="306">
        <v>328087</v>
      </c>
      <c r="L373" s="306">
        <v>0</v>
      </c>
      <c r="M373" s="306">
        <v>0</v>
      </c>
      <c r="N373" s="306">
        <v>0</v>
      </c>
    </row>
    <row r="374" spans="1:14" ht="13.2">
      <c r="A374" s="306" t="s">
        <v>6</v>
      </c>
      <c r="B374" s="306" t="s">
        <v>636</v>
      </c>
      <c r="C374" s="306">
        <v>0</v>
      </c>
      <c r="D374" s="306">
        <v>0</v>
      </c>
      <c r="E374" s="306">
        <v>132998</v>
      </c>
      <c r="F374" s="306">
        <v>119179</v>
      </c>
      <c r="G374" s="306">
        <v>0</v>
      </c>
      <c r="H374" s="306">
        <v>0</v>
      </c>
      <c r="I374" s="306">
        <v>0</v>
      </c>
      <c r="J374" s="306">
        <v>0</v>
      </c>
      <c r="K374" s="306">
        <v>0</v>
      </c>
      <c r="L374" s="306">
        <v>0</v>
      </c>
      <c r="M374" s="306">
        <v>0</v>
      </c>
      <c r="N374" s="306">
        <v>0</v>
      </c>
    </row>
    <row r="375" spans="1:14" ht="13.2">
      <c r="A375" s="306" t="s">
        <v>6</v>
      </c>
      <c r="B375" s="306" t="s">
        <v>637</v>
      </c>
      <c r="C375" s="306">
        <v>0</v>
      </c>
      <c r="D375" s="306">
        <v>0</v>
      </c>
      <c r="E375" s="306">
        <v>342629</v>
      </c>
      <c r="F375" s="306">
        <v>0</v>
      </c>
      <c r="G375" s="306">
        <v>120880</v>
      </c>
      <c r="H375" s="306">
        <v>0</v>
      </c>
      <c r="I375" s="306">
        <v>0</v>
      </c>
      <c r="J375" s="306">
        <v>0</v>
      </c>
      <c r="K375" s="306">
        <v>0</v>
      </c>
      <c r="L375" s="306">
        <v>0</v>
      </c>
      <c r="M375" s="306">
        <v>0</v>
      </c>
      <c r="N375" s="306">
        <v>0</v>
      </c>
    </row>
    <row r="376" spans="1:14" ht="13.2">
      <c r="A376" s="306" t="s">
        <v>6</v>
      </c>
      <c r="B376" s="306" t="s">
        <v>638</v>
      </c>
      <c r="C376" s="306">
        <v>336209</v>
      </c>
      <c r="D376" s="306">
        <v>0</v>
      </c>
      <c r="E376" s="306">
        <v>0</v>
      </c>
      <c r="F376" s="306">
        <v>0</v>
      </c>
      <c r="G376" s="306">
        <v>0</v>
      </c>
      <c r="H376" s="306">
        <v>0</v>
      </c>
      <c r="I376" s="306">
        <v>0</v>
      </c>
      <c r="J376" s="306">
        <v>0</v>
      </c>
      <c r="K376" s="306">
        <v>0</v>
      </c>
      <c r="L376" s="306">
        <v>0</v>
      </c>
      <c r="M376" s="306">
        <v>0</v>
      </c>
      <c r="N376" s="306">
        <v>0</v>
      </c>
    </row>
    <row r="377" spans="1:14" ht="13.2">
      <c r="A377" s="306" t="s">
        <v>6</v>
      </c>
      <c r="B377" s="306" t="s">
        <v>639</v>
      </c>
      <c r="C377" s="306">
        <v>238545</v>
      </c>
      <c r="D377" s="306">
        <v>0</v>
      </c>
      <c r="E377" s="306">
        <v>0</v>
      </c>
      <c r="F377" s="306">
        <v>0</v>
      </c>
      <c r="G377" s="306">
        <v>0</v>
      </c>
      <c r="H377" s="306">
        <v>0</v>
      </c>
      <c r="I377" s="306">
        <v>0</v>
      </c>
      <c r="J377" s="306">
        <v>0</v>
      </c>
      <c r="K377" s="306">
        <v>0</v>
      </c>
      <c r="L377" s="306">
        <v>0</v>
      </c>
      <c r="M377" s="306">
        <v>0</v>
      </c>
      <c r="N377" s="306">
        <v>0</v>
      </c>
    </row>
    <row r="378" spans="1:14" ht="13.2">
      <c r="A378" s="306" t="s">
        <v>6</v>
      </c>
      <c r="B378" s="306" t="s">
        <v>640</v>
      </c>
      <c r="C378" s="306">
        <v>23882</v>
      </c>
      <c r="D378" s="306">
        <v>0</v>
      </c>
      <c r="E378" s="306">
        <v>0</v>
      </c>
      <c r="F378" s="306">
        <v>0</v>
      </c>
      <c r="G378" s="306">
        <v>0</v>
      </c>
      <c r="H378" s="306">
        <v>0</v>
      </c>
      <c r="I378" s="306">
        <v>0</v>
      </c>
      <c r="J378" s="306">
        <v>0</v>
      </c>
      <c r="K378" s="306">
        <v>0</v>
      </c>
      <c r="L378" s="306">
        <v>0</v>
      </c>
      <c r="M378" s="306">
        <v>0</v>
      </c>
      <c r="N378" s="306">
        <v>0</v>
      </c>
    </row>
    <row r="379" spans="1:14" ht="13.2">
      <c r="A379" s="306" t="s">
        <v>6</v>
      </c>
      <c r="B379" s="306" t="s">
        <v>641</v>
      </c>
      <c r="C379" s="306">
        <v>0</v>
      </c>
      <c r="D379" s="306">
        <v>17430</v>
      </c>
      <c r="E379" s="306">
        <v>11162</v>
      </c>
      <c r="F379" s="306">
        <v>22232</v>
      </c>
      <c r="G379" s="306">
        <v>0</v>
      </c>
      <c r="H379" s="306">
        <v>20329</v>
      </c>
      <c r="I379" s="306">
        <v>5444</v>
      </c>
      <c r="J379" s="306">
        <v>16422</v>
      </c>
      <c r="K379" s="306">
        <v>0</v>
      </c>
      <c r="L379" s="306">
        <v>0</v>
      </c>
      <c r="M379" s="306">
        <v>0</v>
      </c>
      <c r="N379" s="306">
        <v>0</v>
      </c>
    </row>
    <row r="380" spans="1:14" ht="13.2">
      <c r="A380" s="306" t="s">
        <v>6</v>
      </c>
      <c r="B380" s="306" t="s">
        <v>642</v>
      </c>
      <c r="C380" s="306">
        <v>0</v>
      </c>
      <c r="D380" s="306">
        <v>0</v>
      </c>
      <c r="E380" s="306">
        <v>0</v>
      </c>
      <c r="F380" s="306">
        <v>0</v>
      </c>
      <c r="G380" s="306">
        <v>0</v>
      </c>
      <c r="H380" s="306">
        <v>244297</v>
      </c>
      <c r="I380" s="306">
        <v>0</v>
      </c>
      <c r="J380" s="306">
        <v>244727</v>
      </c>
      <c r="K380" s="306">
        <v>244727</v>
      </c>
      <c r="L380" s="306">
        <v>0</v>
      </c>
      <c r="M380" s="306">
        <v>0</v>
      </c>
      <c r="N380" s="306">
        <v>0</v>
      </c>
    </row>
    <row r="381" spans="1:14" ht="13.2">
      <c r="A381" s="306" t="s">
        <v>6</v>
      </c>
      <c r="B381" s="306" t="s">
        <v>643</v>
      </c>
      <c r="C381" s="306">
        <v>0</v>
      </c>
      <c r="D381" s="306">
        <v>0</v>
      </c>
      <c r="E381" s="306">
        <v>0</v>
      </c>
      <c r="F381" s="306">
        <v>0</v>
      </c>
      <c r="G381" s="306">
        <v>0</v>
      </c>
      <c r="H381" s="306">
        <v>161945</v>
      </c>
      <c r="I381" s="306">
        <v>0</v>
      </c>
      <c r="J381" s="306">
        <v>0</v>
      </c>
      <c r="K381" s="306">
        <v>0</v>
      </c>
      <c r="L381" s="306">
        <v>0</v>
      </c>
      <c r="M381" s="306">
        <v>0</v>
      </c>
      <c r="N381" s="306">
        <v>0</v>
      </c>
    </row>
    <row r="382" spans="1:14" ht="13.2">
      <c r="A382" s="306" t="s">
        <v>7</v>
      </c>
      <c r="B382" s="306" t="s">
        <v>644</v>
      </c>
      <c r="C382" s="306">
        <v>0</v>
      </c>
      <c r="D382" s="306">
        <v>0</v>
      </c>
      <c r="E382" s="306">
        <v>0</v>
      </c>
      <c r="F382" s="306">
        <v>310832</v>
      </c>
      <c r="G382" s="306">
        <v>0</v>
      </c>
      <c r="H382" s="306">
        <v>0</v>
      </c>
      <c r="I382" s="306">
        <v>0</v>
      </c>
      <c r="J382" s="306">
        <v>83883</v>
      </c>
      <c r="K382" s="306">
        <v>0</v>
      </c>
      <c r="L382" s="306">
        <v>0</v>
      </c>
      <c r="M382" s="306">
        <v>0</v>
      </c>
      <c r="N382" s="306">
        <v>0</v>
      </c>
    </row>
    <row r="383" spans="1:14" ht="13.2">
      <c r="A383" s="306" t="s">
        <v>7</v>
      </c>
      <c r="B383" s="306" t="s">
        <v>645</v>
      </c>
      <c r="C383" s="306">
        <v>0</v>
      </c>
      <c r="D383" s="306">
        <v>0</v>
      </c>
      <c r="E383" s="306">
        <v>0</v>
      </c>
      <c r="F383" s="306">
        <v>0</v>
      </c>
      <c r="G383" s="306">
        <v>0</v>
      </c>
      <c r="H383" s="306">
        <v>0</v>
      </c>
      <c r="I383" s="306">
        <v>126247</v>
      </c>
      <c r="J383" s="306">
        <v>0</v>
      </c>
      <c r="K383" s="306">
        <v>0</v>
      </c>
      <c r="L383" s="306">
        <v>0</v>
      </c>
      <c r="M383" s="306">
        <v>0</v>
      </c>
      <c r="N383" s="306">
        <v>0</v>
      </c>
    </row>
    <row r="384" spans="1:14" ht="13.2">
      <c r="A384" s="306" t="s">
        <v>7</v>
      </c>
      <c r="B384" s="306" t="s">
        <v>646</v>
      </c>
      <c r="C384" s="306">
        <v>0</v>
      </c>
      <c r="D384" s="306">
        <v>0</v>
      </c>
      <c r="E384" s="306">
        <v>0</v>
      </c>
      <c r="F384" s="306">
        <v>0</v>
      </c>
      <c r="G384" s="306">
        <v>0</v>
      </c>
      <c r="H384" s="306">
        <v>0</v>
      </c>
      <c r="I384" s="306">
        <v>0</v>
      </c>
      <c r="J384" s="306">
        <v>226949</v>
      </c>
      <c r="K384" s="306">
        <v>0</v>
      </c>
      <c r="L384" s="306">
        <v>0</v>
      </c>
      <c r="M384" s="306">
        <v>0</v>
      </c>
      <c r="N384" s="306">
        <v>0</v>
      </c>
    </row>
    <row r="385" spans="1:14" ht="13.2">
      <c r="A385" s="306" t="s">
        <v>7</v>
      </c>
      <c r="B385" s="306" t="s">
        <v>647</v>
      </c>
      <c r="C385" s="306">
        <v>577203</v>
      </c>
      <c r="D385" s="306">
        <v>0</v>
      </c>
      <c r="E385" s="306">
        <v>0</v>
      </c>
      <c r="F385" s="306">
        <v>0</v>
      </c>
      <c r="G385" s="306">
        <v>0</v>
      </c>
      <c r="H385" s="306">
        <v>0</v>
      </c>
      <c r="I385" s="306">
        <v>0</v>
      </c>
      <c r="J385" s="306">
        <v>0</v>
      </c>
      <c r="K385" s="306">
        <v>0</v>
      </c>
      <c r="L385" s="306">
        <v>0</v>
      </c>
      <c r="M385" s="306">
        <v>0</v>
      </c>
      <c r="N385" s="306">
        <v>0</v>
      </c>
    </row>
    <row r="386" spans="1:14" ht="13.2">
      <c r="A386" s="306" t="s">
        <v>7</v>
      </c>
      <c r="B386" s="306" t="s">
        <v>648</v>
      </c>
      <c r="C386" s="306">
        <v>0</v>
      </c>
      <c r="D386" s="306">
        <v>0</v>
      </c>
      <c r="E386" s="306">
        <v>1154406</v>
      </c>
      <c r="F386" s="306">
        <v>567978</v>
      </c>
      <c r="G386" s="306">
        <v>0</v>
      </c>
      <c r="H386" s="306">
        <v>567978</v>
      </c>
      <c r="I386" s="306">
        <v>567978</v>
      </c>
      <c r="J386" s="306">
        <v>882266</v>
      </c>
      <c r="K386" s="306">
        <v>1135956</v>
      </c>
      <c r="L386" s="306">
        <v>0</v>
      </c>
      <c r="M386" s="306">
        <v>0</v>
      </c>
      <c r="N386" s="306">
        <v>0</v>
      </c>
    </row>
    <row r="387" spans="1:14" ht="13.2">
      <c r="A387" s="306" t="s">
        <v>8</v>
      </c>
      <c r="B387" s="306" t="s">
        <v>649</v>
      </c>
      <c r="C387" s="306">
        <v>127446</v>
      </c>
      <c r="D387" s="306">
        <v>0</v>
      </c>
      <c r="E387" s="306">
        <v>0</v>
      </c>
      <c r="F387" s="306">
        <v>0</v>
      </c>
      <c r="G387" s="306">
        <v>0</v>
      </c>
      <c r="H387" s="306">
        <v>0</v>
      </c>
      <c r="I387" s="306">
        <v>0</v>
      </c>
      <c r="J387" s="306">
        <v>0</v>
      </c>
      <c r="K387" s="306">
        <v>0</v>
      </c>
      <c r="L387" s="306">
        <v>0</v>
      </c>
      <c r="M387" s="306">
        <v>0</v>
      </c>
      <c r="N387" s="306">
        <v>0</v>
      </c>
    </row>
    <row r="388" spans="1:14" ht="13.2">
      <c r="A388" s="306" t="s">
        <v>8</v>
      </c>
      <c r="B388" s="306" t="s">
        <v>650</v>
      </c>
      <c r="C388" s="306">
        <v>0</v>
      </c>
      <c r="D388" s="306">
        <v>0</v>
      </c>
      <c r="E388" s="306">
        <v>211420</v>
      </c>
      <c r="F388" s="306">
        <v>0</v>
      </c>
      <c r="G388" s="306">
        <v>0</v>
      </c>
      <c r="H388" s="306">
        <v>0</v>
      </c>
      <c r="I388" s="306">
        <v>0</v>
      </c>
      <c r="J388" s="306">
        <v>0</v>
      </c>
      <c r="K388" s="306">
        <v>0</v>
      </c>
      <c r="L388" s="306">
        <v>0</v>
      </c>
      <c r="M388" s="306">
        <v>0</v>
      </c>
      <c r="N388" s="306">
        <v>0</v>
      </c>
    </row>
    <row r="389" spans="1:14" ht="13.2">
      <c r="A389" s="306" t="s">
        <v>8</v>
      </c>
      <c r="B389" s="306" t="s">
        <v>651</v>
      </c>
      <c r="C389" s="306">
        <v>0</v>
      </c>
      <c r="D389" s="306">
        <v>0</v>
      </c>
      <c r="E389" s="306">
        <v>198000</v>
      </c>
      <c r="F389" s="306">
        <v>0</v>
      </c>
      <c r="G389" s="306">
        <v>77000</v>
      </c>
      <c r="H389" s="306">
        <v>77000</v>
      </c>
      <c r="I389" s="306">
        <v>77000</v>
      </c>
      <c r="J389" s="306">
        <v>77000</v>
      </c>
      <c r="K389" s="306">
        <v>77000</v>
      </c>
      <c r="L389" s="306">
        <v>0</v>
      </c>
      <c r="M389" s="306">
        <v>0</v>
      </c>
      <c r="N389" s="306">
        <v>0</v>
      </c>
    </row>
    <row r="390" spans="1:14" ht="13.2">
      <c r="A390" s="306" t="s">
        <v>8</v>
      </c>
      <c r="B390" s="306" t="s">
        <v>652</v>
      </c>
      <c r="C390" s="306">
        <v>0</v>
      </c>
      <c r="D390" s="306">
        <v>0</v>
      </c>
      <c r="E390" s="306">
        <v>0</v>
      </c>
      <c r="F390" s="306">
        <v>0</v>
      </c>
      <c r="G390" s="306">
        <v>132550</v>
      </c>
      <c r="H390" s="306">
        <v>0</v>
      </c>
      <c r="I390" s="306">
        <v>0</v>
      </c>
      <c r="J390" s="306">
        <v>158300</v>
      </c>
      <c r="K390" s="306">
        <v>0</v>
      </c>
      <c r="L390" s="306">
        <v>0</v>
      </c>
      <c r="M390" s="306">
        <v>0</v>
      </c>
      <c r="N390" s="306">
        <v>0</v>
      </c>
    </row>
    <row r="391" spans="1:14" ht="13.2">
      <c r="A391" s="306" t="s">
        <v>8</v>
      </c>
      <c r="B391" s="306" t="s">
        <v>653</v>
      </c>
      <c r="C391" s="306">
        <v>0</v>
      </c>
      <c r="D391" s="306">
        <v>0</v>
      </c>
      <c r="E391" s="306">
        <v>0</v>
      </c>
      <c r="F391" s="306">
        <v>0</v>
      </c>
      <c r="G391" s="306">
        <v>0</v>
      </c>
      <c r="H391" s="306">
        <v>94285</v>
      </c>
      <c r="I391" s="306">
        <v>0</v>
      </c>
      <c r="J391" s="306">
        <v>0</v>
      </c>
      <c r="K391" s="306">
        <v>0</v>
      </c>
      <c r="L391" s="306">
        <v>0</v>
      </c>
      <c r="M391" s="306">
        <v>0</v>
      </c>
      <c r="N391" s="306">
        <v>0</v>
      </c>
    </row>
    <row r="392" spans="1:14" ht="13.2">
      <c r="A392" s="306" t="s">
        <v>9</v>
      </c>
      <c r="B392" s="306" t="s">
        <v>654</v>
      </c>
      <c r="C392" s="306">
        <v>0</v>
      </c>
      <c r="D392" s="306">
        <v>0</v>
      </c>
      <c r="E392" s="306">
        <v>0</v>
      </c>
      <c r="F392" s="306">
        <v>0</v>
      </c>
      <c r="G392" s="306">
        <v>0</v>
      </c>
      <c r="H392" s="306">
        <v>111963</v>
      </c>
      <c r="I392" s="306">
        <v>0</v>
      </c>
      <c r="J392" s="306">
        <v>0</v>
      </c>
      <c r="K392" s="306">
        <v>0</v>
      </c>
      <c r="L392" s="306">
        <v>0</v>
      </c>
      <c r="M392" s="306">
        <v>0</v>
      </c>
      <c r="N392" s="306">
        <v>0</v>
      </c>
    </row>
    <row r="393" spans="1:14" ht="13.2">
      <c r="A393" s="306" t="s">
        <v>9</v>
      </c>
      <c r="B393" s="306" t="s">
        <v>655</v>
      </c>
      <c r="C393" s="306">
        <v>5150</v>
      </c>
      <c r="D393" s="306">
        <v>0</v>
      </c>
      <c r="E393" s="306">
        <v>0</v>
      </c>
      <c r="F393" s="306">
        <v>0</v>
      </c>
      <c r="G393" s="306">
        <v>0</v>
      </c>
      <c r="H393" s="306">
        <v>0</v>
      </c>
      <c r="I393" s="306">
        <v>0</v>
      </c>
      <c r="J393" s="306">
        <v>0</v>
      </c>
      <c r="K393" s="306">
        <v>0</v>
      </c>
      <c r="L393" s="306">
        <v>0</v>
      </c>
      <c r="M393" s="306">
        <v>0</v>
      </c>
      <c r="N393" s="306">
        <v>0</v>
      </c>
    </row>
    <row r="394" spans="1:14" ht="13.2">
      <c r="A394" s="306" t="s">
        <v>9</v>
      </c>
      <c r="B394" s="306" t="s">
        <v>656</v>
      </c>
      <c r="C394" s="306">
        <v>0</v>
      </c>
      <c r="D394" s="306">
        <v>5150</v>
      </c>
      <c r="E394" s="306">
        <v>5150</v>
      </c>
      <c r="F394" s="306">
        <v>5150</v>
      </c>
      <c r="G394" s="306">
        <v>5150</v>
      </c>
      <c r="H394" s="306">
        <v>5150</v>
      </c>
      <c r="I394" s="306">
        <v>5150</v>
      </c>
      <c r="J394" s="306">
        <v>5150</v>
      </c>
      <c r="K394" s="306">
        <v>5150</v>
      </c>
      <c r="L394" s="306">
        <v>0</v>
      </c>
      <c r="M394" s="306">
        <v>0</v>
      </c>
      <c r="N394" s="306">
        <v>0</v>
      </c>
    </row>
    <row r="395" spans="1:14" ht="13.2">
      <c r="A395" s="306" t="s">
        <v>9</v>
      </c>
      <c r="B395" s="306" t="s">
        <v>657</v>
      </c>
      <c r="C395" s="306">
        <v>0</v>
      </c>
      <c r="D395" s="306">
        <v>0</v>
      </c>
      <c r="E395" s="306">
        <v>0</v>
      </c>
      <c r="F395" s="306">
        <v>0</v>
      </c>
      <c r="G395" s="306">
        <v>0</v>
      </c>
      <c r="H395" s="306">
        <v>33000</v>
      </c>
      <c r="I395" s="306">
        <v>0</v>
      </c>
      <c r="J395" s="306">
        <v>0</v>
      </c>
      <c r="K395" s="306">
        <v>0</v>
      </c>
      <c r="L395" s="306">
        <v>0</v>
      </c>
      <c r="M395" s="306">
        <v>0</v>
      </c>
      <c r="N395" s="306">
        <v>0</v>
      </c>
    </row>
    <row r="396" spans="1:14" ht="13.2">
      <c r="A396" s="306" t="s">
        <v>10</v>
      </c>
      <c r="B396" s="306" t="s">
        <v>658</v>
      </c>
      <c r="C396" s="306">
        <v>36606</v>
      </c>
      <c r="D396" s="306">
        <v>0</v>
      </c>
      <c r="E396" s="306">
        <v>0</v>
      </c>
      <c r="F396" s="306">
        <v>0</v>
      </c>
      <c r="G396" s="306">
        <v>0</v>
      </c>
      <c r="H396" s="306">
        <v>0</v>
      </c>
      <c r="I396" s="306">
        <v>0</v>
      </c>
      <c r="J396" s="306">
        <v>0</v>
      </c>
      <c r="K396" s="306">
        <v>0</v>
      </c>
      <c r="L396" s="306">
        <v>0</v>
      </c>
      <c r="M396" s="306">
        <v>0</v>
      </c>
      <c r="N396" s="306">
        <v>0</v>
      </c>
    </row>
    <row r="397" spans="1:14" ht="13.2">
      <c r="A397" s="306" t="s">
        <v>10</v>
      </c>
      <c r="B397" s="306" t="s">
        <v>659</v>
      </c>
      <c r="C397" s="306">
        <v>0</v>
      </c>
      <c r="D397" s="306">
        <v>23044</v>
      </c>
      <c r="E397" s="306">
        <v>0</v>
      </c>
      <c r="F397" s="306">
        <v>0</v>
      </c>
      <c r="G397" s="306">
        <v>0</v>
      </c>
      <c r="H397" s="306">
        <v>0</v>
      </c>
      <c r="I397" s="306">
        <v>0</v>
      </c>
      <c r="J397" s="306">
        <v>0</v>
      </c>
      <c r="K397" s="306">
        <v>0</v>
      </c>
      <c r="L397" s="306">
        <v>0</v>
      </c>
      <c r="M397" s="306">
        <v>0</v>
      </c>
      <c r="N397" s="306">
        <v>0</v>
      </c>
    </row>
    <row r="398" spans="1:14" ht="13.2">
      <c r="A398" s="306" t="s">
        <v>10</v>
      </c>
      <c r="B398" s="306" t="s">
        <v>660</v>
      </c>
      <c r="C398" s="306">
        <v>0</v>
      </c>
      <c r="D398" s="306">
        <v>38145</v>
      </c>
      <c r="E398" s="306">
        <v>38697</v>
      </c>
      <c r="F398" s="306">
        <v>37724</v>
      </c>
      <c r="G398" s="306">
        <v>36004</v>
      </c>
      <c r="H398" s="306">
        <v>38295</v>
      </c>
      <c r="I398" s="306">
        <v>37487</v>
      </c>
      <c r="J398" s="306">
        <v>43089</v>
      </c>
      <c r="K398" s="306">
        <v>35572</v>
      </c>
      <c r="L398" s="306">
        <v>0</v>
      </c>
      <c r="M398" s="306">
        <v>0</v>
      </c>
      <c r="N398" s="306">
        <v>0</v>
      </c>
    </row>
    <row r="399" spans="1:14" ht="13.2">
      <c r="A399" s="306" t="s">
        <v>661</v>
      </c>
      <c r="B399" s="306" t="s">
        <v>662</v>
      </c>
      <c r="C399" s="306">
        <v>0</v>
      </c>
      <c r="D399" s="306">
        <v>16698</v>
      </c>
      <c r="E399" s="306">
        <v>16430</v>
      </c>
      <c r="F399" s="306">
        <v>16553</v>
      </c>
      <c r="G399" s="306">
        <v>16432</v>
      </c>
      <c r="H399" s="306">
        <v>16515</v>
      </c>
      <c r="I399" s="306">
        <v>16504</v>
      </c>
      <c r="J399" s="306">
        <v>16342</v>
      </c>
      <c r="K399" s="306">
        <v>15429</v>
      </c>
      <c r="L399" s="306">
        <v>0</v>
      </c>
      <c r="M399" s="306">
        <v>0</v>
      </c>
      <c r="N399" s="306">
        <v>0</v>
      </c>
    </row>
    <row r="400" spans="1:14" ht="13.2">
      <c r="A400" s="306" t="s">
        <v>661</v>
      </c>
      <c r="B400" s="306" t="s">
        <v>663</v>
      </c>
      <c r="C400" s="306">
        <v>0</v>
      </c>
      <c r="D400" s="306">
        <v>0</v>
      </c>
      <c r="E400" s="306">
        <v>0</v>
      </c>
      <c r="F400" s="306">
        <v>4466</v>
      </c>
      <c r="G400" s="306">
        <v>0</v>
      </c>
      <c r="H400" s="306">
        <v>0</v>
      </c>
      <c r="I400" s="306">
        <v>0</v>
      </c>
      <c r="J400" s="306">
        <v>0</v>
      </c>
      <c r="K400" s="306">
        <v>0</v>
      </c>
      <c r="L400" s="306">
        <v>0</v>
      </c>
      <c r="M400" s="306">
        <v>0</v>
      </c>
      <c r="N400" s="306">
        <v>0</v>
      </c>
    </row>
    <row r="401" spans="1:14" ht="13.2">
      <c r="A401" s="306" t="s">
        <v>661</v>
      </c>
      <c r="B401" s="306" t="s">
        <v>664</v>
      </c>
      <c r="C401" s="306">
        <v>0</v>
      </c>
      <c r="D401" s="306">
        <v>0</v>
      </c>
      <c r="E401" s="306">
        <v>0</v>
      </c>
      <c r="F401" s="306">
        <v>22330</v>
      </c>
      <c r="G401" s="306">
        <v>0</v>
      </c>
      <c r="H401" s="306">
        <v>0</v>
      </c>
      <c r="I401" s="306">
        <v>0</v>
      </c>
      <c r="J401" s="306">
        <v>0</v>
      </c>
      <c r="K401" s="306">
        <v>0</v>
      </c>
      <c r="L401" s="306">
        <v>0</v>
      </c>
      <c r="M401" s="306">
        <v>0</v>
      </c>
      <c r="N401" s="306">
        <v>0</v>
      </c>
    </row>
    <row r="402" spans="1:14" ht="13.2">
      <c r="A402" s="306" t="s">
        <v>661</v>
      </c>
      <c r="B402" s="306" t="s">
        <v>665</v>
      </c>
      <c r="C402" s="306">
        <v>0</v>
      </c>
      <c r="D402" s="306">
        <v>0</v>
      </c>
      <c r="E402" s="306">
        <v>0</v>
      </c>
      <c r="F402" s="306">
        <v>0</v>
      </c>
      <c r="G402" s="306">
        <v>0</v>
      </c>
      <c r="H402" s="306">
        <v>0</v>
      </c>
      <c r="I402" s="306">
        <v>17765</v>
      </c>
      <c r="J402" s="306">
        <v>10450</v>
      </c>
      <c r="K402" s="306">
        <v>0</v>
      </c>
      <c r="L402" s="306">
        <v>0</v>
      </c>
      <c r="M402" s="306">
        <v>0</v>
      </c>
      <c r="N402" s="306">
        <v>0</v>
      </c>
    </row>
    <row r="403" spans="1:14" ht="13.2">
      <c r="A403" s="306" t="s">
        <v>661</v>
      </c>
      <c r="B403" s="306" t="s">
        <v>666</v>
      </c>
      <c r="C403" s="306">
        <v>0</v>
      </c>
      <c r="D403" s="306">
        <v>0</v>
      </c>
      <c r="E403" s="306">
        <v>0</v>
      </c>
      <c r="F403" s="306">
        <v>0</v>
      </c>
      <c r="G403" s="306">
        <v>0</v>
      </c>
      <c r="H403" s="306">
        <v>0</v>
      </c>
      <c r="I403" s="306">
        <v>0</v>
      </c>
      <c r="J403" s="306">
        <v>44660</v>
      </c>
      <c r="K403" s="306">
        <v>0</v>
      </c>
      <c r="L403" s="306">
        <v>0</v>
      </c>
      <c r="M403" s="306">
        <v>0</v>
      </c>
      <c r="N403" s="306">
        <v>0</v>
      </c>
    </row>
    <row r="404" spans="1:14" ht="13.2">
      <c r="A404" s="306" t="s">
        <v>661</v>
      </c>
      <c r="B404" s="306" t="s">
        <v>667</v>
      </c>
      <c r="C404" s="306">
        <v>0</v>
      </c>
      <c r="D404" s="306">
        <v>0</v>
      </c>
      <c r="E404" s="306">
        <v>0</v>
      </c>
      <c r="F404" s="306">
        <v>0</v>
      </c>
      <c r="G404" s="306">
        <v>0</v>
      </c>
      <c r="H404" s="306">
        <v>0</v>
      </c>
      <c r="I404" s="306">
        <v>0</v>
      </c>
      <c r="J404" s="306">
        <v>122843</v>
      </c>
      <c r="K404" s="306">
        <v>138605</v>
      </c>
      <c r="L404" s="306">
        <v>0</v>
      </c>
      <c r="M404" s="306">
        <v>0</v>
      </c>
      <c r="N404" s="306">
        <v>0</v>
      </c>
    </row>
    <row r="405" spans="1:14" ht="13.2">
      <c r="A405" s="306" t="s">
        <v>661</v>
      </c>
      <c r="B405" s="306" t="s">
        <v>668</v>
      </c>
      <c r="C405" s="306">
        <v>0</v>
      </c>
      <c r="D405" s="306">
        <v>0</v>
      </c>
      <c r="E405" s="306">
        <v>0</v>
      </c>
      <c r="F405" s="306">
        <v>0</v>
      </c>
      <c r="G405" s="306">
        <v>0</v>
      </c>
      <c r="H405" s="306">
        <v>0</v>
      </c>
      <c r="I405" s="306">
        <v>0</v>
      </c>
      <c r="J405" s="306">
        <v>82177</v>
      </c>
      <c r="K405" s="306">
        <v>0</v>
      </c>
      <c r="L405" s="306">
        <v>0</v>
      </c>
      <c r="M405" s="306">
        <v>0</v>
      </c>
      <c r="N405" s="306">
        <v>0</v>
      </c>
    </row>
    <row r="406" spans="1:14" ht="13.2">
      <c r="A406" s="306" t="s">
        <v>661</v>
      </c>
      <c r="B406" s="306" t="s">
        <v>669</v>
      </c>
      <c r="C406" s="306">
        <v>49329</v>
      </c>
      <c r="D406" s="306">
        <v>1111</v>
      </c>
      <c r="E406" s="306">
        <v>0</v>
      </c>
      <c r="F406" s="306">
        <v>0</v>
      </c>
      <c r="G406" s="306">
        <v>0</v>
      </c>
      <c r="H406" s="306">
        <v>0</v>
      </c>
      <c r="I406" s="306">
        <v>0</v>
      </c>
      <c r="J406" s="306">
        <v>0</v>
      </c>
      <c r="K406" s="306">
        <v>0</v>
      </c>
      <c r="L406" s="306">
        <v>0</v>
      </c>
      <c r="M406" s="306">
        <v>0</v>
      </c>
      <c r="N406" s="306">
        <v>0</v>
      </c>
    </row>
    <row r="407" spans="1:14" ht="13.2">
      <c r="A407" s="306" t="s">
        <v>661</v>
      </c>
      <c r="B407" s="306" t="s">
        <v>670</v>
      </c>
      <c r="C407" s="306">
        <v>0</v>
      </c>
      <c r="D407" s="306">
        <v>11968</v>
      </c>
      <c r="E407" s="306">
        <v>0</v>
      </c>
      <c r="F407" s="306">
        <v>0</v>
      </c>
      <c r="G407" s="306">
        <v>0</v>
      </c>
      <c r="H407" s="306">
        <v>0</v>
      </c>
      <c r="I407" s="306">
        <v>0</v>
      </c>
      <c r="J407" s="306">
        <v>0</v>
      </c>
      <c r="K407" s="306">
        <v>0</v>
      </c>
      <c r="L407" s="306">
        <v>0</v>
      </c>
      <c r="M407" s="306">
        <v>0</v>
      </c>
      <c r="N407" s="306">
        <v>0</v>
      </c>
    </row>
    <row r="408" spans="1:14" ht="13.2">
      <c r="A408" s="306" t="s">
        <v>661</v>
      </c>
      <c r="B408" s="306" t="s">
        <v>671</v>
      </c>
      <c r="C408" s="306">
        <v>0</v>
      </c>
      <c r="D408" s="306">
        <v>3692</v>
      </c>
      <c r="E408" s="306">
        <v>3607</v>
      </c>
      <c r="F408" s="306">
        <v>2191</v>
      </c>
      <c r="G408" s="306">
        <v>1934</v>
      </c>
      <c r="H408" s="306">
        <v>3044</v>
      </c>
      <c r="I408" s="306">
        <v>4417</v>
      </c>
      <c r="J408" s="306">
        <v>3369</v>
      </c>
      <c r="K408" s="306">
        <v>2532</v>
      </c>
      <c r="L408" s="306">
        <v>0</v>
      </c>
      <c r="M408" s="306">
        <v>0</v>
      </c>
      <c r="N408" s="306">
        <v>0</v>
      </c>
    </row>
    <row r="409" spans="1:14" ht="13.2">
      <c r="A409" s="306" t="s">
        <v>661</v>
      </c>
      <c r="B409" s="306" t="s">
        <v>672</v>
      </c>
      <c r="C409" s="306">
        <v>0</v>
      </c>
      <c r="D409" s="306">
        <v>39858</v>
      </c>
      <c r="E409" s="306">
        <v>57349</v>
      </c>
      <c r="F409" s="306">
        <v>43037</v>
      </c>
      <c r="G409" s="306">
        <v>43481</v>
      </c>
      <c r="H409" s="306">
        <v>50063</v>
      </c>
      <c r="I409" s="306">
        <v>56387</v>
      </c>
      <c r="J409" s="306">
        <v>66647</v>
      </c>
      <c r="K409" s="306">
        <v>43032</v>
      </c>
      <c r="L409" s="306">
        <v>0</v>
      </c>
      <c r="M409" s="306">
        <v>0</v>
      </c>
      <c r="N409" s="306">
        <v>0</v>
      </c>
    </row>
    <row r="410" spans="1:14" ht="13.2">
      <c r="A410" s="306" t="s">
        <v>661</v>
      </c>
      <c r="B410" s="306" t="s">
        <v>673</v>
      </c>
      <c r="C410" s="306">
        <v>0</v>
      </c>
      <c r="D410" s="306">
        <v>0</v>
      </c>
      <c r="E410" s="306">
        <v>1111</v>
      </c>
      <c r="F410" s="306">
        <v>1111</v>
      </c>
      <c r="G410" s="306">
        <v>1111</v>
      </c>
      <c r="H410" s="306">
        <v>1111</v>
      </c>
      <c r="I410" s="306">
        <v>1111</v>
      </c>
      <c r="J410" s="306">
        <v>1111</v>
      </c>
      <c r="K410" s="306">
        <v>1111</v>
      </c>
      <c r="L410" s="306">
        <v>0</v>
      </c>
      <c r="M410" s="306">
        <v>0</v>
      </c>
      <c r="N410" s="306">
        <v>0</v>
      </c>
    </row>
    <row r="411" spans="1:14" ht="13.2">
      <c r="A411" s="306" t="s">
        <v>661</v>
      </c>
      <c r="B411" s="306" t="s">
        <v>674</v>
      </c>
      <c r="C411" s="306">
        <v>155905</v>
      </c>
      <c r="D411" s="306">
        <v>0</v>
      </c>
      <c r="E411" s="306">
        <v>0</v>
      </c>
      <c r="F411" s="306">
        <v>0</v>
      </c>
      <c r="G411" s="306">
        <v>0</v>
      </c>
      <c r="H411" s="306">
        <v>0</v>
      </c>
      <c r="I411" s="306">
        <v>0</v>
      </c>
      <c r="J411" s="306">
        <v>0</v>
      </c>
      <c r="K411" s="306">
        <v>0</v>
      </c>
      <c r="L411" s="306">
        <v>0</v>
      </c>
      <c r="M411" s="306">
        <v>0</v>
      </c>
      <c r="N411" s="306">
        <v>0</v>
      </c>
    </row>
    <row r="412" spans="1:14" ht="13.2">
      <c r="A412" s="306" t="s">
        <v>661</v>
      </c>
      <c r="B412" s="306" t="s">
        <v>675</v>
      </c>
      <c r="C412" s="306">
        <v>12636</v>
      </c>
      <c r="D412" s="306">
        <v>0</v>
      </c>
      <c r="E412" s="306">
        <v>25386</v>
      </c>
      <c r="F412" s="306">
        <v>0</v>
      </c>
      <c r="G412" s="306">
        <v>0</v>
      </c>
      <c r="H412" s="306">
        <v>0</v>
      </c>
      <c r="I412" s="306">
        <v>0</v>
      </c>
      <c r="J412" s="306">
        <v>0</v>
      </c>
      <c r="K412" s="306">
        <v>0</v>
      </c>
      <c r="L412" s="306">
        <v>0</v>
      </c>
      <c r="M412" s="306">
        <v>0</v>
      </c>
      <c r="N412" s="306">
        <v>0</v>
      </c>
    </row>
    <row r="413" spans="1:14" ht="13.2">
      <c r="A413" s="306" t="s">
        <v>661</v>
      </c>
      <c r="B413" s="306" t="s">
        <v>669</v>
      </c>
      <c r="C413" s="306">
        <v>0</v>
      </c>
      <c r="D413" s="306">
        <v>163772</v>
      </c>
      <c r="E413" s="306">
        <v>122072</v>
      </c>
      <c r="F413" s="306">
        <v>0</v>
      </c>
      <c r="G413" s="306">
        <v>0</v>
      </c>
      <c r="H413" s="306">
        <v>0</v>
      </c>
      <c r="I413" s="306">
        <v>0</v>
      </c>
      <c r="J413" s="306">
        <v>0</v>
      </c>
      <c r="K413" s="306">
        <v>0</v>
      </c>
      <c r="L413" s="306">
        <v>0</v>
      </c>
      <c r="M413" s="306">
        <v>0</v>
      </c>
      <c r="N413" s="306">
        <v>0</v>
      </c>
    </row>
    <row r="414" spans="1:14" ht="13.2">
      <c r="A414" s="306" t="s">
        <v>661</v>
      </c>
      <c r="B414" s="306" t="s">
        <v>676</v>
      </c>
      <c r="C414" s="306">
        <v>0</v>
      </c>
      <c r="D414" s="306">
        <v>0</v>
      </c>
      <c r="E414" s="306">
        <v>0</v>
      </c>
      <c r="F414" s="306">
        <v>159704</v>
      </c>
      <c r="G414" s="306">
        <v>172075</v>
      </c>
      <c r="H414" s="306">
        <v>139842</v>
      </c>
      <c r="I414" s="306">
        <v>206357</v>
      </c>
      <c r="J414" s="306">
        <v>0</v>
      </c>
      <c r="K414" s="306">
        <v>0</v>
      </c>
      <c r="L414" s="306">
        <v>0</v>
      </c>
      <c r="M414" s="306">
        <v>0</v>
      </c>
      <c r="N414" s="306">
        <v>0</v>
      </c>
    </row>
    <row r="415" spans="1:14" ht="13.2">
      <c r="A415" s="306" t="s">
        <v>661</v>
      </c>
      <c r="B415" s="306" t="s">
        <v>677</v>
      </c>
      <c r="C415" s="306">
        <v>0</v>
      </c>
      <c r="D415" s="306">
        <v>0</v>
      </c>
      <c r="E415" s="306">
        <v>0</v>
      </c>
      <c r="F415" s="306">
        <v>13011</v>
      </c>
      <c r="G415" s="306">
        <v>0</v>
      </c>
      <c r="H415" s="306">
        <v>12654</v>
      </c>
      <c r="I415" s="306">
        <v>17824</v>
      </c>
      <c r="J415" s="306">
        <v>12890</v>
      </c>
      <c r="K415" s="306">
        <v>12906</v>
      </c>
      <c r="L415" s="306">
        <v>0</v>
      </c>
      <c r="M415" s="306">
        <v>0</v>
      </c>
      <c r="N415" s="306">
        <v>0</v>
      </c>
    </row>
    <row r="416" spans="1:14" ht="13.2">
      <c r="A416" s="306" t="s">
        <v>12</v>
      </c>
      <c r="B416" s="306" t="s">
        <v>678</v>
      </c>
      <c r="C416" s="306">
        <v>13200</v>
      </c>
      <c r="D416" s="306">
        <v>0</v>
      </c>
      <c r="E416" s="306">
        <v>0</v>
      </c>
      <c r="F416" s="306">
        <v>0</v>
      </c>
      <c r="G416" s="306">
        <v>0</v>
      </c>
      <c r="H416" s="306">
        <v>0</v>
      </c>
      <c r="I416" s="306">
        <v>0</v>
      </c>
      <c r="J416" s="306">
        <v>0</v>
      </c>
      <c r="K416" s="306">
        <v>0</v>
      </c>
      <c r="L416" s="306">
        <v>0</v>
      </c>
      <c r="M416" s="306">
        <v>0</v>
      </c>
      <c r="N416" s="306">
        <v>0</v>
      </c>
    </row>
    <row r="417" spans="1:14" ht="13.2">
      <c r="A417" s="306" t="s">
        <v>12</v>
      </c>
      <c r="B417" s="306" t="s">
        <v>679</v>
      </c>
      <c r="C417" s="306">
        <v>167091</v>
      </c>
      <c r="D417" s="306">
        <v>0</v>
      </c>
      <c r="E417" s="306">
        <v>0</v>
      </c>
      <c r="F417" s="306">
        <v>0</v>
      </c>
      <c r="G417" s="306">
        <v>0</v>
      </c>
      <c r="H417" s="306">
        <v>0</v>
      </c>
      <c r="I417" s="306">
        <v>0</v>
      </c>
      <c r="J417" s="306">
        <v>0</v>
      </c>
      <c r="K417" s="306">
        <v>0</v>
      </c>
      <c r="L417" s="306">
        <v>0</v>
      </c>
      <c r="M417" s="306">
        <v>0</v>
      </c>
      <c r="N417" s="306">
        <v>0</v>
      </c>
    </row>
    <row r="418" spans="1:14" ht="13.2">
      <c r="A418" s="306" t="s">
        <v>12</v>
      </c>
      <c r="B418" s="306" t="s">
        <v>680</v>
      </c>
      <c r="C418" s="306">
        <v>30000</v>
      </c>
      <c r="D418" s="306">
        <v>0</v>
      </c>
      <c r="E418" s="306">
        <v>0</v>
      </c>
      <c r="F418" s="306">
        <v>0</v>
      </c>
      <c r="G418" s="306">
        <v>0</v>
      </c>
      <c r="H418" s="306">
        <v>0</v>
      </c>
      <c r="I418" s="306">
        <v>0</v>
      </c>
      <c r="J418" s="306">
        <v>0</v>
      </c>
      <c r="K418" s="306">
        <v>0</v>
      </c>
      <c r="L418" s="306">
        <v>0</v>
      </c>
      <c r="M418" s="306">
        <v>0</v>
      </c>
      <c r="N418" s="306">
        <v>0</v>
      </c>
    </row>
    <row r="419" spans="1:14" ht="13.2">
      <c r="A419" s="306" t="s">
        <v>12</v>
      </c>
      <c r="B419" s="306" t="s">
        <v>681</v>
      </c>
      <c r="C419" s="306">
        <v>126800</v>
      </c>
      <c r="D419" s="306">
        <v>0</v>
      </c>
      <c r="E419" s="306">
        <v>0</v>
      </c>
      <c r="F419" s="306">
        <v>0</v>
      </c>
      <c r="G419" s="306">
        <v>0</v>
      </c>
      <c r="H419" s="306">
        <v>0</v>
      </c>
      <c r="I419" s="306">
        <v>0</v>
      </c>
      <c r="J419" s="306">
        <v>0</v>
      </c>
      <c r="K419" s="306">
        <v>0</v>
      </c>
      <c r="L419" s="306">
        <v>0</v>
      </c>
      <c r="M419" s="306">
        <v>0</v>
      </c>
      <c r="N419" s="306">
        <v>0</v>
      </c>
    </row>
    <row r="420" spans="1:14" ht="13.2">
      <c r="A420" s="306" t="s">
        <v>12</v>
      </c>
      <c r="B420" s="306" t="s">
        <v>682</v>
      </c>
      <c r="C420" s="306">
        <v>0</v>
      </c>
      <c r="D420" s="306">
        <v>13200</v>
      </c>
      <c r="E420" s="306">
        <v>13200</v>
      </c>
      <c r="F420" s="306">
        <v>0</v>
      </c>
      <c r="G420" s="306">
        <v>13200</v>
      </c>
      <c r="H420" s="306">
        <v>13200</v>
      </c>
      <c r="I420" s="306">
        <v>13200</v>
      </c>
      <c r="J420" s="306">
        <v>0</v>
      </c>
      <c r="K420" s="306">
        <v>0</v>
      </c>
      <c r="L420" s="306">
        <v>0</v>
      </c>
      <c r="M420" s="306">
        <v>0</v>
      </c>
      <c r="N420" s="306">
        <v>0</v>
      </c>
    </row>
    <row r="421" spans="1:14" ht="13.2">
      <c r="A421" s="306" t="s">
        <v>12</v>
      </c>
      <c r="B421" s="306" t="s">
        <v>683</v>
      </c>
      <c r="C421" s="306">
        <v>0</v>
      </c>
      <c r="D421" s="306">
        <v>167091</v>
      </c>
      <c r="E421" s="306">
        <v>167091</v>
      </c>
      <c r="F421" s="306">
        <v>167091</v>
      </c>
      <c r="G421" s="306">
        <v>167091</v>
      </c>
      <c r="H421" s="306">
        <v>167091</v>
      </c>
      <c r="I421" s="306">
        <v>167091</v>
      </c>
      <c r="J421" s="306">
        <v>167091</v>
      </c>
      <c r="K421" s="306">
        <v>167091</v>
      </c>
      <c r="L421" s="306">
        <v>0</v>
      </c>
      <c r="M421" s="306">
        <v>0</v>
      </c>
      <c r="N421" s="306">
        <v>0</v>
      </c>
    </row>
    <row r="422" spans="1:14" ht="13.2">
      <c r="A422" s="306" t="s">
        <v>12</v>
      </c>
      <c r="B422" s="306" t="s">
        <v>684</v>
      </c>
      <c r="C422" s="306">
        <v>0</v>
      </c>
      <c r="D422" s="306">
        <v>119480</v>
      </c>
      <c r="E422" s="306">
        <v>119480</v>
      </c>
      <c r="F422" s="306">
        <v>119480</v>
      </c>
      <c r="G422" s="306">
        <v>119480</v>
      </c>
      <c r="H422" s="306">
        <v>115570</v>
      </c>
      <c r="I422" s="306">
        <v>115570</v>
      </c>
      <c r="J422" s="306">
        <v>144340</v>
      </c>
      <c r="K422" s="306">
        <v>144340</v>
      </c>
      <c r="L422" s="306">
        <v>0</v>
      </c>
      <c r="M422" s="306">
        <v>0</v>
      </c>
      <c r="N422" s="306">
        <v>0</v>
      </c>
    </row>
    <row r="423" spans="1:14" ht="13.2">
      <c r="A423" s="306" t="s">
        <v>12</v>
      </c>
      <c r="B423" s="306" t="s">
        <v>685</v>
      </c>
      <c r="C423" s="306">
        <v>0</v>
      </c>
      <c r="D423" s="306">
        <v>30000</v>
      </c>
      <c r="E423" s="306">
        <v>30000</v>
      </c>
      <c r="F423" s="306">
        <v>30000</v>
      </c>
      <c r="G423" s="306">
        <v>30000</v>
      </c>
      <c r="H423" s="306">
        <v>30000</v>
      </c>
      <c r="I423" s="306">
        <v>30000</v>
      </c>
      <c r="J423" s="306">
        <v>30000</v>
      </c>
      <c r="K423" s="306">
        <v>30000</v>
      </c>
      <c r="L423" s="306">
        <v>0</v>
      </c>
      <c r="M423" s="306">
        <v>0</v>
      </c>
      <c r="N423" s="306">
        <v>0</v>
      </c>
    </row>
    <row r="424" spans="1:14" ht="13.2">
      <c r="A424" s="306" t="s">
        <v>12</v>
      </c>
      <c r="B424" s="306" t="s">
        <v>686</v>
      </c>
      <c r="C424" s="306">
        <v>0</v>
      </c>
      <c r="D424" s="306">
        <v>0</v>
      </c>
      <c r="E424" s="306">
        <v>0</v>
      </c>
      <c r="F424" s="306">
        <v>10000</v>
      </c>
      <c r="G424" s="306">
        <v>0</v>
      </c>
      <c r="H424" s="306">
        <v>0</v>
      </c>
      <c r="I424" s="306">
        <v>0</v>
      </c>
      <c r="J424" s="306">
        <v>0</v>
      </c>
      <c r="K424" s="306">
        <v>0</v>
      </c>
      <c r="L424" s="306">
        <v>0</v>
      </c>
      <c r="M424" s="306">
        <v>0</v>
      </c>
      <c r="N424" s="306">
        <v>0</v>
      </c>
    </row>
    <row r="425" spans="1:14" ht="13.2">
      <c r="A425" s="306" t="s">
        <v>12</v>
      </c>
      <c r="B425" s="306" t="s">
        <v>12</v>
      </c>
      <c r="C425" s="306">
        <v>12620</v>
      </c>
      <c r="D425" s="306">
        <v>0</v>
      </c>
      <c r="E425" s="306">
        <v>12620</v>
      </c>
      <c r="F425" s="306">
        <v>0</v>
      </c>
      <c r="G425" s="306">
        <v>0</v>
      </c>
      <c r="H425" s="306">
        <v>0</v>
      </c>
      <c r="I425" s="306">
        <v>0</v>
      </c>
      <c r="J425" s="306">
        <v>0</v>
      </c>
      <c r="K425" s="306">
        <v>0</v>
      </c>
      <c r="L425" s="306">
        <v>0</v>
      </c>
      <c r="M425" s="306">
        <v>0</v>
      </c>
      <c r="N425" s="306">
        <v>0</v>
      </c>
    </row>
    <row r="426" spans="1:14" ht="13.2">
      <c r="A426" s="306" t="s">
        <v>12</v>
      </c>
      <c r="B426" s="306" t="s">
        <v>687</v>
      </c>
      <c r="C426" s="306">
        <v>0</v>
      </c>
      <c r="D426" s="306">
        <v>0</v>
      </c>
      <c r="E426" s="306">
        <v>0</v>
      </c>
      <c r="F426" s="306">
        <v>6310</v>
      </c>
      <c r="G426" s="306">
        <v>0</v>
      </c>
      <c r="H426" s="306">
        <v>12620</v>
      </c>
      <c r="I426" s="306">
        <v>0</v>
      </c>
      <c r="J426" s="306">
        <v>12620</v>
      </c>
      <c r="K426" s="306">
        <v>0</v>
      </c>
      <c r="L426" s="306">
        <v>0</v>
      </c>
      <c r="M426" s="306">
        <v>0</v>
      </c>
      <c r="N426" s="306">
        <v>0</v>
      </c>
    </row>
    <row r="427" spans="1:14" ht="13.2">
      <c r="A427" s="306" t="s">
        <v>13</v>
      </c>
      <c r="B427" s="306" t="s">
        <v>688</v>
      </c>
      <c r="C427" s="306">
        <v>47788</v>
      </c>
      <c r="D427" s="306">
        <v>0</v>
      </c>
      <c r="E427" s="306">
        <v>0</v>
      </c>
      <c r="F427" s="306">
        <v>0</v>
      </c>
      <c r="G427" s="306">
        <v>0</v>
      </c>
      <c r="H427" s="306">
        <v>0</v>
      </c>
      <c r="I427" s="306">
        <v>0</v>
      </c>
      <c r="J427" s="306">
        <v>0</v>
      </c>
      <c r="K427" s="306">
        <v>0</v>
      </c>
      <c r="L427" s="306">
        <v>0</v>
      </c>
      <c r="M427" s="306">
        <v>0</v>
      </c>
      <c r="N427" s="306">
        <v>0</v>
      </c>
    </row>
    <row r="428" spans="1:14" ht="13.2">
      <c r="A428" s="306" t="s">
        <v>13</v>
      </c>
      <c r="B428" s="306" t="s">
        <v>689</v>
      </c>
      <c r="C428" s="306">
        <v>10000</v>
      </c>
      <c r="D428" s="306">
        <v>0</v>
      </c>
      <c r="E428" s="306">
        <v>0</v>
      </c>
      <c r="F428" s="306">
        <v>0</v>
      </c>
      <c r="G428" s="306">
        <v>0</v>
      </c>
      <c r="H428" s="306">
        <v>0</v>
      </c>
      <c r="I428" s="306">
        <v>0</v>
      </c>
      <c r="J428" s="306">
        <v>0</v>
      </c>
      <c r="K428" s="306">
        <v>0</v>
      </c>
      <c r="L428" s="306">
        <v>0</v>
      </c>
      <c r="M428" s="306">
        <v>0</v>
      </c>
      <c r="N428" s="306">
        <v>0</v>
      </c>
    </row>
    <row r="429" spans="1:14" ht="13.2">
      <c r="A429" s="306" t="s">
        <v>13</v>
      </c>
      <c r="B429" s="306" t="s">
        <v>690</v>
      </c>
      <c r="C429" s="306">
        <v>0</v>
      </c>
      <c r="D429" s="306">
        <v>49438</v>
      </c>
      <c r="E429" s="306">
        <v>49438</v>
      </c>
      <c r="F429" s="306">
        <v>49438</v>
      </c>
      <c r="G429" s="306">
        <v>49448</v>
      </c>
      <c r="H429" s="306">
        <v>49438</v>
      </c>
      <c r="I429" s="306">
        <v>49658</v>
      </c>
      <c r="J429" s="306">
        <v>42978</v>
      </c>
      <c r="K429" s="306">
        <v>0</v>
      </c>
      <c r="L429" s="306">
        <v>0</v>
      </c>
      <c r="M429" s="306">
        <v>0</v>
      </c>
      <c r="N429" s="306">
        <v>0</v>
      </c>
    </row>
    <row r="430" spans="1:14" ht="13.2">
      <c r="A430" s="306" t="s">
        <v>13</v>
      </c>
      <c r="B430" s="306" t="s">
        <v>691</v>
      </c>
      <c r="C430" s="306">
        <v>0</v>
      </c>
      <c r="D430" s="306">
        <v>10000</v>
      </c>
      <c r="E430" s="306">
        <v>10000</v>
      </c>
      <c r="F430" s="306">
        <v>0</v>
      </c>
      <c r="G430" s="306">
        <v>10000</v>
      </c>
      <c r="H430" s="306">
        <v>10000</v>
      </c>
      <c r="I430" s="306">
        <v>10000</v>
      </c>
      <c r="J430" s="306">
        <v>10000</v>
      </c>
      <c r="K430" s="306">
        <v>10000</v>
      </c>
      <c r="L430" s="306">
        <v>0</v>
      </c>
      <c r="M430" s="306">
        <v>0</v>
      </c>
      <c r="N430" s="306">
        <v>0</v>
      </c>
    </row>
    <row r="431" spans="1:14" ht="13.2">
      <c r="A431" s="306" t="s">
        <v>13</v>
      </c>
      <c r="B431" s="306" t="s">
        <v>692</v>
      </c>
      <c r="C431" s="306">
        <v>0</v>
      </c>
      <c r="D431" s="306">
        <v>22000</v>
      </c>
      <c r="E431" s="306">
        <v>0</v>
      </c>
      <c r="F431" s="306">
        <v>0</v>
      </c>
      <c r="G431" s="306">
        <v>0</v>
      </c>
      <c r="H431" s="306">
        <v>0</v>
      </c>
      <c r="I431" s="306">
        <v>0</v>
      </c>
      <c r="J431" s="306">
        <v>0</v>
      </c>
      <c r="K431" s="306">
        <v>0</v>
      </c>
      <c r="L431" s="306">
        <v>0</v>
      </c>
      <c r="M431" s="306">
        <v>0</v>
      </c>
      <c r="N431" s="306">
        <v>0</v>
      </c>
    </row>
    <row r="432" spans="1:14" ht="13.2">
      <c r="A432" s="306" t="s">
        <v>13</v>
      </c>
      <c r="B432" s="306" t="s">
        <v>693</v>
      </c>
      <c r="C432" s="306">
        <v>0</v>
      </c>
      <c r="D432" s="306">
        <v>0</v>
      </c>
      <c r="E432" s="306">
        <v>220</v>
      </c>
      <c r="F432" s="306">
        <v>0</v>
      </c>
      <c r="G432" s="306">
        <v>220</v>
      </c>
      <c r="H432" s="306">
        <v>0</v>
      </c>
      <c r="I432" s="306">
        <v>0</v>
      </c>
      <c r="J432" s="306">
        <v>0</v>
      </c>
      <c r="K432" s="306">
        <v>0</v>
      </c>
      <c r="L432" s="306">
        <v>0</v>
      </c>
      <c r="M432" s="306">
        <v>0</v>
      </c>
      <c r="N432" s="306">
        <v>0</v>
      </c>
    </row>
    <row r="433" spans="1:14" ht="13.2">
      <c r="A433" s="306" t="s">
        <v>13</v>
      </c>
      <c r="B433" s="306" t="s">
        <v>694</v>
      </c>
      <c r="C433" s="306">
        <v>0</v>
      </c>
      <c r="D433" s="306">
        <v>0</v>
      </c>
      <c r="E433" s="306">
        <v>220</v>
      </c>
      <c r="F433" s="306">
        <v>0</v>
      </c>
      <c r="G433" s="306">
        <v>220</v>
      </c>
      <c r="H433" s="306">
        <v>0</v>
      </c>
      <c r="I433" s="306">
        <v>0</v>
      </c>
      <c r="J433" s="306">
        <v>0</v>
      </c>
      <c r="K433" s="306">
        <v>220</v>
      </c>
      <c r="L433" s="306">
        <v>0</v>
      </c>
      <c r="M433" s="306">
        <v>0</v>
      </c>
      <c r="N433" s="306">
        <v>0</v>
      </c>
    </row>
    <row r="434" spans="1:14" ht="13.2">
      <c r="A434" s="306" t="s">
        <v>13</v>
      </c>
      <c r="B434" s="306" t="s">
        <v>695</v>
      </c>
      <c r="C434" s="306">
        <v>0</v>
      </c>
      <c r="D434" s="306">
        <v>0</v>
      </c>
      <c r="E434" s="306">
        <v>550</v>
      </c>
      <c r="F434" s="306">
        <v>0</v>
      </c>
      <c r="G434" s="306">
        <v>0</v>
      </c>
      <c r="H434" s="306">
        <v>0</v>
      </c>
      <c r="I434" s="306">
        <v>0</v>
      </c>
      <c r="J434" s="306">
        <v>0</v>
      </c>
      <c r="K434" s="306">
        <v>0</v>
      </c>
      <c r="L434" s="306">
        <v>0</v>
      </c>
      <c r="M434" s="306">
        <v>0</v>
      </c>
      <c r="N434" s="306">
        <v>0</v>
      </c>
    </row>
    <row r="435" spans="1:14" ht="13.2">
      <c r="A435" s="306" t="s">
        <v>13</v>
      </c>
      <c r="B435" s="306" t="s">
        <v>696</v>
      </c>
      <c r="C435" s="306">
        <v>0</v>
      </c>
      <c r="D435" s="306">
        <v>0</v>
      </c>
      <c r="E435" s="306">
        <v>220</v>
      </c>
      <c r="F435" s="306">
        <v>0</v>
      </c>
      <c r="G435" s="306">
        <v>0</v>
      </c>
      <c r="H435" s="306">
        <v>0</v>
      </c>
      <c r="I435" s="306">
        <v>0</v>
      </c>
      <c r="J435" s="306">
        <v>0</v>
      </c>
      <c r="K435" s="306">
        <v>0</v>
      </c>
      <c r="L435" s="306">
        <v>0</v>
      </c>
      <c r="M435" s="306">
        <v>0</v>
      </c>
      <c r="N435" s="306">
        <v>0</v>
      </c>
    </row>
    <row r="436" spans="1:14" ht="13.2">
      <c r="A436" s="306" t="s">
        <v>13</v>
      </c>
      <c r="B436" s="306" t="s">
        <v>697</v>
      </c>
      <c r="C436" s="306">
        <v>0</v>
      </c>
      <c r="D436" s="306">
        <v>0</v>
      </c>
      <c r="E436" s="306">
        <v>0</v>
      </c>
      <c r="F436" s="306">
        <v>550</v>
      </c>
      <c r="G436" s="306">
        <v>0</v>
      </c>
      <c r="H436" s="306">
        <v>0</v>
      </c>
      <c r="I436" s="306">
        <v>0</v>
      </c>
      <c r="J436" s="306">
        <v>0</v>
      </c>
      <c r="K436" s="306">
        <v>0</v>
      </c>
      <c r="L436" s="306">
        <v>0</v>
      </c>
      <c r="M436" s="306">
        <v>0</v>
      </c>
      <c r="N436" s="306">
        <v>0</v>
      </c>
    </row>
    <row r="437" spans="1:14" ht="13.2">
      <c r="A437" s="306" t="s">
        <v>13</v>
      </c>
      <c r="B437" s="306" t="s">
        <v>698</v>
      </c>
      <c r="C437" s="306">
        <v>0</v>
      </c>
      <c r="D437" s="306">
        <v>0</v>
      </c>
      <c r="E437" s="306">
        <v>0</v>
      </c>
      <c r="F437" s="306">
        <v>24000</v>
      </c>
      <c r="G437" s="306">
        <v>0</v>
      </c>
      <c r="H437" s="306">
        <v>0</v>
      </c>
      <c r="I437" s="306">
        <v>0</v>
      </c>
      <c r="J437" s="306">
        <v>0</v>
      </c>
      <c r="K437" s="306">
        <v>0</v>
      </c>
      <c r="L437" s="306">
        <v>0</v>
      </c>
      <c r="M437" s="306">
        <v>0</v>
      </c>
      <c r="N437" s="306">
        <v>0</v>
      </c>
    </row>
    <row r="438" spans="1:14" ht="13.2">
      <c r="A438" s="306" t="s">
        <v>13</v>
      </c>
      <c r="B438" s="306" t="s">
        <v>699</v>
      </c>
      <c r="C438" s="306">
        <v>0</v>
      </c>
      <c r="D438" s="306">
        <v>0</v>
      </c>
      <c r="E438" s="306">
        <v>0</v>
      </c>
      <c r="F438" s="306">
        <v>0</v>
      </c>
      <c r="G438" s="306">
        <v>143000</v>
      </c>
      <c r="H438" s="306">
        <v>72600</v>
      </c>
      <c r="I438" s="306">
        <v>72600</v>
      </c>
      <c r="J438" s="306">
        <v>138600</v>
      </c>
      <c r="K438" s="306">
        <v>105600</v>
      </c>
      <c r="L438" s="306">
        <v>0</v>
      </c>
      <c r="M438" s="306">
        <v>0</v>
      </c>
      <c r="N438" s="306">
        <v>0</v>
      </c>
    </row>
    <row r="439" spans="1:14" ht="13.2">
      <c r="A439" s="306" t="s">
        <v>13</v>
      </c>
      <c r="B439" s="306" t="s">
        <v>700</v>
      </c>
      <c r="C439" s="306">
        <v>0</v>
      </c>
      <c r="D439" s="306">
        <v>0</v>
      </c>
      <c r="E439" s="306">
        <v>0</v>
      </c>
      <c r="F439" s="306">
        <v>0</v>
      </c>
      <c r="G439" s="306">
        <v>330</v>
      </c>
      <c r="H439" s="306">
        <v>330</v>
      </c>
      <c r="I439" s="306">
        <v>330</v>
      </c>
      <c r="J439" s="306">
        <v>330</v>
      </c>
      <c r="K439" s="306">
        <v>330</v>
      </c>
      <c r="L439" s="306">
        <v>0</v>
      </c>
      <c r="M439" s="306">
        <v>0</v>
      </c>
      <c r="N439" s="306">
        <v>0</v>
      </c>
    </row>
    <row r="440" spans="1:14" ht="13.2">
      <c r="A440" s="306" t="s">
        <v>13</v>
      </c>
      <c r="B440" s="306" t="s">
        <v>701</v>
      </c>
      <c r="C440" s="306">
        <v>0</v>
      </c>
      <c r="D440" s="306">
        <v>0</v>
      </c>
      <c r="E440" s="306">
        <v>0</v>
      </c>
      <c r="F440" s="306">
        <v>0</v>
      </c>
      <c r="G440" s="306">
        <v>550</v>
      </c>
      <c r="H440" s="306">
        <v>0</v>
      </c>
      <c r="I440" s="306">
        <v>0</v>
      </c>
      <c r="J440" s="306">
        <v>0</v>
      </c>
      <c r="K440" s="306">
        <v>0</v>
      </c>
      <c r="L440" s="306">
        <v>0</v>
      </c>
      <c r="M440" s="306">
        <v>0</v>
      </c>
      <c r="N440" s="306">
        <v>0</v>
      </c>
    </row>
    <row r="441" spans="1:14" ht="13.2">
      <c r="A441" s="306" t="s">
        <v>13</v>
      </c>
      <c r="B441" s="306" t="s">
        <v>702</v>
      </c>
      <c r="C441" s="306">
        <v>0</v>
      </c>
      <c r="D441" s="306">
        <v>0</v>
      </c>
      <c r="E441" s="306">
        <v>0</v>
      </c>
      <c r="F441" s="306">
        <v>0</v>
      </c>
      <c r="G441" s="306">
        <v>550</v>
      </c>
      <c r="H441" s="306">
        <v>0</v>
      </c>
      <c r="I441" s="306">
        <v>0</v>
      </c>
      <c r="J441" s="306">
        <v>0</v>
      </c>
      <c r="K441" s="306">
        <v>0</v>
      </c>
      <c r="L441" s="306">
        <v>0</v>
      </c>
      <c r="M441" s="306">
        <v>0</v>
      </c>
      <c r="N441" s="306">
        <v>0</v>
      </c>
    </row>
    <row r="442" spans="1:14" ht="13.2">
      <c r="A442" s="306" t="s">
        <v>13</v>
      </c>
      <c r="B442" s="306" t="s">
        <v>703</v>
      </c>
      <c r="C442" s="306">
        <v>0</v>
      </c>
      <c r="D442" s="306">
        <v>0</v>
      </c>
      <c r="E442" s="306">
        <v>0</v>
      </c>
      <c r="F442" s="306">
        <v>0</v>
      </c>
      <c r="G442" s="306">
        <v>550</v>
      </c>
      <c r="H442" s="306">
        <v>0</v>
      </c>
      <c r="I442" s="306">
        <v>0</v>
      </c>
      <c r="J442" s="306">
        <v>0</v>
      </c>
      <c r="K442" s="306">
        <v>0</v>
      </c>
      <c r="L442" s="306">
        <v>0</v>
      </c>
      <c r="M442" s="306">
        <v>0</v>
      </c>
      <c r="N442" s="306">
        <v>0</v>
      </c>
    </row>
    <row r="443" spans="1:14" ht="13.2">
      <c r="A443" s="306" t="s">
        <v>13</v>
      </c>
      <c r="B443" s="306" t="s">
        <v>704</v>
      </c>
      <c r="C443" s="306">
        <v>0</v>
      </c>
      <c r="D443" s="306">
        <v>0</v>
      </c>
      <c r="E443" s="306">
        <v>0</v>
      </c>
      <c r="F443" s="306">
        <v>0</v>
      </c>
      <c r="G443" s="306">
        <v>550</v>
      </c>
      <c r="H443" s="306">
        <v>0</v>
      </c>
      <c r="I443" s="306">
        <v>0</v>
      </c>
      <c r="J443" s="306">
        <v>0</v>
      </c>
      <c r="K443" s="306">
        <v>0</v>
      </c>
      <c r="L443" s="306">
        <v>0</v>
      </c>
      <c r="M443" s="306">
        <v>0</v>
      </c>
      <c r="N443" s="306">
        <v>0</v>
      </c>
    </row>
    <row r="444" spans="1:14" ht="13.2">
      <c r="A444" s="306" t="s">
        <v>13</v>
      </c>
      <c r="B444" s="306" t="s">
        <v>705</v>
      </c>
      <c r="C444" s="306">
        <v>0</v>
      </c>
      <c r="D444" s="306">
        <v>0</v>
      </c>
      <c r="E444" s="306">
        <v>0</v>
      </c>
      <c r="F444" s="306">
        <v>0</v>
      </c>
      <c r="G444" s="306">
        <v>220</v>
      </c>
      <c r="H444" s="306">
        <v>0</v>
      </c>
      <c r="I444" s="306">
        <v>0</v>
      </c>
      <c r="J444" s="306">
        <v>0</v>
      </c>
      <c r="K444" s="306">
        <v>0</v>
      </c>
      <c r="L444" s="306">
        <v>0</v>
      </c>
      <c r="M444" s="306">
        <v>0</v>
      </c>
      <c r="N444" s="306">
        <v>0</v>
      </c>
    </row>
    <row r="445" spans="1:14" ht="13.2">
      <c r="A445" s="306" t="s">
        <v>13</v>
      </c>
      <c r="B445" s="306" t="s">
        <v>706</v>
      </c>
      <c r="C445" s="306">
        <v>0</v>
      </c>
      <c r="D445" s="306">
        <v>0</v>
      </c>
      <c r="E445" s="306">
        <v>0</v>
      </c>
      <c r="F445" s="306">
        <v>0</v>
      </c>
      <c r="G445" s="306">
        <v>0</v>
      </c>
      <c r="H445" s="306">
        <v>330</v>
      </c>
      <c r="I445" s="306">
        <v>0</v>
      </c>
      <c r="J445" s="306">
        <v>0</v>
      </c>
      <c r="K445" s="306">
        <v>0</v>
      </c>
      <c r="L445" s="306">
        <v>0</v>
      </c>
      <c r="M445" s="306">
        <v>0</v>
      </c>
      <c r="N445" s="306">
        <v>0</v>
      </c>
    </row>
    <row r="446" spans="1:14" ht="13.2">
      <c r="A446" s="306" t="s">
        <v>13</v>
      </c>
      <c r="B446" s="306" t="s">
        <v>707</v>
      </c>
      <c r="C446" s="306">
        <v>0</v>
      </c>
      <c r="D446" s="306">
        <v>0</v>
      </c>
      <c r="E446" s="306">
        <v>0</v>
      </c>
      <c r="F446" s="306">
        <v>0</v>
      </c>
      <c r="G446" s="306">
        <v>0</v>
      </c>
      <c r="H446" s="306">
        <v>550</v>
      </c>
      <c r="I446" s="306">
        <v>0</v>
      </c>
      <c r="J446" s="306">
        <v>0</v>
      </c>
      <c r="K446" s="306">
        <v>0</v>
      </c>
      <c r="L446" s="306">
        <v>0</v>
      </c>
      <c r="M446" s="306">
        <v>0</v>
      </c>
      <c r="N446" s="306">
        <v>0</v>
      </c>
    </row>
    <row r="447" spans="1:14" ht="13.2">
      <c r="A447" s="306" t="s">
        <v>13</v>
      </c>
      <c r="B447" s="306" t="s">
        <v>708</v>
      </c>
      <c r="C447" s="306">
        <v>0</v>
      </c>
      <c r="D447" s="306">
        <v>0</v>
      </c>
      <c r="E447" s="306">
        <v>0</v>
      </c>
      <c r="F447" s="306">
        <v>0</v>
      </c>
      <c r="G447" s="306">
        <v>0</v>
      </c>
      <c r="H447" s="306">
        <v>550</v>
      </c>
      <c r="I447" s="306">
        <v>0</v>
      </c>
      <c r="J447" s="306">
        <v>0</v>
      </c>
      <c r="K447" s="306">
        <v>0</v>
      </c>
      <c r="L447" s="306">
        <v>0</v>
      </c>
      <c r="M447" s="306">
        <v>0</v>
      </c>
      <c r="N447" s="306">
        <v>0</v>
      </c>
    </row>
    <row r="448" spans="1:14" ht="13.2">
      <c r="A448" s="306" t="s">
        <v>13</v>
      </c>
      <c r="B448" s="306" t="s">
        <v>709</v>
      </c>
      <c r="C448" s="306">
        <v>0</v>
      </c>
      <c r="D448" s="306">
        <v>0</v>
      </c>
      <c r="E448" s="306">
        <v>0</v>
      </c>
      <c r="F448" s="306">
        <v>0</v>
      </c>
      <c r="G448" s="306">
        <v>0</v>
      </c>
      <c r="H448" s="306">
        <v>220</v>
      </c>
      <c r="I448" s="306">
        <v>220</v>
      </c>
      <c r="J448" s="306">
        <v>220</v>
      </c>
      <c r="K448" s="306">
        <v>0</v>
      </c>
      <c r="L448" s="306">
        <v>0</v>
      </c>
      <c r="M448" s="306">
        <v>0</v>
      </c>
      <c r="N448" s="306">
        <v>0</v>
      </c>
    </row>
    <row r="449" spans="1:14" ht="13.2">
      <c r="A449" s="306" t="s">
        <v>13</v>
      </c>
      <c r="B449" s="306" t="s">
        <v>710</v>
      </c>
      <c r="C449" s="306">
        <v>0</v>
      </c>
      <c r="D449" s="306">
        <v>0</v>
      </c>
      <c r="E449" s="306">
        <v>0</v>
      </c>
      <c r="F449" s="306">
        <v>0</v>
      </c>
      <c r="G449" s="306">
        <v>0</v>
      </c>
      <c r="H449" s="306">
        <v>550</v>
      </c>
      <c r="I449" s="306">
        <v>0</v>
      </c>
      <c r="J449" s="306">
        <v>0</v>
      </c>
      <c r="K449" s="306">
        <v>0</v>
      </c>
      <c r="L449" s="306">
        <v>0</v>
      </c>
      <c r="M449" s="306">
        <v>0</v>
      </c>
      <c r="N449" s="306">
        <v>0</v>
      </c>
    </row>
    <row r="450" spans="1:14" ht="13.2">
      <c r="A450" s="306" t="s">
        <v>13</v>
      </c>
      <c r="B450" s="306" t="s">
        <v>711</v>
      </c>
      <c r="C450" s="306">
        <v>0</v>
      </c>
      <c r="D450" s="306">
        <v>0</v>
      </c>
      <c r="E450" s="306">
        <v>0</v>
      </c>
      <c r="F450" s="306">
        <v>0</v>
      </c>
      <c r="G450" s="306">
        <v>0</v>
      </c>
      <c r="H450" s="306">
        <v>550</v>
      </c>
      <c r="I450" s="306">
        <v>0</v>
      </c>
      <c r="J450" s="306">
        <v>0</v>
      </c>
      <c r="K450" s="306">
        <v>0</v>
      </c>
      <c r="L450" s="306">
        <v>0</v>
      </c>
      <c r="M450" s="306">
        <v>0</v>
      </c>
      <c r="N450" s="306">
        <v>0</v>
      </c>
    </row>
    <row r="451" spans="1:14" ht="13.2">
      <c r="A451" s="306" t="s">
        <v>13</v>
      </c>
      <c r="B451" s="306" t="s">
        <v>712</v>
      </c>
      <c r="C451" s="306">
        <v>0</v>
      </c>
      <c r="D451" s="306">
        <v>0</v>
      </c>
      <c r="E451" s="306">
        <v>0</v>
      </c>
      <c r="F451" s="306">
        <v>0</v>
      </c>
      <c r="G451" s="306">
        <v>0</v>
      </c>
      <c r="H451" s="306">
        <v>0</v>
      </c>
      <c r="I451" s="306">
        <v>330</v>
      </c>
      <c r="J451" s="306">
        <v>0</v>
      </c>
      <c r="K451" s="306">
        <v>0</v>
      </c>
      <c r="L451" s="306">
        <v>0</v>
      </c>
      <c r="M451" s="306">
        <v>0</v>
      </c>
      <c r="N451" s="306">
        <v>0</v>
      </c>
    </row>
    <row r="452" spans="1:14" ht="13.2">
      <c r="A452" s="306" t="s">
        <v>13</v>
      </c>
      <c r="B452" s="306" t="s">
        <v>713</v>
      </c>
      <c r="C452" s="306">
        <v>0</v>
      </c>
      <c r="D452" s="306">
        <v>0</v>
      </c>
      <c r="E452" s="306">
        <v>0</v>
      </c>
      <c r="F452" s="306">
        <v>0</v>
      </c>
      <c r="G452" s="306">
        <v>0</v>
      </c>
      <c r="H452" s="306">
        <v>0</v>
      </c>
      <c r="I452" s="306">
        <v>550</v>
      </c>
      <c r="J452" s="306">
        <v>0</v>
      </c>
      <c r="K452" s="306">
        <v>0</v>
      </c>
      <c r="L452" s="306">
        <v>0</v>
      </c>
      <c r="M452" s="306">
        <v>0</v>
      </c>
      <c r="N452" s="306">
        <v>0</v>
      </c>
    </row>
    <row r="453" spans="1:14" ht="13.2">
      <c r="A453" s="306" t="s">
        <v>13</v>
      </c>
      <c r="B453" s="306" t="s">
        <v>350</v>
      </c>
      <c r="C453" s="306">
        <v>0</v>
      </c>
      <c r="D453" s="306">
        <v>0</v>
      </c>
      <c r="E453" s="306">
        <v>0</v>
      </c>
      <c r="F453" s="306">
        <v>0</v>
      </c>
      <c r="G453" s="306">
        <v>0</v>
      </c>
      <c r="H453" s="306">
        <v>0</v>
      </c>
      <c r="I453" s="306">
        <v>550</v>
      </c>
      <c r="J453" s="306">
        <v>0</v>
      </c>
      <c r="K453" s="306">
        <v>0</v>
      </c>
      <c r="L453" s="306">
        <v>0</v>
      </c>
      <c r="M453" s="306">
        <v>0</v>
      </c>
      <c r="N453" s="306">
        <v>0</v>
      </c>
    </row>
    <row r="454" spans="1:14" ht="13.2">
      <c r="A454" s="306" t="s">
        <v>13</v>
      </c>
      <c r="B454" s="306" t="s">
        <v>714</v>
      </c>
      <c r="C454" s="306">
        <v>0</v>
      </c>
      <c r="D454" s="306">
        <v>0</v>
      </c>
      <c r="E454" s="306">
        <v>0</v>
      </c>
      <c r="F454" s="306">
        <v>0</v>
      </c>
      <c r="G454" s="306">
        <v>0</v>
      </c>
      <c r="H454" s="306">
        <v>0</v>
      </c>
      <c r="I454" s="306">
        <v>660</v>
      </c>
      <c r="J454" s="306">
        <v>0</v>
      </c>
      <c r="K454" s="306">
        <v>0</v>
      </c>
      <c r="L454" s="306">
        <v>0</v>
      </c>
      <c r="M454" s="306">
        <v>0</v>
      </c>
      <c r="N454" s="306">
        <v>0</v>
      </c>
    </row>
    <row r="455" spans="1:14" ht="13.2">
      <c r="A455" s="306" t="s">
        <v>13</v>
      </c>
      <c r="B455" s="306" t="s">
        <v>715</v>
      </c>
      <c r="C455" s="306">
        <v>0</v>
      </c>
      <c r="D455" s="306">
        <v>0</v>
      </c>
      <c r="E455" s="306">
        <v>0</v>
      </c>
      <c r="F455" s="306">
        <v>0</v>
      </c>
      <c r="G455" s="306">
        <v>0</v>
      </c>
      <c r="H455" s="306">
        <v>0</v>
      </c>
      <c r="I455" s="306">
        <v>0</v>
      </c>
      <c r="J455" s="306">
        <v>550</v>
      </c>
      <c r="K455" s="306">
        <v>0</v>
      </c>
      <c r="L455" s="306">
        <v>0</v>
      </c>
      <c r="M455" s="306">
        <v>0</v>
      </c>
      <c r="N455" s="306">
        <v>0</v>
      </c>
    </row>
    <row r="456" spans="1:14" ht="13.2">
      <c r="A456" s="306" t="s">
        <v>13</v>
      </c>
      <c r="B456" s="306" t="s">
        <v>716</v>
      </c>
      <c r="C456" s="306">
        <v>0</v>
      </c>
      <c r="D456" s="306">
        <v>0</v>
      </c>
      <c r="E456" s="306">
        <v>0</v>
      </c>
      <c r="F456" s="306">
        <v>0</v>
      </c>
      <c r="G456" s="306">
        <v>0</v>
      </c>
      <c r="H456" s="306">
        <v>0</v>
      </c>
      <c r="I456" s="306">
        <v>0</v>
      </c>
      <c r="J456" s="306">
        <v>330</v>
      </c>
      <c r="K456" s="306">
        <v>0</v>
      </c>
      <c r="L456" s="306">
        <v>0</v>
      </c>
      <c r="M456" s="306">
        <v>0</v>
      </c>
      <c r="N456" s="306">
        <v>0</v>
      </c>
    </row>
    <row r="457" spans="1:14" ht="13.2">
      <c r="A457" s="306" t="s">
        <v>13</v>
      </c>
      <c r="B457" s="306" t="s">
        <v>717</v>
      </c>
      <c r="C457" s="306">
        <v>0</v>
      </c>
      <c r="D457" s="306">
        <v>0</v>
      </c>
      <c r="E457" s="306">
        <v>0</v>
      </c>
      <c r="F457" s="306">
        <v>0</v>
      </c>
      <c r="G457" s="306">
        <v>0</v>
      </c>
      <c r="H457" s="306">
        <v>0</v>
      </c>
      <c r="I457" s="306">
        <v>0</v>
      </c>
      <c r="J457" s="306">
        <v>220</v>
      </c>
      <c r="K457" s="306">
        <v>0</v>
      </c>
      <c r="L457" s="306">
        <v>0</v>
      </c>
      <c r="M457" s="306">
        <v>0</v>
      </c>
      <c r="N457" s="306">
        <v>0</v>
      </c>
    </row>
    <row r="458" spans="1:14" ht="13.2">
      <c r="A458" s="306" t="s">
        <v>13</v>
      </c>
      <c r="B458" s="306" t="s">
        <v>718</v>
      </c>
      <c r="C458" s="306">
        <v>0</v>
      </c>
      <c r="D458" s="306">
        <v>0</v>
      </c>
      <c r="E458" s="306">
        <v>0</v>
      </c>
      <c r="F458" s="306">
        <v>0</v>
      </c>
      <c r="G458" s="306">
        <v>0</v>
      </c>
      <c r="H458" s="306">
        <v>0</v>
      </c>
      <c r="I458" s="306">
        <v>0</v>
      </c>
      <c r="J458" s="306">
        <v>550</v>
      </c>
      <c r="K458" s="306">
        <v>0</v>
      </c>
      <c r="L458" s="306">
        <v>0</v>
      </c>
      <c r="M458" s="306">
        <v>0</v>
      </c>
      <c r="N458" s="306">
        <v>0</v>
      </c>
    </row>
    <row r="459" spans="1:14" ht="13.2">
      <c r="A459" s="306" t="s">
        <v>13</v>
      </c>
      <c r="B459" s="306" t="s">
        <v>719</v>
      </c>
      <c r="C459" s="306">
        <v>0</v>
      </c>
      <c r="D459" s="306">
        <v>0</v>
      </c>
      <c r="E459" s="306">
        <v>0</v>
      </c>
      <c r="F459" s="306">
        <v>0</v>
      </c>
      <c r="G459" s="306">
        <v>0</v>
      </c>
      <c r="H459" s="306">
        <v>0</v>
      </c>
      <c r="I459" s="306">
        <v>0</v>
      </c>
      <c r="J459" s="306">
        <v>550</v>
      </c>
      <c r="K459" s="306">
        <v>0</v>
      </c>
      <c r="L459" s="306">
        <v>0</v>
      </c>
      <c r="M459" s="306">
        <v>0</v>
      </c>
      <c r="N459" s="306">
        <v>0</v>
      </c>
    </row>
    <row r="460" spans="1:14" ht="13.2">
      <c r="A460" s="306" t="s">
        <v>13</v>
      </c>
      <c r="B460" s="306" t="s">
        <v>720</v>
      </c>
      <c r="C460" s="306">
        <v>0</v>
      </c>
      <c r="D460" s="306">
        <v>0</v>
      </c>
      <c r="E460" s="306">
        <v>0</v>
      </c>
      <c r="F460" s="306">
        <v>0</v>
      </c>
      <c r="G460" s="306">
        <v>0</v>
      </c>
      <c r="H460" s="306">
        <v>0</v>
      </c>
      <c r="I460" s="306">
        <v>0</v>
      </c>
      <c r="J460" s="306">
        <v>220</v>
      </c>
      <c r="K460" s="306">
        <v>220</v>
      </c>
      <c r="L460" s="306">
        <v>0</v>
      </c>
      <c r="M460" s="306">
        <v>0</v>
      </c>
      <c r="N460" s="306">
        <v>0</v>
      </c>
    </row>
    <row r="461" spans="1:14" ht="13.2">
      <c r="A461" s="306" t="s">
        <v>13</v>
      </c>
      <c r="B461" s="306" t="s">
        <v>721</v>
      </c>
      <c r="C461" s="306">
        <v>0</v>
      </c>
      <c r="D461" s="306">
        <v>0</v>
      </c>
      <c r="E461" s="306">
        <v>0</v>
      </c>
      <c r="F461" s="306">
        <v>0</v>
      </c>
      <c r="G461" s="306">
        <v>0</v>
      </c>
      <c r="H461" s="306">
        <v>0</v>
      </c>
      <c r="I461" s="306">
        <v>0</v>
      </c>
      <c r="J461" s="306">
        <v>13200</v>
      </c>
      <c r="K461" s="306">
        <v>13200</v>
      </c>
      <c r="L461" s="306">
        <v>0</v>
      </c>
      <c r="M461" s="306">
        <v>0</v>
      </c>
      <c r="N461" s="306">
        <v>0</v>
      </c>
    </row>
    <row r="462" spans="1:14" ht="13.2">
      <c r="A462" s="306" t="s">
        <v>13</v>
      </c>
      <c r="B462" s="306" t="s">
        <v>722</v>
      </c>
      <c r="C462" s="306">
        <v>0</v>
      </c>
      <c r="D462" s="306">
        <v>0</v>
      </c>
      <c r="E462" s="306">
        <v>0</v>
      </c>
      <c r="F462" s="306">
        <v>0</v>
      </c>
      <c r="G462" s="306">
        <v>0</v>
      </c>
      <c r="H462" s="306">
        <v>0</v>
      </c>
      <c r="I462" s="306">
        <v>0</v>
      </c>
      <c r="J462" s="306">
        <v>550</v>
      </c>
      <c r="K462" s="306">
        <v>0</v>
      </c>
      <c r="L462" s="306">
        <v>0</v>
      </c>
      <c r="M462" s="306">
        <v>0</v>
      </c>
      <c r="N462" s="306">
        <v>0</v>
      </c>
    </row>
    <row r="463" spans="1:14" ht="13.2">
      <c r="A463" s="306" t="s">
        <v>13</v>
      </c>
      <c r="B463" s="306" t="s">
        <v>723</v>
      </c>
      <c r="C463" s="306">
        <v>0</v>
      </c>
      <c r="D463" s="306">
        <v>0</v>
      </c>
      <c r="E463" s="306">
        <v>0</v>
      </c>
      <c r="F463" s="306">
        <v>0</v>
      </c>
      <c r="G463" s="306">
        <v>0</v>
      </c>
      <c r="H463" s="306">
        <v>0</v>
      </c>
      <c r="I463" s="306">
        <v>0</v>
      </c>
      <c r="J463" s="306">
        <v>220</v>
      </c>
      <c r="K463" s="306">
        <v>220</v>
      </c>
      <c r="L463" s="306">
        <v>0</v>
      </c>
      <c r="M463" s="306">
        <v>0</v>
      </c>
      <c r="N463" s="306">
        <v>0</v>
      </c>
    </row>
    <row r="464" spans="1:14" ht="13.2">
      <c r="A464" s="306" t="s">
        <v>13</v>
      </c>
      <c r="B464" s="306" t="s">
        <v>724</v>
      </c>
      <c r="C464" s="306">
        <v>0</v>
      </c>
      <c r="D464" s="306">
        <v>0</v>
      </c>
      <c r="E464" s="306">
        <v>0</v>
      </c>
      <c r="F464" s="306">
        <v>0</v>
      </c>
      <c r="G464" s="306">
        <v>0</v>
      </c>
      <c r="H464" s="306">
        <v>0</v>
      </c>
      <c r="I464" s="306">
        <v>0</v>
      </c>
      <c r="J464" s="306">
        <v>330</v>
      </c>
      <c r="K464" s="306">
        <v>330</v>
      </c>
      <c r="L464" s="306">
        <v>0</v>
      </c>
      <c r="M464" s="306">
        <v>0</v>
      </c>
      <c r="N464" s="306">
        <v>0</v>
      </c>
    </row>
    <row r="465" spans="1:14" ht="13.2">
      <c r="A465" s="306" t="s">
        <v>13</v>
      </c>
      <c r="B465" s="306" t="s">
        <v>725</v>
      </c>
      <c r="C465" s="306">
        <v>0</v>
      </c>
      <c r="D465" s="306">
        <v>0</v>
      </c>
      <c r="E465" s="306">
        <v>0</v>
      </c>
      <c r="F465" s="306">
        <v>0</v>
      </c>
      <c r="G465" s="306">
        <v>0</v>
      </c>
      <c r="H465" s="306">
        <v>0</v>
      </c>
      <c r="I465" s="306">
        <v>0</v>
      </c>
      <c r="J465" s="306">
        <v>330</v>
      </c>
      <c r="K465" s="306">
        <v>330</v>
      </c>
      <c r="L465" s="306">
        <v>0</v>
      </c>
      <c r="M465" s="306">
        <v>0</v>
      </c>
      <c r="N465" s="306">
        <v>0</v>
      </c>
    </row>
    <row r="466" spans="1:14" ht="13.2">
      <c r="A466" s="306" t="s">
        <v>13</v>
      </c>
      <c r="B466" s="306" t="s">
        <v>726</v>
      </c>
      <c r="C466" s="306">
        <v>0</v>
      </c>
      <c r="D466" s="306">
        <v>0</v>
      </c>
      <c r="E466" s="306">
        <v>0</v>
      </c>
      <c r="F466" s="306">
        <v>0</v>
      </c>
      <c r="G466" s="306">
        <v>0</v>
      </c>
      <c r="H466" s="306">
        <v>0</v>
      </c>
      <c r="I466" s="306">
        <v>0</v>
      </c>
      <c r="J466" s="306">
        <v>550</v>
      </c>
      <c r="K466" s="306">
        <v>0</v>
      </c>
      <c r="L466" s="306">
        <v>0</v>
      </c>
      <c r="M466" s="306">
        <v>0</v>
      </c>
      <c r="N466" s="306">
        <v>0</v>
      </c>
    </row>
    <row r="467" spans="1:14" ht="13.2">
      <c r="A467" s="306" t="s">
        <v>13</v>
      </c>
      <c r="B467" s="306" t="s">
        <v>727</v>
      </c>
      <c r="C467" s="306">
        <v>0</v>
      </c>
      <c r="D467" s="306">
        <v>0</v>
      </c>
      <c r="E467" s="306">
        <v>0</v>
      </c>
      <c r="F467" s="306">
        <v>0</v>
      </c>
      <c r="G467" s="306">
        <v>0</v>
      </c>
      <c r="H467" s="306">
        <v>0</v>
      </c>
      <c r="I467" s="306">
        <v>0</v>
      </c>
      <c r="J467" s="306">
        <v>550</v>
      </c>
      <c r="K467" s="306">
        <v>0</v>
      </c>
      <c r="L467" s="306">
        <v>0</v>
      </c>
      <c r="M467" s="306">
        <v>0</v>
      </c>
      <c r="N467" s="306">
        <v>0</v>
      </c>
    </row>
    <row r="468" spans="1:14" ht="13.2">
      <c r="A468" s="306" t="s">
        <v>13</v>
      </c>
      <c r="B468" s="306" t="s">
        <v>728</v>
      </c>
      <c r="C468" s="306">
        <v>0</v>
      </c>
      <c r="D468" s="306">
        <v>0</v>
      </c>
      <c r="E468" s="306">
        <v>0</v>
      </c>
      <c r="F468" s="306">
        <v>0</v>
      </c>
      <c r="G468" s="306">
        <v>0</v>
      </c>
      <c r="H468" s="306">
        <v>0</v>
      </c>
      <c r="I468" s="306">
        <v>0</v>
      </c>
      <c r="J468" s="306">
        <v>0</v>
      </c>
      <c r="K468" s="306">
        <v>550</v>
      </c>
      <c r="L468" s="306">
        <v>0</v>
      </c>
      <c r="M468" s="306">
        <v>0</v>
      </c>
      <c r="N468" s="306">
        <v>0</v>
      </c>
    </row>
    <row r="469" spans="1:14" ht="13.2">
      <c r="A469" s="306" t="s">
        <v>13</v>
      </c>
      <c r="B469" s="306" t="s">
        <v>729</v>
      </c>
      <c r="C469" s="306">
        <v>0</v>
      </c>
      <c r="D469" s="306">
        <v>0</v>
      </c>
      <c r="E469" s="306">
        <v>0</v>
      </c>
      <c r="F469" s="306">
        <v>0</v>
      </c>
      <c r="G469" s="306">
        <v>0</v>
      </c>
      <c r="H469" s="306">
        <v>0</v>
      </c>
      <c r="I469" s="306">
        <v>0</v>
      </c>
      <c r="J469" s="306">
        <v>0</v>
      </c>
      <c r="K469" s="306">
        <v>550</v>
      </c>
      <c r="L469" s="306">
        <v>0</v>
      </c>
      <c r="M469" s="306">
        <v>0</v>
      </c>
      <c r="N469" s="306">
        <v>0</v>
      </c>
    </row>
    <row r="470" spans="1:14" ht="13.2">
      <c r="A470" s="306" t="s">
        <v>13</v>
      </c>
      <c r="B470" s="306" t="s">
        <v>730</v>
      </c>
      <c r="C470" s="306">
        <v>0</v>
      </c>
      <c r="D470" s="306">
        <v>0</v>
      </c>
      <c r="E470" s="306">
        <v>0</v>
      </c>
      <c r="F470" s="306">
        <v>0</v>
      </c>
      <c r="G470" s="306">
        <v>0</v>
      </c>
      <c r="H470" s="306">
        <v>0</v>
      </c>
      <c r="I470" s="306">
        <v>0</v>
      </c>
      <c r="J470" s="306">
        <v>0</v>
      </c>
      <c r="K470" s="306">
        <v>770</v>
      </c>
      <c r="L470" s="306">
        <v>0</v>
      </c>
      <c r="M470" s="306">
        <v>0</v>
      </c>
      <c r="N470" s="306">
        <v>0</v>
      </c>
    </row>
    <row r="471" spans="1:14" ht="13.2">
      <c r="A471" s="306" t="s">
        <v>13</v>
      </c>
      <c r="B471" s="306" t="s">
        <v>731</v>
      </c>
      <c r="C471" s="306">
        <v>0</v>
      </c>
      <c r="D471" s="306">
        <v>0</v>
      </c>
      <c r="E471" s="306">
        <v>96800</v>
      </c>
      <c r="F471" s="306">
        <v>0</v>
      </c>
      <c r="G471" s="306">
        <v>0</v>
      </c>
      <c r="H471" s="306">
        <v>0</v>
      </c>
      <c r="I471" s="306">
        <v>0</v>
      </c>
      <c r="J471" s="306">
        <v>0</v>
      </c>
      <c r="K471" s="306">
        <v>0</v>
      </c>
      <c r="L471" s="306">
        <v>0</v>
      </c>
      <c r="M471" s="306">
        <v>0</v>
      </c>
      <c r="N471" s="306">
        <v>0</v>
      </c>
    </row>
    <row r="472" spans="1:14" ht="13.2">
      <c r="A472" s="306" t="s">
        <v>13</v>
      </c>
      <c r="B472" s="306" t="s">
        <v>732</v>
      </c>
      <c r="C472" s="306">
        <v>0</v>
      </c>
      <c r="D472" s="306">
        <v>0</v>
      </c>
      <c r="E472" s="306">
        <v>0</v>
      </c>
      <c r="F472" s="306">
        <v>240083</v>
      </c>
      <c r="G472" s="306">
        <v>0</v>
      </c>
      <c r="H472" s="306">
        <v>0</v>
      </c>
      <c r="I472" s="306">
        <v>0</v>
      </c>
      <c r="J472" s="306">
        <v>0</v>
      </c>
      <c r="K472" s="306">
        <v>0</v>
      </c>
      <c r="L472" s="306">
        <v>0</v>
      </c>
      <c r="M472" s="306">
        <v>0</v>
      </c>
      <c r="N472" s="306">
        <v>0</v>
      </c>
    </row>
    <row r="473" spans="1:14" ht="13.2">
      <c r="A473" s="306" t="s">
        <v>13</v>
      </c>
      <c r="B473" s="306" t="s">
        <v>733</v>
      </c>
      <c r="C473" s="306">
        <v>0</v>
      </c>
      <c r="D473" s="306">
        <v>0</v>
      </c>
      <c r="E473" s="306">
        <v>0</v>
      </c>
      <c r="F473" s="306">
        <v>35860</v>
      </c>
      <c r="G473" s="306">
        <v>0</v>
      </c>
      <c r="H473" s="306">
        <v>0</v>
      </c>
      <c r="I473" s="306">
        <v>0</v>
      </c>
      <c r="J473" s="306">
        <v>0</v>
      </c>
      <c r="K473" s="306">
        <v>0</v>
      </c>
      <c r="L473" s="306">
        <v>0</v>
      </c>
      <c r="M473" s="306">
        <v>0</v>
      </c>
      <c r="N473" s="306">
        <v>0</v>
      </c>
    </row>
    <row r="474" spans="1:14" ht="13.2">
      <c r="A474" s="306" t="s">
        <v>13</v>
      </c>
      <c r="B474" s="306" t="s">
        <v>734</v>
      </c>
      <c r="C474" s="306">
        <v>0</v>
      </c>
      <c r="D474" s="306">
        <v>3300</v>
      </c>
      <c r="E474" s="306">
        <v>3300</v>
      </c>
      <c r="F474" s="306">
        <v>3300</v>
      </c>
      <c r="G474" s="306">
        <v>5500</v>
      </c>
      <c r="H474" s="306">
        <v>5500</v>
      </c>
      <c r="I474" s="306">
        <v>5500</v>
      </c>
      <c r="J474" s="306">
        <v>5500</v>
      </c>
      <c r="K474" s="306">
        <v>5500</v>
      </c>
      <c r="L474" s="306">
        <v>0</v>
      </c>
      <c r="M474" s="306">
        <v>0</v>
      </c>
      <c r="N474" s="306">
        <v>0</v>
      </c>
    </row>
    <row r="475" spans="1:14" ht="13.2">
      <c r="A475" s="306" t="s">
        <v>13</v>
      </c>
      <c r="B475" s="306" t="s">
        <v>735</v>
      </c>
      <c r="C475" s="306">
        <v>0</v>
      </c>
      <c r="D475" s="306">
        <v>660</v>
      </c>
      <c r="E475" s="306">
        <v>3245</v>
      </c>
      <c r="F475" s="306">
        <v>3740</v>
      </c>
      <c r="G475" s="306">
        <v>1320</v>
      </c>
      <c r="H475" s="306">
        <v>1980</v>
      </c>
      <c r="I475" s="306">
        <v>2200</v>
      </c>
      <c r="J475" s="306">
        <v>7205</v>
      </c>
      <c r="K475" s="306">
        <v>3575</v>
      </c>
      <c r="L475" s="306">
        <v>0</v>
      </c>
      <c r="M475" s="306">
        <v>0</v>
      </c>
      <c r="N475" s="306">
        <v>0</v>
      </c>
    </row>
    <row r="476" spans="1:14" ht="13.2">
      <c r="A476" s="306" t="s">
        <v>13</v>
      </c>
      <c r="B476" s="306" t="s">
        <v>736</v>
      </c>
      <c r="C476" s="306">
        <v>0</v>
      </c>
      <c r="D476" s="306">
        <v>0</v>
      </c>
      <c r="E476" s="306">
        <v>0</v>
      </c>
      <c r="F476" s="306">
        <v>0</v>
      </c>
      <c r="G476" s="306">
        <v>0</v>
      </c>
      <c r="H476" s="306">
        <v>0</v>
      </c>
      <c r="I476" s="306">
        <v>550</v>
      </c>
      <c r="J476" s="306">
        <v>550</v>
      </c>
      <c r="K476" s="306">
        <v>550</v>
      </c>
      <c r="L476" s="306">
        <v>0</v>
      </c>
      <c r="M476" s="306">
        <v>0</v>
      </c>
      <c r="N476" s="306">
        <v>0</v>
      </c>
    </row>
    <row r="477" spans="1:14" ht="13.2">
      <c r="A477" s="306" t="s">
        <v>13</v>
      </c>
      <c r="B477" s="306" t="s">
        <v>737</v>
      </c>
      <c r="C477" s="306">
        <v>0</v>
      </c>
      <c r="D477" s="306">
        <v>0</v>
      </c>
      <c r="E477" s="306">
        <v>110</v>
      </c>
      <c r="F477" s="306">
        <v>0</v>
      </c>
      <c r="G477" s="306">
        <v>0</v>
      </c>
      <c r="H477" s="306">
        <v>0</v>
      </c>
      <c r="I477" s="306">
        <v>0</v>
      </c>
      <c r="J477" s="306">
        <v>0</v>
      </c>
      <c r="K477" s="306">
        <v>0</v>
      </c>
      <c r="L477" s="306">
        <v>0</v>
      </c>
      <c r="M477" s="306">
        <v>0</v>
      </c>
      <c r="N477" s="306">
        <v>0</v>
      </c>
    </row>
    <row r="478" spans="1:14" ht="13.2">
      <c r="A478" s="306" t="s">
        <v>15</v>
      </c>
      <c r="B478" s="306" t="s">
        <v>738</v>
      </c>
      <c r="C478" s="306">
        <v>23980</v>
      </c>
      <c r="D478" s="306">
        <v>0</v>
      </c>
      <c r="E478" s="306">
        <v>0</v>
      </c>
      <c r="F478" s="306">
        <v>0</v>
      </c>
      <c r="G478" s="306">
        <v>0</v>
      </c>
      <c r="H478" s="306">
        <v>0</v>
      </c>
      <c r="I478" s="306">
        <v>0</v>
      </c>
      <c r="J478" s="306">
        <v>0</v>
      </c>
      <c r="K478" s="306">
        <v>0</v>
      </c>
      <c r="L478" s="306">
        <v>0</v>
      </c>
      <c r="M478" s="306">
        <v>0</v>
      </c>
      <c r="N478" s="306">
        <v>0</v>
      </c>
    </row>
    <row r="479" spans="1:14" ht="13.2">
      <c r="A479" s="306" t="s">
        <v>15</v>
      </c>
      <c r="B479" s="306" t="s">
        <v>739</v>
      </c>
      <c r="C479" s="306">
        <v>0</v>
      </c>
      <c r="D479" s="306">
        <v>9900</v>
      </c>
      <c r="E479" s="306">
        <v>9900</v>
      </c>
      <c r="F479" s="306">
        <v>9900</v>
      </c>
      <c r="G479" s="306">
        <v>9900</v>
      </c>
      <c r="H479" s="306">
        <v>9900</v>
      </c>
      <c r="I479" s="306">
        <v>9900</v>
      </c>
      <c r="J479" s="306">
        <v>9900</v>
      </c>
      <c r="K479" s="306">
        <v>9900</v>
      </c>
      <c r="L479" s="306">
        <v>0</v>
      </c>
      <c r="M479" s="306">
        <v>0</v>
      </c>
      <c r="N479" s="306">
        <v>0</v>
      </c>
    </row>
    <row r="480" spans="1:14" ht="13.2">
      <c r="A480" s="306" t="s">
        <v>15</v>
      </c>
      <c r="B480" s="306" t="s">
        <v>740</v>
      </c>
      <c r="C480" s="306">
        <v>0</v>
      </c>
      <c r="D480" s="306">
        <v>51040</v>
      </c>
      <c r="E480" s="306">
        <v>51040</v>
      </c>
      <c r="F480" s="306">
        <v>51040</v>
      </c>
      <c r="G480" s="306">
        <v>51040</v>
      </c>
      <c r="H480" s="306">
        <v>51040</v>
      </c>
      <c r="I480" s="306">
        <v>51040</v>
      </c>
      <c r="J480" s="306">
        <v>51040</v>
      </c>
      <c r="K480" s="306">
        <v>51040</v>
      </c>
      <c r="L480" s="306">
        <v>0</v>
      </c>
      <c r="M480" s="306">
        <v>0</v>
      </c>
      <c r="N480" s="306">
        <v>0</v>
      </c>
    </row>
    <row r="481" spans="1:14" ht="13.2">
      <c r="A481" s="306" t="s">
        <v>15</v>
      </c>
      <c r="B481" s="306" t="s">
        <v>741</v>
      </c>
      <c r="C481" s="306">
        <v>0</v>
      </c>
      <c r="D481" s="306">
        <v>0</v>
      </c>
      <c r="E481" s="306">
        <v>47960</v>
      </c>
      <c r="F481" s="306">
        <v>23980</v>
      </c>
      <c r="G481" s="306">
        <v>0</v>
      </c>
      <c r="H481" s="306">
        <v>23980</v>
      </c>
      <c r="I481" s="306">
        <v>23980</v>
      </c>
      <c r="J481" s="306">
        <v>23980</v>
      </c>
      <c r="K481" s="306">
        <v>47960</v>
      </c>
      <c r="L481" s="306">
        <v>0</v>
      </c>
      <c r="M481" s="306">
        <v>0</v>
      </c>
      <c r="N481" s="306">
        <v>0</v>
      </c>
    </row>
    <row r="482" spans="1:14" ht="13.2">
      <c r="A482" s="306" t="s">
        <v>15</v>
      </c>
      <c r="B482" s="306" t="s">
        <v>742</v>
      </c>
      <c r="C482" s="306">
        <v>0</v>
      </c>
      <c r="D482" s="306">
        <v>0</v>
      </c>
      <c r="E482" s="306">
        <v>0</v>
      </c>
      <c r="F482" s="306">
        <v>0</v>
      </c>
      <c r="G482" s="306">
        <v>0</v>
      </c>
      <c r="H482" s="306">
        <v>102450</v>
      </c>
      <c r="I482" s="306">
        <v>0</v>
      </c>
      <c r="J482" s="306">
        <v>0</v>
      </c>
      <c r="K482" s="306">
        <v>0</v>
      </c>
      <c r="L482" s="306">
        <v>0</v>
      </c>
      <c r="M482" s="306">
        <v>0</v>
      </c>
      <c r="N482" s="306">
        <v>0</v>
      </c>
    </row>
    <row r="483" spans="1:14" ht="13.2">
      <c r="A483" s="306" t="s">
        <v>15</v>
      </c>
      <c r="B483" s="306" t="s">
        <v>743</v>
      </c>
      <c r="C483" s="306">
        <v>0</v>
      </c>
      <c r="D483" s="306">
        <v>0</v>
      </c>
      <c r="E483" s="306">
        <v>0</v>
      </c>
      <c r="F483" s="306">
        <v>0</v>
      </c>
      <c r="G483" s="306">
        <v>0</v>
      </c>
      <c r="H483" s="306">
        <v>0</v>
      </c>
      <c r="I483" s="306">
        <v>101900</v>
      </c>
      <c r="J483" s="306">
        <v>101900</v>
      </c>
      <c r="K483" s="306">
        <v>101900</v>
      </c>
      <c r="L483" s="306">
        <v>0</v>
      </c>
      <c r="M483" s="306">
        <v>0</v>
      </c>
      <c r="N483" s="306">
        <v>0</v>
      </c>
    </row>
    <row r="484" spans="1:14" ht="13.2">
      <c r="A484" s="306" t="s">
        <v>16</v>
      </c>
      <c r="B484" s="306" t="s">
        <v>744</v>
      </c>
      <c r="C484" s="306">
        <v>5466</v>
      </c>
      <c r="D484" s="306">
        <v>0</v>
      </c>
      <c r="E484" s="306">
        <v>0</v>
      </c>
      <c r="F484" s="306">
        <v>0</v>
      </c>
      <c r="G484" s="306">
        <v>0</v>
      </c>
      <c r="H484" s="306">
        <v>0</v>
      </c>
      <c r="I484" s="306">
        <v>0</v>
      </c>
      <c r="J484" s="306">
        <v>0</v>
      </c>
      <c r="K484" s="306">
        <v>0</v>
      </c>
      <c r="L484" s="306">
        <v>0</v>
      </c>
      <c r="M484" s="306">
        <v>0</v>
      </c>
      <c r="N484" s="306">
        <v>0</v>
      </c>
    </row>
    <row r="485" spans="1:14" ht="13.2">
      <c r="A485" s="306" t="s">
        <v>16</v>
      </c>
      <c r="B485" s="306" t="s">
        <v>745</v>
      </c>
      <c r="C485" s="306">
        <v>87450</v>
      </c>
      <c r="D485" s="306">
        <v>0</v>
      </c>
      <c r="E485" s="306">
        <v>0</v>
      </c>
      <c r="F485" s="306">
        <v>0</v>
      </c>
      <c r="G485" s="306">
        <v>0</v>
      </c>
      <c r="H485" s="306">
        <v>0</v>
      </c>
      <c r="I485" s="306">
        <v>0</v>
      </c>
      <c r="J485" s="306">
        <v>0</v>
      </c>
      <c r="K485" s="306">
        <v>0</v>
      </c>
      <c r="L485" s="306">
        <v>0</v>
      </c>
      <c r="M485" s="306">
        <v>0</v>
      </c>
      <c r="N485" s="306">
        <v>0</v>
      </c>
    </row>
    <row r="486" spans="1:14" ht="13.2">
      <c r="A486" s="306" t="s">
        <v>16</v>
      </c>
      <c r="B486" s="306" t="s">
        <v>746</v>
      </c>
      <c r="C486" s="306">
        <v>0</v>
      </c>
      <c r="D486" s="306">
        <v>30650</v>
      </c>
      <c r="E486" s="306">
        <v>0</v>
      </c>
      <c r="F486" s="306">
        <v>0</v>
      </c>
      <c r="G486" s="306">
        <v>0</v>
      </c>
      <c r="H486" s="306">
        <v>0</v>
      </c>
      <c r="I486" s="306">
        <v>0</v>
      </c>
      <c r="J486" s="306">
        <v>0</v>
      </c>
      <c r="K486" s="306">
        <v>0</v>
      </c>
      <c r="L486" s="306">
        <v>0</v>
      </c>
      <c r="M486" s="306">
        <v>0</v>
      </c>
      <c r="N486" s="306">
        <v>0</v>
      </c>
    </row>
    <row r="487" spans="1:14" ht="13.2">
      <c r="A487" s="306" t="s">
        <v>16</v>
      </c>
      <c r="B487" s="306" t="s">
        <v>747</v>
      </c>
      <c r="C487" s="306">
        <v>0</v>
      </c>
      <c r="D487" s="306">
        <v>77550</v>
      </c>
      <c r="E487" s="306">
        <v>0</v>
      </c>
      <c r="F487" s="306">
        <v>0</v>
      </c>
      <c r="G487" s="306">
        <v>0</v>
      </c>
      <c r="H487" s="306">
        <v>0</v>
      </c>
      <c r="I487" s="306">
        <v>0</v>
      </c>
      <c r="J487" s="306">
        <v>0</v>
      </c>
      <c r="K487" s="306">
        <v>0</v>
      </c>
      <c r="L487" s="306">
        <v>0</v>
      </c>
      <c r="M487" s="306">
        <v>0</v>
      </c>
      <c r="N487" s="306">
        <v>0</v>
      </c>
    </row>
    <row r="488" spans="1:14" ht="13.2">
      <c r="A488" s="306" t="s">
        <v>16</v>
      </c>
      <c r="B488" s="306" t="s">
        <v>748</v>
      </c>
      <c r="C488" s="306">
        <v>0</v>
      </c>
      <c r="D488" s="306">
        <v>0</v>
      </c>
      <c r="E488" s="306">
        <v>80278</v>
      </c>
      <c r="F488" s="306">
        <v>0</v>
      </c>
      <c r="G488" s="306">
        <v>0</v>
      </c>
      <c r="H488" s="306">
        <v>0</v>
      </c>
      <c r="I488" s="306">
        <v>0</v>
      </c>
      <c r="J488" s="306">
        <v>0</v>
      </c>
      <c r="K488" s="306">
        <v>0</v>
      </c>
      <c r="L488" s="306">
        <v>0</v>
      </c>
      <c r="M488" s="306">
        <v>0</v>
      </c>
      <c r="N488" s="306">
        <v>0</v>
      </c>
    </row>
    <row r="489" spans="1:14" ht="13.2">
      <c r="A489" s="306" t="s">
        <v>16</v>
      </c>
      <c r="B489" s="306" t="s">
        <v>749</v>
      </c>
      <c r="C489" s="306">
        <v>0</v>
      </c>
      <c r="D489" s="306">
        <v>0</v>
      </c>
      <c r="E489" s="306">
        <v>0</v>
      </c>
      <c r="F489" s="306">
        <v>0</v>
      </c>
      <c r="G489" s="306">
        <v>204900</v>
      </c>
      <c r="H489" s="306">
        <v>0</v>
      </c>
      <c r="I489" s="306">
        <v>0</v>
      </c>
      <c r="J489" s="306">
        <v>0</v>
      </c>
      <c r="K489" s="306">
        <v>0</v>
      </c>
      <c r="L489" s="306">
        <v>0</v>
      </c>
      <c r="M489" s="306">
        <v>0</v>
      </c>
      <c r="N489" s="306">
        <v>0</v>
      </c>
    </row>
    <row r="490" spans="1:14" ht="13.2">
      <c r="A490" s="306" t="s">
        <v>16</v>
      </c>
      <c r="B490" s="306" t="s">
        <v>750</v>
      </c>
      <c r="C490" s="306">
        <v>11393</v>
      </c>
      <c r="D490" s="306">
        <v>18161</v>
      </c>
      <c r="E490" s="306">
        <v>1980</v>
      </c>
      <c r="F490" s="306">
        <v>0</v>
      </c>
      <c r="G490" s="306">
        <v>0</v>
      </c>
      <c r="H490" s="306">
        <v>0</v>
      </c>
      <c r="I490" s="306">
        <v>0</v>
      </c>
      <c r="J490" s="306">
        <v>0</v>
      </c>
      <c r="K490" s="306">
        <v>0</v>
      </c>
      <c r="L490" s="306">
        <v>0</v>
      </c>
      <c r="M490" s="306">
        <v>0</v>
      </c>
      <c r="N490" s="306">
        <v>0</v>
      </c>
    </row>
    <row r="491" spans="1:14" ht="13.2">
      <c r="A491" s="306" t="s">
        <v>16</v>
      </c>
      <c r="B491" s="306" t="s">
        <v>751</v>
      </c>
      <c r="C491" s="306">
        <v>0</v>
      </c>
      <c r="D491" s="306">
        <v>22770</v>
      </c>
      <c r="E491" s="306">
        <v>28170</v>
      </c>
      <c r="F491" s="306">
        <v>0</v>
      </c>
      <c r="G491" s="306">
        <v>0</v>
      </c>
      <c r="H491" s="306">
        <v>0</v>
      </c>
      <c r="I491" s="306">
        <v>0</v>
      </c>
      <c r="J491" s="306">
        <v>0</v>
      </c>
      <c r="K491" s="306">
        <v>0</v>
      </c>
      <c r="L491" s="306">
        <v>0</v>
      </c>
      <c r="M491" s="306">
        <v>0</v>
      </c>
      <c r="N491" s="306">
        <v>0</v>
      </c>
    </row>
    <row r="492" spans="1:14" ht="13.2">
      <c r="A492" s="306" t="s">
        <v>16</v>
      </c>
      <c r="B492" s="306" t="s">
        <v>752</v>
      </c>
      <c r="C492" s="306">
        <v>192822</v>
      </c>
      <c r="D492" s="306">
        <v>0</v>
      </c>
      <c r="E492" s="306">
        <v>0</v>
      </c>
      <c r="F492" s="306">
        <v>0</v>
      </c>
      <c r="G492" s="306">
        <v>0</v>
      </c>
      <c r="H492" s="306">
        <v>0</v>
      </c>
      <c r="I492" s="306">
        <v>0</v>
      </c>
      <c r="J492" s="306">
        <v>0</v>
      </c>
      <c r="K492" s="306">
        <v>0</v>
      </c>
      <c r="L492" s="306">
        <v>0</v>
      </c>
      <c r="M492" s="306">
        <v>0</v>
      </c>
      <c r="N492" s="306">
        <v>0</v>
      </c>
    </row>
    <row r="493" spans="1:14" ht="13.2">
      <c r="A493" s="306" t="s">
        <v>16</v>
      </c>
      <c r="B493" s="306" t="s">
        <v>753</v>
      </c>
      <c r="C493" s="306">
        <v>0</v>
      </c>
      <c r="D493" s="306">
        <v>0</v>
      </c>
      <c r="E493" s="306">
        <v>0</v>
      </c>
      <c r="F493" s="306">
        <v>163267</v>
      </c>
      <c r="G493" s="306">
        <v>0</v>
      </c>
      <c r="H493" s="306">
        <v>0</v>
      </c>
      <c r="I493" s="306">
        <v>0</v>
      </c>
      <c r="J493" s="306">
        <v>147291</v>
      </c>
      <c r="K493" s="306">
        <v>0</v>
      </c>
      <c r="L493" s="306">
        <v>0</v>
      </c>
      <c r="M493" s="306">
        <v>0</v>
      </c>
      <c r="N493" s="306">
        <v>0</v>
      </c>
    </row>
    <row r="494" spans="1:14" ht="13.2">
      <c r="A494" s="306" t="s">
        <v>17</v>
      </c>
      <c r="B494" s="306" t="s">
        <v>754</v>
      </c>
      <c r="C494" s="306">
        <v>3300</v>
      </c>
      <c r="D494" s="306">
        <v>0</v>
      </c>
      <c r="E494" s="306">
        <v>0</v>
      </c>
      <c r="F494" s="306">
        <v>0</v>
      </c>
      <c r="G494" s="306">
        <v>0</v>
      </c>
      <c r="H494" s="306">
        <v>0</v>
      </c>
      <c r="I494" s="306">
        <v>0</v>
      </c>
      <c r="J494" s="306">
        <v>0</v>
      </c>
      <c r="K494" s="306">
        <v>0</v>
      </c>
      <c r="L494" s="306">
        <v>0</v>
      </c>
      <c r="M494" s="306">
        <v>0</v>
      </c>
      <c r="N494" s="306">
        <v>0</v>
      </c>
    </row>
    <row r="495" spans="1:14" ht="13.2">
      <c r="A495" s="306" t="s">
        <v>17</v>
      </c>
      <c r="B495" s="306" t="s">
        <v>755</v>
      </c>
      <c r="C495" s="306">
        <v>22000</v>
      </c>
      <c r="D495" s="306">
        <v>0</v>
      </c>
      <c r="E495" s="306">
        <v>0</v>
      </c>
      <c r="F495" s="306">
        <v>0</v>
      </c>
      <c r="G495" s="306">
        <v>0</v>
      </c>
      <c r="H495" s="306">
        <v>0</v>
      </c>
      <c r="I495" s="306">
        <v>0</v>
      </c>
      <c r="J495" s="306">
        <v>0</v>
      </c>
      <c r="K495" s="306">
        <v>0</v>
      </c>
      <c r="L495" s="306">
        <v>0</v>
      </c>
      <c r="M495" s="306">
        <v>0</v>
      </c>
      <c r="N495" s="306">
        <v>0</v>
      </c>
    </row>
    <row r="496" spans="1:14" ht="13.2">
      <c r="A496" s="306" t="s">
        <v>17</v>
      </c>
      <c r="B496" s="306" t="s">
        <v>756</v>
      </c>
      <c r="C496" s="306">
        <v>7505</v>
      </c>
      <c r="D496" s="306">
        <v>0</v>
      </c>
      <c r="E496" s="306">
        <v>0</v>
      </c>
      <c r="F496" s="306">
        <v>0</v>
      </c>
      <c r="G496" s="306">
        <v>0</v>
      </c>
      <c r="H496" s="306">
        <v>0</v>
      </c>
      <c r="I496" s="306">
        <v>0</v>
      </c>
      <c r="J496" s="306">
        <v>0</v>
      </c>
      <c r="K496" s="306">
        <v>0</v>
      </c>
      <c r="L496" s="306">
        <v>0</v>
      </c>
      <c r="M496" s="306">
        <v>0</v>
      </c>
      <c r="N496" s="306">
        <v>0</v>
      </c>
    </row>
    <row r="497" spans="1:14" ht="13.2">
      <c r="A497" s="306" t="s">
        <v>17</v>
      </c>
      <c r="B497" s="306" t="s">
        <v>735</v>
      </c>
      <c r="C497" s="306">
        <v>0</v>
      </c>
      <c r="D497" s="306">
        <v>3300</v>
      </c>
      <c r="E497" s="306">
        <v>3300</v>
      </c>
      <c r="F497" s="306">
        <v>3300</v>
      </c>
      <c r="G497" s="306">
        <v>3300</v>
      </c>
      <c r="H497" s="306">
        <v>3300</v>
      </c>
      <c r="I497" s="306">
        <v>3300</v>
      </c>
      <c r="J497" s="306">
        <v>3300</v>
      </c>
      <c r="K497" s="306">
        <v>3300</v>
      </c>
      <c r="L497" s="306">
        <v>0</v>
      </c>
      <c r="M497" s="306">
        <v>0</v>
      </c>
      <c r="N497" s="306">
        <v>0</v>
      </c>
    </row>
    <row r="498" spans="1:14" ht="13.2">
      <c r="A498" s="306" t="s">
        <v>17</v>
      </c>
      <c r="B498" s="306" t="s">
        <v>757</v>
      </c>
      <c r="C498" s="306">
        <v>0</v>
      </c>
      <c r="D498" s="306">
        <v>550</v>
      </c>
      <c r="E498" s="306">
        <v>0</v>
      </c>
      <c r="F498" s="306">
        <v>0</v>
      </c>
      <c r="G498" s="306">
        <v>0</v>
      </c>
      <c r="H498" s="306">
        <v>0</v>
      </c>
      <c r="I498" s="306">
        <v>0</v>
      </c>
      <c r="J498" s="306">
        <v>0</v>
      </c>
      <c r="K498" s="306">
        <v>0</v>
      </c>
      <c r="L498" s="306">
        <v>0</v>
      </c>
      <c r="M498" s="306">
        <v>0</v>
      </c>
      <c r="N498" s="306">
        <v>0</v>
      </c>
    </row>
    <row r="499" spans="1:14" ht="13.2">
      <c r="A499" s="306" t="s">
        <v>17</v>
      </c>
      <c r="B499" s="306" t="s">
        <v>758</v>
      </c>
      <c r="C499" s="306">
        <v>0</v>
      </c>
      <c r="D499" s="306">
        <v>29937</v>
      </c>
      <c r="E499" s="306">
        <v>29937</v>
      </c>
      <c r="F499" s="306">
        <v>29937</v>
      </c>
      <c r="G499" s="306">
        <v>29937</v>
      </c>
      <c r="H499" s="306">
        <v>29937</v>
      </c>
      <c r="I499" s="306">
        <v>29937</v>
      </c>
      <c r="J499" s="306">
        <v>29937</v>
      </c>
      <c r="K499" s="306">
        <v>29937</v>
      </c>
      <c r="L499" s="306">
        <v>0</v>
      </c>
      <c r="M499" s="306">
        <v>0</v>
      </c>
      <c r="N499" s="306">
        <v>0</v>
      </c>
    </row>
    <row r="500" spans="1:14" ht="13.2">
      <c r="A500" s="306" t="s">
        <v>17</v>
      </c>
      <c r="B500" s="306" t="s">
        <v>759</v>
      </c>
      <c r="C500" s="306">
        <v>0</v>
      </c>
      <c r="D500" s="306">
        <v>5386</v>
      </c>
      <c r="E500" s="306">
        <v>4750</v>
      </c>
      <c r="F500" s="306">
        <v>3300</v>
      </c>
      <c r="G500" s="306">
        <v>4978</v>
      </c>
      <c r="H500" s="306">
        <v>8786</v>
      </c>
      <c r="I500" s="306">
        <v>4970</v>
      </c>
      <c r="J500" s="306">
        <v>6671</v>
      </c>
      <c r="K500" s="306">
        <v>4488</v>
      </c>
      <c r="L500" s="306">
        <v>0</v>
      </c>
      <c r="M500" s="306">
        <v>0</v>
      </c>
      <c r="N500" s="306">
        <v>0</v>
      </c>
    </row>
    <row r="501" spans="1:14" ht="13.2">
      <c r="A501" s="306" t="s">
        <v>17</v>
      </c>
      <c r="B501" s="306" t="s">
        <v>760</v>
      </c>
      <c r="C501" s="306">
        <v>0</v>
      </c>
      <c r="D501" s="306">
        <v>0</v>
      </c>
      <c r="E501" s="306">
        <v>242000</v>
      </c>
      <c r="F501" s="306">
        <v>0</v>
      </c>
      <c r="G501" s="306">
        <v>0</v>
      </c>
      <c r="H501" s="306">
        <v>0</v>
      </c>
      <c r="I501" s="306">
        <v>0</v>
      </c>
      <c r="J501" s="306">
        <v>0</v>
      </c>
      <c r="K501" s="306">
        <v>0</v>
      </c>
      <c r="L501" s="306">
        <v>0</v>
      </c>
      <c r="M501" s="306">
        <v>0</v>
      </c>
      <c r="N501" s="306">
        <v>0</v>
      </c>
    </row>
    <row r="502" spans="1:14" ht="13.2">
      <c r="A502" s="306" t="s">
        <v>17</v>
      </c>
      <c r="B502" s="306" t="s">
        <v>761</v>
      </c>
      <c r="C502" s="306">
        <v>0</v>
      </c>
      <c r="D502" s="306">
        <v>0</v>
      </c>
      <c r="E502" s="306">
        <v>0</v>
      </c>
      <c r="F502" s="306">
        <v>13200</v>
      </c>
      <c r="G502" s="306">
        <v>0</v>
      </c>
      <c r="H502" s="306">
        <v>0</v>
      </c>
      <c r="I502" s="306">
        <v>0</v>
      </c>
      <c r="J502" s="306">
        <v>0</v>
      </c>
      <c r="K502" s="306">
        <v>0</v>
      </c>
      <c r="L502" s="306">
        <v>0</v>
      </c>
      <c r="M502" s="306">
        <v>0</v>
      </c>
      <c r="N502" s="306">
        <v>0</v>
      </c>
    </row>
    <row r="503" spans="1:14" ht="13.2">
      <c r="A503" s="306" t="s">
        <v>17</v>
      </c>
      <c r="B503" s="306" t="s">
        <v>0</v>
      </c>
      <c r="C503" s="306">
        <v>1100</v>
      </c>
      <c r="D503" s="306">
        <v>0</v>
      </c>
      <c r="E503" s="306">
        <v>1100</v>
      </c>
      <c r="F503" s="306">
        <v>550</v>
      </c>
      <c r="G503" s="306">
        <v>550</v>
      </c>
      <c r="H503" s="306">
        <v>1100</v>
      </c>
      <c r="I503" s="306">
        <v>1100</v>
      </c>
      <c r="J503" s="306">
        <v>0</v>
      </c>
      <c r="K503" s="306">
        <v>550</v>
      </c>
      <c r="L503" s="306">
        <v>0</v>
      </c>
      <c r="M503" s="306">
        <v>0</v>
      </c>
      <c r="N503" s="306">
        <v>0</v>
      </c>
    </row>
    <row r="504" spans="1:14" ht="13.2">
      <c r="A504" s="306" t="s">
        <v>17</v>
      </c>
      <c r="B504" s="306" t="s">
        <v>737</v>
      </c>
      <c r="C504" s="306">
        <v>1100</v>
      </c>
      <c r="D504" s="306">
        <v>0</v>
      </c>
      <c r="E504" s="306">
        <v>0</v>
      </c>
      <c r="F504" s="306">
        <v>0</v>
      </c>
      <c r="G504" s="306">
        <v>0</v>
      </c>
      <c r="H504" s="306">
        <v>0</v>
      </c>
      <c r="I504" s="306">
        <v>0</v>
      </c>
      <c r="J504" s="306">
        <v>0</v>
      </c>
      <c r="K504" s="306">
        <v>0</v>
      </c>
      <c r="L504" s="306">
        <v>0</v>
      </c>
      <c r="M504" s="306">
        <v>0</v>
      </c>
      <c r="N504" s="306">
        <v>0</v>
      </c>
    </row>
    <row r="505" spans="1:14" ht="13.2">
      <c r="A505" s="306" t="s">
        <v>17</v>
      </c>
      <c r="B505" s="306" t="s">
        <v>263</v>
      </c>
      <c r="C505" s="306">
        <v>2680</v>
      </c>
      <c r="D505" s="306">
        <v>3010</v>
      </c>
      <c r="E505" s="306">
        <v>4060</v>
      </c>
      <c r="F505" s="306">
        <v>3780</v>
      </c>
      <c r="G505" s="306">
        <v>1690</v>
      </c>
      <c r="H505" s="306">
        <v>1750</v>
      </c>
      <c r="I505" s="306">
        <v>7920</v>
      </c>
      <c r="J505" s="306">
        <v>930</v>
      </c>
      <c r="K505" s="306">
        <v>380</v>
      </c>
      <c r="L505" s="306">
        <v>0</v>
      </c>
      <c r="M505" s="306">
        <v>0</v>
      </c>
      <c r="N505" s="306">
        <v>0</v>
      </c>
    </row>
    <row r="506" spans="1:14" ht="13.2">
      <c r="A506" s="306" t="s">
        <v>17</v>
      </c>
      <c r="B506" s="306" t="s">
        <v>762</v>
      </c>
      <c r="C506" s="306">
        <v>0</v>
      </c>
      <c r="D506" s="306">
        <v>1100</v>
      </c>
      <c r="E506" s="306">
        <v>1100</v>
      </c>
      <c r="F506" s="306">
        <v>1100</v>
      </c>
      <c r="G506" s="306">
        <v>1100</v>
      </c>
      <c r="H506" s="306">
        <v>1100</v>
      </c>
      <c r="I506" s="306">
        <v>1100</v>
      </c>
      <c r="J506" s="306">
        <v>1100</v>
      </c>
      <c r="K506" s="306">
        <v>1100</v>
      </c>
      <c r="L506" s="306">
        <v>0</v>
      </c>
      <c r="M506" s="306">
        <v>0</v>
      </c>
      <c r="N506" s="306">
        <v>0</v>
      </c>
    </row>
    <row r="507" spans="1:14" ht="13.2">
      <c r="A507" s="306" t="s">
        <v>17</v>
      </c>
      <c r="B507" s="306" t="s">
        <v>737</v>
      </c>
      <c r="C507" s="306">
        <v>10285</v>
      </c>
      <c r="D507" s="306">
        <v>330</v>
      </c>
      <c r="E507" s="306">
        <v>0</v>
      </c>
      <c r="F507" s="306">
        <v>0</v>
      </c>
      <c r="G507" s="306">
        <v>0</v>
      </c>
      <c r="H507" s="306">
        <v>0</v>
      </c>
      <c r="I507" s="306">
        <v>0</v>
      </c>
      <c r="J507" s="306">
        <v>0</v>
      </c>
      <c r="K507" s="306">
        <v>0</v>
      </c>
      <c r="L507" s="306">
        <v>0</v>
      </c>
      <c r="M507" s="306">
        <v>0</v>
      </c>
      <c r="N507" s="306">
        <v>0</v>
      </c>
    </row>
    <row r="508" spans="1:14" ht="13.2">
      <c r="A508" s="306" t="s">
        <v>17</v>
      </c>
      <c r="B508" s="306" t="s">
        <v>763</v>
      </c>
      <c r="C508" s="306">
        <v>72633</v>
      </c>
      <c r="D508" s="306">
        <v>0</v>
      </c>
      <c r="E508" s="306">
        <v>0</v>
      </c>
      <c r="F508" s="306">
        <v>0</v>
      </c>
      <c r="G508" s="306">
        <v>0</v>
      </c>
      <c r="H508" s="306">
        <v>0</v>
      </c>
      <c r="I508" s="306">
        <v>0</v>
      </c>
      <c r="J508" s="306">
        <v>0</v>
      </c>
      <c r="K508" s="306">
        <v>0</v>
      </c>
      <c r="L508" s="306">
        <v>0</v>
      </c>
      <c r="M508" s="306">
        <v>0</v>
      </c>
      <c r="N508" s="306">
        <v>0</v>
      </c>
    </row>
    <row r="509" spans="1:14" ht="13.2">
      <c r="A509" s="306" t="s">
        <v>17</v>
      </c>
      <c r="B509" s="306" t="s">
        <v>764</v>
      </c>
      <c r="C509" s="306">
        <v>0</v>
      </c>
      <c r="D509" s="306">
        <v>16060</v>
      </c>
      <c r="E509" s="306">
        <v>500060</v>
      </c>
      <c r="F509" s="306">
        <v>0</v>
      </c>
      <c r="G509" s="306">
        <v>0</v>
      </c>
      <c r="H509" s="306">
        <v>16060</v>
      </c>
      <c r="I509" s="306">
        <v>0</v>
      </c>
      <c r="J509" s="306">
        <v>32120</v>
      </c>
      <c r="K509" s="306">
        <v>0</v>
      </c>
      <c r="L509" s="306">
        <v>0</v>
      </c>
      <c r="M509" s="306">
        <v>0</v>
      </c>
      <c r="N509" s="306">
        <v>0</v>
      </c>
    </row>
    <row r="510" spans="1:14" ht="13.2">
      <c r="A510" s="306" t="s">
        <v>17</v>
      </c>
      <c r="B510" s="306" t="s">
        <v>765</v>
      </c>
      <c r="C510" s="306">
        <v>0</v>
      </c>
      <c r="D510" s="306">
        <v>48400</v>
      </c>
      <c r="E510" s="306">
        <v>48400</v>
      </c>
      <c r="F510" s="306">
        <v>48400</v>
      </c>
      <c r="G510" s="306">
        <v>48400</v>
      </c>
      <c r="H510" s="306">
        <v>48400</v>
      </c>
      <c r="I510" s="306">
        <v>48400</v>
      </c>
      <c r="J510" s="306">
        <v>48400</v>
      </c>
      <c r="K510" s="306">
        <v>48400</v>
      </c>
      <c r="L510" s="306">
        <v>0</v>
      </c>
      <c r="M510" s="306">
        <v>0</v>
      </c>
      <c r="N510" s="306">
        <v>0</v>
      </c>
    </row>
    <row r="511" spans="1:14" ht="13.2">
      <c r="A511" s="306" t="s">
        <v>17</v>
      </c>
      <c r="B511" s="306" t="s">
        <v>766</v>
      </c>
      <c r="C511" s="306">
        <v>0</v>
      </c>
      <c r="D511" s="306">
        <v>13200</v>
      </c>
      <c r="E511" s="306">
        <v>13200</v>
      </c>
      <c r="F511" s="306">
        <v>13200</v>
      </c>
      <c r="G511" s="306">
        <v>13200</v>
      </c>
      <c r="H511" s="306">
        <v>2200</v>
      </c>
      <c r="I511" s="306">
        <v>2200</v>
      </c>
      <c r="J511" s="306">
        <v>2200</v>
      </c>
      <c r="K511" s="306">
        <v>15400</v>
      </c>
      <c r="L511" s="306">
        <v>0</v>
      </c>
      <c r="M511" s="306">
        <v>0</v>
      </c>
      <c r="N511" s="306">
        <v>0</v>
      </c>
    </row>
    <row r="512" spans="1:14" ht="13.2">
      <c r="A512" s="306" t="s">
        <v>17</v>
      </c>
      <c r="B512" s="306" t="s">
        <v>767</v>
      </c>
      <c r="C512" s="306">
        <v>0</v>
      </c>
      <c r="D512" s="306">
        <v>0</v>
      </c>
      <c r="E512" s="306">
        <v>11968</v>
      </c>
      <c r="F512" s="306">
        <v>11033</v>
      </c>
      <c r="G512" s="306">
        <v>12903</v>
      </c>
      <c r="H512" s="306">
        <v>11033</v>
      </c>
      <c r="I512" s="306">
        <v>11968</v>
      </c>
      <c r="J512" s="306">
        <v>10098</v>
      </c>
      <c r="K512" s="306">
        <v>11968</v>
      </c>
      <c r="L512" s="306">
        <v>0</v>
      </c>
      <c r="M512" s="306">
        <v>0</v>
      </c>
      <c r="N512" s="306">
        <v>0</v>
      </c>
    </row>
    <row r="513" spans="1:14" ht="13.2">
      <c r="A513" s="306" t="s">
        <v>17</v>
      </c>
      <c r="B513" s="306" t="s">
        <v>763</v>
      </c>
      <c r="C513" s="306">
        <v>0</v>
      </c>
      <c r="D513" s="306">
        <v>0</v>
      </c>
      <c r="E513" s="306">
        <v>105</v>
      </c>
      <c r="F513" s="306">
        <v>0</v>
      </c>
      <c r="G513" s="306">
        <v>0</v>
      </c>
      <c r="H513" s="306">
        <v>0</v>
      </c>
      <c r="I513" s="306">
        <v>0</v>
      </c>
      <c r="J513" s="306">
        <v>0</v>
      </c>
      <c r="K513" s="306">
        <v>0</v>
      </c>
      <c r="L513" s="306">
        <v>0</v>
      </c>
      <c r="M513" s="306">
        <v>0</v>
      </c>
      <c r="N513" s="306">
        <v>0</v>
      </c>
    </row>
    <row r="514" spans="1:14" ht="13.2">
      <c r="A514" s="306" t="s">
        <v>18</v>
      </c>
      <c r="B514" s="306" t="s">
        <v>768</v>
      </c>
      <c r="C514" s="306">
        <v>29937</v>
      </c>
      <c r="D514" s="306">
        <v>0</v>
      </c>
      <c r="E514" s="306">
        <v>0</v>
      </c>
      <c r="F514" s="306">
        <v>0</v>
      </c>
      <c r="G514" s="306">
        <v>0</v>
      </c>
      <c r="H514" s="306">
        <v>0</v>
      </c>
      <c r="I514" s="306">
        <v>0</v>
      </c>
      <c r="J514" s="306">
        <v>0</v>
      </c>
      <c r="K514" s="306">
        <v>0</v>
      </c>
      <c r="L514" s="306">
        <v>0</v>
      </c>
      <c r="M514" s="306">
        <v>0</v>
      </c>
      <c r="N514" s="306">
        <v>0</v>
      </c>
    </row>
    <row r="515" spans="1:14" ht="13.2">
      <c r="A515" s="306" t="s">
        <v>18</v>
      </c>
      <c r="B515" s="306" t="s">
        <v>769</v>
      </c>
      <c r="C515" s="306">
        <v>16625</v>
      </c>
      <c r="D515" s="306">
        <v>0</v>
      </c>
      <c r="E515" s="306">
        <v>0</v>
      </c>
      <c r="F515" s="306">
        <v>0</v>
      </c>
      <c r="G515" s="306">
        <v>0</v>
      </c>
      <c r="H515" s="306">
        <v>0</v>
      </c>
      <c r="I515" s="306">
        <v>0</v>
      </c>
      <c r="J515" s="306">
        <v>0</v>
      </c>
      <c r="K515" s="306">
        <v>0</v>
      </c>
      <c r="L515" s="306">
        <v>0</v>
      </c>
      <c r="M515" s="306">
        <v>0</v>
      </c>
      <c r="N515" s="306">
        <v>0</v>
      </c>
    </row>
    <row r="516" spans="1:14" ht="13.2">
      <c r="A516" s="306" t="s">
        <v>18</v>
      </c>
      <c r="B516" s="306" t="s">
        <v>770</v>
      </c>
      <c r="C516" s="306">
        <v>33220</v>
      </c>
      <c r="D516" s="306">
        <v>0</v>
      </c>
      <c r="E516" s="306">
        <v>0</v>
      </c>
      <c r="F516" s="306">
        <v>0</v>
      </c>
      <c r="G516" s="306">
        <v>0</v>
      </c>
      <c r="H516" s="306">
        <v>0</v>
      </c>
      <c r="I516" s="306">
        <v>0</v>
      </c>
      <c r="J516" s="306">
        <v>0</v>
      </c>
      <c r="K516" s="306">
        <v>0</v>
      </c>
      <c r="L516" s="306">
        <v>0</v>
      </c>
      <c r="M516" s="306">
        <v>0</v>
      </c>
      <c r="N516" s="306">
        <v>0</v>
      </c>
    </row>
    <row r="517" spans="1:14" ht="13.2">
      <c r="A517" s="306" t="s">
        <v>18</v>
      </c>
      <c r="B517" s="306" t="s">
        <v>771</v>
      </c>
      <c r="C517" s="306">
        <v>0</v>
      </c>
      <c r="D517" s="306">
        <v>0</v>
      </c>
      <c r="E517" s="306">
        <v>385000</v>
      </c>
      <c r="F517" s="306">
        <v>0</v>
      </c>
      <c r="G517" s="306">
        <v>123970</v>
      </c>
      <c r="H517" s="306">
        <v>0</v>
      </c>
      <c r="I517" s="306">
        <v>0</v>
      </c>
      <c r="J517" s="306">
        <v>822120</v>
      </c>
      <c r="K517" s="306">
        <v>0</v>
      </c>
      <c r="L517" s="306">
        <v>0</v>
      </c>
      <c r="M517" s="306">
        <v>0</v>
      </c>
      <c r="N517" s="306">
        <v>0</v>
      </c>
    </row>
    <row r="518" spans="1:14" ht="13.2">
      <c r="A518" s="306" t="s">
        <v>18</v>
      </c>
      <c r="B518" s="306" t="s">
        <v>772</v>
      </c>
      <c r="C518" s="306">
        <v>0</v>
      </c>
      <c r="D518" s="306">
        <v>0</v>
      </c>
      <c r="E518" s="306">
        <v>0</v>
      </c>
      <c r="F518" s="306">
        <v>77000</v>
      </c>
      <c r="G518" s="306">
        <v>0</v>
      </c>
      <c r="H518" s="306">
        <v>0</v>
      </c>
      <c r="I518" s="306">
        <v>0</v>
      </c>
      <c r="J518" s="306">
        <v>0</v>
      </c>
      <c r="K518" s="306">
        <v>0</v>
      </c>
      <c r="L518" s="306">
        <v>0</v>
      </c>
      <c r="M518" s="306">
        <v>0</v>
      </c>
      <c r="N518" s="306">
        <v>0</v>
      </c>
    </row>
    <row r="519" spans="1:14" ht="13.2">
      <c r="A519" s="306" t="s">
        <v>18</v>
      </c>
      <c r="B519" s="306" t="s">
        <v>773</v>
      </c>
      <c r="C519" s="306">
        <v>0</v>
      </c>
      <c r="D519" s="306">
        <v>0</v>
      </c>
      <c r="E519" s="306">
        <v>0</v>
      </c>
      <c r="F519" s="306">
        <v>96525</v>
      </c>
      <c r="G519" s="306">
        <v>0</v>
      </c>
      <c r="H519" s="306">
        <v>0</v>
      </c>
      <c r="I519" s="306">
        <v>0</v>
      </c>
      <c r="J519" s="306">
        <v>0</v>
      </c>
      <c r="K519" s="306">
        <v>0</v>
      </c>
      <c r="L519" s="306">
        <v>0</v>
      </c>
      <c r="M519" s="306">
        <v>0</v>
      </c>
      <c r="N519" s="306">
        <v>0</v>
      </c>
    </row>
    <row r="520" spans="1:14" ht="13.2">
      <c r="A520" s="306" t="s">
        <v>18</v>
      </c>
      <c r="B520" s="306" t="s">
        <v>774</v>
      </c>
      <c r="C520" s="306">
        <v>0</v>
      </c>
      <c r="D520" s="306">
        <v>0</v>
      </c>
      <c r="E520" s="306">
        <v>0</v>
      </c>
      <c r="F520" s="306">
        <v>385220</v>
      </c>
      <c r="G520" s="306">
        <v>0</v>
      </c>
      <c r="H520" s="306">
        <v>0</v>
      </c>
      <c r="I520" s="306">
        <v>0</v>
      </c>
      <c r="J520" s="306">
        <v>0</v>
      </c>
      <c r="K520" s="306">
        <v>0</v>
      </c>
      <c r="L520" s="306">
        <v>0</v>
      </c>
      <c r="M520" s="306">
        <v>0</v>
      </c>
      <c r="N520" s="306">
        <v>0</v>
      </c>
    </row>
    <row r="521" spans="1:14" ht="13.2">
      <c r="A521" s="306" t="s">
        <v>18</v>
      </c>
      <c r="B521" s="306" t="s">
        <v>775</v>
      </c>
      <c r="C521" s="306">
        <v>0</v>
      </c>
      <c r="D521" s="306">
        <v>0</v>
      </c>
      <c r="E521" s="306">
        <v>0</v>
      </c>
      <c r="F521" s="306">
        <v>33220</v>
      </c>
      <c r="G521" s="306">
        <v>33220</v>
      </c>
      <c r="H521" s="306">
        <v>0</v>
      </c>
      <c r="I521" s="306">
        <v>0</v>
      </c>
      <c r="J521" s="306">
        <v>0</v>
      </c>
      <c r="K521" s="306">
        <v>0</v>
      </c>
      <c r="L521" s="306">
        <v>0</v>
      </c>
      <c r="M521" s="306">
        <v>0</v>
      </c>
      <c r="N521" s="306">
        <v>0</v>
      </c>
    </row>
    <row r="522" spans="1:14" ht="13.2">
      <c r="A522" s="306" t="s">
        <v>18</v>
      </c>
      <c r="B522" s="306" t="s">
        <v>776</v>
      </c>
      <c r="C522" s="306">
        <v>0</v>
      </c>
      <c r="D522" s="306">
        <v>0</v>
      </c>
      <c r="E522" s="306">
        <v>0</v>
      </c>
      <c r="F522" s="306">
        <v>0</v>
      </c>
      <c r="G522" s="306">
        <v>10330</v>
      </c>
      <c r="H522" s="306">
        <v>0</v>
      </c>
      <c r="I522" s="306">
        <v>0</v>
      </c>
      <c r="J522" s="306">
        <v>0</v>
      </c>
      <c r="K522" s="306">
        <v>0</v>
      </c>
      <c r="L522" s="306">
        <v>0</v>
      </c>
      <c r="M522" s="306">
        <v>0</v>
      </c>
      <c r="N522" s="306">
        <v>0</v>
      </c>
    </row>
    <row r="523" spans="1:14" ht="13.2">
      <c r="A523" s="306" t="s">
        <v>18</v>
      </c>
      <c r="B523" s="306" t="s">
        <v>777</v>
      </c>
      <c r="C523" s="306">
        <v>0</v>
      </c>
      <c r="D523" s="306">
        <v>0</v>
      </c>
      <c r="E523" s="306">
        <v>0</v>
      </c>
      <c r="F523" s="306">
        <v>0</v>
      </c>
      <c r="G523" s="306">
        <v>427200</v>
      </c>
      <c r="H523" s="306">
        <v>0</v>
      </c>
      <c r="I523" s="306">
        <v>0</v>
      </c>
      <c r="J523" s="306">
        <v>0</v>
      </c>
      <c r="K523" s="306">
        <v>0</v>
      </c>
      <c r="L523" s="306">
        <v>0</v>
      </c>
      <c r="M523" s="306">
        <v>0</v>
      </c>
      <c r="N523" s="306">
        <v>0</v>
      </c>
    </row>
    <row r="524" spans="1:14" ht="13.2">
      <c r="A524" s="306" t="s">
        <v>18</v>
      </c>
      <c r="B524" s="306" t="s">
        <v>778</v>
      </c>
      <c r="C524" s="306">
        <v>0</v>
      </c>
      <c r="D524" s="306">
        <v>0</v>
      </c>
      <c r="E524" s="306">
        <v>0</v>
      </c>
      <c r="F524" s="306">
        <v>0</v>
      </c>
      <c r="G524" s="306">
        <v>198000</v>
      </c>
      <c r="H524" s="306">
        <v>0</v>
      </c>
      <c r="I524" s="306">
        <v>0</v>
      </c>
      <c r="J524" s="306">
        <v>0</v>
      </c>
      <c r="K524" s="306">
        <v>0</v>
      </c>
      <c r="L524" s="306">
        <v>0</v>
      </c>
      <c r="M524" s="306">
        <v>0</v>
      </c>
      <c r="N524" s="306">
        <v>0</v>
      </c>
    </row>
    <row r="525" spans="1:14" ht="13.2">
      <c r="A525" s="306" t="s">
        <v>18</v>
      </c>
      <c r="B525" s="306" t="s">
        <v>779</v>
      </c>
      <c r="C525" s="306">
        <v>0</v>
      </c>
      <c r="D525" s="306">
        <v>0</v>
      </c>
      <c r="E525" s="306">
        <v>0</v>
      </c>
      <c r="F525" s="306">
        <v>0</v>
      </c>
      <c r="G525" s="306">
        <v>100000</v>
      </c>
      <c r="H525" s="306">
        <v>0</v>
      </c>
      <c r="I525" s="306">
        <v>0</v>
      </c>
      <c r="J525" s="306">
        <v>0</v>
      </c>
      <c r="K525" s="306">
        <v>0</v>
      </c>
      <c r="L525" s="306">
        <v>0</v>
      </c>
      <c r="M525" s="306">
        <v>0</v>
      </c>
      <c r="N525" s="306">
        <v>0</v>
      </c>
    </row>
    <row r="526" spans="1:14" ht="13.2">
      <c r="A526" s="306" t="s">
        <v>18</v>
      </c>
      <c r="B526" s="306" t="s">
        <v>780</v>
      </c>
      <c r="C526" s="306">
        <v>0</v>
      </c>
      <c r="D526" s="306">
        <v>0</v>
      </c>
      <c r="E526" s="306">
        <v>0</v>
      </c>
      <c r="F526" s="306">
        <v>0</v>
      </c>
      <c r="G526" s="306">
        <v>0</v>
      </c>
      <c r="H526" s="306">
        <v>5445</v>
      </c>
      <c r="I526" s="306">
        <v>0</v>
      </c>
      <c r="J526" s="306">
        <v>0</v>
      </c>
      <c r="K526" s="306">
        <v>0</v>
      </c>
      <c r="L526" s="306">
        <v>0</v>
      </c>
      <c r="M526" s="306">
        <v>0</v>
      </c>
      <c r="N526" s="306">
        <v>0</v>
      </c>
    </row>
    <row r="527" spans="1:14" ht="13.2">
      <c r="A527" s="306" t="s">
        <v>18</v>
      </c>
      <c r="B527" s="306" t="s">
        <v>781</v>
      </c>
      <c r="C527" s="306">
        <v>0</v>
      </c>
      <c r="D527" s="306">
        <v>0</v>
      </c>
      <c r="E527" s="306">
        <v>0</v>
      </c>
      <c r="F527" s="306">
        <v>0</v>
      </c>
      <c r="G527" s="306">
        <v>0</v>
      </c>
      <c r="H527" s="306">
        <v>1000550</v>
      </c>
      <c r="I527" s="306">
        <v>0</v>
      </c>
      <c r="J527" s="306">
        <v>0</v>
      </c>
      <c r="K527" s="306">
        <v>0</v>
      </c>
      <c r="L527" s="306">
        <v>0</v>
      </c>
      <c r="M527" s="306">
        <v>0</v>
      </c>
      <c r="N527" s="306">
        <v>0</v>
      </c>
    </row>
    <row r="528" spans="1:14" ht="13.2">
      <c r="A528" s="306" t="s">
        <v>18</v>
      </c>
      <c r="B528" s="306" t="s">
        <v>782</v>
      </c>
      <c r="C528" s="306">
        <v>0</v>
      </c>
      <c r="D528" s="306">
        <v>0</v>
      </c>
      <c r="E528" s="306">
        <v>0</v>
      </c>
      <c r="F528" s="306">
        <v>0</v>
      </c>
      <c r="G528" s="306">
        <v>0</v>
      </c>
      <c r="H528" s="306">
        <v>23055</v>
      </c>
      <c r="I528" s="306">
        <v>0</v>
      </c>
      <c r="J528" s="306">
        <v>0</v>
      </c>
      <c r="K528" s="306">
        <v>0</v>
      </c>
      <c r="L528" s="306">
        <v>0</v>
      </c>
      <c r="M528" s="306">
        <v>0</v>
      </c>
      <c r="N528" s="306">
        <v>0</v>
      </c>
    </row>
    <row r="529" spans="1:14" ht="13.2">
      <c r="A529" s="306" t="s">
        <v>18</v>
      </c>
      <c r="B529" s="306" t="s">
        <v>783</v>
      </c>
      <c r="C529" s="306">
        <v>0</v>
      </c>
      <c r="D529" s="306">
        <v>0</v>
      </c>
      <c r="E529" s="306">
        <v>0</v>
      </c>
      <c r="F529" s="306">
        <v>0</v>
      </c>
      <c r="G529" s="306">
        <v>0</v>
      </c>
      <c r="H529" s="306">
        <v>29430</v>
      </c>
      <c r="I529" s="306">
        <v>34280</v>
      </c>
      <c r="J529" s="306">
        <v>47575</v>
      </c>
      <c r="K529" s="306">
        <v>46200</v>
      </c>
      <c r="L529" s="306">
        <v>0</v>
      </c>
      <c r="M529" s="306">
        <v>0</v>
      </c>
      <c r="N529" s="306">
        <v>0</v>
      </c>
    </row>
    <row r="530" spans="1:14" ht="13.2">
      <c r="A530" s="306" t="s">
        <v>18</v>
      </c>
      <c r="B530" s="306" t="s">
        <v>784</v>
      </c>
      <c r="C530" s="306">
        <v>0</v>
      </c>
      <c r="D530" s="306">
        <v>0</v>
      </c>
      <c r="E530" s="306">
        <v>0</v>
      </c>
      <c r="F530" s="306">
        <v>0</v>
      </c>
      <c r="G530" s="306">
        <v>0</v>
      </c>
      <c r="H530" s="306">
        <v>73000</v>
      </c>
      <c r="I530" s="306">
        <v>0</v>
      </c>
      <c r="J530" s="306">
        <v>0</v>
      </c>
      <c r="K530" s="306">
        <v>0</v>
      </c>
      <c r="L530" s="306">
        <v>0</v>
      </c>
      <c r="M530" s="306">
        <v>0</v>
      </c>
      <c r="N530" s="306">
        <v>0</v>
      </c>
    </row>
    <row r="531" spans="1:14" ht="13.2">
      <c r="A531" s="306" t="s">
        <v>18</v>
      </c>
      <c r="B531" s="306" t="s">
        <v>785</v>
      </c>
      <c r="C531" s="306">
        <v>0</v>
      </c>
      <c r="D531" s="306">
        <v>0</v>
      </c>
      <c r="E531" s="306">
        <v>0</v>
      </c>
      <c r="F531" s="306">
        <v>0</v>
      </c>
      <c r="G531" s="306">
        <v>0</v>
      </c>
      <c r="H531" s="306">
        <v>0</v>
      </c>
      <c r="I531" s="306">
        <v>58410</v>
      </c>
      <c r="J531" s="306">
        <v>0</v>
      </c>
      <c r="K531" s="306">
        <v>0</v>
      </c>
      <c r="L531" s="306">
        <v>0</v>
      </c>
      <c r="M531" s="306">
        <v>0</v>
      </c>
      <c r="N531" s="306">
        <v>0</v>
      </c>
    </row>
    <row r="532" spans="1:14" ht="13.2">
      <c r="A532" s="306" t="s">
        <v>18</v>
      </c>
      <c r="B532" s="306" t="s">
        <v>786</v>
      </c>
      <c r="C532" s="306">
        <v>0</v>
      </c>
      <c r="D532" s="306">
        <v>0</v>
      </c>
      <c r="E532" s="306">
        <v>0</v>
      </c>
      <c r="F532" s="306">
        <v>0</v>
      </c>
      <c r="G532" s="306">
        <v>0</v>
      </c>
      <c r="H532" s="306">
        <v>0</v>
      </c>
      <c r="I532" s="306">
        <v>13880</v>
      </c>
      <c r="J532" s="306">
        <v>0</v>
      </c>
      <c r="K532" s="306">
        <v>0</v>
      </c>
      <c r="L532" s="306">
        <v>0</v>
      </c>
      <c r="M532" s="306">
        <v>0</v>
      </c>
      <c r="N532" s="306">
        <v>0</v>
      </c>
    </row>
    <row r="533" spans="1:14" ht="13.2">
      <c r="A533" s="306" t="s">
        <v>18</v>
      </c>
      <c r="B533" s="306" t="s">
        <v>787</v>
      </c>
      <c r="C533" s="306">
        <v>0</v>
      </c>
      <c r="D533" s="306">
        <v>0</v>
      </c>
      <c r="E533" s="306">
        <v>0</v>
      </c>
      <c r="F533" s="306">
        <v>0</v>
      </c>
      <c r="G533" s="306">
        <v>0</v>
      </c>
      <c r="H533" s="306">
        <v>0</v>
      </c>
      <c r="I533" s="306">
        <v>15450</v>
      </c>
      <c r="J533" s="306">
        <v>4400</v>
      </c>
      <c r="K533" s="306">
        <v>28234</v>
      </c>
      <c r="L533" s="306">
        <v>0</v>
      </c>
      <c r="M533" s="306">
        <v>0</v>
      </c>
      <c r="N533" s="306">
        <v>0</v>
      </c>
    </row>
    <row r="534" spans="1:14" ht="13.2">
      <c r="A534" s="306" t="s">
        <v>18</v>
      </c>
      <c r="B534" s="306" t="s">
        <v>788</v>
      </c>
      <c r="C534" s="306">
        <v>0</v>
      </c>
      <c r="D534" s="306">
        <v>0</v>
      </c>
      <c r="E534" s="306">
        <v>0</v>
      </c>
      <c r="F534" s="306">
        <v>0</v>
      </c>
      <c r="G534" s="306">
        <v>0</v>
      </c>
      <c r="H534" s="306">
        <v>0</v>
      </c>
      <c r="I534" s="306">
        <v>28455</v>
      </c>
      <c r="J534" s="306">
        <v>14300</v>
      </c>
      <c r="K534" s="306">
        <v>8800</v>
      </c>
      <c r="L534" s="306">
        <v>0</v>
      </c>
      <c r="M534" s="306">
        <v>0</v>
      </c>
      <c r="N534" s="306">
        <v>0</v>
      </c>
    </row>
    <row r="535" spans="1:14" ht="13.2">
      <c r="A535" s="306" t="s">
        <v>18</v>
      </c>
      <c r="B535" s="306" t="s">
        <v>789</v>
      </c>
      <c r="C535" s="306">
        <v>0</v>
      </c>
      <c r="D535" s="306">
        <v>0</v>
      </c>
      <c r="E535" s="306">
        <v>0</v>
      </c>
      <c r="F535" s="306">
        <v>0</v>
      </c>
      <c r="G535" s="306">
        <v>0</v>
      </c>
      <c r="H535" s="306">
        <v>0</v>
      </c>
      <c r="I535" s="306">
        <v>330000</v>
      </c>
      <c r="J535" s="306">
        <v>0</v>
      </c>
      <c r="K535" s="306">
        <v>0</v>
      </c>
      <c r="L535" s="306">
        <v>0</v>
      </c>
      <c r="M535" s="306">
        <v>0</v>
      </c>
      <c r="N535" s="306">
        <v>0</v>
      </c>
    </row>
    <row r="536" spans="1:14" ht="13.2">
      <c r="A536" s="306" t="s">
        <v>18</v>
      </c>
      <c r="B536" s="306" t="s">
        <v>790</v>
      </c>
      <c r="C536" s="306">
        <v>0</v>
      </c>
      <c r="D536" s="306">
        <v>0</v>
      </c>
      <c r="E536" s="306">
        <v>0</v>
      </c>
      <c r="F536" s="306">
        <v>0</v>
      </c>
      <c r="G536" s="306">
        <v>0</v>
      </c>
      <c r="H536" s="306">
        <v>0</v>
      </c>
      <c r="I536" s="306">
        <v>45430</v>
      </c>
      <c r="J536" s="306">
        <v>0</v>
      </c>
      <c r="K536" s="306">
        <v>0</v>
      </c>
      <c r="L536" s="306">
        <v>0</v>
      </c>
      <c r="M536" s="306">
        <v>0</v>
      </c>
      <c r="N536" s="306">
        <v>0</v>
      </c>
    </row>
    <row r="537" spans="1:14" ht="13.2">
      <c r="A537" s="306" t="s">
        <v>18</v>
      </c>
      <c r="B537" s="306" t="s">
        <v>791</v>
      </c>
      <c r="C537" s="306">
        <v>0</v>
      </c>
      <c r="D537" s="306">
        <v>0</v>
      </c>
      <c r="E537" s="306">
        <v>0</v>
      </c>
      <c r="F537" s="306">
        <v>0</v>
      </c>
      <c r="G537" s="306">
        <v>0</v>
      </c>
      <c r="H537" s="306">
        <v>0</v>
      </c>
      <c r="I537" s="306">
        <v>75350</v>
      </c>
      <c r="J537" s="306">
        <v>0</v>
      </c>
      <c r="K537" s="306">
        <v>0</v>
      </c>
      <c r="L537" s="306">
        <v>0</v>
      </c>
      <c r="M537" s="306">
        <v>0</v>
      </c>
      <c r="N537" s="306">
        <v>0</v>
      </c>
    </row>
    <row r="538" spans="1:14" ht="13.2">
      <c r="A538" s="306" t="s">
        <v>18</v>
      </c>
      <c r="B538" s="306" t="s">
        <v>792</v>
      </c>
      <c r="C538" s="306">
        <v>0</v>
      </c>
      <c r="D538" s="306">
        <v>0</v>
      </c>
      <c r="E538" s="306">
        <v>0</v>
      </c>
      <c r="F538" s="306">
        <v>0</v>
      </c>
      <c r="G538" s="306">
        <v>0</v>
      </c>
      <c r="H538" s="306">
        <v>0</v>
      </c>
      <c r="I538" s="306">
        <v>0</v>
      </c>
      <c r="J538" s="306">
        <v>89100</v>
      </c>
      <c r="K538" s="306">
        <v>0</v>
      </c>
      <c r="L538" s="306">
        <v>0</v>
      </c>
      <c r="M538" s="306">
        <v>0</v>
      </c>
      <c r="N538" s="306">
        <v>0</v>
      </c>
    </row>
    <row r="539" spans="1:14" ht="13.2">
      <c r="A539" s="306" t="s">
        <v>18</v>
      </c>
      <c r="B539" s="306" t="s">
        <v>793</v>
      </c>
      <c r="C539" s="306">
        <v>0</v>
      </c>
      <c r="D539" s="306">
        <v>0</v>
      </c>
      <c r="E539" s="306">
        <v>0</v>
      </c>
      <c r="F539" s="306">
        <v>0</v>
      </c>
      <c r="G539" s="306">
        <v>0</v>
      </c>
      <c r="H539" s="306">
        <v>0</v>
      </c>
      <c r="I539" s="306">
        <v>0</v>
      </c>
      <c r="J539" s="306">
        <v>49895</v>
      </c>
      <c r="K539" s="306">
        <v>0</v>
      </c>
      <c r="L539" s="306">
        <v>0</v>
      </c>
      <c r="M539" s="306">
        <v>0</v>
      </c>
      <c r="N539" s="306">
        <v>0</v>
      </c>
    </row>
    <row r="540" spans="1:14" ht="13.2">
      <c r="A540" s="306" t="s">
        <v>18</v>
      </c>
      <c r="B540" s="306" t="s">
        <v>794</v>
      </c>
      <c r="C540" s="306">
        <v>0</v>
      </c>
      <c r="D540" s="306">
        <v>0</v>
      </c>
      <c r="E540" s="306">
        <v>0</v>
      </c>
      <c r="F540" s="306">
        <v>0</v>
      </c>
      <c r="G540" s="306">
        <v>0</v>
      </c>
      <c r="H540" s="306">
        <v>0</v>
      </c>
      <c r="I540" s="306">
        <v>0</v>
      </c>
      <c r="J540" s="306">
        <v>0</v>
      </c>
      <c r="K540" s="306">
        <v>18744</v>
      </c>
      <c r="L540" s="306">
        <v>0</v>
      </c>
      <c r="M540" s="306">
        <v>0</v>
      </c>
      <c r="N540" s="306">
        <v>0</v>
      </c>
    </row>
    <row r="541" spans="1:14" ht="13.2">
      <c r="A541" s="306" t="s">
        <v>18</v>
      </c>
      <c r="B541" s="306" t="s">
        <v>795</v>
      </c>
      <c r="C541" s="306">
        <v>0</v>
      </c>
      <c r="D541" s="306">
        <v>0</v>
      </c>
      <c r="E541" s="306">
        <v>0</v>
      </c>
      <c r="F541" s="306">
        <v>0</v>
      </c>
      <c r="G541" s="306">
        <v>0</v>
      </c>
      <c r="H541" s="306">
        <v>0</v>
      </c>
      <c r="I541" s="306">
        <v>0</v>
      </c>
      <c r="J541" s="306">
        <v>0</v>
      </c>
      <c r="K541" s="306">
        <v>10450</v>
      </c>
      <c r="L541" s="306">
        <v>0</v>
      </c>
      <c r="M541" s="306">
        <v>0</v>
      </c>
      <c r="N541" s="306">
        <v>0</v>
      </c>
    </row>
    <row r="542" spans="1:14" ht="13.2">
      <c r="A542" s="306" t="s">
        <v>18</v>
      </c>
      <c r="B542" s="306" t="s">
        <v>796</v>
      </c>
      <c r="C542" s="306">
        <v>0</v>
      </c>
      <c r="D542" s="306">
        <v>0</v>
      </c>
      <c r="E542" s="306">
        <v>0</v>
      </c>
      <c r="F542" s="306">
        <v>0</v>
      </c>
      <c r="G542" s="306">
        <v>0</v>
      </c>
      <c r="H542" s="306">
        <v>126000</v>
      </c>
      <c r="I542" s="306">
        <v>0</v>
      </c>
      <c r="J542" s="306">
        <v>0</v>
      </c>
      <c r="K542" s="306">
        <v>0</v>
      </c>
      <c r="L542" s="306">
        <v>0</v>
      </c>
      <c r="M542" s="306">
        <v>0</v>
      </c>
      <c r="N542" s="306">
        <v>0</v>
      </c>
    </row>
    <row r="543" spans="1:14" ht="13.2">
      <c r="A543" s="306" t="s">
        <v>18</v>
      </c>
      <c r="B543" s="306" t="s">
        <v>797</v>
      </c>
      <c r="C543" s="306">
        <v>0</v>
      </c>
      <c r="D543" s="306">
        <v>0</v>
      </c>
      <c r="E543" s="306">
        <v>0</v>
      </c>
      <c r="F543" s="306">
        <v>0</v>
      </c>
      <c r="G543" s="306">
        <v>0</v>
      </c>
      <c r="H543" s="306">
        <v>0</v>
      </c>
      <c r="I543" s="306">
        <v>0</v>
      </c>
      <c r="J543" s="306">
        <v>204600</v>
      </c>
      <c r="K543" s="306">
        <v>0</v>
      </c>
      <c r="L543" s="306">
        <v>0</v>
      </c>
      <c r="M543" s="306">
        <v>0</v>
      </c>
      <c r="N543" s="306">
        <v>0</v>
      </c>
    </row>
    <row r="544" spans="1:14" ht="13.2">
      <c r="A544" s="306" t="s">
        <v>18</v>
      </c>
      <c r="B544" s="306" t="s">
        <v>798</v>
      </c>
      <c r="C544" s="306">
        <v>0</v>
      </c>
      <c r="D544" s="306">
        <v>0</v>
      </c>
      <c r="E544" s="306">
        <v>0</v>
      </c>
      <c r="F544" s="306">
        <v>0</v>
      </c>
      <c r="G544" s="306">
        <v>0</v>
      </c>
      <c r="H544" s="306">
        <v>0</v>
      </c>
      <c r="I544" s="306">
        <v>0</v>
      </c>
      <c r="J544" s="306">
        <v>110000</v>
      </c>
      <c r="K544" s="306">
        <v>0</v>
      </c>
      <c r="L544" s="306">
        <v>0</v>
      </c>
      <c r="M544" s="306">
        <v>0</v>
      </c>
      <c r="N544" s="306">
        <v>0</v>
      </c>
    </row>
    <row r="545" spans="1:14" ht="13.2">
      <c r="A545" s="306" t="s">
        <v>18</v>
      </c>
      <c r="B545" s="306" t="s">
        <v>799</v>
      </c>
      <c r="C545" s="306">
        <v>0</v>
      </c>
      <c r="D545" s="306">
        <v>0</v>
      </c>
      <c r="E545" s="306">
        <v>0</v>
      </c>
      <c r="F545" s="306">
        <v>0</v>
      </c>
      <c r="G545" s="306">
        <v>0</v>
      </c>
      <c r="H545" s="306">
        <v>0</v>
      </c>
      <c r="I545" s="306">
        <v>0</v>
      </c>
      <c r="J545" s="306">
        <v>878590</v>
      </c>
      <c r="K545" s="306">
        <v>0</v>
      </c>
      <c r="L545" s="306">
        <v>0</v>
      </c>
      <c r="M545" s="306">
        <v>0</v>
      </c>
      <c r="N545" s="306">
        <v>0</v>
      </c>
    </row>
    <row r="546" spans="1:14" ht="13.2">
      <c r="A546" s="306" t="s">
        <v>18</v>
      </c>
      <c r="B546" s="306" t="s">
        <v>800</v>
      </c>
      <c r="C546" s="306">
        <v>0</v>
      </c>
      <c r="D546" s="306">
        <v>0</v>
      </c>
      <c r="E546" s="306">
        <v>0</v>
      </c>
      <c r="F546" s="306">
        <v>0</v>
      </c>
      <c r="G546" s="306">
        <v>0</v>
      </c>
      <c r="H546" s="306">
        <v>0</v>
      </c>
      <c r="I546" s="306">
        <v>0</v>
      </c>
      <c r="J546" s="306">
        <v>0</v>
      </c>
      <c r="K546" s="306">
        <v>86206</v>
      </c>
      <c r="L546" s="306">
        <v>0</v>
      </c>
      <c r="M546" s="306">
        <v>0</v>
      </c>
      <c r="N546" s="306">
        <v>0</v>
      </c>
    </row>
    <row r="547" spans="1:14" ht="13.2">
      <c r="A547" s="306" t="s">
        <v>19</v>
      </c>
      <c r="B547" s="306" t="s">
        <v>801</v>
      </c>
      <c r="C547" s="306">
        <v>0</v>
      </c>
      <c r="D547" s="306">
        <v>100000</v>
      </c>
      <c r="E547" s="306">
        <v>309904</v>
      </c>
      <c r="F547" s="306">
        <v>0</v>
      </c>
      <c r="G547" s="306">
        <v>166550</v>
      </c>
      <c r="H547" s="306">
        <v>1054000</v>
      </c>
      <c r="I547" s="306">
        <v>500000</v>
      </c>
      <c r="J547" s="306">
        <v>620000</v>
      </c>
      <c r="K547" s="306">
        <v>500000</v>
      </c>
      <c r="L547" s="306">
        <v>0</v>
      </c>
      <c r="M547" s="306">
        <v>0</v>
      </c>
      <c r="N547" s="306">
        <v>0</v>
      </c>
    </row>
    <row r="548" spans="1:14" ht="13.2">
      <c r="A548" s="306" t="s">
        <v>19</v>
      </c>
      <c r="B548" s="306" t="s">
        <v>802</v>
      </c>
      <c r="C548" s="306">
        <v>0</v>
      </c>
      <c r="D548" s="306">
        <v>0</v>
      </c>
      <c r="E548" s="306">
        <v>0</v>
      </c>
      <c r="F548" s="306">
        <v>0</v>
      </c>
      <c r="G548" s="306">
        <v>0</v>
      </c>
      <c r="H548" s="306">
        <v>100000</v>
      </c>
      <c r="I548" s="306">
        <v>0</v>
      </c>
      <c r="J548" s="306">
        <v>0</v>
      </c>
      <c r="K548" s="306">
        <v>0</v>
      </c>
      <c r="L548" s="306">
        <v>0</v>
      </c>
      <c r="M548" s="306">
        <v>0</v>
      </c>
      <c r="N548" s="306">
        <v>0</v>
      </c>
    </row>
    <row r="549" spans="1:14" ht="13.2">
      <c r="A549" s="306" t="s">
        <v>19</v>
      </c>
      <c r="B549" s="306" t="s">
        <v>803</v>
      </c>
      <c r="C549" s="306">
        <v>0</v>
      </c>
      <c r="D549" s="306">
        <v>140000</v>
      </c>
      <c r="E549" s="306">
        <v>0</v>
      </c>
      <c r="F549" s="306">
        <v>0</v>
      </c>
      <c r="G549" s="306">
        <v>0</v>
      </c>
      <c r="H549" s="306">
        <v>0</v>
      </c>
      <c r="I549" s="306">
        <v>0</v>
      </c>
      <c r="J549" s="306">
        <v>0</v>
      </c>
      <c r="K549" s="306">
        <v>0</v>
      </c>
      <c r="L549" s="306">
        <v>0</v>
      </c>
      <c r="M549" s="306">
        <v>0</v>
      </c>
      <c r="N549" s="306">
        <v>0</v>
      </c>
    </row>
    <row r="550" spans="1:14" ht="13.2">
      <c r="A550" s="306" t="s">
        <v>19</v>
      </c>
      <c r="B550" s="306" t="s">
        <v>804</v>
      </c>
      <c r="C550" s="306">
        <v>0</v>
      </c>
      <c r="D550" s="306">
        <v>0</v>
      </c>
      <c r="E550" s="306">
        <v>178000</v>
      </c>
      <c r="F550" s="306">
        <v>0</v>
      </c>
      <c r="G550" s="306">
        <v>0</v>
      </c>
      <c r="H550" s="306">
        <v>0</v>
      </c>
      <c r="I550" s="306">
        <v>0</v>
      </c>
      <c r="J550" s="306">
        <v>0</v>
      </c>
      <c r="K550" s="306">
        <v>0</v>
      </c>
      <c r="L550" s="306">
        <v>0</v>
      </c>
      <c r="M550" s="306">
        <v>0</v>
      </c>
      <c r="N550" s="306">
        <v>0</v>
      </c>
    </row>
    <row r="551" spans="1:14" ht="13.2">
      <c r="A551" s="306" t="s">
        <v>19</v>
      </c>
      <c r="B551" s="306" t="s">
        <v>805</v>
      </c>
      <c r="C551" s="306">
        <v>0</v>
      </c>
      <c r="D551" s="306">
        <v>0</v>
      </c>
      <c r="E551" s="306">
        <v>0</v>
      </c>
      <c r="F551" s="306">
        <v>0</v>
      </c>
      <c r="G551" s="306">
        <v>0</v>
      </c>
      <c r="H551" s="306">
        <v>0</v>
      </c>
      <c r="I551" s="306">
        <v>240000</v>
      </c>
      <c r="J551" s="306">
        <v>0</v>
      </c>
      <c r="K551" s="306">
        <v>0</v>
      </c>
      <c r="L551" s="306">
        <v>0</v>
      </c>
      <c r="M551" s="306">
        <v>0</v>
      </c>
      <c r="N551" s="306">
        <v>0</v>
      </c>
    </row>
    <row r="552" spans="1:14" ht="13.2">
      <c r="A552" s="306" t="s">
        <v>20</v>
      </c>
      <c r="B552" s="306" t="s">
        <v>806</v>
      </c>
      <c r="C552" s="306">
        <v>0</v>
      </c>
      <c r="D552" s="306">
        <v>0</v>
      </c>
      <c r="E552" s="306">
        <v>200000</v>
      </c>
      <c r="F552" s="306">
        <v>0</v>
      </c>
      <c r="G552" s="306">
        <v>0</v>
      </c>
      <c r="H552" s="306">
        <v>0</v>
      </c>
      <c r="I552" s="306">
        <v>0</v>
      </c>
      <c r="J552" s="306">
        <v>0</v>
      </c>
      <c r="K552" s="306">
        <v>0</v>
      </c>
      <c r="L552" s="306">
        <v>0</v>
      </c>
      <c r="M552" s="306">
        <v>0</v>
      </c>
      <c r="N552" s="306">
        <v>0</v>
      </c>
    </row>
    <row r="553" spans="1:14" ht="13.2">
      <c r="A553" s="306" t="s">
        <v>20</v>
      </c>
      <c r="B553" s="306" t="s">
        <v>807</v>
      </c>
      <c r="C553" s="306">
        <v>0</v>
      </c>
      <c r="D553" s="306">
        <v>0</v>
      </c>
      <c r="E553" s="306">
        <v>200110</v>
      </c>
      <c r="F553" s="306">
        <v>0</v>
      </c>
      <c r="G553" s="306">
        <v>0</v>
      </c>
      <c r="H553" s="306">
        <v>0</v>
      </c>
      <c r="I553" s="306">
        <v>0</v>
      </c>
      <c r="J553" s="306">
        <v>0</v>
      </c>
      <c r="K553" s="306">
        <v>0</v>
      </c>
      <c r="L553" s="306">
        <v>0</v>
      </c>
      <c r="M553" s="306">
        <v>0</v>
      </c>
      <c r="N553" s="306">
        <v>0</v>
      </c>
    </row>
    <row r="554" spans="1:14" ht="13.2">
      <c r="A554" s="306" t="s">
        <v>20</v>
      </c>
      <c r="B554" s="306" t="s">
        <v>808</v>
      </c>
      <c r="C554" s="306">
        <v>250000</v>
      </c>
      <c r="D554" s="306">
        <v>500000</v>
      </c>
      <c r="E554" s="306">
        <v>0</v>
      </c>
      <c r="F554" s="306">
        <v>0</v>
      </c>
      <c r="G554" s="306">
        <v>0</v>
      </c>
      <c r="H554" s="306">
        <v>0</v>
      </c>
      <c r="I554" s="306">
        <v>0</v>
      </c>
      <c r="J554" s="306">
        <v>0</v>
      </c>
      <c r="K554" s="306">
        <v>0</v>
      </c>
      <c r="L554" s="306">
        <v>0</v>
      </c>
      <c r="M554" s="306">
        <v>0</v>
      </c>
      <c r="N554" s="306">
        <v>0</v>
      </c>
    </row>
    <row r="555" spans="1:14" ht="13.2">
      <c r="A555" s="306" t="s">
        <v>20</v>
      </c>
      <c r="B555" s="306" t="s">
        <v>262</v>
      </c>
      <c r="C555" s="306">
        <v>2195715</v>
      </c>
      <c r="D555" s="306">
        <v>0</v>
      </c>
      <c r="E555" s="306">
        <v>0</v>
      </c>
      <c r="F555" s="306">
        <v>0</v>
      </c>
      <c r="G555" s="306">
        <v>0</v>
      </c>
      <c r="H555" s="306">
        <v>0</v>
      </c>
      <c r="I555" s="306">
        <v>0</v>
      </c>
      <c r="J555" s="306">
        <v>0</v>
      </c>
      <c r="K555" s="306">
        <v>0</v>
      </c>
      <c r="L555" s="306">
        <v>0</v>
      </c>
      <c r="M555" s="306">
        <v>0</v>
      </c>
      <c r="N555" s="306">
        <v>0</v>
      </c>
    </row>
    <row r="556" spans="1:14" ht="13.2">
      <c r="A556" s="306" t="s">
        <v>21</v>
      </c>
      <c r="B556" s="306" t="s">
        <v>809</v>
      </c>
      <c r="C556" s="306">
        <v>1130937</v>
      </c>
      <c r="D556" s="306">
        <v>0</v>
      </c>
      <c r="E556" s="306">
        <v>0</v>
      </c>
      <c r="F556" s="306">
        <v>0</v>
      </c>
      <c r="G556" s="306">
        <v>0</v>
      </c>
      <c r="H556" s="306">
        <v>0</v>
      </c>
      <c r="I556" s="306">
        <v>0</v>
      </c>
      <c r="J556" s="306">
        <v>0</v>
      </c>
      <c r="K556" s="306">
        <v>0</v>
      </c>
      <c r="L556" s="306">
        <v>0</v>
      </c>
      <c r="M556" s="306">
        <v>0</v>
      </c>
      <c r="N556" s="306">
        <v>0</v>
      </c>
    </row>
    <row r="557" spans="1:14" ht="13.2">
      <c r="A557" s="306" t="s">
        <v>21</v>
      </c>
      <c r="B557" s="306" t="s">
        <v>810</v>
      </c>
      <c r="C557" s="306">
        <v>330</v>
      </c>
      <c r="D557" s="306">
        <v>0</v>
      </c>
      <c r="E557" s="306">
        <v>0</v>
      </c>
      <c r="F557" s="306">
        <v>0</v>
      </c>
      <c r="G557" s="306">
        <v>0</v>
      </c>
      <c r="H557" s="306">
        <v>0</v>
      </c>
      <c r="I557" s="306">
        <v>0</v>
      </c>
      <c r="J557" s="306">
        <v>0</v>
      </c>
      <c r="K557" s="306">
        <v>0</v>
      </c>
      <c r="L557" s="306">
        <v>0</v>
      </c>
      <c r="M557" s="306">
        <v>0</v>
      </c>
      <c r="N557" s="306">
        <v>0</v>
      </c>
    </row>
    <row r="558" spans="1:14" ht="13.2">
      <c r="A558" s="306" t="s">
        <v>21</v>
      </c>
      <c r="B558" s="306" t="s">
        <v>811</v>
      </c>
      <c r="C558" s="306">
        <v>37245</v>
      </c>
      <c r="D558" s="306">
        <v>0</v>
      </c>
      <c r="E558" s="306">
        <v>0</v>
      </c>
      <c r="F558" s="306">
        <v>0</v>
      </c>
      <c r="G558" s="306">
        <v>0</v>
      </c>
      <c r="H558" s="306">
        <v>0</v>
      </c>
      <c r="I558" s="306">
        <v>0</v>
      </c>
      <c r="J558" s="306">
        <v>0</v>
      </c>
      <c r="K558" s="306">
        <v>0</v>
      </c>
      <c r="L558" s="306">
        <v>0</v>
      </c>
      <c r="M558" s="306">
        <v>0</v>
      </c>
      <c r="N558" s="306">
        <v>0</v>
      </c>
    </row>
    <row r="559" spans="1:14" ht="13.2">
      <c r="A559" s="306" t="s">
        <v>21</v>
      </c>
      <c r="B559" s="306" t="s">
        <v>812</v>
      </c>
      <c r="C559" s="306">
        <v>0</v>
      </c>
      <c r="D559" s="306">
        <v>330</v>
      </c>
      <c r="E559" s="306">
        <v>330</v>
      </c>
      <c r="F559" s="306">
        <v>330</v>
      </c>
      <c r="G559" s="306">
        <v>0</v>
      </c>
      <c r="H559" s="306">
        <v>0</v>
      </c>
      <c r="I559" s="306">
        <v>0</v>
      </c>
      <c r="J559" s="306">
        <v>0</v>
      </c>
      <c r="K559" s="306">
        <v>0</v>
      </c>
      <c r="L559" s="306">
        <v>0</v>
      </c>
      <c r="M559" s="306">
        <v>0</v>
      </c>
      <c r="N559" s="306">
        <v>0</v>
      </c>
    </row>
    <row r="560" spans="1:14" ht="13.2">
      <c r="A560" s="306" t="s">
        <v>21</v>
      </c>
      <c r="B560" s="306" t="s">
        <v>813</v>
      </c>
      <c r="C560" s="306">
        <v>0</v>
      </c>
      <c r="D560" s="306">
        <v>1201251</v>
      </c>
      <c r="E560" s="306">
        <v>998849</v>
      </c>
      <c r="F560" s="306">
        <v>4268010</v>
      </c>
      <c r="G560" s="306">
        <v>1748201</v>
      </c>
      <c r="H560" s="306">
        <v>1164205</v>
      </c>
      <c r="I560" s="306">
        <v>1613729</v>
      </c>
      <c r="J560" s="306">
        <v>1893904</v>
      </c>
      <c r="K560" s="306">
        <v>2724630</v>
      </c>
      <c r="L560" s="306">
        <v>0</v>
      </c>
      <c r="M560" s="306">
        <v>0</v>
      </c>
      <c r="N560" s="306">
        <v>0</v>
      </c>
    </row>
    <row r="561" spans="1:14" ht="13.2">
      <c r="A561" s="306" t="s">
        <v>21</v>
      </c>
      <c r="B561" s="306" t="s">
        <v>814</v>
      </c>
      <c r="C561" s="306">
        <v>0</v>
      </c>
      <c r="D561" s="306">
        <v>237254</v>
      </c>
      <c r="E561" s="306">
        <v>118165</v>
      </c>
      <c r="F561" s="306">
        <v>9497</v>
      </c>
      <c r="G561" s="306">
        <v>110872</v>
      </c>
      <c r="H561" s="306">
        <v>134609</v>
      </c>
      <c r="I561" s="306">
        <v>15989</v>
      </c>
      <c r="J561" s="306">
        <v>29109</v>
      </c>
      <c r="K561" s="306">
        <v>9760</v>
      </c>
      <c r="L561" s="306">
        <v>0</v>
      </c>
      <c r="M561" s="306">
        <v>0</v>
      </c>
      <c r="N561" s="306">
        <v>0</v>
      </c>
    </row>
    <row r="562" spans="1:14" ht="13.2">
      <c r="A562" s="306" t="s">
        <v>21</v>
      </c>
      <c r="B562" s="306" t="s">
        <v>815</v>
      </c>
      <c r="C562" s="306">
        <v>0</v>
      </c>
      <c r="D562" s="306">
        <v>0</v>
      </c>
      <c r="E562" s="306">
        <v>0</v>
      </c>
      <c r="F562" s="306">
        <v>0</v>
      </c>
      <c r="G562" s="306">
        <v>500000</v>
      </c>
      <c r="H562" s="306">
        <v>0</v>
      </c>
      <c r="I562" s="306">
        <v>0</v>
      </c>
      <c r="J562" s="306">
        <v>0</v>
      </c>
      <c r="K562" s="306">
        <v>0</v>
      </c>
      <c r="L562" s="306">
        <v>0</v>
      </c>
      <c r="M562" s="306">
        <v>0</v>
      </c>
      <c r="N562" s="306">
        <v>0</v>
      </c>
    </row>
    <row r="563" spans="1:14" ht="13.2">
      <c r="A563" s="306" t="s">
        <v>22</v>
      </c>
      <c r="B563" s="306" t="s">
        <v>816</v>
      </c>
      <c r="C563" s="306">
        <v>0</v>
      </c>
      <c r="D563" s="306">
        <v>0</v>
      </c>
      <c r="E563" s="306">
        <v>0</v>
      </c>
      <c r="F563" s="306">
        <v>0</v>
      </c>
      <c r="G563" s="306">
        <v>60400</v>
      </c>
      <c r="H563" s="306">
        <v>0</v>
      </c>
      <c r="I563" s="306">
        <v>0</v>
      </c>
      <c r="J563" s="306">
        <v>0</v>
      </c>
      <c r="K563" s="306">
        <v>0</v>
      </c>
      <c r="L563" s="306">
        <v>0</v>
      </c>
      <c r="M563" s="306">
        <v>0</v>
      </c>
      <c r="N563" s="306">
        <v>0</v>
      </c>
    </row>
    <row r="564" spans="1:14" ht="13.2">
      <c r="A564" s="306" t="s">
        <v>31</v>
      </c>
      <c r="B564" s="306" t="s">
        <v>817</v>
      </c>
      <c r="C564" s="306">
        <v>500550</v>
      </c>
      <c r="D564" s="306">
        <v>0</v>
      </c>
      <c r="E564" s="306">
        <v>0</v>
      </c>
      <c r="F564" s="306">
        <v>0</v>
      </c>
      <c r="G564" s="306">
        <v>0</v>
      </c>
      <c r="H564" s="306">
        <v>0</v>
      </c>
      <c r="I564" s="306">
        <v>0</v>
      </c>
      <c r="J564" s="306">
        <v>0</v>
      </c>
      <c r="K564" s="306">
        <v>0</v>
      </c>
      <c r="L564" s="306">
        <v>0</v>
      </c>
      <c r="M564" s="306">
        <v>0</v>
      </c>
      <c r="N564" s="306">
        <v>0</v>
      </c>
    </row>
    <row r="565" spans="1:14" ht="13.2">
      <c r="A565" s="306" t="s">
        <v>31</v>
      </c>
      <c r="B565" s="306" t="s">
        <v>818</v>
      </c>
      <c r="C565" s="306">
        <v>130440</v>
      </c>
      <c r="D565" s="306">
        <v>0</v>
      </c>
      <c r="E565" s="306">
        <v>0</v>
      </c>
      <c r="F565" s="306">
        <v>0</v>
      </c>
      <c r="G565" s="306">
        <v>0</v>
      </c>
      <c r="H565" s="306">
        <v>0</v>
      </c>
      <c r="I565" s="306">
        <v>0</v>
      </c>
      <c r="J565" s="306">
        <v>0</v>
      </c>
      <c r="K565" s="306">
        <v>0</v>
      </c>
      <c r="L565" s="306">
        <v>0</v>
      </c>
      <c r="M565" s="306">
        <v>0</v>
      </c>
      <c r="N565" s="306">
        <v>0</v>
      </c>
    </row>
    <row r="566" spans="1:14" ht="13.2">
      <c r="A566" s="306" t="s">
        <v>38</v>
      </c>
      <c r="B566" s="306" t="s">
        <v>819</v>
      </c>
      <c r="C566" s="306">
        <v>423377</v>
      </c>
      <c r="D566" s="306">
        <v>0</v>
      </c>
      <c r="E566" s="306">
        <v>0</v>
      </c>
      <c r="F566" s="306">
        <v>0</v>
      </c>
      <c r="G566" s="306">
        <v>0</v>
      </c>
      <c r="H566" s="306">
        <v>0</v>
      </c>
      <c r="I566" s="306">
        <v>0</v>
      </c>
      <c r="J566" s="306">
        <v>0</v>
      </c>
      <c r="K566" s="306">
        <v>0</v>
      </c>
      <c r="L566" s="306">
        <v>0</v>
      </c>
      <c r="M566" s="306">
        <v>0</v>
      </c>
      <c r="N566" s="306">
        <v>0</v>
      </c>
    </row>
    <row r="567" spans="1:14" ht="13.2">
      <c r="A567" s="306" t="s">
        <v>38</v>
      </c>
      <c r="B567" s="306" t="s">
        <v>820</v>
      </c>
      <c r="C567" s="306">
        <v>228536</v>
      </c>
      <c r="D567" s="306">
        <v>0</v>
      </c>
      <c r="E567" s="306">
        <v>0</v>
      </c>
      <c r="F567" s="306">
        <v>0</v>
      </c>
      <c r="G567" s="306">
        <v>0</v>
      </c>
      <c r="H567" s="306">
        <v>0</v>
      </c>
      <c r="I567" s="306">
        <v>0</v>
      </c>
      <c r="J567" s="306">
        <v>0</v>
      </c>
      <c r="K567" s="306">
        <v>0</v>
      </c>
      <c r="L567" s="306">
        <v>0</v>
      </c>
      <c r="M567" s="306">
        <v>0</v>
      </c>
      <c r="N567" s="306">
        <v>0</v>
      </c>
    </row>
    <row r="568" spans="1:14" ht="13.2">
      <c r="A568" s="306" t="s">
        <v>38</v>
      </c>
      <c r="B568" s="306" t="s">
        <v>821</v>
      </c>
      <c r="C568" s="306">
        <v>0</v>
      </c>
      <c r="D568" s="306">
        <v>0</v>
      </c>
      <c r="E568" s="306">
        <v>629640</v>
      </c>
      <c r="F568" s="306">
        <v>314962</v>
      </c>
      <c r="G568" s="306">
        <v>0</v>
      </c>
      <c r="H568" s="306">
        <v>313345</v>
      </c>
      <c r="I568" s="306">
        <v>314285</v>
      </c>
      <c r="J568" s="306">
        <v>313946</v>
      </c>
      <c r="K568" s="306">
        <v>623140</v>
      </c>
      <c r="L568" s="306">
        <v>0</v>
      </c>
      <c r="M568" s="306">
        <v>0</v>
      </c>
      <c r="N568" s="306">
        <v>0</v>
      </c>
    </row>
    <row r="569" spans="1:14" ht="13.2">
      <c r="A569" s="306" t="s">
        <v>38</v>
      </c>
      <c r="B569" s="306" t="s">
        <v>822</v>
      </c>
      <c r="C569" s="306">
        <v>0</v>
      </c>
      <c r="D569" s="306">
        <v>0</v>
      </c>
      <c r="E569" s="306">
        <v>1300530</v>
      </c>
      <c r="F569" s="306">
        <v>650121</v>
      </c>
      <c r="G569" s="306">
        <v>0</v>
      </c>
      <c r="H569" s="306">
        <v>649523</v>
      </c>
      <c r="I569" s="306">
        <v>826823</v>
      </c>
      <c r="J569" s="306">
        <v>823912</v>
      </c>
      <c r="K569" s="306">
        <v>823146</v>
      </c>
      <c r="L569" s="306">
        <v>0</v>
      </c>
      <c r="M569" s="306">
        <v>0</v>
      </c>
      <c r="N569" s="306">
        <v>0</v>
      </c>
    </row>
    <row r="570" spans="1:14" ht="13.2">
      <c r="A570" s="306" t="s">
        <v>38</v>
      </c>
      <c r="B570" s="306" t="s">
        <v>823</v>
      </c>
      <c r="C570" s="306">
        <v>0</v>
      </c>
      <c r="D570" s="306">
        <v>0</v>
      </c>
      <c r="E570" s="306">
        <v>0</v>
      </c>
      <c r="F570" s="306">
        <v>0</v>
      </c>
      <c r="G570" s="306">
        <v>0</v>
      </c>
      <c r="H570" s="306">
        <v>21407915</v>
      </c>
      <c r="I570" s="306">
        <v>0</v>
      </c>
      <c r="J570" s="306">
        <v>0</v>
      </c>
      <c r="K570" s="306">
        <v>0</v>
      </c>
      <c r="L570" s="306">
        <v>0</v>
      </c>
      <c r="M570" s="306">
        <v>0</v>
      </c>
      <c r="N570" s="306">
        <v>0</v>
      </c>
    </row>
    <row r="571" spans="1:14" ht="13.2">
      <c r="A571" s="306" t="s">
        <v>38</v>
      </c>
      <c r="B571" s="306" t="s">
        <v>824</v>
      </c>
      <c r="C571" s="306">
        <v>0</v>
      </c>
      <c r="D571" s="306">
        <v>0</v>
      </c>
      <c r="E571" s="306">
        <v>0</v>
      </c>
      <c r="F571" s="306">
        <v>0</v>
      </c>
      <c r="G571" s="306">
        <v>0</v>
      </c>
      <c r="H571" s="306">
        <v>0</v>
      </c>
      <c r="I571" s="306">
        <v>67122</v>
      </c>
      <c r="J571" s="306">
        <v>66490</v>
      </c>
      <c r="K571" s="306">
        <v>0</v>
      </c>
      <c r="L571" s="306">
        <v>0</v>
      </c>
      <c r="M571" s="306">
        <v>0</v>
      </c>
      <c r="N571" s="306">
        <v>0</v>
      </c>
    </row>
    <row r="572" spans="1:14" ht="13.2">
      <c r="A572" s="306" t="s">
        <v>38</v>
      </c>
      <c r="B572" s="306" t="s">
        <v>33</v>
      </c>
      <c r="C572" s="306">
        <v>517000</v>
      </c>
      <c r="D572" s="306">
        <v>0</v>
      </c>
      <c r="E572" s="306">
        <v>0</v>
      </c>
      <c r="F572" s="306">
        <v>0</v>
      </c>
      <c r="G572" s="306">
        <v>0</v>
      </c>
      <c r="H572" s="306">
        <v>0</v>
      </c>
      <c r="I572" s="306">
        <v>0</v>
      </c>
      <c r="J572" s="306">
        <v>0</v>
      </c>
      <c r="K572" s="306">
        <v>0</v>
      </c>
      <c r="L572" s="306">
        <v>0</v>
      </c>
      <c r="M572" s="306">
        <v>0</v>
      </c>
      <c r="N572" s="306">
        <v>0</v>
      </c>
    </row>
    <row r="573" spans="1:14" ht="13.2">
      <c r="A573" s="306" t="s">
        <v>38</v>
      </c>
      <c r="B573" s="306" t="s">
        <v>825</v>
      </c>
      <c r="C573" s="306">
        <v>250000</v>
      </c>
      <c r="D573" s="306">
        <v>0</v>
      </c>
      <c r="E573" s="306">
        <v>0</v>
      </c>
      <c r="F573" s="306">
        <v>0</v>
      </c>
      <c r="G573" s="306">
        <v>0</v>
      </c>
      <c r="H573" s="306">
        <v>0</v>
      </c>
      <c r="I573" s="306">
        <v>0</v>
      </c>
      <c r="J573" s="306">
        <v>0</v>
      </c>
      <c r="K573" s="306">
        <v>0</v>
      </c>
      <c r="L573" s="306">
        <v>0</v>
      </c>
      <c r="M573" s="306">
        <v>0</v>
      </c>
      <c r="N573" s="306">
        <v>0</v>
      </c>
    </row>
    <row r="574" spans="1:14" ht="13.2">
      <c r="A574" s="306" t="s">
        <v>38</v>
      </c>
      <c r="B574" s="306" t="s">
        <v>826</v>
      </c>
      <c r="C574" s="306">
        <v>271000</v>
      </c>
      <c r="D574" s="306">
        <v>0</v>
      </c>
      <c r="E574" s="306">
        <v>0</v>
      </c>
      <c r="F574" s="306">
        <v>0</v>
      </c>
      <c r="G574" s="306">
        <v>0</v>
      </c>
      <c r="H574" s="306">
        <v>0</v>
      </c>
      <c r="I574" s="306">
        <v>0</v>
      </c>
      <c r="J574" s="306">
        <v>0</v>
      </c>
      <c r="K574" s="306">
        <v>0</v>
      </c>
      <c r="L574" s="306">
        <v>0</v>
      </c>
      <c r="M574" s="306">
        <v>0</v>
      </c>
      <c r="N574" s="306">
        <v>0</v>
      </c>
    </row>
    <row r="575" spans="1:14" ht="13.2">
      <c r="A575" s="306" t="s">
        <v>38</v>
      </c>
      <c r="B575" s="306" t="s">
        <v>827</v>
      </c>
      <c r="C575" s="306">
        <v>0</v>
      </c>
      <c r="D575" s="306">
        <v>0</v>
      </c>
      <c r="E575" s="306">
        <v>2076000</v>
      </c>
      <c r="F575" s="306">
        <v>1038000</v>
      </c>
      <c r="G575" s="306">
        <v>0</v>
      </c>
      <c r="H575" s="306">
        <v>21038000</v>
      </c>
      <c r="I575" s="306">
        <v>31038000</v>
      </c>
      <c r="J575" s="306">
        <v>1038000</v>
      </c>
      <c r="K575" s="306">
        <v>2076000</v>
      </c>
      <c r="L575" s="306">
        <v>0</v>
      </c>
      <c r="M575" s="306">
        <v>0</v>
      </c>
      <c r="N575" s="306">
        <v>0</v>
      </c>
    </row>
    <row r="576" spans="1:14" ht="13.2">
      <c r="A576" s="306" t="s">
        <v>39</v>
      </c>
      <c r="B576" s="306" t="s">
        <v>828</v>
      </c>
      <c r="C576" s="306">
        <v>150550</v>
      </c>
      <c r="D576" s="306">
        <v>0</v>
      </c>
      <c r="E576" s="306">
        <v>0</v>
      </c>
      <c r="F576" s="306">
        <v>0</v>
      </c>
      <c r="G576" s="306">
        <v>0</v>
      </c>
      <c r="H576" s="306">
        <v>0</v>
      </c>
      <c r="I576" s="306">
        <v>0</v>
      </c>
      <c r="J576" s="306">
        <v>0</v>
      </c>
      <c r="K576" s="306">
        <v>0</v>
      </c>
      <c r="L576" s="306">
        <v>0</v>
      </c>
      <c r="M576" s="306">
        <v>0</v>
      </c>
      <c r="N576" s="306">
        <v>0</v>
      </c>
    </row>
    <row r="577" spans="1:14" ht="13.2">
      <c r="A577" s="306" t="s">
        <v>39</v>
      </c>
      <c r="B577" s="306" t="s">
        <v>829</v>
      </c>
      <c r="C577" s="306">
        <v>0</v>
      </c>
      <c r="D577" s="306">
        <v>0</v>
      </c>
      <c r="E577" s="306">
        <v>0</v>
      </c>
      <c r="F577" s="306">
        <v>0</v>
      </c>
      <c r="G577" s="306">
        <v>0</v>
      </c>
      <c r="H577" s="306">
        <v>450900</v>
      </c>
      <c r="I577" s="306">
        <v>0</v>
      </c>
      <c r="J577" s="306">
        <v>0</v>
      </c>
      <c r="K577" s="306">
        <v>0</v>
      </c>
      <c r="L577" s="306">
        <v>0</v>
      </c>
      <c r="M577" s="306">
        <v>0</v>
      </c>
      <c r="N577" s="306">
        <v>0</v>
      </c>
    </row>
    <row r="578" spans="1:14" ht="13.2">
      <c r="A578" s="306" t="s">
        <v>39</v>
      </c>
      <c r="B578" s="306" t="s">
        <v>830</v>
      </c>
      <c r="C578" s="306">
        <v>0</v>
      </c>
      <c r="D578" s="306">
        <v>0</v>
      </c>
      <c r="E578" s="306">
        <v>150000</v>
      </c>
      <c r="F578" s="306">
        <v>0</v>
      </c>
      <c r="G578" s="306">
        <v>0</v>
      </c>
      <c r="H578" s="306">
        <v>0</v>
      </c>
      <c r="I578" s="306">
        <v>0</v>
      </c>
      <c r="J578" s="306">
        <v>0</v>
      </c>
      <c r="K578" s="306">
        <v>0</v>
      </c>
      <c r="L578" s="306">
        <v>0</v>
      </c>
      <c r="M578" s="306">
        <v>0</v>
      </c>
      <c r="N578" s="306">
        <v>0</v>
      </c>
    </row>
    <row r="579" spans="1:14" ht="13.2">
      <c r="A579" s="306" t="s">
        <v>40</v>
      </c>
      <c r="B579" s="306" t="s">
        <v>831</v>
      </c>
      <c r="C579" s="306">
        <v>40639</v>
      </c>
      <c r="D579" s="306">
        <v>0</v>
      </c>
      <c r="E579" s="306">
        <v>0</v>
      </c>
      <c r="F579" s="306">
        <v>0</v>
      </c>
      <c r="G579" s="306">
        <v>0</v>
      </c>
      <c r="H579" s="306">
        <v>0</v>
      </c>
      <c r="I579" s="306">
        <v>0</v>
      </c>
      <c r="J579" s="306">
        <v>0</v>
      </c>
      <c r="K579" s="306">
        <v>0</v>
      </c>
      <c r="L579" s="306">
        <v>0</v>
      </c>
      <c r="M579" s="306">
        <v>0</v>
      </c>
      <c r="N579" s="306">
        <v>0</v>
      </c>
    </row>
    <row r="580" spans="1:14" ht="13.2">
      <c r="A580" s="306" t="s">
        <v>40</v>
      </c>
      <c r="B580" s="306" t="s">
        <v>832</v>
      </c>
      <c r="C580" s="306">
        <v>0</v>
      </c>
      <c r="D580" s="306">
        <v>0</v>
      </c>
      <c r="E580" s="306">
        <v>0</v>
      </c>
      <c r="F580" s="306">
        <v>0</v>
      </c>
      <c r="G580" s="306">
        <v>0</v>
      </c>
      <c r="H580" s="306">
        <v>1534862</v>
      </c>
      <c r="I580" s="306">
        <v>0</v>
      </c>
      <c r="J580" s="306">
        <v>0</v>
      </c>
      <c r="K580" s="306">
        <v>0</v>
      </c>
      <c r="L580" s="306">
        <v>0</v>
      </c>
      <c r="M580" s="306">
        <v>0</v>
      </c>
      <c r="N580" s="306">
        <v>0</v>
      </c>
    </row>
    <row r="581" spans="1:14" ht="13.2">
      <c r="A581" s="306" t="s">
        <v>40</v>
      </c>
      <c r="B581" s="306" t="s">
        <v>259</v>
      </c>
      <c r="C581" s="306">
        <v>94406</v>
      </c>
      <c r="D581" s="306">
        <v>0</v>
      </c>
      <c r="E581" s="306">
        <v>0</v>
      </c>
      <c r="F581" s="306">
        <v>0</v>
      </c>
      <c r="G581" s="306">
        <v>0</v>
      </c>
      <c r="H581" s="306">
        <v>0</v>
      </c>
      <c r="I581" s="306">
        <v>0</v>
      </c>
      <c r="J581" s="306">
        <v>0</v>
      </c>
      <c r="K581" s="306">
        <v>0</v>
      </c>
      <c r="L581" s="306">
        <v>0</v>
      </c>
      <c r="M581" s="306">
        <v>0</v>
      </c>
      <c r="N581" s="306">
        <v>0</v>
      </c>
    </row>
    <row r="582" spans="1:14" ht="13.2">
      <c r="A582" s="306" t="s">
        <v>40</v>
      </c>
      <c r="B582" s="306" t="s">
        <v>833</v>
      </c>
      <c r="C582" s="306">
        <v>0</v>
      </c>
      <c r="D582" s="306">
        <v>0</v>
      </c>
      <c r="E582" s="306">
        <v>173666</v>
      </c>
      <c r="F582" s="306">
        <v>88038</v>
      </c>
      <c r="G582" s="306">
        <v>0</v>
      </c>
      <c r="H582" s="306">
        <v>98113</v>
      </c>
      <c r="I582" s="306">
        <v>77461</v>
      </c>
      <c r="J582" s="306">
        <v>76432</v>
      </c>
      <c r="K582" s="306">
        <v>174878</v>
      </c>
      <c r="L582" s="306">
        <v>0</v>
      </c>
      <c r="M582" s="306">
        <v>0</v>
      </c>
      <c r="N582" s="306">
        <v>0</v>
      </c>
    </row>
  </sheetData>
  <phoneticPr fontId="1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92D050"/>
    <outlinePr summaryBelow="0" summaryRight="0"/>
    <pageSetUpPr fitToPage="1"/>
  </sheetPr>
  <dimension ref="A1:AP1005"/>
  <sheetViews>
    <sheetView showGridLines="0" zoomScale="80" zoomScaleNormal="8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24" sqref="K24"/>
    </sheetView>
  </sheetViews>
  <sheetFormatPr defaultColWidth="12.6640625" defaultRowHeight="15.75" customHeight="1"/>
  <cols>
    <col min="1" max="1" width="32.33203125" style="154" bestFit="1" customWidth="1"/>
    <col min="2" max="13" width="11.6640625" style="175" customWidth="1"/>
    <col min="14" max="14" width="12.77734375" style="154" bestFit="1" customWidth="1"/>
    <col min="15" max="15" width="26.77734375" style="154" customWidth="1"/>
    <col min="16" max="18" width="12.77734375" style="154" bestFit="1" customWidth="1"/>
    <col min="19" max="21" width="12.88671875" style="154" bestFit="1" customWidth="1"/>
    <col min="22" max="28" width="12.77734375" style="154" bestFit="1" customWidth="1"/>
    <col min="29" max="29" width="31" style="154" customWidth="1"/>
    <col min="30" max="32" width="12.77734375" style="154" bestFit="1" customWidth="1"/>
    <col min="33" max="35" width="12.88671875" style="154" bestFit="1" customWidth="1"/>
    <col min="36" max="42" width="12.77734375" style="154" bestFit="1" customWidth="1"/>
    <col min="43" max="16384" width="12.6640625" style="154"/>
  </cols>
  <sheetData>
    <row r="1" spans="1:42" ht="21.45" customHeight="1">
      <c r="A1" s="152" t="s">
        <v>45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O1" s="152" t="s">
        <v>46</v>
      </c>
      <c r="AC1" s="152" t="s">
        <v>47</v>
      </c>
    </row>
    <row r="2" spans="1:42" s="158" customFormat="1" ht="15.75" customHeight="1">
      <c r="A2" s="155"/>
      <c r="B2" s="171">
        <f>入出金予定表!C1</f>
        <v>45839</v>
      </c>
      <c r="C2" s="171">
        <f>入出金予定表!D1</f>
        <v>45870</v>
      </c>
      <c r="D2" s="171">
        <f>入出金予定表!E1</f>
        <v>45901</v>
      </c>
      <c r="E2" s="171">
        <f>入出金予定表!F1</f>
        <v>45931</v>
      </c>
      <c r="F2" s="171">
        <f>入出金予定表!G1</f>
        <v>45962</v>
      </c>
      <c r="G2" s="171">
        <f>入出金予定表!H1</f>
        <v>45992</v>
      </c>
      <c r="H2" s="171">
        <f>入出金予定表!I1</f>
        <v>46023</v>
      </c>
      <c r="I2" s="171">
        <f>入出金予定表!J1</f>
        <v>46054</v>
      </c>
      <c r="J2" s="171">
        <f>入出金予定表!K1</f>
        <v>46082</v>
      </c>
      <c r="K2" s="171">
        <f>入出金予定表!L1</f>
        <v>46113</v>
      </c>
      <c r="L2" s="171">
        <f>入出金予定表!M1</f>
        <v>46143</v>
      </c>
      <c r="M2" s="171">
        <f>入出金予定表!N1</f>
        <v>46174</v>
      </c>
      <c r="N2" s="157" t="s">
        <v>48</v>
      </c>
      <c r="O2" s="157"/>
      <c r="P2" s="156">
        <f>入出金予定表!O1</f>
        <v>0</v>
      </c>
      <c r="Q2" s="156">
        <f>入出金予定表!P1</f>
        <v>0</v>
      </c>
      <c r="R2" s="156">
        <f>入出金予定表!Q1</f>
        <v>0</v>
      </c>
      <c r="S2" s="156">
        <f>入出金予定表!R1</f>
        <v>0</v>
      </c>
      <c r="T2" s="156">
        <f>入出金予定表!S1</f>
        <v>0</v>
      </c>
      <c r="U2" s="156">
        <f>入出金予定表!T1</f>
        <v>0</v>
      </c>
      <c r="V2" s="156">
        <f>入出金予定表!U1</f>
        <v>0</v>
      </c>
      <c r="W2" s="156">
        <f>入出金予定表!V1</f>
        <v>0</v>
      </c>
      <c r="X2" s="156">
        <f>入出金予定表!W1</f>
        <v>0</v>
      </c>
      <c r="Y2" s="156">
        <f>入出金予定表!X1</f>
        <v>0</v>
      </c>
      <c r="Z2" s="156">
        <f>入出金予定表!Y1</f>
        <v>0</v>
      </c>
      <c r="AA2" s="156">
        <f>入出金予定表!Z1</f>
        <v>0</v>
      </c>
      <c r="AB2" s="157" t="s">
        <v>48</v>
      </c>
      <c r="AC2" s="157"/>
      <c r="AD2" s="156">
        <f>EDATE(AA2,1)</f>
        <v>31</v>
      </c>
      <c r="AE2" s="156">
        <f t="shared" ref="AE2:AO2" si="0">EDATE(AD2,1)</f>
        <v>59</v>
      </c>
      <c r="AF2" s="156">
        <f t="shared" si="0"/>
        <v>88</v>
      </c>
      <c r="AG2" s="156">
        <f t="shared" si="0"/>
        <v>119</v>
      </c>
      <c r="AH2" s="156">
        <f t="shared" si="0"/>
        <v>149</v>
      </c>
      <c r="AI2" s="156">
        <f t="shared" si="0"/>
        <v>180</v>
      </c>
      <c r="AJ2" s="156">
        <f t="shared" si="0"/>
        <v>210</v>
      </c>
      <c r="AK2" s="156">
        <f t="shared" si="0"/>
        <v>241</v>
      </c>
      <c r="AL2" s="156">
        <f t="shared" si="0"/>
        <v>272</v>
      </c>
      <c r="AM2" s="156">
        <f t="shared" si="0"/>
        <v>302</v>
      </c>
      <c r="AN2" s="156">
        <f t="shared" si="0"/>
        <v>333</v>
      </c>
      <c r="AO2" s="156">
        <f t="shared" si="0"/>
        <v>363</v>
      </c>
      <c r="AP2" s="157" t="s">
        <v>48</v>
      </c>
    </row>
    <row r="3" spans="1:42" ht="15.75" customHeight="1">
      <c r="A3" s="159" t="str">
        <f>資金繰り予定表!A3</f>
        <v>売上入金</v>
      </c>
      <c r="B3" s="172">
        <f>IF(B$102=TRUE,SUMIF(資金繰り実績表!$A$2:$A$41,"売上入金",資金繰り実績表!B$2:B$41),資金繰り予定表!B3)</f>
        <v>54397318</v>
      </c>
      <c r="C3" s="172">
        <f>IF(C$102=TRUE,SUMIF(資金繰り実績表!$A$2:$A$38,"売上入金",資金繰り実績表!C$2:C$38),資金繰り予定表!C3)</f>
        <v>36633326</v>
      </c>
      <c r="D3" s="172">
        <f>IF(D$102=TRUE,SUMIF(資金繰り実績表!$A$2:$A$38,"売上入金",資金繰り実績表!D$2:D$38),資金繰り予定表!D3)</f>
        <v>27663609</v>
      </c>
      <c r="E3" s="172">
        <f>IF(E$102=TRUE,SUMIF(資金繰り実績表!$A$2:$A$38,"売上入金",資金繰り実績表!E$2:E$38),資金繰り予定表!E3)</f>
        <v>40698359</v>
      </c>
      <c r="F3" s="172">
        <f>IF(F$102=TRUE,SUMIF(資金繰り実績表!$A$2:$A$38,"売上入金",資金繰り実績表!F$2:F$38),資金繰り予定表!F3)</f>
        <v>32379584</v>
      </c>
      <c r="G3" s="172">
        <f>IF(G$102=TRUE,SUMIF(資金繰り実績表!$A$2:$A$38,"売上入金",資金繰り実績表!G$2:G$38),資金繰り予定表!G3)</f>
        <v>25729152</v>
      </c>
      <c r="H3" s="172">
        <f>IF(H$102=TRUE,SUMIF(資金繰り実績表!$A$2:$A$38,"売上入金",資金繰り実績表!H$2:H$38),資金繰り予定表!H3)</f>
        <v>54558653</v>
      </c>
      <c r="I3" s="172">
        <f>IF(I$102=TRUE,SUMIF(資金繰り実績表!$A$2:$A$38,"売上入金",資金繰り実績表!I$2:I$38),資金繰り予定表!I3)</f>
        <v>51184381</v>
      </c>
      <c r="J3" s="172">
        <f>IF(J$102=TRUE,SUMIF(資金繰り実績表!$A$2:$A$38,"売上入金",資金繰り実績表!J$2:J$38),資金繰り予定表!J3)</f>
        <v>18835978</v>
      </c>
      <c r="K3" s="172">
        <f>IF(K$102=TRUE,SUMIF(資金繰り実績表!$A$2:$A$38,"売上入金",資金繰り実績表!K$2:K$38),資金繰り予定表!K3)</f>
        <v>0</v>
      </c>
      <c r="L3" s="172">
        <f>IF(L$102=TRUE,SUMIF(資金繰り実績表!$A$2:$A$38,"売上入金",資金繰り実績表!L$2:L$38),資金繰り予定表!L3)</f>
        <v>0</v>
      </c>
      <c r="M3" s="172">
        <f>IF(M$102=TRUE,SUMIF(資金繰り実績表!$A$2:$A$38,"売上入金",資金繰り実績表!M$2:M$38),資金繰り予定表!M3)</f>
        <v>0</v>
      </c>
      <c r="N3" s="160">
        <f t="shared" ref="N3:N36" si="1">SUM(B3:M3)</f>
        <v>342080360</v>
      </c>
      <c r="O3" s="153" t="str">
        <f t="shared" ref="O3:O56" si="2">A3</f>
        <v>売上入金</v>
      </c>
      <c r="P3" s="160">
        <f>資金繰り予定表!P3</f>
        <v>0</v>
      </c>
      <c r="Q3" s="160">
        <f>資金繰り予定表!Q3</f>
        <v>0</v>
      </c>
      <c r="R3" s="160">
        <f>資金繰り予定表!R3</f>
        <v>0</v>
      </c>
      <c r="S3" s="160">
        <f>資金繰り予定表!S3</f>
        <v>0</v>
      </c>
      <c r="T3" s="160">
        <f>資金繰り予定表!T3</f>
        <v>0</v>
      </c>
      <c r="U3" s="160">
        <f>資金繰り予定表!U3</f>
        <v>0</v>
      </c>
      <c r="V3" s="160">
        <f>資金繰り予定表!V3</f>
        <v>0</v>
      </c>
      <c r="W3" s="160">
        <f>資金繰り予定表!W3</f>
        <v>0</v>
      </c>
      <c r="X3" s="160">
        <f>資金繰り予定表!X3</f>
        <v>0</v>
      </c>
      <c r="Y3" s="160">
        <f>資金繰り予定表!Y3</f>
        <v>0</v>
      </c>
      <c r="Z3" s="160">
        <f>資金繰り予定表!Z3</f>
        <v>0</v>
      </c>
      <c r="AA3" s="160">
        <f>資金繰り予定表!AA3</f>
        <v>0</v>
      </c>
      <c r="AB3" s="160">
        <f t="shared" ref="AB3:AB35" si="3">SUM(P3:AA3)</f>
        <v>0</v>
      </c>
      <c r="AC3" s="160" t="str">
        <f t="shared" ref="AC3:AC56" si="4">O3</f>
        <v>売上入金</v>
      </c>
      <c r="AD3" s="160">
        <f>資金繰り予定表!AD3</f>
        <v>0</v>
      </c>
      <c r="AE3" s="160">
        <f>資金繰り予定表!AE3</f>
        <v>0</v>
      </c>
      <c r="AF3" s="160">
        <f>資金繰り予定表!AF3</f>
        <v>0</v>
      </c>
      <c r="AG3" s="160">
        <f>資金繰り予定表!AG3</f>
        <v>0</v>
      </c>
      <c r="AH3" s="160">
        <f>資金繰り予定表!AH3</f>
        <v>0</v>
      </c>
      <c r="AI3" s="160">
        <f>資金繰り予定表!AI3</f>
        <v>0</v>
      </c>
      <c r="AJ3" s="160">
        <f>資金繰り予定表!AJ3</f>
        <v>0</v>
      </c>
      <c r="AK3" s="160">
        <f>資金繰り予定表!AK3</f>
        <v>0</v>
      </c>
      <c r="AL3" s="160">
        <f>資金繰り予定表!AL3</f>
        <v>0</v>
      </c>
      <c r="AM3" s="160">
        <f>資金繰り予定表!AM3</f>
        <v>0</v>
      </c>
      <c r="AN3" s="160">
        <f>資金繰り予定表!AN3</f>
        <v>0</v>
      </c>
      <c r="AO3" s="160">
        <f>資金繰り予定表!AO3</f>
        <v>0</v>
      </c>
      <c r="AP3" s="160">
        <f t="shared" ref="AP3:AP35" si="5">SUM(AD3:AO3)</f>
        <v>0</v>
      </c>
    </row>
    <row r="4" spans="1:42" ht="15.75" customHeight="1">
      <c r="A4" s="159" t="str">
        <f>資金繰り予定表!A4</f>
        <v>その他経常収入</v>
      </c>
      <c r="B4" s="172">
        <f>IF(B$102=TRUE,SUMIF(資金繰り実績表!$A$2:$A$38,"その他経常収入",資金繰り実績表!B$2:B$38),資金繰り予定表!B4)</f>
        <v>169220</v>
      </c>
      <c r="C4" s="172">
        <f>IF(C$102=TRUE,SUMIF(資金繰り実績表!$A$2:$A$38,"その他経常収入",資金繰り実績表!C$2:C$38),資金繰り予定表!C4)</f>
        <v>488103</v>
      </c>
      <c r="D4" s="172">
        <f>IF(D$102=TRUE,SUMIF(資金繰り実績表!$A$2:$A$38,"その他経常収入",資金繰り実績表!D$2:D$38),資金繰り予定表!D4)</f>
        <v>341540</v>
      </c>
      <c r="E4" s="172">
        <f>IF(E$102=TRUE,SUMIF(資金繰り実績表!$A$2:$A$38,"その他経常収入",資金繰り実績表!E$2:E$38),資金繰り予定表!E4)</f>
        <v>283198</v>
      </c>
      <c r="F4" s="172">
        <f>IF(F$102=TRUE,SUMIF(資金繰り実績表!$A$2:$A$38,"その他経常収入",資金繰り実績表!F$2:F$38),資金繰り予定表!F4)</f>
        <v>394321</v>
      </c>
      <c r="G4" s="172">
        <f>IF(G$102=TRUE,SUMIF(資金繰り実績表!$A$2:$A$38,"その他経常収入",資金繰り実績表!G$2:G$38),資金繰り予定表!G4)</f>
        <v>2009209</v>
      </c>
      <c r="H4" s="172">
        <f>IF(H$102=TRUE,SUMIF(資金繰り実績表!$A$2:$A$38,"その他経常収入",資金繰り実績表!H$2:H$38),資金繰り予定表!H4)</f>
        <v>282433</v>
      </c>
      <c r="I4" s="172">
        <f>IF(I$102=TRUE,SUMIF(資金繰り実績表!$A$2:$A$38,"その他経常収入",資金繰り実績表!I$2:I$38),資金繰り予定表!I4)</f>
        <v>282868</v>
      </c>
      <c r="J4" s="172">
        <f>IF(J$102=TRUE,SUMIF(資金繰り実績表!$A$2:$A$38,"その他経常収入",資金繰り実績表!J$2:J$38),資金繰り予定表!J4)</f>
        <v>282653</v>
      </c>
      <c r="K4" s="172">
        <f>IF(K$102=TRUE,SUMIF(資金繰り実績表!$A$2:$A$38,"その他経常収入",資金繰り実績表!K$2:K$38),資金繰り予定表!K4)</f>
        <v>0</v>
      </c>
      <c r="L4" s="172">
        <f>IF(L$102=TRUE,SUMIF(資金繰り実績表!$A$2:$A$38,"その他経常収入",資金繰り実績表!L$2:L$38),資金繰り予定表!L4)</f>
        <v>0</v>
      </c>
      <c r="M4" s="172">
        <f>IF(M$102=TRUE,SUMIF(資金繰り実績表!$A$2:$A$38,"その他経常収入",資金繰り実績表!M$2:M$38),資金繰り予定表!M4)</f>
        <v>0</v>
      </c>
      <c r="N4" s="160">
        <f t="shared" si="1"/>
        <v>4533545</v>
      </c>
      <c r="O4" s="153" t="str">
        <f t="shared" si="2"/>
        <v>その他経常収入</v>
      </c>
      <c r="P4" s="160">
        <f>資金繰り予定表!P4</f>
        <v>0</v>
      </c>
      <c r="Q4" s="160">
        <f>資金繰り予定表!Q4</f>
        <v>0</v>
      </c>
      <c r="R4" s="160">
        <f>資金繰り予定表!R4</f>
        <v>0</v>
      </c>
      <c r="S4" s="160">
        <f>資金繰り予定表!S4</f>
        <v>0</v>
      </c>
      <c r="T4" s="160">
        <f>資金繰り予定表!T4</f>
        <v>0</v>
      </c>
      <c r="U4" s="160">
        <f>資金繰り予定表!U4</f>
        <v>0</v>
      </c>
      <c r="V4" s="160">
        <f>資金繰り予定表!V4</f>
        <v>0</v>
      </c>
      <c r="W4" s="160">
        <f>資金繰り予定表!W4</f>
        <v>0</v>
      </c>
      <c r="X4" s="160">
        <f>資金繰り予定表!X4</f>
        <v>0</v>
      </c>
      <c r="Y4" s="160">
        <f>資金繰り予定表!Y4</f>
        <v>0</v>
      </c>
      <c r="Z4" s="160">
        <f>資金繰り予定表!Z4</f>
        <v>0</v>
      </c>
      <c r="AA4" s="160">
        <f>資金繰り予定表!AA4</f>
        <v>0</v>
      </c>
      <c r="AB4" s="160">
        <f t="shared" si="3"/>
        <v>0</v>
      </c>
      <c r="AC4" s="160" t="str">
        <f t="shared" si="4"/>
        <v>その他経常収入</v>
      </c>
      <c r="AD4" s="160">
        <f>資金繰り予定表!AD4</f>
        <v>0</v>
      </c>
      <c r="AE4" s="160">
        <f>資金繰り予定表!AE4</f>
        <v>0</v>
      </c>
      <c r="AF4" s="160">
        <f>資金繰り予定表!AF4</f>
        <v>0</v>
      </c>
      <c r="AG4" s="160">
        <f>資金繰り予定表!AG4</f>
        <v>0</v>
      </c>
      <c r="AH4" s="160">
        <f>資金繰り予定表!AH4</f>
        <v>0</v>
      </c>
      <c r="AI4" s="160">
        <f>資金繰り予定表!AI4</f>
        <v>0</v>
      </c>
      <c r="AJ4" s="160">
        <f>資金繰り予定表!AJ4</f>
        <v>0</v>
      </c>
      <c r="AK4" s="160">
        <f>資金繰り予定表!AK4</f>
        <v>0</v>
      </c>
      <c r="AL4" s="160">
        <f>資金繰り予定表!AL4</f>
        <v>0</v>
      </c>
      <c r="AM4" s="160">
        <f>資金繰り予定表!AM4</f>
        <v>0</v>
      </c>
      <c r="AN4" s="160">
        <f>資金繰り予定表!AN4</f>
        <v>0</v>
      </c>
      <c r="AO4" s="160">
        <f>資金繰り予定表!AO4</f>
        <v>0</v>
      </c>
      <c r="AP4" s="160">
        <f t="shared" si="5"/>
        <v>0</v>
      </c>
    </row>
    <row r="5" spans="1:42" ht="15.75" customHeight="1">
      <c r="A5" s="161" t="s">
        <v>49</v>
      </c>
      <c r="B5" s="173">
        <f t="shared" ref="B5:M5" si="6">SUM(B3:B4)</f>
        <v>54566538</v>
      </c>
      <c r="C5" s="173">
        <f t="shared" si="6"/>
        <v>37121429</v>
      </c>
      <c r="D5" s="173">
        <f t="shared" si="6"/>
        <v>28005149</v>
      </c>
      <c r="E5" s="173">
        <f t="shared" si="6"/>
        <v>40981557</v>
      </c>
      <c r="F5" s="173">
        <f t="shared" si="6"/>
        <v>32773905</v>
      </c>
      <c r="G5" s="173">
        <f t="shared" si="6"/>
        <v>27738361</v>
      </c>
      <c r="H5" s="173">
        <f t="shared" si="6"/>
        <v>54841086</v>
      </c>
      <c r="I5" s="173">
        <f t="shared" si="6"/>
        <v>51467249</v>
      </c>
      <c r="J5" s="173">
        <f t="shared" si="6"/>
        <v>19118631</v>
      </c>
      <c r="K5" s="173">
        <f t="shared" si="6"/>
        <v>0</v>
      </c>
      <c r="L5" s="173">
        <f t="shared" si="6"/>
        <v>0</v>
      </c>
      <c r="M5" s="173">
        <f t="shared" si="6"/>
        <v>0</v>
      </c>
      <c r="N5" s="162">
        <f t="shared" si="1"/>
        <v>346613905</v>
      </c>
      <c r="O5" s="163" t="str">
        <f t="shared" si="2"/>
        <v>①経常収入合計</v>
      </c>
      <c r="P5" s="162">
        <f>資金繰り予定表!P5</f>
        <v>0</v>
      </c>
      <c r="Q5" s="162">
        <f>資金繰り予定表!Q5</f>
        <v>0</v>
      </c>
      <c r="R5" s="162">
        <f>資金繰り予定表!R5</f>
        <v>0</v>
      </c>
      <c r="S5" s="162">
        <f>資金繰り予定表!S5</f>
        <v>0</v>
      </c>
      <c r="T5" s="162">
        <f>資金繰り予定表!T5</f>
        <v>0</v>
      </c>
      <c r="U5" s="162">
        <f>資金繰り予定表!U5</f>
        <v>0</v>
      </c>
      <c r="V5" s="162">
        <f>資金繰り予定表!V5</f>
        <v>0</v>
      </c>
      <c r="W5" s="162">
        <f>資金繰り予定表!W5</f>
        <v>0</v>
      </c>
      <c r="X5" s="162">
        <f>資金繰り予定表!X5</f>
        <v>0</v>
      </c>
      <c r="Y5" s="162">
        <f>資金繰り予定表!Y5</f>
        <v>0</v>
      </c>
      <c r="Z5" s="162">
        <f>資金繰り予定表!Z5</f>
        <v>0</v>
      </c>
      <c r="AA5" s="162">
        <f>資金繰り予定表!AA5</f>
        <v>0</v>
      </c>
      <c r="AB5" s="162">
        <f t="shared" si="3"/>
        <v>0</v>
      </c>
      <c r="AC5" s="162" t="str">
        <f t="shared" si="4"/>
        <v>①経常収入合計</v>
      </c>
      <c r="AD5" s="162">
        <f>資金繰り予定表!AD5</f>
        <v>0</v>
      </c>
      <c r="AE5" s="162">
        <f>資金繰り予定表!AE5</f>
        <v>0</v>
      </c>
      <c r="AF5" s="162">
        <f>資金繰り予定表!AF5</f>
        <v>0</v>
      </c>
      <c r="AG5" s="162">
        <f>資金繰り予定表!AG5</f>
        <v>0</v>
      </c>
      <c r="AH5" s="162">
        <f>資金繰り予定表!AH5</f>
        <v>0</v>
      </c>
      <c r="AI5" s="162">
        <f>資金繰り予定表!AI5</f>
        <v>0</v>
      </c>
      <c r="AJ5" s="162">
        <f>資金繰り予定表!AJ5</f>
        <v>0</v>
      </c>
      <c r="AK5" s="162">
        <f>資金繰り予定表!AK5</f>
        <v>0</v>
      </c>
      <c r="AL5" s="162">
        <f>資金繰り予定表!AL5</f>
        <v>0</v>
      </c>
      <c r="AM5" s="162">
        <f>資金繰り予定表!AM5</f>
        <v>0</v>
      </c>
      <c r="AN5" s="162">
        <f>資金繰り予定表!AN5</f>
        <v>0</v>
      </c>
      <c r="AO5" s="162">
        <f>資金繰り予定表!AO5</f>
        <v>0</v>
      </c>
      <c r="AP5" s="162">
        <f t="shared" si="5"/>
        <v>0</v>
      </c>
    </row>
    <row r="6" spans="1:42" ht="15.75" customHeight="1">
      <c r="A6" s="159" t="str">
        <f>資金繰り予定表!A6</f>
        <v>仕入支払い</v>
      </c>
      <c r="B6" s="172">
        <f>IF(B$102=TRUE,SUMIF(資金繰り実績表!$A$2:$A$38,"仕入支払い",資金繰り実績表!B$2:B$38),資金繰り予定表!B6)</f>
        <v>47765346</v>
      </c>
      <c r="C6" s="172">
        <f>IF(C$102=TRUE,SUMIF(資金繰り実績表!$A$2:$A$38,"仕入支払い",資金繰り実績表!C$2:C$38),資金繰り予定表!C6)</f>
        <v>23771476</v>
      </c>
      <c r="D6" s="172">
        <f>IF(D$102=TRUE,SUMIF(資金繰り実績表!$A$2:$A$38,"仕入支払い",資金繰り実績表!D$2:D$38),資金繰り予定表!D6)</f>
        <v>17888831</v>
      </c>
      <c r="E6" s="172">
        <f>IF(E$102=TRUE,SUMIF(資金繰り実績表!$A$2:$A$38,"仕入支払い",資金繰り実績表!E$2:E$38),資金繰り予定表!E6)</f>
        <v>23481022</v>
      </c>
      <c r="F6" s="172">
        <f>IF(F$102=TRUE,SUMIF(資金繰り実績表!$A$2:$A$38,"仕入支払い",資金繰り実績表!F$2:F$38),資金繰り予定表!F6)</f>
        <v>22792525</v>
      </c>
      <c r="G6" s="172">
        <f>IF(G$102=TRUE,SUMIF(資金繰り実績表!$A$2:$A$38,"仕入支払い",資金繰り実績表!G$2:G$38),資金繰り予定表!G6)</f>
        <v>6318533</v>
      </c>
      <c r="H6" s="172">
        <f>IF(H$102=TRUE,SUMIF(資金繰り実績表!$A$2:$A$38,"仕入支払い",資金繰り実績表!H$2:H$38),資金繰り予定表!H6)</f>
        <v>28239252</v>
      </c>
      <c r="I6" s="172">
        <f>IF(I$102=TRUE,SUMIF(資金繰り実績表!$A$2:$A$38,"仕入支払い",資金繰り実績表!I$2:I$38),資金繰り予定表!I6)</f>
        <v>23680587</v>
      </c>
      <c r="J6" s="172">
        <f>IF(J$102=TRUE,SUMIF(資金繰り実績表!$A$2:$A$38,"仕入支払い",資金繰り実績表!J$2:J$38),資金繰り予定表!J6)</f>
        <v>21000375</v>
      </c>
      <c r="K6" s="172">
        <f>IF(K$102=TRUE,SUMIF(資金繰り実績表!$A$2:$A$38,"仕入支払い",資金繰り実績表!K$2:K$38),資金繰り予定表!K6)</f>
        <v>0</v>
      </c>
      <c r="L6" s="172">
        <f>IF(L$102=TRUE,SUMIF(資金繰り実績表!$A$2:$A$38,"仕入支払い",資金繰り実績表!L$2:L$38),資金繰り予定表!L6)</f>
        <v>0</v>
      </c>
      <c r="M6" s="172">
        <f>IF(M$102=TRUE,SUMIF(資金繰り実績表!$A$2:$A$38,"仕入支払い",資金繰り実績表!M$2:M$38),資金繰り予定表!M6)</f>
        <v>0</v>
      </c>
      <c r="N6" s="160">
        <f t="shared" si="1"/>
        <v>214937947</v>
      </c>
      <c r="O6" s="153" t="str">
        <f t="shared" si="2"/>
        <v>仕入支払い</v>
      </c>
      <c r="P6" s="160">
        <f>資金繰り予定表!P6</f>
        <v>0</v>
      </c>
      <c r="Q6" s="160">
        <f>資金繰り予定表!Q6</f>
        <v>0</v>
      </c>
      <c r="R6" s="160">
        <f>資金繰り予定表!R6</f>
        <v>0</v>
      </c>
      <c r="S6" s="160">
        <f>資金繰り予定表!S6</f>
        <v>0</v>
      </c>
      <c r="T6" s="160">
        <f>資金繰り予定表!T6</f>
        <v>0</v>
      </c>
      <c r="U6" s="160">
        <f>資金繰り予定表!U6</f>
        <v>0</v>
      </c>
      <c r="V6" s="160">
        <f>資金繰り予定表!V6</f>
        <v>0</v>
      </c>
      <c r="W6" s="160">
        <f>資金繰り予定表!W6</f>
        <v>0</v>
      </c>
      <c r="X6" s="160">
        <f>資金繰り予定表!X6</f>
        <v>0</v>
      </c>
      <c r="Y6" s="160">
        <f>資金繰り予定表!Y6</f>
        <v>0</v>
      </c>
      <c r="Z6" s="160">
        <f>資金繰り予定表!Z6</f>
        <v>0</v>
      </c>
      <c r="AA6" s="160">
        <f>資金繰り予定表!AA6</f>
        <v>0</v>
      </c>
      <c r="AB6" s="160">
        <f t="shared" si="3"/>
        <v>0</v>
      </c>
      <c r="AC6" s="160" t="str">
        <f t="shared" si="4"/>
        <v>仕入支払い</v>
      </c>
      <c r="AD6" s="160">
        <f>資金繰り予定表!AD6</f>
        <v>0</v>
      </c>
      <c r="AE6" s="160">
        <f>資金繰り予定表!AE6</f>
        <v>0</v>
      </c>
      <c r="AF6" s="160">
        <f>資金繰り予定表!AF6</f>
        <v>0</v>
      </c>
      <c r="AG6" s="160">
        <f>資金繰り予定表!AG6</f>
        <v>0</v>
      </c>
      <c r="AH6" s="160">
        <f>資金繰り予定表!AH6</f>
        <v>0</v>
      </c>
      <c r="AI6" s="160">
        <f>資金繰り予定表!AI6</f>
        <v>0</v>
      </c>
      <c r="AJ6" s="160">
        <f>資金繰り予定表!AJ6</f>
        <v>0</v>
      </c>
      <c r="AK6" s="160">
        <f>資金繰り予定表!AK6</f>
        <v>0</v>
      </c>
      <c r="AL6" s="160">
        <f>資金繰り予定表!AL6</f>
        <v>0</v>
      </c>
      <c r="AM6" s="160">
        <f>資金繰り予定表!AM6</f>
        <v>0</v>
      </c>
      <c r="AN6" s="160">
        <f>資金繰り予定表!AN6</f>
        <v>0</v>
      </c>
      <c r="AO6" s="160">
        <f>資金繰り予定表!AO6</f>
        <v>0</v>
      </c>
      <c r="AP6" s="160">
        <f t="shared" si="5"/>
        <v>0</v>
      </c>
    </row>
    <row r="7" spans="1:42" ht="15.75" customHeight="1">
      <c r="A7" s="159" t="str">
        <f>資金繰り予定表!A7</f>
        <v>外注費</v>
      </c>
      <c r="B7" s="172">
        <f>IF(B$102=TRUE,SUMIF(資金繰り実績表!$A$2:$A$38,"外注費",資金繰り実績表!B$2:B$38),資金繰り予定表!B7)</f>
        <v>3962380</v>
      </c>
      <c r="C7" s="172">
        <f>IF(C$102=TRUE,SUMIF(資金繰り実績表!$A$2:$A$38,"外注費",資金繰り実績表!C$2:C$38),資金繰り予定表!C7)</f>
        <v>5465980</v>
      </c>
      <c r="D7" s="172">
        <f>IF(D$102=TRUE,SUMIF(資金繰り実績表!$A$2:$A$38,"外注費",資金繰り実績表!D$2:D$38),資金繰り予定表!D7)</f>
        <v>3316614</v>
      </c>
      <c r="E7" s="172">
        <f>IF(E$102=TRUE,SUMIF(資金繰り実績表!$A$2:$A$38,"外注費",資金繰り実績表!E$2:E$38),資金繰り予定表!E7)</f>
        <v>2490000</v>
      </c>
      <c r="F7" s="172">
        <f>IF(F$102=TRUE,SUMIF(資金繰り実績表!$A$2:$A$38,"外注費",資金繰り実績表!F$2:F$38),資金繰り予定表!F7)</f>
        <v>4710426</v>
      </c>
      <c r="G7" s="172">
        <f>IF(G$102=TRUE,SUMIF(資金繰り実績表!$A$2:$A$38,"外注費",資金繰り実績表!G$2:G$38),資金繰り予定表!G7)</f>
        <v>27279202</v>
      </c>
      <c r="H7" s="172">
        <f>IF(H$102=TRUE,SUMIF(資金繰り実績表!$A$2:$A$38,"外注費",資金繰り実績表!H$2:H$38),資金繰り予定表!H7)</f>
        <v>6344902</v>
      </c>
      <c r="I7" s="172">
        <f>IF(I$102=TRUE,SUMIF(資金繰り実績表!$A$2:$A$38,"外注費",資金繰り実績表!I$2:I$38),資金繰り予定表!I7)</f>
        <v>3371348</v>
      </c>
      <c r="J7" s="172">
        <f>IF(J$102=TRUE,SUMIF(資金繰り実績表!$A$2:$A$38,"外注費",資金繰り実績表!J$2:J$38),資金繰り予定表!J7)</f>
        <v>165210</v>
      </c>
      <c r="K7" s="172">
        <f>IF(K$102=TRUE,SUMIF(資金繰り実績表!$A$2:$A$38,"外注費",資金繰り実績表!K$2:K$38),資金繰り予定表!K7)</f>
        <v>0</v>
      </c>
      <c r="L7" s="172">
        <f>IF(L$102=TRUE,SUMIF(資金繰り実績表!$A$2:$A$38,"外注費",資金繰り実績表!L$2:L$38),資金繰り予定表!L7)</f>
        <v>0</v>
      </c>
      <c r="M7" s="172">
        <f>IF(M$102=TRUE,SUMIF(資金繰り実績表!$A$2:$A$38,"外注費",資金繰り実績表!M$2:M$38),資金繰り予定表!M7)</f>
        <v>0</v>
      </c>
      <c r="N7" s="160">
        <f t="shared" si="1"/>
        <v>57106062</v>
      </c>
      <c r="O7" s="153" t="str">
        <f t="shared" si="2"/>
        <v>外注費</v>
      </c>
      <c r="P7" s="160">
        <f>資金繰り予定表!P7</f>
        <v>0</v>
      </c>
      <c r="Q7" s="160">
        <f>資金繰り予定表!Q7</f>
        <v>0</v>
      </c>
      <c r="R7" s="160">
        <f>資金繰り予定表!R7</f>
        <v>0</v>
      </c>
      <c r="S7" s="160">
        <f>資金繰り予定表!S7</f>
        <v>0</v>
      </c>
      <c r="T7" s="160">
        <f>資金繰り予定表!T7</f>
        <v>0</v>
      </c>
      <c r="U7" s="160">
        <f>資金繰り予定表!U7</f>
        <v>0</v>
      </c>
      <c r="V7" s="160">
        <f>資金繰り予定表!V7</f>
        <v>0</v>
      </c>
      <c r="W7" s="160">
        <f>資金繰り予定表!W7</f>
        <v>0</v>
      </c>
      <c r="X7" s="160">
        <f>資金繰り予定表!X7</f>
        <v>0</v>
      </c>
      <c r="Y7" s="160">
        <f>資金繰り予定表!Y7</f>
        <v>0</v>
      </c>
      <c r="Z7" s="160">
        <f>資金繰り予定表!Z7</f>
        <v>0</v>
      </c>
      <c r="AA7" s="160">
        <f>資金繰り予定表!AA7</f>
        <v>0</v>
      </c>
      <c r="AB7" s="160">
        <f t="shared" si="3"/>
        <v>0</v>
      </c>
      <c r="AC7" s="160" t="str">
        <f t="shared" si="4"/>
        <v>外注費</v>
      </c>
      <c r="AD7" s="160">
        <f>資金繰り予定表!AD7</f>
        <v>0</v>
      </c>
      <c r="AE7" s="160">
        <f>資金繰り予定表!AE7</f>
        <v>0</v>
      </c>
      <c r="AF7" s="160">
        <f>資金繰り予定表!AF7</f>
        <v>0</v>
      </c>
      <c r="AG7" s="160">
        <f>資金繰り予定表!AG7</f>
        <v>0</v>
      </c>
      <c r="AH7" s="160">
        <f>資金繰り予定表!AH7</f>
        <v>0</v>
      </c>
      <c r="AI7" s="160">
        <f>資金繰り予定表!AI7</f>
        <v>0</v>
      </c>
      <c r="AJ7" s="160">
        <f>資金繰り予定表!AJ7</f>
        <v>0</v>
      </c>
      <c r="AK7" s="160">
        <f>資金繰り予定表!AK7</f>
        <v>0</v>
      </c>
      <c r="AL7" s="160">
        <f>資金繰り予定表!AL7</f>
        <v>0</v>
      </c>
      <c r="AM7" s="160">
        <f>資金繰り予定表!AM7</f>
        <v>0</v>
      </c>
      <c r="AN7" s="160">
        <f>資金繰り予定表!AN7</f>
        <v>0</v>
      </c>
      <c r="AO7" s="160">
        <f>資金繰り予定表!AO7</f>
        <v>0</v>
      </c>
      <c r="AP7" s="160">
        <f t="shared" si="5"/>
        <v>0</v>
      </c>
    </row>
    <row r="8" spans="1:42" ht="15.75" customHeight="1">
      <c r="A8" s="159" t="str">
        <f>資金繰り予定表!A8</f>
        <v>給与・賞与</v>
      </c>
      <c r="B8" s="172">
        <f>IF(B$102=TRUE,SUMIF(資金繰り実績表!$A$2:$A$38,"給与・賞与",資金繰り実績表!B$2:B$38),資金繰り予定表!B8)</f>
        <v>1778257</v>
      </c>
      <c r="C8" s="172">
        <f>IF(C$102=TRUE,SUMIF(資金繰り実績表!$A$2:$A$38,"給与・賞与",資金繰り実績表!C$2:C$38),資金繰り予定表!C8)</f>
        <v>1752394</v>
      </c>
      <c r="D8" s="172">
        <f>IF(D$102=TRUE,SUMIF(資金繰り実績表!$A$2:$A$38,"給与・賞与",資金繰り実績表!D$2:D$38),資金繰り予定表!D8)</f>
        <v>2260053</v>
      </c>
      <c r="E8" s="172">
        <f>IF(E$102=TRUE,SUMIF(資金繰り実績表!$A$2:$A$38,"給与・賞与",資金繰り実績表!E$2:E$38),資金繰り予定表!E8)</f>
        <v>1756330</v>
      </c>
      <c r="F8" s="172">
        <f>IF(F$102=TRUE,SUMIF(資金繰り実績表!$A$2:$A$38,"給与・賞与",資金繰り実績表!F$2:F$38),資金繰り予定表!F8)</f>
        <v>1872813</v>
      </c>
      <c r="G8" s="172">
        <f>IF(G$102=TRUE,SUMIF(資金繰り実績表!$A$2:$A$38,"給与・賞与",資金繰り実績表!G$2:G$38),資金繰り予定表!G8)</f>
        <v>3035179</v>
      </c>
      <c r="H8" s="172">
        <f>IF(H$102=TRUE,SUMIF(資金繰り実績表!$A$2:$A$38,"給与・賞与",資金繰り実績表!H$2:H$38),資金繰り予定表!H8)</f>
        <v>1628672</v>
      </c>
      <c r="I8" s="172">
        <f>IF(I$102=TRUE,SUMIF(資金繰り実績表!$A$2:$A$38,"給与・賞与",資金繰り実績表!I$2:I$38),資金繰り予定表!I8)</f>
        <v>1671365</v>
      </c>
      <c r="J8" s="172">
        <f>IF(J$102=TRUE,SUMIF(資金繰り実績表!$A$2:$A$38,"給与・賞与",資金繰り実績表!J$2:J$38),資金繰り予定表!J8)</f>
        <v>1586132</v>
      </c>
      <c r="K8" s="172">
        <f>IF(K$102=TRUE,SUMIF(資金繰り実績表!$A$2:$A$38,"給与・賞与",資金繰り実績表!K$2:K$38),資金繰り予定表!K8)</f>
        <v>0</v>
      </c>
      <c r="L8" s="172">
        <f>IF(L$102=TRUE,SUMIF(資金繰り実績表!$A$2:$A$38,"給与・賞与",資金繰り実績表!L$2:L$38),資金繰り予定表!L8)</f>
        <v>0</v>
      </c>
      <c r="M8" s="172">
        <f>IF(M$102=TRUE,SUMIF(資金繰り実績表!$A$2:$A$38,"給与・賞与",資金繰り実績表!M$2:M$38),資金繰り予定表!M8)</f>
        <v>0</v>
      </c>
      <c r="N8" s="160">
        <f t="shared" si="1"/>
        <v>17341195</v>
      </c>
      <c r="O8" s="153" t="str">
        <f t="shared" si="2"/>
        <v>給与・賞与</v>
      </c>
      <c r="P8" s="160">
        <f>資金繰り予定表!P8</f>
        <v>0</v>
      </c>
      <c r="Q8" s="160">
        <f>資金繰り予定表!Q8</f>
        <v>0</v>
      </c>
      <c r="R8" s="160">
        <f>資金繰り予定表!R8</f>
        <v>0</v>
      </c>
      <c r="S8" s="160">
        <f>資金繰り予定表!S8</f>
        <v>0</v>
      </c>
      <c r="T8" s="160">
        <f>資金繰り予定表!T8</f>
        <v>0</v>
      </c>
      <c r="U8" s="160">
        <f>資金繰り予定表!U8</f>
        <v>0</v>
      </c>
      <c r="V8" s="160">
        <f>資金繰り予定表!V8</f>
        <v>0</v>
      </c>
      <c r="W8" s="160">
        <f>資金繰り予定表!W8</f>
        <v>0</v>
      </c>
      <c r="X8" s="160">
        <f>資金繰り予定表!X8</f>
        <v>0</v>
      </c>
      <c r="Y8" s="160">
        <f>資金繰り予定表!Y8</f>
        <v>0</v>
      </c>
      <c r="Z8" s="160">
        <f>資金繰り予定表!Z8</f>
        <v>0</v>
      </c>
      <c r="AA8" s="160">
        <f>資金繰り予定表!AA8</f>
        <v>0</v>
      </c>
      <c r="AB8" s="160">
        <f t="shared" si="3"/>
        <v>0</v>
      </c>
      <c r="AC8" s="160" t="str">
        <f t="shared" si="4"/>
        <v>給与・賞与</v>
      </c>
      <c r="AD8" s="160">
        <f>資金繰り予定表!AD8</f>
        <v>0</v>
      </c>
      <c r="AE8" s="160">
        <f>資金繰り予定表!AE8</f>
        <v>0</v>
      </c>
      <c r="AF8" s="160">
        <f>資金繰り予定表!AF8</f>
        <v>0</v>
      </c>
      <c r="AG8" s="160">
        <f>資金繰り予定表!AG8</f>
        <v>0</v>
      </c>
      <c r="AH8" s="160">
        <f>資金繰り予定表!AH8</f>
        <v>0</v>
      </c>
      <c r="AI8" s="160">
        <f>資金繰り予定表!AI8</f>
        <v>0</v>
      </c>
      <c r="AJ8" s="160">
        <f>資金繰り予定表!AJ8</f>
        <v>0</v>
      </c>
      <c r="AK8" s="160">
        <f>資金繰り予定表!AK8</f>
        <v>0</v>
      </c>
      <c r="AL8" s="160">
        <f>資金繰り予定表!AL8</f>
        <v>0</v>
      </c>
      <c r="AM8" s="160">
        <f>資金繰り予定表!AM8</f>
        <v>0</v>
      </c>
      <c r="AN8" s="160">
        <f>資金繰り予定表!AN8</f>
        <v>0</v>
      </c>
      <c r="AO8" s="160">
        <f>資金繰り予定表!AO8</f>
        <v>0</v>
      </c>
      <c r="AP8" s="160">
        <f t="shared" si="5"/>
        <v>0</v>
      </c>
    </row>
    <row r="9" spans="1:42" ht="15.75" customHeight="1">
      <c r="A9" s="159" t="str">
        <f>資金繰り予定表!A9</f>
        <v>社会保険料・源泉所得税・住民税</v>
      </c>
      <c r="B9" s="172">
        <f>IF(B$102=TRUE,SUMIF(資金繰り実績表!$A$2:$A$38,"社会保険料・源泉所得税・住民税",資金繰り実績表!B$2:B$38),資金繰り予定表!B9)</f>
        <v>577203</v>
      </c>
      <c r="C9" s="172">
        <f>IF(C$102=TRUE,SUMIF(資金繰り実績表!$A$2:$A$38,"社会保険料・源泉所得税・住民税",資金繰り実績表!C$2:C$38),資金繰り予定表!C9)</f>
        <v>0</v>
      </c>
      <c r="D9" s="172">
        <f>IF(D$102=TRUE,SUMIF(資金繰り実績表!$A$2:$A$38,"社会保険料・源泉所得税・住民税",資金繰り実績表!D$2:D$38),資金繰り予定表!D9)</f>
        <v>1154406</v>
      </c>
      <c r="E9" s="172">
        <f>IF(E$102=TRUE,SUMIF(資金繰り実績表!$A$2:$A$38,"社会保険料・源泉所得税・住民税",資金繰り実績表!E$2:E$38),資金繰り予定表!E9)</f>
        <v>878810</v>
      </c>
      <c r="F9" s="172">
        <f>IF(F$102=TRUE,SUMIF(資金繰り実績表!$A$2:$A$38,"社会保険料・源泉所得税・住民税",資金繰り実績表!F$2:F$38),資金繰り予定表!F9)</f>
        <v>0</v>
      </c>
      <c r="G9" s="172">
        <f>IF(G$102=TRUE,SUMIF(資金繰り実績表!$A$2:$A$38,"社会保険料・源泉所得税・住民税",資金繰り実績表!G$2:G$38),資金繰り予定表!G9)</f>
        <v>567978</v>
      </c>
      <c r="H9" s="172">
        <f>IF(H$102=TRUE,SUMIF(資金繰り実績表!$A$2:$A$38,"社会保険料・源泉所得税・住民税",資金繰り実績表!H$2:H$38),資金繰り予定表!H9)</f>
        <v>694225</v>
      </c>
      <c r="I9" s="172">
        <f>IF(I$102=TRUE,SUMIF(資金繰り実績表!$A$2:$A$38,"社会保険料・源泉所得税・住民税",資金繰り実績表!I$2:I$38),資金繰り予定表!I9)</f>
        <v>1193098</v>
      </c>
      <c r="J9" s="172">
        <f>IF(J$102=TRUE,SUMIF(資金繰り実績表!$A$2:$A$38,"社会保険料・源泉所得税・住民税",資金繰り実績表!J$2:J$38),資金繰り予定表!J9)</f>
        <v>1135956</v>
      </c>
      <c r="K9" s="172">
        <f>IF(K$102=TRUE,SUMIF(資金繰り実績表!$A$2:$A$38,"社会保険料・源泉所得税・住民税",資金繰り実績表!K$2:K$38),資金繰り予定表!K9)</f>
        <v>0</v>
      </c>
      <c r="L9" s="172">
        <f>IF(L$102=TRUE,SUMIF(資金繰り実績表!$A$2:$A$38,"社会保険料・源泉所得税・住民税",資金繰り実績表!L$2:L$38),資金繰り予定表!L9)</f>
        <v>0</v>
      </c>
      <c r="M9" s="172">
        <f>IF(M$102=TRUE,SUMIF(資金繰り実績表!$A$2:$A$38,"社会保険料・源泉所得税・住民税",資金繰り実績表!M$2:M$38),資金繰り予定表!M9)</f>
        <v>0</v>
      </c>
      <c r="N9" s="160">
        <f t="shared" si="1"/>
        <v>6201676</v>
      </c>
      <c r="O9" s="153" t="str">
        <f t="shared" si="2"/>
        <v>社会保険料・源泉所得税・住民税</v>
      </c>
      <c r="P9" s="160">
        <f>資金繰り予定表!P9</f>
        <v>0</v>
      </c>
      <c r="Q9" s="160">
        <f>資金繰り予定表!Q9</f>
        <v>0</v>
      </c>
      <c r="R9" s="160">
        <f>資金繰り予定表!R9</f>
        <v>0</v>
      </c>
      <c r="S9" s="160">
        <f>資金繰り予定表!S9</f>
        <v>0</v>
      </c>
      <c r="T9" s="160">
        <f>資金繰り予定表!T9</f>
        <v>0</v>
      </c>
      <c r="U9" s="160">
        <f>資金繰り予定表!U9</f>
        <v>0</v>
      </c>
      <c r="V9" s="160">
        <f>資金繰り予定表!V9</f>
        <v>0</v>
      </c>
      <c r="W9" s="160">
        <f>資金繰り予定表!W9</f>
        <v>0</v>
      </c>
      <c r="X9" s="160">
        <f>資金繰り予定表!X9</f>
        <v>0</v>
      </c>
      <c r="Y9" s="160">
        <f>資金繰り予定表!Y9</f>
        <v>0</v>
      </c>
      <c r="Z9" s="160">
        <f>資金繰り予定表!Z9</f>
        <v>0</v>
      </c>
      <c r="AA9" s="160">
        <f>資金繰り予定表!AA9</f>
        <v>0</v>
      </c>
      <c r="AB9" s="160">
        <f t="shared" si="3"/>
        <v>0</v>
      </c>
      <c r="AC9" s="160" t="str">
        <f t="shared" si="4"/>
        <v>社会保険料・源泉所得税・住民税</v>
      </c>
      <c r="AD9" s="160">
        <f>資金繰り予定表!AD9</f>
        <v>0</v>
      </c>
      <c r="AE9" s="160">
        <f>資金繰り予定表!AE9</f>
        <v>0</v>
      </c>
      <c r="AF9" s="160">
        <f>資金繰り予定表!AF9</f>
        <v>0</v>
      </c>
      <c r="AG9" s="160">
        <f>資金繰り予定表!AG9</f>
        <v>0</v>
      </c>
      <c r="AH9" s="160">
        <f>資金繰り予定表!AH9</f>
        <v>0</v>
      </c>
      <c r="AI9" s="160">
        <f>資金繰り予定表!AI9</f>
        <v>0</v>
      </c>
      <c r="AJ9" s="160">
        <f>資金繰り予定表!AJ9</f>
        <v>0</v>
      </c>
      <c r="AK9" s="160">
        <f>資金繰り予定表!AK9</f>
        <v>0</v>
      </c>
      <c r="AL9" s="160">
        <f>資金繰り予定表!AL9</f>
        <v>0</v>
      </c>
      <c r="AM9" s="160">
        <f>資金繰り予定表!AM9</f>
        <v>0</v>
      </c>
      <c r="AN9" s="160">
        <f>資金繰り予定表!AN9</f>
        <v>0</v>
      </c>
      <c r="AO9" s="160">
        <f>資金繰り予定表!AO9</f>
        <v>0</v>
      </c>
      <c r="AP9" s="160">
        <f t="shared" si="5"/>
        <v>0</v>
      </c>
    </row>
    <row r="10" spans="1:42" ht="15.75" customHeight="1">
      <c r="A10" s="159" t="str">
        <f>資金繰り予定表!A10</f>
        <v>広告宣伝費・販売費</v>
      </c>
      <c r="B10" s="172">
        <f>IF(B$102=TRUE,SUMIF(資金繰り実績表!$A$2:$A$38,"広告宣伝費・販売費",資金繰り実績表!B$2:B$38),資金繰り予定表!B10)</f>
        <v>127446</v>
      </c>
      <c r="C10" s="172">
        <f>IF(C$102=TRUE,SUMIF(資金繰り実績表!$A$2:$A$38,"広告宣伝費・販売費",資金繰り実績表!C$2:C$38),資金繰り予定表!C10)</f>
        <v>0</v>
      </c>
      <c r="D10" s="172">
        <f>IF(D$102=TRUE,SUMIF(資金繰り実績表!$A$2:$A$38,"広告宣伝費・販売費",資金繰り実績表!D$2:D$38),資金繰り予定表!D10)</f>
        <v>409420</v>
      </c>
      <c r="E10" s="172">
        <f>IF(E$102=TRUE,SUMIF(資金繰り実績表!$A$2:$A$38,"広告宣伝費・販売費",資金繰り実績表!E$2:E$38),資金繰り予定表!E10)</f>
        <v>0</v>
      </c>
      <c r="F10" s="172">
        <f>IF(F$102=TRUE,SUMIF(資金繰り実績表!$A$2:$A$38,"広告宣伝費・販売費",資金繰り実績表!F$2:F$38),資金繰り予定表!F10)</f>
        <v>209550</v>
      </c>
      <c r="G10" s="172">
        <f>IF(G$102=TRUE,SUMIF(資金繰り実績表!$A$2:$A$38,"広告宣伝費・販売費",資金繰り実績表!G$2:G$38),資金繰り予定表!G10)</f>
        <v>171285</v>
      </c>
      <c r="H10" s="172">
        <f>IF(H$102=TRUE,SUMIF(資金繰り実績表!$A$2:$A$38,"広告宣伝費・販売費",資金繰り実績表!H$2:H$38),資金繰り予定表!H10)</f>
        <v>77000</v>
      </c>
      <c r="I10" s="172">
        <f>IF(I$102=TRUE,SUMIF(資金繰り実績表!$A$2:$A$38,"広告宣伝費・販売費",資金繰り実績表!I$2:I$38),資金繰り予定表!I10)</f>
        <v>235300</v>
      </c>
      <c r="J10" s="172">
        <f>IF(J$102=TRUE,SUMIF(資金繰り実績表!$A$2:$A$38,"広告宣伝費・販売費",資金繰り実績表!J$2:J$38),資金繰り予定表!J10)</f>
        <v>77000</v>
      </c>
      <c r="K10" s="172">
        <f>IF(K$102=TRUE,SUMIF(資金繰り実績表!$A$2:$A$38,"広告宣伝費・販売費",資金繰り実績表!K$2:K$38),資金繰り予定表!K10)</f>
        <v>0</v>
      </c>
      <c r="L10" s="172">
        <f>IF(L$102=TRUE,SUMIF(資金繰り実績表!$A$2:$A$38,"広告宣伝費・販売費",資金繰り実績表!L$2:L$38),資金繰り予定表!L10)</f>
        <v>0</v>
      </c>
      <c r="M10" s="172">
        <f>IF(M$102=TRUE,SUMIF(資金繰り実績表!$A$2:$A$38,"広告宣伝費・販売費",資金繰り実績表!M$2:M$38),資金繰り予定表!M10)</f>
        <v>0</v>
      </c>
      <c r="N10" s="160">
        <f t="shared" si="1"/>
        <v>1307001</v>
      </c>
      <c r="O10" s="153" t="str">
        <f t="shared" si="2"/>
        <v>広告宣伝費・販売費</v>
      </c>
      <c r="P10" s="160">
        <f>資金繰り予定表!P10</f>
        <v>0</v>
      </c>
      <c r="Q10" s="160">
        <f>資金繰り予定表!Q10</f>
        <v>0</v>
      </c>
      <c r="R10" s="160">
        <f>資金繰り予定表!R10</f>
        <v>0</v>
      </c>
      <c r="S10" s="160">
        <f>資金繰り予定表!S10</f>
        <v>0</v>
      </c>
      <c r="T10" s="160">
        <f>資金繰り予定表!T10</f>
        <v>0</v>
      </c>
      <c r="U10" s="160">
        <f>資金繰り予定表!U10</f>
        <v>0</v>
      </c>
      <c r="V10" s="160">
        <f>資金繰り予定表!V10</f>
        <v>0</v>
      </c>
      <c r="W10" s="160">
        <f>資金繰り予定表!W10</f>
        <v>0</v>
      </c>
      <c r="X10" s="160">
        <f>資金繰り予定表!X10</f>
        <v>0</v>
      </c>
      <c r="Y10" s="160">
        <f>資金繰り予定表!Y10</f>
        <v>0</v>
      </c>
      <c r="Z10" s="160">
        <f>資金繰り予定表!Z10</f>
        <v>0</v>
      </c>
      <c r="AA10" s="160">
        <f>資金繰り予定表!AA10</f>
        <v>0</v>
      </c>
      <c r="AB10" s="160">
        <f t="shared" si="3"/>
        <v>0</v>
      </c>
      <c r="AC10" s="160" t="str">
        <f t="shared" si="4"/>
        <v>広告宣伝費・販売費</v>
      </c>
      <c r="AD10" s="160">
        <f>資金繰り予定表!AD10</f>
        <v>0</v>
      </c>
      <c r="AE10" s="160">
        <f>資金繰り予定表!AE10</f>
        <v>0</v>
      </c>
      <c r="AF10" s="160">
        <f>資金繰り予定表!AF10</f>
        <v>0</v>
      </c>
      <c r="AG10" s="160">
        <f>資金繰り予定表!AG10</f>
        <v>0</v>
      </c>
      <c r="AH10" s="160">
        <f>資金繰り予定表!AH10</f>
        <v>0</v>
      </c>
      <c r="AI10" s="160">
        <f>資金繰り予定表!AI10</f>
        <v>0</v>
      </c>
      <c r="AJ10" s="160">
        <f>資金繰り予定表!AJ10</f>
        <v>0</v>
      </c>
      <c r="AK10" s="160">
        <f>資金繰り予定表!AK10</f>
        <v>0</v>
      </c>
      <c r="AL10" s="160">
        <f>資金繰り予定表!AL10</f>
        <v>0</v>
      </c>
      <c r="AM10" s="160">
        <f>資金繰り予定表!AM10</f>
        <v>0</v>
      </c>
      <c r="AN10" s="160">
        <f>資金繰り予定表!AN10</f>
        <v>0</v>
      </c>
      <c r="AO10" s="160">
        <f>資金繰り予定表!AO10</f>
        <v>0</v>
      </c>
      <c r="AP10" s="160">
        <f t="shared" si="5"/>
        <v>0</v>
      </c>
    </row>
    <row r="11" spans="1:42" ht="15.75" customHeight="1">
      <c r="A11" s="159" t="str">
        <f>資金繰り予定表!A11</f>
        <v>交際費・福利厚生費</v>
      </c>
      <c r="B11" s="172">
        <f>IF(B$102=TRUE,SUMIF(資金繰り実績表!$A$2:$A$38,"交際費・福利厚生費",資金繰り実績表!B$2:B$38),資金繰り予定表!B11)</f>
        <v>5150</v>
      </c>
      <c r="C11" s="172">
        <f>IF(C$102=TRUE,SUMIF(資金繰り実績表!$A$2:$A$38,"交際費・福利厚生費",資金繰り実績表!C$2:C$38),資金繰り予定表!C11)</f>
        <v>5150</v>
      </c>
      <c r="D11" s="172">
        <f>IF(D$102=TRUE,SUMIF(資金繰り実績表!$A$2:$A$38,"交際費・福利厚生費",資金繰り実績表!D$2:D$38),資金繰り予定表!D11)</f>
        <v>5150</v>
      </c>
      <c r="E11" s="172">
        <f>IF(E$102=TRUE,SUMIF(資金繰り実績表!$A$2:$A$38,"交際費・福利厚生費",資金繰り実績表!E$2:E$38),資金繰り予定表!E11)</f>
        <v>5150</v>
      </c>
      <c r="F11" s="172">
        <f>IF(F$102=TRUE,SUMIF(資金繰り実績表!$A$2:$A$38,"交際費・福利厚生費",資金繰り実績表!F$2:F$38),資金繰り予定表!F11)</f>
        <v>5150</v>
      </c>
      <c r="G11" s="172">
        <f>IF(G$102=TRUE,SUMIF(資金繰り実績表!$A$2:$A$38,"交際費・福利厚生費",資金繰り実績表!G$2:G$38),資金繰り予定表!G11)</f>
        <v>150113</v>
      </c>
      <c r="H11" s="172">
        <f>IF(H$102=TRUE,SUMIF(資金繰り実績表!$A$2:$A$38,"交際費・福利厚生費",資金繰り実績表!H$2:H$38),資金繰り予定表!H11)</f>
        <v>5150</v>
      </c>
      <c r="I11" s="172">
        <f>IF(I$102=TRUE,SUMIF(資金繰り実績表!$A$2:$A$38,"交際費・福利厚生費",資金繰り実績表!I$2:I$38),資金繰り予定表!I11)</f>
        <v>5150</v>
      </c>
      <c r="J11" s="172">
        <f>IF(J$102=TRUE,SUMIF(資金繰り実績表!$A$2:$A$38,"交際費・福利厚生費",資金繰り実績表!J$2:J$38),資金繰り予定表!J11)</f>
        <v>5150</v>
      </c>
      <c r="K11" s="172">
        <f>IF(K$102=TRUE,SUMIF(資金繰り実績表!$A$2:$A$38,"交際費・福利厚生費",資金繰り実績表!K$2:K$38),資金繰り予定表!K11)</f>
        <v>0</v>
      </c>
      <c r="L11" s="172">
        <f>IF(L$102=TRUE,SUMIF(資金繰り実績表!$A$2:$A$38,"交際費・福利厚生費",資金繰り実績表!L$2:L$38),資金繰り予定表!L11)</f>
        <v>0</v>
      </c>
      <c r="M11" s="172">
        <f>IF(M$102=TRUE,SUMIF(資金繰り実績表!$A$2:$A$38,"交際費・福利厚生費",資金繰り実績表!M$2:M$38),資金繰り予定表!M11)</f>
        <v>0</v>
      </c>
      <c r="N11" s="160">
        <f t="shared" si="1"/>
        <v>191313</v>
      </c>
      <c r="O11" s="153" t="str">
        <f t="shared" si="2"/>
        <v>交際費・福利厚生費</v>
      </c>
      <c r="P11" s="160">
        <f>資金繰り予定表!P11</f>
        <v>0</v>
      </c>
      <c r="Q11" s="160">
        <f>資金繰り予定表!Q11</f>
        <v>0</v>
      </c>
      <c r="R11" s="160">
        <f>資金繰り予定表!R11</f>
        <v>0</v>
      </c>
      <c r="S11" s="160">
        <f>資金繰り予定表!S11</f>
        <v>0</v>
      </c>
      <c r="T11" s="160">
        <f>資金繰り予定表!T11</f>
        <v>0</v>
      </c>
      <c r="U11" s="160">
        <f>資金繰り予定表!U11</f>
        <v>0</v>
      </c>
      <c r="V11" s="160">
        <f>資金繰り予定表!V11</f>
        <v>0</v>
      </c>
      <c r="W11" s="160">
        <f>資金繰り予定表!W11</f>
        <v>0</v>
      </c>
      <c r="X11" s="160">
        <f>資金繰り予定表!X11</f>
        <v>0</v>
      </c>
      <c r="Y11" s="160">
        <f>資金繰り予定表!Y11</f>
        <v>0</v>
      </c>
      <c r="Z11" s="160">
        <f>資金繰り予定表!Z11</f>
        <v>0</v>
      </c>
      <c r="AA11" s="160">
        <f>資金繰り予定表!AA11</f>
        <v>0</v>
      </c>
      <c r="AB11" s="160">
        <f t="shared" si="3"/>
        <v>0</v>
      </c>
      <c r="AC11" s="160" t="str">
        <f t="shared" si="4"/>
        <v>交際費・福利厚生費</v>
      </c>
      <c r="AD11" s="160">
        <f>資金繰り予定表!AD11</f>
        <v>0</v>
      </c>
      <c r="AE11" s="160">
        <f>資金繰り予定表!AE11</f>
        <v>0</v>
      </c>
      <c r="AF11" s="160">
        <f>資金繰り予定表!AF11</f>
        <v>0</v>
      </c>
      <c r="AG11" s="160">
        <f>資金繰り予定表!AG11</f>
        <v>0</v>
      </c>
      <c r="AH11" s="160">
        <f>資金繰り予定表!AH11</f>
        <v>0</v>
      </c>
      <c r="AI11" s="160">
        <f>資金繰り予定表!AI11</f>
        <v>0</v>
      </c>
      <c r="AJ11" s="160">
        <f>資金繰り予定表!AJ11</f>
        <v>0</v>
      </c>
      <c r="AK11" s="160">
        <f>資金繰り予定表!AK11</f>
        <v>0</v>
      </c>
      <c r="AL11" s="160">
        <f>資金繰り予定表!AL11</f>
        <v>0</v>
      </c>
      <c r="AM11" s="160">
        <f>資金繰り予定表!AM11</f>
        <v>0</v>
      </c>
      <c r="AN11" s="160">
        <f>資金繰り予定表!AN11</f>
        <v>0</v>
      </c>
      <c r="AO11" s="160">
        <f>資金繰り予定表!AO11</f>
        <v>0</v>
      </c>
      <c r="AP11" s="160">
        <f t="shared" si="5"/>
        <v>0</v>
      </c>
    </row>
    <row r="12" spans="1:42" ht="15.75" customHeight="1">
      <c r="A12" s="159" t="str">
        <f>資金繰り予定表!A12</f>
        <v>旅費交通費・車両関連費</v>
      </c>
      <c r="B12" s="172">
        <f>IF(B$102=TRUE,SUMIF(資金繰り実績表!$A$2:$A$38,"旅費交通費・車両関連費",資金繰り実績表!B$2:B$38),資金繰り予定表!B12)</f>
        <v>36606</v>
      </c>
      <c r="C12" s="172">
        <f>IF(C$102=TRUE,SUMIF(資金繰り実績表!$A$2:$A$38,"旅費交通費・車両関連費",資金繰り実績表!C$2:C$38),資金繰り予定表!C12)</f>
        <v>61189</v>
      </c>
      <c r="D12" s="172">
        <f>IF(D$102=TRUE,SUMIF(資金繰り実績表!$A$2:$A$38,"旅費交通費・車両関連費",資金繰り実績表!D$2:D$38),資金繰り予定表!D12)</f>
        <v>38697</v>
      </c>
      <c r="E12" s="172">
        <f>IF(E$102=TRUE,SUMIF(資金繰り実績表!$A$2:$A$38,"旅費交通費・車両関連費",資金繰り実績表!E$2:E$38),資金繰り予定表!E12)</f>
        <v>37724</v>
      </c>
      <c r="F12" s="172">
        <f>IF(F$102=TRUE,SUMIF(資金繰り実績表!$A$2:$A$38,"旅費交通費・車両関連費",資金繰り実績表!F$2:F$38),資金繰り予定表!F12)</f>
        <v>36004</v>
      </c>
      <c r="G12" s="172">
        <f>IF(G$102=TRUE,SUMIF(資金繰り実績表!$A$2:$A$38,"旅費交通費・車両関連費",資金繰り実績表!G$2:G$38),資金繰り予定表!G12)</f>
        <v>38295</v>
      </c>
      <c r="H12" s="172">
        <f>IF(H$102=TRUE,SUMIF(資金繰り実績表!$A$2:$A$38,"旅費交通費・車両関連費",資金繰り実績表!H$2:H$38),資金繰り予定表!H12)</f>
        <v>37487</v>
      </c>
      <c r="I12" s="172">
        <f>IF(I$102=TRUE,SUMIF(資金繰り実績表!$A$2:$A$38,"旅費交通費・車両関連費",資金繰り実績表!I$2:I$38),資金繰り予定表!I12)</f>
        <v>43089</v>
      </c>
      <c r="J12" s="172">
        <f>IF(J$102=TRUE,SUMIF(資金繰り実績表!$A$2:$A$38,"旅費交通費・車両関連費",資金繰り実績表!J$2:J$38),資金繰り予定表!J12)</f>
        <v>35572</v>
      </c>
      <c r="K12" s="172">
        <f>IF(K$102=TRUE,SUMIF(資金繰り実績表!$A$2:$A$38,"旅費交通費・車両関連費",資金繰り実績表!K$2:K$38),資金繰り予定表!K12)</f>
        <v>0</v>
      </c>
      <c r="L12" s="172">
        <f>IF(L$102=TRUE,SUMIF(資金繰り実績表!$A$2:$A$38,"旅費交通費・車両関連費",資金繰り実績表!L$2:L$38),資金繰り予定表!L12)</f>
        <v>0</v>
      </c>
      <c r="M12" s="172">
        <f>IF(M$102=TRUE,SUMIF(資金繰り実績表!$A$2:$A$38,"旅費交通費・車両関連費",資金繰り実績表!M$2:M$38),資金繰り予定表!M12)</f>
        <v>0</v>
      </c>
      <c r="N12" s="160">
        <f t="shared" si="1"/>
        <v>364663</v>
      </c>
      <c r="O12" s="153" t="str">
        <f t="shared" si="2"/>
        <v>旅費交通費・車両関連費</v>
      </c>
      <c r="P12" s="160">
        <f>資金繰り予定表!P12</f>
        <v>0</v>
      </c>
      <c r="Q12" s="160">
        <f>資金繰り予定表!Q12</f>
        <v>0</v>
      </c>
      <c r="R12" s="160">
        <f>資金繰り予定表!R12</f>
        <v>0</v>
      </c>
      <c r="S12" s="160">
        <f>資金繰り予定表!S12</f>
        <v>0</v>
      </c>
      <c r="T12" s="160">
        <f>資金繰り予定表!T12</f>
        <v>0</v>
      </c>
      <c r="U12" s="160">
        <f>資金繰り予定表!U12</f>
        <v>0</v>
      </c>
      <c r="V12" s="160">
        <f>資金繰り予定表!V12</f>
        <v>0</v>
      </c>
      <c r="W12" s="160">
        <f>資金繰り予定表!W12</f>
        <v>0</v>
      </c>
      <c r="X12" s="160">
        <f>資金繰り予定表!X12</f>
        <v>0</v>
      </c>
      <c r="Y12" s="160">
        <f>資金繰り予定表!Y12</f>
        <v>0</v>
      </c>
      <c r="Z12" s="160">
        <f>資金繰り予定表!Z12</f>
        <v>0</v>
      </c>
      <c r="AA12" s="160">
        <f>資金繰り予定表!AA12</f>
        <v>0</v>
      </c>
      <c r="AB12" s="160">
        <f t="shared" si="3"/>
        <v>0</v>
      </c>
      <c r="AC12" s="160" t="str">
        <f t="shared" si="4"/>
        <v>旅費交通費・車両関連費</v>
      </c>
      <c r="AD12" s="160">
        <f>資金繰り予定表!AD12</f>
        <v>0</v>
      </c>
      <c r="AE12" s="160">
        <f>資金繰り予定表!AE12</f>
        <v>0</v>
      </c>
      <c r="AF12" s="160">
        <f>資金繰り予定表!AF12</f>
        <v>0</v>
      </c>
      <c r="AG12" s="160">
        <f>資金繰り予定表!AG12</f>
        <v>0</v>
      </c>
      <c r="AH12" s="160">
        <f>資金繰り予定表!AH12</f>
        <v>0</v>
      </c>
      <c r="AI12" s="160">
        <f>資金繰り予定表!AI12</f>
        <v>0</v>
      </c>
      <c r="AJ12" s="160">
        <f>資金繰り予定表!AJ12</f>
        <v>0</v>
      </c>
      <c r="AK12" s="160">
        <f>資金繰り予定表!AK12</f>
        <v>0</v>
      </c>
      <c r="AL12" s="160">
        <f>資金繰り予定表!AL12</f>
        <v>0</v>
      </c>
      <c r="AM12" s="160">
        <f>資金繰り予定表!AM12</f>
        <v>0</v>
      </c>
      <c r="AN12" s="160">
        <f>資金繰り予定表!AN12</f>
        <v>0</v>
      </c>
      <c r="AO12" s="160">
        <f>資金繰り予定表!AO12</f>
        <v>0</v>
      </c>
      <c r="AP12" s="160">
        <f t="shared" si="5"/>
        <v>0</v>
      </c>
    </row>
    <row r="13" spans="1:42" ht="15.75" customHeight="1">
      <c r="A13" s="159" t="str">
        <f>資金繰り予定表!A13</f>
        <v>地代家賃・水道光熱費</v>
      </c>
      <c r="B13" s="172">
        <f>IF(B$102=TRUE,SUMIF(資金繰り実績表!$A$2:$A$38,"地代家賃・水道光熱費",資金繰り実績表!B$2:B$38),資金繰り予定表!B13)</f>
        <v>217870</v>
      </c>
      <c r="C13" s="172">
        <f>IF(C$102=TRUE,SUMIF(資金繰り実績表!$A$2:$A$38,"地代家賃・水道光熱費",資金繰り実績表!C$2:C$38),資金繰り予定表!C13)</f>
        <v>237099</v>
      </c>
      <c r="D13" s="172">
        <f>IF(D$102=TRUE,SUMIF(資金繰り実績表!$A$2:$A$38,"地代家賃・水道光熱費",資金繰り実績表!D$2:D$38),資金繰り予定表!D13)</f>
        <v>225955</v>
      </c>
      <c r="E13" s="172">
        <f>IF(E$102=TRUE,SUMIF(資金繰り実績表!$A$2:$A$38,"地代家賃・水道光熱費",資金繰り実績表!E$2:E$38),資金繰り予定表!E13)</f>
        <v>262403</v>
      </c>
      <c r="F13" s="172">
        <f>IF(F$102=TRUE,SUMIF(資金繰り実績表!$A$2:$A$38,"地代家賃・水道光熱費",資金繰り実績表!F$2:F$38),資金繰り予定表!F13)</f>
        <v>235033</v>
      </c>
      <c r="G13" s="172">
        <f>IF(G$102=TRUE,SUMIF(資金繰り実績表!$A$2:$A$38,"地代家賃・水道光熱費",資金繰り実績表!G$2:G$38),資金繰り予定表!G13)</f>
        <v>223229</v>
      </c>
      <c r="H13" s="172">
        <f>IF(H$102=TRUE,SUMIF(資金繰り実績表!$A$2:$A$38,"地代家賃・水道光熱費",資金繰り実績表!H$2:H$38),資金繰り予定表!H13)</f>
        <v>320365</v>
      </c>
      <c r="I13" s="172">
        <f>IF(I$102=TRUE,SUMIF(資金繰り実績表!$A$2:$A$38,"地代家賃・水道光熱費",資金繰り実績表!I$2:I$38),資金繰り予定表!I13)</f>
        <v>360489</v>
      </c>
      <c r="J13" s="172">
        <f>IF(J$102=TRUE,SUMIF(資金繰り実績表!$A$2:$A$38,"地代家賃・水道光熱費",資金繰り実績表!J$2:J$38),資金繰り予定表!J13)</f>
        <v>213615</v>
      </c>
      <c r="K13" s="172">
        <f>IF(K$102=TRUE,SUMIF(資金繰り実績表!$A$2:$A$38,"地代家賃・水道光熱費",資金繰り実績表!K$2:K$38),資金繰り予定表!K13)</f>
        <v>0</v>
      </c>
      <c r="L13" s="172">
        <f>IF(L$102=TRUE,SUMIF(資金繰り実績表!$A$2:$A$38,"地代家賃・水道光熱費",資金繰り実績表!L$2:L$38),資金繰り予定表!L13)</f>
        <v>0</v>
      </c>
      <c r="M13" s="172">
        <f>IF(M$102=TRUE,SUMIF(資金繰り実績表!$A$2:$A$38,"地代家賃・水道光熱費",資金繰り実績表!M$2:M$38),資金繰り予定表!M13)</f>
        <v>0</v>
      </c>
      <c r="N13" s="160">
        <f t="shared" si="1"/>
        <v>2296058</v>
      </c>
      <c r="O13" s="153" t="str">
        <f t="shared" si="2"/>
        <v>地代家賃・水道光熱費</v>
      </c>
      <c r="P13" s="160">
        <f>資金繰り予定表!P13</f>
        <v>0</v>
      </c>
      <c r="Q13" s="160">
        <f>資金繰り予定表!Q13</f>
        <v>0</v>
      </c>
      <c r="R13" s="160">
        <f>資金繰り予定表!R13</f>
        <v>0</v>
      </c>
      <c r="S13" s="160">
        <f>資金繰り予定表!S13</f>
        <v>0</v>
      </c>
      <c r="T13" s="160">
        <f>資金繰り予定表!T13</f>
        <v>0</v>
      </c>
      <c r="U13" s="160">
        <f>資金繰り予定表!U13</f>
        <v>0</v>
      </c>
      <c r="V13" s="160">
        <f>資金繰り予定表!V13</f>
        <v>0</v>
      </c>
      <c r="W13" s="160">
        <f>資金繰り予定表!W13</f>
        <v>0</v>
      </c>
      <c r="X13" s="160">
        <f>資金繰り予定表!X13</f>
        <v>0</v>
      </c>
      <c r="Y13" s="160">
        <f>資金繰り予定表!Y13</f>
        <v>0</v>
      </c>
      <c r="Z13" s="160">
        <f>資金繰り予定表!Z13</f>
        <v>0</v>
      </c>
      <c r="AA13" s="160">
        <f>資金繰り予定表!AA13</f>
        <v>0</v>
      </c>
      <c r="AB13" s="160">
        <f t="shared" si="3"/>
        <v>0</v>
      </c>
      <c r="AC13" s="160" t="str">
        <f t="shared" si="4"/>
        <v>地代家賃・水道光熱費</v>
      </c>
      <c r="AD13" s="160">
        <f>資金繰り予定表!AD13</f>
        <v>0</v>
      </c>
      <c r="AE13" s="160">
        <f>資金繰り予定表!AE13</f>
        <v>0</v>
      </c>
      <c r="AF13" s="160">
        <f>資金繰り予定表!AF13</f>
        <v>0</v>
      </c>
      <c r="AG13" s="160">
        <f>資金繰り予定表!AG13</f>
        <v>0</v>
      </c>
      <c r="AH13" s="160">
        <f>資金繰り予定表!AH13</f>
        <v>0</v>
      </c>
      <c r="AI13" s="160">
        <f>資金繰り予定表!AI13</f>
        <v>0</v>
      </c>
      <c r="AJ13" s="160">
        <f>資金繰り予定表!AJ13</f>
        <v>0</v>
      </c>
      <c r="AK13" s="160">
        <f>資金繰り予定表!AK13</f>
        <v>0</v>
      </c>
      <c r="AL13" s="160">
        <f>資金繰り予定表!AL13</f>
        <v>0</v>
      </c>
      <c r="AM13" s="160">
        <f>資金繰り予定表!AM13</f>
        <v>0</v>
      </c>
      <c r="AN13" s="160">
        <f>資金繰り予定表!AN13</f>
        <v>0</v>
      </c>
      <c r="AO13" s="160">
        <f>資金繰り予定表!AO13</f>
        <v>0</v>
      </c>
      <c r="AP13" s="160">
        <f t="shared" si="5"/>
        <v>0</v>
      </c>
    </row>
    <row r="14" spans="1:42" ht="15.75" customHeight="1">
      <c r="A14" s="159" t="str">
        <f>資金繰り予定表!A14</f>
        <v>保険料</v>
      </c>
      <c r="B14" s="172">
        <f>IF(B$102=TRUE,SUMIF(資金繰り実績表!$A$2:$A$38,"保険料",資金繰り実績表!B$2:B$38),資金繰り予定表!B14)</f>
        <v>349711</v>
      </c>
      <c r="C14" s="172">
        <f>IF(C$102=TRUE,SUMIF(資金繰り実績表!$A$2:$A$38,"保険料",資金繰り実績表!C$2:C$38),資金繰り予定表!C14)</f>
        <v>329771</v>
      </c>
      <c r="D14" s="172">
        <f>IF(D$102=TRUE,SUMIF(資金繰り実績表!$A$2:$A$38,"保険料",資金繰り実績表!D$2:D$38),資金繰り予定表!D14)</f>
        <v>342391</v>
      </c>
      <c r="E14" s="172">
        <f>IF(E$102=TRUE,SUMIF(資金繰り実績表!$A$2:$A$38,"保険料",資金繰り実績表!E$2:E$38),資金繰り予定表!E14)</f>
        <v>332881</v>
      </c>
      <c r="F14" s="172">
        <f>IF(F$102=TRUE,SUMIF(資金繰り実績表!$A$2:$A$38,"保険料",資金繰り実績表!F$2:F$38),資金繰り予定表!F14)</f>
        <v>329771</v>
      </c>
      <c r="G14" s="172">
        <f>IF(G$102=TRUE,SUMIF(資金繰り実績表!$A$2:$A$38,"保険料",資金繰り実績表!G$2:G$38),資金繰り予定表!G14)</f>
        <v>338481</v>
      </c>
      <c r="H14" s="172">
        <f>IF(H$102=TRUE,SUMIF(資金繰り実績表!$A$2:$A$38,"保険料",資金繰り実績表!H$2:H$38),資金繰り予定表!H14)</f>
        <v>325861</v>
      </c>
      <c r="I14" s="172">
        <f>IF(I$102=TRUE,SUMIF(資金繰り実績表!$A$2:$A$38,"保険料",資金繰り実績表!I$2:I$38),資金繰り予定表!I14)</f>
        <v>354051</v>
      </c>
      <c r="J14" s="172">
        <f>IF(J$102=TRUE,SUMIF(資金繰り実績表!$A$2:$A$38,"保険料",資金繰り実績表!J$2:J$38),資金繰り予定表!J14)</f>
        <v>341431</v>
      </c>
      <c r="K14" s="172">
        <f>IF(K$102=TRUE,SUMIF(資金繰り実績表!$A$2:$A$38,"保険料",資金繰り実績表!K$2:K$38),資金繰り予定表!K14)</f>
        <v>0</v>
      </c>
      <c r="L14" s="172">
        <f>IF(L$102=TRUE,SUMIF(資金繰り実績表!$A$2:$A$38,"保険料",資金繰り実績表!L$2:L$38),資金繰り予定表!L14)</f>
        <v>0</v>
      </c>
      <c r="M14" s="172">
        <f>IF(M$102=TRUE,SUMIF(資金繰り実績表!$A$2:$A$38,"保険料",資金繰り実績表!M$2:M$38),資金繰り予定表!M14)</f>
        <v>0</v>
      </c>
      <c r="N14" s="160">
        <f t="shared" si="1"/>
        <v>3044349</v>
      </c>
      <c r="O14" s="153" t="str">
        <f t="shared" si="2"/>
        <v>保険料</v>
      </c>
      <c r="P14" s="160">
        <f>資金繰り予定表!P14</f>
        <v>0</v>
      </c>
      <c r="Q14" s="160">
        <f>資金繰り予定表!Q14</f>
        <v>0</v>
      </c>
      <c r="R14" s="160">
        <f>資金繰り予定表!R14</f>
        <v>0</v>
      </c>
      <c r="S14" s="160">
        <f>資金繰り予定表!S14</f>
        <v>0</v>
      </c>
      <c r="T14" s="160">
        <f>資金繰り予定表!T14</f>
        <v>0</v>
      </c>
      <c r="U14" s="160">
        <f>資金繰り予定表!U14</f>
        <v>0</v>
      </c>
      <c r="V14" s="160">
        <f>資金繰り予定表!V14</f>
        <v>0</v>
      </c>
      <c r="W14" s="160">
        <f>資金繰り予定表!W14</f>
        <v>0</v>
      </c>
      <c r="X14" s="160">
        <f>資金繰り予定表!X14</f>
        <v>0</v>
      </c>
      <c r="Y14" s="160">
        <f>資金繰り予定表!Y14</f>
        <v>0</v>
      </c>
      <c r="Z14" s="160">
        <f>資金繰り予定表!Z14</f>
        <v>0</v>
      </c>
      <c r="AA14" s="160">
        <f>資金繰り予定表!AA14</f>
        <v>0</v>
      </c>
      <c r="AB14" s="160">
        <f t="shared" si="3"/>
        <v>0</v>
      </c>
      <c r="AC14" s="160" t="str">
        <f t="shared" si="4"/>
        <v>保険料</v>
      </c>
      <c r="AD14" s="160">
        <f>資金繰り予定表!AD14</f>
        <v>0</v>
      </c>
      <c r="AE14" s="160">
        <f>資金繰り予定表!AE14</f>
        <v>0</v>
      </c>
      <c r="AF14" s="160">
        <f>資金繰り予定表!AF14</f>
        <v>0</v>
      </c>
      <c r="AG14" s="160">
        <f>資金繰り予定表!AG14</f>
        <v>0</v>
      </c>
      <c r="AH14" s="160">
        <f>資金繰り予定表!AH14</f>
        <v>0</v>
      </c>
      <c r="AI14" s="160">
        <f>資金繰り予定表!AI14</f>
        <v>0</v>
      </c>
      <c r="AJ14" s="160">
        <f>資金繰り予定表!AJ14</f>
        <v>0</v>
      </c>
      <c r="AK14" s="160">
        <f>資金繰り予定表!AK14</f>
        <v>0</v>
      </c>
      <c r="AL14" s="160">
        <f>資金繰り予定表!AL14</f>
        <v>0</v>
      </c>
      <c r="AM14" s="160">
        <f>資金繰り予定表!AM14</f>
        <v>0</v>
      </c>
      <c r="AN14" s="160">
        <f>資金繰り予定表!AN14</f>
        <v>0</v>
      </c>
      <c r="AO14" s="160">
        <f>資金繰り予定表!AO14</f>
        <v>0</v>
      </c>
      <c r="AP14" s="160">
        <f t="shared" si="5"/>
        <v>0</v>
      </c>
    </row>
    <row r="15" spans="1:42" ht="15.75" customHeight="1">
      <c r="A15" s="159" t="str">
        <f>資金繰り予定表!A15</f>
        <v>会費・顧問料・手数料・システム利用料</v>
      </c>
      <c r="B15" s="172">
        <f>IF(B$102=TRUE,SUMIF(資金繰り実績表!$A$2:$A$38,"会費・顧問料・手数料・システム利用料",資金繰り実績表!B$2:B$38),資金繰り予定表!B15)</f>
        <v>57788</v>
      </c>
      <c r="C15" s="172">
        <f>IF(C$102=TRUE,SUMIF(資金繰り実績表!$A$2:$A$38,"会費・顧問料・手数料・システム利用料",資金繰り実績表!C$2:C$38),資金繰り予定表!C15)</f>
        <v>85398</v>
      </c>
      <c r="D15" s="172">
        <f>IF(D$102=TRUE,SUMIF(資金繰り実績表!$A$2:$A$38,"会費・顧問料・手数料・システム利用料",資金繰り実績表!D$2:D$38),資金繰り予定表!D15)</f>
        <v>164103</v>
      </c>
      <c r="E15" s="172">
        <f>IF(E$102=TRUE,SUMIF(資金繰り実績表!$A$2:$A$38,"会費・顧問料・手数料・システム利用料",資金繰り実績表!E$2:E$38),資金繰り予定表!E15)</f>
        <v>356971</v>
      </c>
      <c r="F15" s="172">
        <f>IF(F$102=TRUE,SUMIF(資金繰り実績表!$A$2:$A$38,"会費・顧問料・手数料・システム利用料",資金繰り実績表!F$2:F$38),資金繰り予定表!F15)</f>
        <v>212458</v>
      </c>
      <c r="G15" s="172">
        <f>IF(G$102=TRUE,SUMIF(資金繰り実績表!$A$2:$A$38,"会費・顧問料・手数料・システム利用料",資金繰り実績表!G$2:G$38),資金繰り予定表!G15)</f>
        <v>142598</v>
      </c>
      <c r="H15" s="172">
        <f>IF(H$102=TRUE,SUMIF(資金繰り実績表!$A$2:$A$38,"会費・顧問料・手数料・システム利用料",資金繰り実績表!H$2:H$38),資金繰り予定表!H15)</f>
        <v>143148</v>
      </c>
      <c r="I15" s="172">
        <f>IF(I$102=TRUE,SUMIF(資金繰り実績表!$A$2:$A$38,"会費・顧問料・手数料・システム利用料",資金繰り実績表!I$2:I$38),資金繰り予定表!I15)</f>
        <v>223533</v>
      </c>
      <c r="J15" s="172">
        <f>IF(J$102=TRUE,SUMIF(資金繰り実績表!$A$2:$A$38,"会費・顧問料・手数料・システム利用料",資金繰り実績表!J$2:J$38),資金繰り予定表!J15)</f>
        <v>141945</v>
      </c>
      <c r="K15" s="172">
        <f>IF(K$102=TRUE,SUMIF(資金繰り実績表!$A$2:$A$38,"会費・顧問料・手数料・システム利用料",資金繰り実績表!K$2:K$38),資金繰り予定表!K15)</f>
        <v>0</v>
      </c>
      <c r="L15" s="172">
        <f>IF(L$102=TRUE,SUMIF(資金繰り実績表!$A$2:$A$38,"会費・顧問料・手数料・システム利用料",資金繰り実績表!L$2:L$38),資金繰り予定表!L15)</f>
        <v>0</v>
      </c>
      <c r="M15" s="172">
        <f>IF(M$102=TRUE,SUMIF(資金繰り実績表!$A$2:$A$38,"会費・顧問料・手数料・システム利用料",資金繰り実績表!M$2:M$38),資金繰り予定表!M15)</f>
        <v>0</v>
      </c>
      <c r="N15" s="160">
        <f t="shared" si="1"/>
        <v>1527942</v>
      </c>
      <c r="O15" s="153" t="str">
        <f t="shared" si="2"/>
        <v>会費・顧問料・手数料・システム利用料</v>
      </c>
      <c r="P15" s="160">
        <f>資金繰り予定表!P15</f>
        <v>0</v>
      </c>
      <c r="Q15" s="160">
        <f>資金繰り予定表!Q15</f>
        <v>0</v>
      </c>
      <c r="R15" s="160">
        <f>資金繰り予定表!R15</f>
        <v>0</v>
      </c>
      <c r="S15" s="160">
        <f>資金繰り予定表!S15</f>
        <v>0</v>
      </c>
      <c r="T15" s="160">
        <f>資金繰り予定表!T15</f>
        <v>0</v>
      </c>
      <c r="U15" s="160">
        <f>資金繰り予定表!U15</f>
        <v>0</v>
      </c>
      <c r="V15" s="160">
        <f>資金繰り予定表!V15</f>
        <v>0</v>
      </c>
      <c r="W15" s="160">
        <f>資金繰り予定表!W15</f>
        <v>0</v>
      </c>
      <c r="X15" s="160">
        <f>資金繰り予定表!X15</f>
        <v>0</v>
      </c>
      <c r="Y15" s="160">
        <f>資金繰り予定表!Y15</f>
        <v>0</v>
      </c>
      <c r="Z15" s="160">
        <f>資金繰り予定表!Z15</f>
        <v>0</v>
      </c>
      <c r="AA15" s="160">
        <f>資金繰り予定表!AA15</f>
        <v>0</v>
      </c>
      <c r="AB15" s="160">
        <f t="shared" si="3"/>
        <v>0</v>
      </c>
      <c r="AC15" s="160" t="str">
        <f t="shared" si="4"/>
        <v>会費・顧問料・手数料・システム利用料</v>
      </c>
      <c r="AD15" s="160">
        <f>資金繰り予定表!AD15</f>
        <v>0</v>
      </c>
      <c r="AE15" s="160">
        <f>資金繰り予定表!AE15</f>
        <v>0</v>
      </c>
      <c r="AF15" s="160">
        <f>資金繰り予定表!AF15</f>
        <v>0</v>
      </c>
      <c r="AG15" s="160">
        <f>資金繰り予定表!AG15</f>
        <v>0</v>
      </c>
      <c r="AH15" s="160">
        <f>資金繰り予定表!AH15</f>
        <v>0</v>
      </c>
      <c r="AI15" s="160">
        <f>資金繰り予定表!AI15</f>
        <v>0</v>
      </c>
      <c r="AJ15" s="160">
        <f>資金繰り予定表!AJ15</f>
        <v>0</v>
      </c>
      <c r="AK15" s="160">
        <f>資金繰り予定表!AK15</f>
        <v>0</v>
      </c>
      <c r="AL15" s="160">
        <f>資金繰り予定表!AL15</f>
        <v>0</v>
      </c>
      <c r="AM15" s="160">
        <f>資金繰り予定表!AM15</f>
        <v>0</v>
      </c>
      <c r="AN15" s="160">
        <f>資金繰り予定表!AN15</f>
        <v>0</v>
      </c>
      <c r="AO15" s="160">
        <f>資金繰り予定表!AO15</f>
        <v>0</v>
      </c>
      <c r="AP15" s="160">
        <f t="shared" si="5"/>
        <v>0</v>
      </c>
    </row>
    <row r="16" spans="1:42" ht="15.75" customHeight="1">
      <c r="A16" s="159" t="str">
        <f>資金繰り予定表!A16</f>
        <v>研修費・研究開発費</v>
      </c>
      <c r="B16" s="172">
        <f>IF(B$102=TRUE,SUMIF(資金繰り実績表!$A$2:$A$38,"研修費・研究開発費",資金繰り実績表!B$2:B$38),資金繰り予定表!B16)</f>
        <v>0</v>
      </c>
      <c r="C16" s="172">
        <f>IF(C$102=TRUE,SUMIF(資金繰り実績表!$A$2:$A$38,"研修費・研究開発費",資金繰り実績表!C$2:C$38),資金繰り予定表!C16)</f>
        <v>0</v>
      </c>
      <c r="D16" s="172">
        <f>IF(D$102=TRUE,SUMIF(資金繰り実績表!$A$2:$A$38,"研修費・研究開発費",資金繰り実績表!D$2:D$38),資金繰り予定表!D16)</f>
        <v>0</v>
      </c>
      <c r="E16" s="172">
        <f>IF(E$102=TRUE,SUMIF(資金繰り実績表!$A$2:$A$38,"研修費・研究開発費",資金繰り実績表!E$2:E$38),資金繰り予定表!E16)</f>
        <v>0</v>
      </c>
      <c r="F16" s="172">
        <f>IF(F$102=TRUE,SUMIF(資金繰り実績表!$A$2:$A$38,"研修費・研究開発費",資金繰り実績表!F$2:F$38),資金繰り予定表!F16)</f>
        <v>0</v>
      </c>
      <c r="G16" s="172">
        <f>IF(G$102=TRUE,SUMIF(資金繰り実績表!$A$2:$A$38,"研修費・研究開発費",資金繰り実績表!G$2:G$38),資金繰り予定表!G16)</f>
        <v>0</v>
      </c>
      <c r="H16" s="172">
        <f>IF(H$102=TRUE,SUMIF(資金繰り実績表!$A$2:$A$38,"研修費・研究開発費",資金繰り実績表!H$2:H$38),資金繰り予定表!H16)</f>
        <v>0</v>
      </c>
      <c r="I16" s="172">
        <f>IF(I$102=TRUE,SUMIF(資金繰り実績表!$A$2:$A$38,"研修費・研究開発費",資金繰り実績表!I$2:I$38),資金繰り予定表!I16)</f>
        <v>0</v>
      </c>
      <c r="J16" s="172">
        <f>IF(J$102=TRUE,SUMIF(資金繰り実績表!$A$2:$A$38,"研修費・研究開発費",資金繰り実績表!J$2:J$38),資金繰り予定表!J16)</f>
        <v>0</v>
      </c>
      <c r="K16" s="172">
        <f>IF(K$102=TRUE,SUMIF(資金繰り実績表!$A$2:$A$38,"研修費・研究開発費",資金繰り実績表!K$2:K$38),資金繰り予定表!K16)</f>
        <v>0</v>
      </c>
      <c r="L16" s="172">
        <f>IF(L$102=TRUE,SUMIF(資金繰り実績表!$A$2:$A$38,"研修費・研究開発費",資金繰り実績表!L$2:L$38),資金繰り予定表!L16)</f>
        <v>0</v>
      </c>
      <c r="M16" s="172">
        <f>IF(M$102=TRUE,SUMIF(資金繰り実績表!$A$2:$A$38,"研修費・研究開発費",資金繰り実績表!M$2:M$38),資金繰り予定表!M16)</f>
        <v>0</v>
      </c>
      <c r="N16" s="160">
        <f t="shared" si="1"/>
        <v>0</v>
      </c>
      <c r="O16" s="153" t="str">
        <f t="shared" si="2"/>
        <v>研修費・研究開発費</v>
      </c>
      <c r="P16" s="160">
        <f>資金繰り予定表!P16</f>
        <v>0</v>
      </c>
      <c r="Q16" s="160">
        <f>資金繰り予定表!Q16</f>
        <v>0</v>
      </c>
      <c r="R16" s="160">
        <f>資金繰り予定表!R16</f>
        <v>0</v>
      </c>
      <c r="S16" s="160">
        <f>資金繰り予定表!S16</f>
        <v>0</v>
      </c>
      <c r="T16" s="160">
        <f>資金繰り予定表!T16</f>
        <v>0</v>
      </c>
      <c r="U16" s="160">
        <f>資金繰り予定表!U16</f>
        <v>0</v>
      </c>
      <c r="V16" s="160">
        <f>資金繰り予定表!V16</f>
        <v>0</v>
      </c>
      <c r="W16" s="160">
        <f>資金繰り予定表!W16</f>
        <v>0</v>
      </c>
      <c r="X16" s="160">
        <f>資金繰り予定表!X16</f>
        <v>0</v>
      </c>
      <c r="Y16" s="160">
        <f>資金繰り予定表!Y16</f>
        <v>0</v>
      </c>
      <c r="Z16" s="160">
        <f>資金繰り予定表!Z16</f>
        <v>0</v>
      </c>
      <c r="AA16" s="160">
        <f>資金繰り予定表!AA16</f>
        <v>0</v>
      </c>
      <c r="AB16" s="160">
        <f t="shared" si="3"/>
        <v>0</v>
      </c>
      <c r="AC16" s="160" t="str">
        <f t="shared" si="4"/>
        <v>研修費・研究開発費</v>
      </c>
      <c r="AD16" s="160">
        <f>資金繰り予定表!AD16</f>
        <v>0</v>
      </c>
      <c r="AE16" s="160">
        <f>資金繰り予定表!AE16</f>
        <v>0</v>
      </c>
      <c r="AF16" s="160">
        <f>資金繰り予定表!AF16</f>
        <v>0</v>
      </c>
      <c r="AG16" s="160">
        <f>資金繰り予定表!AG16</f>
        <v>0</v>
      </c>
      <c r="AH16" s="160">
        <f>資金繰り予定表!AH16</f>
        <v>0</v>
      </c>
      <c r="AI16" s="160">
        <f>資金繰り予定表!AI16</f>
        <v>0</v>
      </c>
      <c r="AJ16" s="160">
        <f>資金繰り予定表!AJ16</f>
        <v>0</v>
      </c>
      <c r="AK16" s="160">
        <f>資金繰り予定表!AK16</f>
        <v>0</v>
      </c>
      <c r="AL16" s="160">
        <f>資金繰り予定表!AL16</f>
        <v>0</v>
      </c>
      <c r="AM16" s="160">
        <f>資金繰り予定表!AM16</f>
        <v>0</v>
      </c>
      <c r="AN16" s="160">
        <f>資金繰り予定表!AN16</f>
        <v>0</v>
      </c>
      <c r="AO16" s="160">
        <f>資金繰り予定表!AO16</f>
        <v>0</v>
      </c>
      <c r="AP16" s="160">
        <f t="shared" si="5"/>
        <v>0</v>
      </c>
    </row>
    <row r="17" spans="1:42" ht="15.75" customHeight="1">
      <c r="A17" s="159" t="str">
        <f>資金繰り予定表!A17</f>
        <v>リース料・割賦支払い</v>
      </c>
      <c r="B17" s="172">
        <f>IF(B$102=TRUE,SUMIF(資金繰り実績表!$A$2:$A$38,"リース料・割賦支払い",資金繰り実績表!B$2:B$38),資金繰り予定表!B17)</f>
        <v>23980</v>
      </c>
      <c r="C17" s="172">
        <f>IF(C$102=TRUE,SUMIF(資金繰り実績表!$A$2:$A$38,"リース料・割賦支払い",資金繰り実績表!C$2:C$38),資金繰り予定表!C17)</f>
        <v>60940</v>
      </c>
      <c r="D17" s="172">
        <f>IF(D$102=TRUE,SUMIF(資金繰り実績表!$A$2:$A$38,"リース料・割賦支払い",資金繰り実績表!D$2:D$38),資金繰り予定表!D17)</f>
        <v>108900</v>
      </c>
      <c r="E17" s="172">
        <f>IF(E$102=TRUE,SUMIF(資金繰り実績表!$A$2:$A$38,"リース料・割賦支払い",資金繰り実績表!E$2:E$38),資金繰り予定表!E17)</f>
        <v>84920</v>
      </c>
      <c r="F17" s="172">
        <f>IF(F$102=TRUE,SUMIF(資金繰り実績表!$A$2:$A$38,"リース料・割賦支払い",資金繰り実績表!F$2:F$38),資金繰り予定表!F17)</f>
        <v>60940</v>
      </c>
      <c r="G17" s="172">
        <f>IF(G$102=TRUE,SUMIF(資金繰り実績表!$A$2:$A$38,"リース料・割賦支払い",資金繰り実績表!G$2:G$38),資金繰り予定表!G17)</f>
        <v>187370</v>
      </c>
      <c r="H17" s="172">
        <f>IF(H$102=TRUE,SUMIF(資金繰り実績表!$A$2:$A$38,"リース料・割賦支払い",資金繰り実績表!H$2:H$38),資金繰り予定表!H17)</f>
        <v>186820</v>
      </c>
      <c r="I17" s="172">
        <f>IF(I$102=TRUE,SUMIF(資金繰り実績表!$A$2:$A$38,"リース料・割賦支払い",資金繰り実績表!I$2:I$38),資金繰り予定表!I17)</f>
        <v>186820</v>
      </c>
      <c r="J17" s="172">
        <f>IF(J$102=TRUE,SUMIF(資金繰り実績表!$A$2:$A$38,"リース料・割賦支払い",資金繰り実績表!J$2:J$38),資金繰り予定表!J17)</f>
        <v>210800</v>
      </c>
      <c r="K17" s="172">
        <f>IF(K$102=TRUE,SUMIF(資金繰り実績表!$A$2:$A$38,"リース料・割賦支払い",資金繰り実績表!K$2:K$38),資金繰り予定表!K17)</f>
        <v>0</v>
      </c>
      <c r="L17" s="172">
        <f>IF(L$102=TRUE,SUMIF(資金繰り実績表!$A$2:$A$38,"リース料・割賦支払い",資金繰り実績表!L$2:L$38),資金繰り予定表!L17)</f>
        <v>0</v>
      </c>
      <c r="M17" s="172">
        <f>IF(M$102=TRUE,SUMIF(資金繰り実績表!$A$2:$A$38,"リース料・割賦支払い",資金繰り実績表!M$2:M$38),資金繰り予定表!M17)</f>
        <v>0</v>
      </c>
      <c r="N17" s="160">
        <f t="shared" si="1"/>
        <v>1111490</v>
      </c>
      <c r="O17" s="153" t="str">
        <f t="shared" si="2"/>
        <v>リース料・割賦支払い</v>
      </c>
      <c r="P17" s="160">
        <f>資金繰り予定表!P17</f>
        <v>0</v>
      </c>
      <c r="Q17" s="160">
        <f>資金繰り予定表!Q17</f>
        <v>0</v>
      </c>
      <c r="R17" s="160">
        <f>資金繰り予定表!R17</f>
        <v>0</v>
      </c>
      <c r="S17" s="160">
        <f>資金繰り予定表!S17</f>
        <v>0</v>
      </c>
      <c r="T17" s="160">
        <f>資金繰り予定表!T17</f>
        <v>0</v>
      </c>
      <c r="U17" s="160">
        <f>資金繰り予定表!U17</f>
        <v>0</v>
      </c>
      <c r="V17" s="160">
        <f>資金繰り予定表!V17</f>
        <v>0</v>
      </c>
      <c r="W17" s="160">
        <f>資金繰り予定表!W17</f>
        <v>0</v>
      </c>
      <c r="X17" s="160">
        <f>資金繰り予定表!X17</f>
        <v>0</v>
      </c>
      <c r="Y17" s="160">
        <f>資金繰り予定表!Y17</f>
        <v>0</v>
      </c>
      <c r="Z17" s="160">
        <f>資金繰り予定表!Z17</f>
        <v>0</v>
      </c>
      <c r="AA17" s="160">
        <f>資金繰り予定表!AA17</f>
        <v>0</v>
      </c>
      <c r="AB17" s="160">
        <f t="shared" si="3"/>
        <v>0</v>
      </c>
      <c r="AC17" s="160" t="str">
        <f t="shared" si="4"/>
        <v>リース料・割賦支払い</v>
      </c>
      <c r="AD17" s="160">
        <f>資金繰り予定表!AD17</f>
        <v>0</v>
      </c>
      <c r="AE17" s="160">
        <f>資金繰り予定表!AE17</f>
        <v>0</v>
      </c>
      <c r="AF17" s="160">
        <f>資金繰り予定表!AF17</f>
        <v>0</v>
      </c>
      <c r="AG17" s="160">
        <f>資金繰り予定表!AG17</f>
        <v>0</v>
      </c>
      <c r="AH17" s="160">
        <f>資金繰り予定表!AH17</f>
        <v>0</v>
      </c>
      <c r="AI17" s="160">
        <f>資金繰り予定表!AI17</f>
        <v>0</v>
      </c>
      <c r="AJ17" s="160">
        <f>資金繰り予定表!AJ17</f>
        <v>0</v>
      </c>
      <c r="AK17" s="160">
        <f>資金繰り予定表!AK17</f>
        <v>0</v>
      </c>
      <c r="AL17" s="160">
        <f>資金繰り予定表!AL17</f>
        <v>0</v>
      </c>
      <c r="AM17" s="160">
        <f>資金繰り予定表!AM17</f>
        <v>0</v>
      </c>
      <c r="AN17" s="160">
        <f>資金繰り予定表!AN17</f>
        <v>0</v>
      </c>
      <c r="AO17" s="160">
        <f>資金繰り予定表!AO17</f>
        <v>0</v>
      </c>
      <c r="AP17" s="160">
        <f t="shared" si="5"/>
        <v>0</v>
      </c>
    </row>
    <row r="18" spans="1:42" ht="15.75" customHeight="1">
      <c r="A18" s="159" t="str">
        <f>資金繰り予定表!A18</f>
        <v>修繕費・設備管理費・消耗品費</v>
      </c>
      <c r="B18" s="172">
        <f>IF(B$102=TRUE,SUMIF(資金繰り実績表!$A$2:$A$38,"修繕費・設備管理費・消耗品費",資金繰り実績表!B$2:B$38),資金繰り予定表!B18)</f>
        <v>297131</v>
      </c>
      <c r="C18" s="172">
        <f>IF(C$102=TRUE,SUMIF(資金繰り実績表!$A$2:$A$38,"修繕費・設備管理費・消耗品費",資金繰り実績表!C$2:C$38),資金繰り予定表!C18)</f>
        <v>149131</v>
      </c>
      <c r="D18" s="172">
        <f>IF(D$102=TRUE,SUMIF(資金繰り実績表!$A$2:$A$38,"修繕費・設備管理費・消耗品費",資金繰り実績表!D$2:D$38),資金繰り予定表!D18)</f>
        <v>110428</v>
      </c>
      <c r="E18" s="172">
        <f>IF(E$102=TRUE,SUMIF(資金繰り実績表!$A$2:$A$38,"修繕費・設備管理費・消耗品費",資金繰り実績表!E$2:E$38),資金繰り予定表!E18)</f>
        <v>163267</v>
      </c>
      <c r="F18" s="172">
        <f>IF(F$102=TRUE,SUMIF(資金繰り実績表!$A$2:$A$38,"修繕費・設備管理費・消耗品費",資金繰り実績表!F$2:F$38),資金繰り予定表!F18)</f>
        <v>204900</v>
      </c>
      <c r="G18" s="172">
        <f>IF(G$102=TRUE,SUMIF(資金繰り実績表!$A$2:$A$38,"修繕費・設備管理費・消耗品費",資金繰り実績表!G$2:G$38),資金繰り予定表!G18)</f>
        <v>0</v>
      </c>
      <c r="H18" s="172">
        <f>IF(H$102=TRUE,SUMIF(資金繰り実績表!$A$2:$A$38,"修繕費・設備管理費・消耗品費",資金繰り実績表!H$2:H$38),資金繰り予定表!H18)</f>
        <v>0</v>
      </c>
      <c r="I18" s="172">
        <f>IF(I$102=TRUE,SUMIF(資金繰り実績表!$A$2:$A$38,"修繕費・設備管理費・消耗品費",資金繰り実績表!I$2:I$38),資金繰り予定表!I18)</f>
        <v>147291</v>
      </c>
      <c r="J18" s="172">
        <f>IF(J$102=TRUE,SUMIF(資金繰り実績表!$A$2:$A$38,"修繕費・設備管理費・消耗品費",資金繰り実績表!J$2:J$38),資金繰り予定表!J18)</f>
        <v>0</v>
      </c>
      <c r="K18" s="172">
        <f>IF(K$102=TRUE,SUMIF(資金繰り実績表!$A$2:$A$38,"修繕費・設備管理費・消耗品費",資金繰り実績表!K$2:K$38),資金繰り予定表!K18)</f>
        <v>0</v>
      </c>
      <c r="L18" s="172">
        <f>IF(L$102=TRUE,SUMIF(資金繰り実績表!$A$2:$A$38,"修繕費・設備管理費・消耗品費",資金繰り実績表!L$2:L$38),資金繰り予定表!L18)</f>
        <v>0</v>
      </c>
      <c r="M18" s="172">
        <f>IF(M$102=TRUE,SUMIF(資金繰り実績表!$A$2:$A$38,"修繕費・設備管理費・消耗品費",資金繰り実績表!M$2:M$38),資金繰り予定表!M18)</f>
        <v>0</v>
      </c>
      <c r="N18" s="160">
        <f t="shared" si="1"/>
        <v>1072148</v>
      </c>
      <c r="O18" s="153" t="str">
        <f t="shared" si="2"/>
        <v>修繕費・設備管理費・消耗品費</v>
      </c>
      <c r="P18" s="160">
        <f>資金繰り予定表!P18</f>
        <v>0</v>
      </c>
      <c r="Q18" s="160">
        <f>資金繰り予定表!Q18</f>
        <v>0</v>
      </c>
      <c r="R18" s="160">
        <f>資金繰り予定表!R18</f>
        <v>0</v>
      </c>
      <c r="S18" s="160">
        <f>資金繰り予定表!S18</f>
        <v>0</v>
      </c>
      <c r="T18" s="160">
        <f>資金繰り予定表!T18</f>
        <v>0</v>
      </c>
      <c r="U18" s="160">
        <f>資金繰り予定表!U18</f>
        <v>0</v>
      </c>
      <c r="V18" s="160">
        <f>資金繰り予定表!V18</f>
        <v>0</v>
      </c>
      <c r="W18" s="160">
        <f>資金繰り予定表!W18</f>
        <v>0</v>
      </c>
      <c r="X18" s="160">
        <f>資金繰り予定表!X18</f>
        <v>0</v>
      </c>
      <c r="Y18" s="160">
        <f>資金繰り予定表!Y18</f>
        <v>0</v>
      </c>
      <c r="Z18" s="160">
        <f>資金繰り予定表!Z18</f>
        <v>0</v>
      </c>
      <c r="AA18" s="160">
        <f>資金繰り予定表!AA18</f>
        <v>0</v>
      </c>
      <c r="AB18" s="160">
        <f t="shared" si="3"/>
        <v>0</v>
      </c>
      <c r="AC18" s="160" t="str">
        <f t="shared" si="4"/>
        <v>修繕費・設備管理費・消耗品費</v>
      </c>
      <c r="AD18" s="160">
        <f>資金繰り予定表!AD18</f>
        <v>0</v>
      </c>
      <c r="AE18" s="160">
        <f>資金繰り予定表!AE18</f>
        <v>0</v>
      </c>
      <c r="AF18" s="160">
        <f>資金繰り予定表!AF18</f>
        <v>0</v>
      </c>
      <c r="AG18" s="160">
        <f>資金繰り予定表!AG18</f>
        <v>0</v>
      </c>
      <c r="AH18" s="160">
        <f>資金繰り予定表!AH18</f>
        <v>0</v>
      </c>
      <c r="AI18" s="160">
        <f>資金繰り予定表!AI18</f>
        <v>0</v>
      </c>
      <c r="AJ18" s="160">
        <f>資金繰り予定表!AJ18</f>
        <v>0</v>
      </c>
      <c r="AK18" s="160">
        <f>資金繰り予定表!AK18</f>
        <v>0</v>
      </c>
      <c r="AL18" s="160">
        <f>資金繰り予定表!AL18</f>
        <v>0</v>
      </c>
      <c r="AM18" s="160">
        <f>資金繰り予定表!AM18</f>
        <v>0</v>
      </c>
      <c r="AN18" s="160">
        <f>資金繰り予定表!AN18</f>
        <v>0</v>
      </c>
      <c r="AO18" s="160">
        <f>資金繰り予定表!AO18</f>
        <v>0</v>
      </c>
      <c r="AP18" s="160">
        <f t="shared" si="5"/>
        <v>0</v>
      </c>
    </row>
    <row r="19" spans="1:42" ht="15.75" customHeight="1">
      <c r="A19" s="159" t="str">
        <f>資金繰り予定表!A19</f>
        <v>雑費・銀行手数料</v>
      </c>
      <c r="B19" s="172">
        <f>IF(B$102=TRUE,SUMIF(資金繰り実績表!$A$2:$A$38,"雑費・銀行手数料",資金繰り実績表!B$2:B$38),資金繰り予定表!B19)</f>
        <v>120603</v>
      </c>
      <c r="C19" s="172">
        <f>IF(C$102=TRUE,SUMIF(資金繰り実績表!$A$2:$A$38,"雑費・銀行手数料",資金繰り実績表!C$2:C$38),資金繰り予定表!C19)</f>
        <v>121273</v>
      </c>
      <c r="D19" s="172">
        <f>IF(D$102=TRUE,SUMIF(資金繰り実績表!$A$2:$A$38,"雑費・銀行手数料",資金繰り実績表!D$2:D$38),資金繰り予定表!D19)</f>
        <v>859980</v>
      </c>
      <c r="E19" s="172">
        <f>IF(E$102=TRUE,SUMIF(資金繰り実績表!$A$2:$A$38,"雑費・銀行手数料",資金繰り実績表!E$2:E$38),資金繰り予定表!E19)</f>
        <v>127800</v>
      </c>
      <c r="F19" s="172">
        <f>IF(F$102=TRUE,SUMIF(資金繰り実績表!$A$2:$A$38,"雑費・銀行手数料",資金繰り実績表!F$2:F$38),資金繰り予定表!F19)</f>
        <v>116058</v>
      </c>
      <c r="G19" s="172">
        <f>IF(G$102=TRUE,SUMIF(資金繰り実績表!$A$2:$A$38,"雑費・銀行手数料",資金繰り実績表!G$2:G$38),資金繰り予定表!G19)</f>
        <v>123666</v>
      </c>
      <c r="H19" s="172">
        <f>IF(H$102=TRUE,SUMIF(資金繰り実績表!$A$2:$A$38,"雑費・銀行手数料",資金繰り実績表!H$2:H$38),資金繰り予定表!H19)</f>
        <v>110895</v>
      </c>
      <c r="I19" s="172">
        <f>IF(I$102=TRUE,SUMIF(資金繰り実績表!$A$2:$A$38,"雑費・銀行手数料",資金繰り実績表!I$2:I$38),資金繰り予定表!I19)</f>
        <v>134756</v>
      </c>
      <c r="J19" s="172">
        <f>IF(J$102=TRUE,SUMIF(資金繰り実績表!$A$2:$A$38,"雑費・銀行手数料",資金繰り実績表!J$2:J$38),資金繰り予定表!J19)</f>
        <v>115523</v>
      </c>
      <c r="K19" s="172">
        <f>IF(K$102=TRUE,SUMIF(資金繰り実績表!$A$2:$A$38,"雑費・銀行手数料",資金繰り実績表!K$2:K$38),資金繰り予定表!K19)</f>
        <v>0</v>
      </c>
      <c r="L19" s="172">
        <f>IF(L$102=TRUE,SUMIF(資金繰り実績表!$A$2:$A$38,"雑費・銀行手数料",資金繰り実績表!L$2:L$38),資金繰り予定表!L19)</f>
        <v>0</v>
      </c>
      <c r="M19" s="172">
        <f>IF(M$102=TRUE,SUMIF(資金繰り実績表!$A$2:$A$38,"雑費・銀行手数料",資金繰り実績表!M$2:M$38),資金繰り予定表!M19)</f>
        <v>0</v>
      </c>
      <c r="N19" s="160">
        <f t="shared" si="1"/>
        <v>1830554</v>
      </c>
      <c r="O19" s="153" t="str">
        <f t="shared" si="2"/>
        <v>雑費・銀行手数料</v>
      </c>
      <c r="P19" s="160">
        <f>資金繰り予定表!P19</f>
        <v>0</v>
      </c>
      <c r="Q19" s="160">
        <f>資金繰り予定表!Q19</f>
        <v>0</v>
      </c>
      <c r="R19" s="160">
        <f>資金繰り予定表!R19</f>
        <v>0</v>
      </c>
      <c r="S19" s="160">
        <f>資金繰り予定表!S19</f>
        <v>0</v>
      </c>
      <c r="T19" s="160">
        <f>資金繰り予定表!T19</f>
        <v>0</v>
      </c>
      <c r="U19" s="160">
        <f>資金繰り予定表!U19</f>
        <v>0</v>
      </c>
      <c r="V19" s="160">
        <f>資金繰り予定表!V19</f>
        <v>0</v>
      </c>
      <c r="W19" s="160">
        <f>資金繰り予定表!W19</f>
        <v>0</v>
      </c>
      <c r="X19" s="160">
        <f>資金繰り予定表!X19</f>
        <v>0</v>
      </c>
      <c r="Y19" s="160">
        <f>資金繰り予定表!Y19</f>
        <v>0</v>
      </c>
      <c r="Z19" s="160">
        <f>資金繰り予定表!Z19</f>
        <v>0</v>
      </c>
      <c r="AA19" s="160">
        <f>資金繰り予定表!AA19</f>
        <v>0</v>
      </c>
      <c r="AB19" s="160">
        <f t="shared" si="3"/>
        <v>0</v>
      </c>
      <c r="AC19" s="160" t="str">
        <f t="shared" si="4"/>
        <v>雑費・銀行手数料</v>
      </c>
      <c r="AD19" s="160">
        <f>資金繰り予定表!AD19</f>
        <v>0</v>
      </c>
      <c r="AE19" s="160">
        <f>資金繰り予定表!AE19</f>
        <v>0</v>
      </c>
      <c r="AF19" s="160">
        <f>資金繰り予定表!AF19</f>
        <v>0</v>
      </c>
      <c r="AG19" s="160">
        <f>資金繰り予定表!AG19</f>
        <v>0</v>
      </c>
      <c r="AH19" s="160">
        <f>資金繰り予定表!AH19</f>
        <v>0</v>
      </c>
      <c r="AI19" s="160">
        <f>資金繰り予定表!AI19</f>
        <v>0</v>
      </c>
      <c r="AJ19" s="160">
        <f>資金繰り予定表!AJ19</f>
        <v>0</v>
      </c>
      <c r="AK19" s="160">
        <f>資金繰り予定表!AK19</f>
        <v>0</v>
      </c>
      <c r="AL19" s="160">
        <f>資金繰り予定表!AL19</f>
        <v>0</v>
      </c>
      <c r="AM19" s="160">
        <f>資金繰り予定表!AM19</f>
        <v>0</v>
      </c>
      <c r="AN19" s="160">
        <f>資金繰り予定表!AN19</f>
        <v>0</v>
      </c>
      <c r="AO19" s="160">
        <f>資金繰り予定表!AO19</f>
        <v>0</v>
      </c>
      <c r="AP19" s="160">
        <f t="shared" si="5"/>
        <v>0</v>
      </c>
    </row>
    <row r="20" spans="1:42" ht="15.75" customHeight="1">
      <c r="A20" s="159" t="str">
        <f>資金繰り予定表!A20</f>
        <v>その他販管費</v>
      </c>
      <c r="B20" s="172">
        <f>IF(B$102=TRUE,SUMIF(資金繰り実績表!$A$2:$A$38,"その他販管費",資金繰り実績表!B$2:B$38),資金繰り予定表!B20)</f>
        <v>79782</v>
      </c>
      <c r="C20" s="172">
        <f>IF(C$102=TRUE,SUMIF(資金繰り実績表!$A$2:$A$38,"その他販管費",資金繰り実績表!C$2:C$38),資金繰り予定表!C20)</f>
        <v>0</v>
      </c>
      <c r="D20" s="172">
        <f>IF(D$102=TRUE,SUMIF(資金繰り実績表!$A$2:$A$38,"その他販管費",資金繰り実績表!D$2:D$38),資金繰り予定表!D20)</f>
        <v>385000</v>
      </c>
      <c r="E20" s="172">
        <f>IF(E$102=TRUE,SUMIF(資金繰り実績表!$A$2:$A$38,"その他販管費",資金繰り実績表!E$2:E$38),資金繰り予定表!E20)</f>
        <v>591965</v>
      </c>
      <c r="F20" s="172">
        <f>IF(F$102=TRUE,SUMIF(資金繰り実績表!$A$2:$A$38,"その他販管費",資金繰り実績表!F$2:F$38),資金繰り予定表!F20)</f>
        <v>892720</v>
      </c>
      <c r="G20" s="172">
        <f>IF(G$102=TRUE,SUMIF(資金繰り実績表!$A$2:$A$38,"その他販管費",資金繰り実績表!G$2:G$38),資金繰り予定表!G20)</f>
        <v>1257480</v>
      </c>
      <c r="H20" s="172">
        <f>IF(H$102=TRUE,SUMIF(資金繰り実績表!$A$2:$A$38,"その他販管費",資金繰り実績表!H$2:H$38),資金繰り予定表!H20)</f>
        <v>601255</v>
      </c>
      <c r="I20" s="172">
        <f>IF(I$102=TRUE,SUMIF(資金繰り実績表!$A$2:$A$38,"その他販管費",資金繰り実績表!I$2:I$38),資金繰り予定表!I20)</f>
        <v>2220580</v>
      </c>
      <c r="J20" s="172">
        <f>IF(J$102=TRUE,SUMIF(資金繰り実績表!$A$2:$A$38,"その他販管費",資金繰り実績表!J$2:J$38),資金繰り予定表!J20)</f>
        <v>198634</v>
      </c>
      <c r="K20" s="172">
        <f>IF(K$102=TRUE,SUMIF(資金繰り実績表!$A$2:$A$38,"その他販管費",資金繰り実績表!K$2:K$38),資金繰り予定表!K20)</f>
        <v>0</v>
      </c>
      <c r="L20" s="172">
        <f>IF(L$102=TRUE,SUMIF(資金繰り実績表!$A$2:$A$38,"その他販管費",資金繰り実績表!L$2:L$38),資金繰り予定表!L20)</f>
        <v>0</v>
      </c>
      <c r="M20" s="172">
        <f>IF(M$102=TRUE,SUMIF(資金繰り実績表!$A$2:$A$38,"その他販管費",資金繰り実績表!M$2:M$38),資金繰り予定表!M20)</f>
        <v>0</v>
      </c>
      <c r="N20" s="160">
        <f t="shared" si="1"/>
        <v>6227416</v>
      </c>
      <c r="O20" s="153" t="str">
        <f t="shared" si="2"/>
        <v>その他販管費</v>
      </c>
      <c r="P20" s="160">
        <f>資金繰り予定表!P20</f>
        <v>0</v>
      </c>
      <c r="Q20" s="160">
        <f>資金繰り予定表!Q20</f>
        <v>0</v>
      </c>
      <c r="R20" s="160">
        <f>資金繰り予定表!R20</f>
        <v>0</v>
      </c>
      <c r="S20" s="160">
        <f>資金繰り予定表!S20</f>
        <v>0</v>
      </c>
      <c r="T20" s="160">
        <f>資金繰り予定表!T20</f>
        <v>0</v>
      </c>
      <c r="U20" s="160">
        <f>資金繰り予定表!U20</f>
        <v>0</v>
      </c>
      <c r="V20" s="160">
        <f>資金繰り予定表!V20</f>
        <v>0</v>
      </c>
      <c r="W20" s="160">
        <f>資金繰り予定表!W20</f>
        <v>0</v>
      </c>
      <c r="X20" s="160">
        <f>資金繰り予定表!X20</f>
        <v>0</v>
      </c>
      <c r="Y20" s="160">
        <f>資金繰り予定表!Y20</f>
        <v>0</v>
      </c>
      <c r="Z20" s="160">
        <f>資金繰り予定表!Z20</f>
        <v>0</v>
      </c>
      <c r="AA20" s="160">
        <f>資金繰り予定表!AA20</f>
        <v>0</v>
      </c>
      <c r="AB20" s="160">
        <f t="shared" si="3"/>
        <v>0</v>
      </c>
      <c r="AC20" s="160" t="str">
        <f t="shared" si="4"/>
        <v>その他販管費</v>
      </c>
      <c r="AD20" s="160">
        <f>資金繰り予定表!AD20</f>
        <v>0</v>
      </c>
      <c r="AE20" s="160">
        <f>資金繰り予定表!AE20</f>
        <v>0</v>
      </c>
      <c r="AF20" s="160">
        <f>資金繰り予定表!AF20</f>
        <v>0</v>
      </c>
      <c r="AG20" s="160">
        <f>資金繰り予定表!AG20</f>
        <v>0</v>
      </c>
      <c r="AH20" s="160">
        <f>資金繰り予定表!AH20</f>
        <v>0</v>
      </c>
      <c r="AI20" s="160">
        <f>資金繰り予定表!AI20</f>
        <v>0</v>
      </c>
      <c r="AJ20" s="160">
        <f>資金繰り予定表!AJ20</f>
        <v>0</v>
      </c>
      <c r="AK20" s="160">
        <f>資金繰り予定表!AK20</f>
        <v>0</v>
      </c>
      <c r="AL20" s="160">
        <f>資金繰り予定表!AL20</f>
        <v>0</v>
      </c>
      <c r="AM20" s="160">
        <f>資金繰り予定表!AM20</f>
        <v>0</v>
      </c>
      <c r="AN20" s="160">
        <f>資金繰り予定表!AN20</f>
        <v>0</v>
      </c>
      <c r="AO20" s="160">
        <f>資金繰り予定表!AO20</f>
        <v>0</v>
      </c>
      <c r="AP20" s="160">
        <f t="shared" si="5"/>
        <v>0</v>
      </c>
    </row>
    <row r="21" spans="1:42" ht="15.75" customHeight="1">
      <c r="A21" s="159" t="str">
        <f>資金繰り予定表!A21</f>
        <v>その他経常支出</v>
      </c>
      <c r="B21" s="172">
        <f>IF(B$102=TRUE,SUMIF(資金繰り実績表!$A$2:$A$38,"その他経常支出",資金繰り実績表!B$2:B$38),資金繰り予定表!B21)</f>
        <v>0</v>
      </c>
      <c r="C21" s="172">
        <f>IF(C$102=TRUE,SUMIF(資金繰り実績表!$A$2:$A$38,"その他経常支出",資金繰り実績表!C$2:C$38),資金繰り予定表!C21)</f>
        <v>240000</v>
      </c>
      <c r="D21" s="172">
        <f>IF(D$102=TRUE,SUMIF(資金繰り実績表!$A$2:$A$38,"その他経常支出",資金繰り実績表!D$2:D$38),資金繰り予定表!D21)</f>
        <v>487904</v>
      </c>
      <c r="E21" s="172">
        <f>IF(E$102=TRUE,SUMIF(資金繰り実績表!$A$2:$A$38,"その他経常支出",資金繰り実績表!E$2:E$38),資金繰り予定表!E21)</f>
        <v>0</v>
      </c>
      <c r="F21" s="172">
        <f>IF(F$102=TRUE,SUMIF(資金繰り実績表!$A$2:$A$38,"その他経常支出",資金繰り実績表!F$2:F$38),資金繰り予定表!F21)</f>
        <v>166550</v>
      </c>
      <c r="G21" s="172">
        <f>IF(G$102=TRUE,SUMIF(資金繰り実績表!$A$2:$A$38,"その他経常支出",資金繰り実績表!G$2:G$38),資金繰り予定表!G21)</f>
        <v>1154000</v>
      </c>
      <c r="H21" s="172">
        <f>IF(H$102=TRUE,SUMIF(資金繰り実績表!$A$2:$A$38,"その他経常支出",資金繰り実績表!H$2:H$38),資金繰り予定表!H21)</f>
        <v>740000</v>
      </c>
      <c r="I21" s="172">
        <f>IF(I$102=TRUE,SUMIF(資金繰り実績表!$A$2:$A$38,"その他経常支出",資金繰り実績表!I$2:I$38),資金繰り予定表!I21)</f>
        <v>620000</v>
      </c>
      <c r="J21" s="172">
        <f>IF(J$102=TRUE,SUMIF(資金繰り実績表!$A$2:$A$38,"その他経常支出",資金繰り実績表!J$2:J$38),資金繰り予定表!J21)</f>
        <v>500000</v>
      </c>
      <c r="K21" s="172">
        <f>IF(K$102=TRUE,SUMIF(資金繰り実績表!$A$2:$A$38,"その他経常支出",資金繰り実績表!K$2:K$38),資金繰り予定表!K21)</f>
        <v>0</v>
      </c>
      <c r="L21" s="172">
        <f>IF(L$102=TRUE,SUMIF(資金繰り実績表!$A$2:$A$38,"その他経常支出",資金繰り実績表!L$2:L$38),資金繰り予定表!L21)</f>
        <v>0</v>
      </c>
      <c r="M21" s="172">
        <f>IF(M$102=TRUE,SUMIF(資金繰り実績表!$A$2:$A$38,"その他経常支出",資金繰り実績表!M$2:M$38),資金繰り予定表!M21)</f>
        <v>0</v>
      </c>
      <c r="N21" s="160">
        <f t="shared" si="1"/>
        <v>3908454</v>
      </c>
      <c r="O21" s="153" t="str">
        <f t="shared" si="2"/>
        <v>その他経常支出</v>
      </c>
      <c r="P21" s="160">
        <f>資金繰り予定表!P21</f>
        <v>0</v>
      </c>
      <c r="Q21" s="160">
        <f>資金繰り予定表!Q21</f>
        <v>0</v>
      </c>
      <c r="R21" s="160">
        <f>資金繰り予定表!R21</f>
        <v>0</v>
      </c>
      <c r="S21" s="160">
        <f>資金繰り予定表!S21</f>
        <v>0</v>
      </c>
      <c r="T21" s="160">
        <f>資金繰り予定表!T21</f>
        <v>0</v>
      </c>
      <c r="U21" s="160">
        <f>資金繰り予定表!U21</f>
        <v>0</v>
      </c>
      <c r="V21" s="160">
        <f>資金繰り予定表!V21</f>
        <v>0</v>
      </c>
      <c r="W21" s="160">
        <f>資金繰り予定表!W21</f>
        <v>0</v>
      </c>
      <c r="X21" s="160">
        <f>資金繰り予定表!X21</f>
        <v>0</v>
      </c>
      <c r="Y21" s="160">
        <f>資金繰り予定表!Y21</f>
        <v>0</v>
      </c>
      <c r="Z21" s="160">
        <f>資金繰り予定表!Z21</f>
        <v>0</v>
      </c>
      <c r="AA21" s="160">
        <f>資金繰り予定表!AA21</f>
        <v>0</v>
      </c>
      <c r="AB21" s="160">
        <f t="shared" si="3"/>
        <v>0</v>
      </c>
      <c r="AC21" s="160" t="str">
        <f t="shared" si="4"/>
        <v>その他経常支出</v>
      </c>
      <c r="AD21" s="160">
        <f>資金繰り予定表!AD21</f>
        <v>0</v>
      </c>
      <c r="AE21" s="160">
        <f>資金繰り予定表!AE21</f>
        <v>0</v>
      </c>
      <c r="AF21" s="160">
        <f>資金繰り予定表!AF21</f>
        <v>0</v>
      </c>
      <c r="AG21" s="160">
        <f>資金繰り予定表!AG21</f>
        <v>0</v>
      </c>
      <c r="AH21" s="160">
        <f>資金繰り予定表!AH21</f>
        <v>0</v>
      </c>
      <c r="AI21" s="160">
        <f>資金繰り予定表!AI21</f>
        <v>0</v>
      </c>
      <c r="AJ21" s="160">
        <f>資金繰り予定表!AJ21</f>
        <v>0</v>
      </c>
      <c r="AK21" s="160">
        <f>資金繰り予定表!AK21</f>
        <v>0</v>
      </c>
      <c r="AL21" s="160">
        <f>資金繰り予定表!AL21</f>
        <v>0</v>
      </c>
      <c r="AM21" s="160">
        <f>資金繰り予定表!AM21</f>
        <v>0</v>
      </c>
      <c r="AN21" s="160">
        <f>資金繰り予定表!AN21</f>
        <v>0</v>
      </c>
      <c r="AO21" s="160">
        <f>資金繰り予定表!AO21</f>
        <v>0</v>
      </c>
      <c r="AP21" s="160">
        <f t="shared" si="5"/>
        <v>0</v>
      </c>
    </row>
    <row r="22" spans="1:42" ht="15.75" customHeight="1">
      <c r="A22" s="159" t="str">
        <f>資金繰り予定表!A22</f>
        <v>現金引出し・QR決済</v>
      </c>
      <c r="B22" s="172">
        <f>IF(B$102=TRUE,SUMIF(資金繰り実績表!$A$2:$A$38,"現金引出し・QR決済",資金繰り実績表!B$2:B$38),資金繰り予定表!B22)</f>
        <v>2445715</v>
      </c>
      <c r="C22" s="172">
        <f>IF(C$102=TRUE,SUMIF(資金繰り実績表!$A$2:$A$38,"現金引出し・QR決済",資金繰り実績表!C$2:C$38),資金繰り予定表!C22)</f>
        <v>500000</v>
      </c>
      <c r="D22" s="172">
        <f>IF(D$102=TRUE,SUMIF(資金繰り実績表!$A$2:$A$38,"現金引出し・QR決済",資金繰り実績表!D$2:D$38),資金繰り予定表!D22)</f>
        <v>400110</v>
      </c>
      <c r="E22" s="172">
        <f>IF(E$102=TRUE,SUMIF(資金繰り実績表!$A$2:$A$38,"現金引出し・QR決済",資金繰り実績表!E$2:E$38),資金繰り予定表!E22)</f>
        <v>0</v>
      </c>
      <c r="F22" s="172">
        <f>IF(F$102=TRUE,SUMIF(資金繰り実績表!$A$2:$A$38,"現金引出し・QR決済",資金繰り実績表!F$2:F$38),資金繰り予定表!F22)</f>
        <v>0</v>
      </c>
      <c r="G22" s="172">
        <f>IF(G$102=TRUE,SUMIF(資金繰り実績表!$A$2:$A$38,"現金引出し・QR決済",資金繰り実績表!G$2:G$38),資金繰り予定表!G22)</f>
        <v>0</v>
      </c>
      <c r="H22" s="172">
        <f>IF(H$102=TRUE,SUMIF(資金繰り実績表!$A$2:$A$38,"現金引出し・QR決済",資金繰り実績表!H$2:H$38),資金繰り予定表!H22)</f>
        <v>0</v>
      </c>
      <c r="I22" s="172">
        <f>IF(I$102=TRUE,SUMIF(資金繰り実績表!$A$2:$A$38,"現金引出し・QR決済",資金繰り実績表!I$2:I$38),資金繰り予定表!I22)</f>
        <v>0</v>
      </c>
      <c r="J22" s="172">
        <f>IF(J$102=TRUE,SUMIF(資金繰り実績表!$A$2:$A$38,"現金引出し・QR決済",資金繰り実績表!J$2:J$38),資金繰り予定表!J22)</f>
        <v>0</v>
      </c>
      <c r="K22" s="172">
        <f>IF(K$102=TRUE,SUMIF(資金繰り実績表!$A$2:$A$38,"現金引出し・QR決済",資金繰り実績表!K$2:K$38),資金繰り予定表!K22)</f>
        <v>0</v>
      </c>
      <c r="L22" s="172">
        <f>IF(L$102=TRUE,SUMIF(資金繰り実績表!$A$2:$A$38,"現金引出し・QR決済",資金繰り実績表!L$2:L$38),資金繰り予定表!L22)</f>
        <v>0</v>
      </c>
      <c r="M22" s="172">
        <f>IF(M$102=TRUE,SUMIF(資金繰り実績表!$A$2:$A$38,"現金引出し・QR決済",資金繰り実績表!M$2:M$38),資金繰り予定表!M22)</f>
        <v>0</v>
      </c>
      <c r="N22" s="160">
        <f t="shared" si="1"/>
        <v>3345825</v>
      </c>
      <c r="O22" s="153" t="str">
        <f t="shared" si="2"/>
        <v>現金引出し・QR決済</v>
      </c>
      <c r="P22" s="160">
        <f>資金繰り予定表!P22</f>
        <v>0</v>
      </c>
      <c r="Q22" s="160">
        <f>資金繰り予定表!Q22</f>
        <v>0</v>
      </c>
      <c r="R22" s="160">
        <f>資金繰り予定表!R22</f>
        <v>0</v>
      </c>
      <c r="S22" s="160">
        <f>資金繰り予定表!S22</f>
        <v>0</v>
      </c>
      <c r="T22" s="160">
        <f>資金繰り予定表!T22</f>
        <v>0</v>
      </c>
      <c r="U22" s="160">
        <f>資金繰り予定表!U22</f>
        <v>0</v>
      </c>
      <c r="V22" s="160">
        <f>資金繰り予定表!V22</f>
        <v>0</v>
      </c>
      <c r="W22" s="160">
        <f>資金繰り予定表!W22</f>
        <v>0</v>
      </c>
      <c r="X22" s="160">
        <f>資金繰り予定表!X22</f>
        <v>0</v>
      </c>
      <c r="Y22" s="160">
        <f>資金繰り予定表!Y22</f>
        <v>0</v>
      </c>
      <c r="Z22" s="160">
        <f>資金繰り予定表!Z22</f>
        <v>0</v>
      </c>
      <c r="AA22" s="160">
        <f>資金繰り予定表!AA22</f>
        <v>0</v>
      </c>
      <c r="AB22" s="160">
        <f t="shared" si="3"/>
        <v>0</v>
      </c>
      <c r="AC22" s="160" t="str">
        <f t="shared" si="4"/>
        <v>現金引出し・QR決済</v>
      </c>
      <c r="AD22" s="160">
        <f>資金繰り予定表!AD22</f>
        <v>0</v>
      </c>
      <c r="AE22" s="160">
        <f>資金繰り予定表!AE22</f>
        <v>0</v>
      </c>
      <c r="AF22" s="160">
        <f>資金繰り予定表!AF22</f>
        <v>0</v>
      </c>
      <c r="AG22" s="160">
        <f>資金繰り予定表!AG22</f>
        <v>0</v>
      </c>
      <c r="AH22" s="160">
        <f>資金繰り予定表!AH22</f>
        <v>0</v>
      </c>
      <c r="AI22" s="160">
        <f>資金繰り予定表!AI22</f>
        <v>0</v>
      </c>
      <c r="AJ22" s="160">
        <f>資金繰り予定表!AJ22</f>
        <v>0</v>
      </c>
      <c r="AK22" s="160">
        <f>資金繰り予定表!AK22</f>
        <v>0</v>
      </c>
      <c r="AL22" s="160">
        <f>資金繰り予定表!AL22</f>
        <v>0</v>
      </c>
      <c r="AM22" s="160">
        <f>資金繰り予定表!AM22</f>
        <v>0</v>
      </c>
      <c r="AN22" s="160">
        <f>資金繰り予定表!AN22</f>
        <v>0</v>
      </c>
      <c r="AO22" s="160">
        <f>資金繰り予定表!AO22</f>
        <v>0</v>
      </c>
      <c r="AP22" s="160">
        <f t="shared" si="5"/>
        <v>0</v>
      </c>
    </row>
    <row r="23" spans="1:42" ht="15.75" customHeight="1">
      <c r="A23" s="159" t="str">
        <f>資金繰り予定表!A23</f>
        <v>クレジットカード支払い</v>
      </c>
      <c r="B23" s="172">
        <f>IF(B$102=TRUE,SUMIF(資金繰り実績表!$A$2:$A$38,"クレジットカード支払い",資金繰り実績表!B$2:B$38),資金繰り予定表!B23)</f>
        <v>1168512</v>
      </c>
      <c r="C23" s="172">
        <f>IF(C$102=TRUE,SUMIF(資金繰り実績表!$A$2:$A$38,"クレジットカード支払い",資金繰り実績表!C$2:C$38),資金繰り予定表!C23)</f>
        <v>1438835</v>
      </c>
      <c r="D23" s="172">
        <f>IF(D$102=TRUE,SUMIF(資金繰り実績表!$A$2:$A$38,"クレジットカード支払い",資金繰り実績表!D$2:D$38),資金繰り予定表!D23)</f>
        <v>1117344</v>
      </c>
      <c r="E23" s="172">
        <f>IF(E$102=TRUE,SUMIF(資金繰り実績表!$A$2:$A$38,"クレジットカード支払い",資金繰り実績表!E$2:E$38),資金繰り予定表!E23)</f>
        <v>4277837</v>
      </c>
      <c r="F23" s="172">
        <f>IF(F$102=TRUE,SUMIF(資金繰り実績表!$A$2:$A$38,"クレジットカード支払い",資金繰り実績表!F$2:F$38),資金繰り予定表!F23)</f>
        <v>2359073</v>
      </c>
      <c r="G23" s="172">
        <f>IF(G$102=TRUE,SUMIF(資金繰り実績表!$A$2:$A$38,"クレジットカード支払い",資金繰り実績表!G$2:G$38),資金繰り予定表!G23)</f>
        <v>1298814</v>
      </c>
      <c r="H23" s="172">
        <f>IF(H$102=TRUE,SUMIF(資金繰り実績表!$A$2:$A$38,"クレジットカード支払い",資金繰り実績表!H$2:H$38),資金繰り予定表!H23)</f>
        <v>1629718</v>
      </c>
      <c r="I23" s="172">
        <f>IF(I$102=TRUE,SUMIF(資金繰り実績表!$A$2:$A$38,"クレジットカード支払い",資金繰り実績表!I$2:I$38),資金繰り予定表!I23)</f>
        <v>1923013</v>
      </c>
      <c r="J23" s="172">
        <f>IF(J$102=TRUE,SUMIF(資金繰り実績表!$A$2:$A$38,"クレジットカード支払い",資金繰り実績表!J$2:J$38),資金繰り予定表!J23)</f>
        <v>2734390</v>
      </c>
      <c r="K23" s="172">
        <f>IF(K$102=TRUE,SUMIF(資金繰り実績表!$A$2:$A$38,"クレジットカード支払い",資金繰り実績表!K$2:K$38),資金繰り予定表!K23)</f>
        <v>0</v>
      </c>
      <c r="L23" s="172">
        <f>IF(L$102=TRUE,SUMIF(資金繰り実績表!$A$2:$A$38,"クレジットカード支払い",資金繰り実績表!L$2:L$38),資金繰り予定表!L23)</f>
        <v>0</v>
      </c>
      <c r="M23" s="172">
        <f>IF(M$102=TRUE,SUMIF(資金繰り実績表!$A$2:$A$38,"クレジットカード支払い",資金繰り実績表!M$2:M$38),資金繰り予定表!M23)</f>
        <v>0</v>
      </c>
      <c r="N23" s="160">
        <f t="shared" si="1"/>
        <v>17947536</v>
      </c>
      <c r="O23" s="153" t="str">
        <f t="shared" si="2"/>
        <v>クレジットカード支払い</v>
      </c>
      <c r="P23" s="160">
        <f>資金繰り予定表!P23</f>
        <v>0</v>
      </c>
      <c r="Q23" s="160">
        <f>資金繰り予定表!Q23</f>
        <v>0</v>
      </c>
      <c r="R23" s="160">
        <f>資金繰り予定表!R23</f>
        <v>0</v>
      </c>
      <c r="S23" s="160">
        <f>資金繰り予定表!S23</f>
        <v>0</v>
      </c>
      <c r="T23" s="160">
        <f>資金繰り予定表!T23</f>
        <v>0</v>
      </c>
      <c r="U23" s="160">
        <f>資金繰り予定表!U23</f>
        <v>0</v>
      </c>
      <c r="V23" s="160">
        <f>資金繰り予定表!V23</f>
        <v>0</v>
      </c>
      <c r="W23" s="160">
        <f>資金繰り予定表!W23</f>
        <v>0</v>
      </c>
      <c r="X23" s="160">
        <f>資金繰り予定表!X23</f>
        <v>0</v>
      </c>
      <c r="Y23" s="160">
        <f>資金繰り予定表!Y23</f>
        <v>0</v>
      </c>
      <c r="Z23" s="160">
        <f>資金繰り予定表!Z23</f>
        <v>0</v>
      </c>
      <c r="AA23" s="160">
        <f>資金繰り予定表!AA23</f>
        <v>0</v>
      </c>
      <c r="AB23" s="160">
        <f t="shared" si="3"/>
        <v>0</v>
      </c>
      <c r="AC23" s="160" t="str">
        <f t="shared" si="4"/>
        <v>クレジットカード支払い</v>
      </c>
      <c r="AD23" s="160">
        <f>資金繰り予定表!AD23</f>
        <v>0</v>
      </c>
      <c r="AE23" s="160">
        <f>資金繰り予定表!AE23</f>
        <v>0</v>
      </c>
      <c r="AF23" s="160">
        <f>資金繰り予定表!AF23</f>
        <v>0</v>
      </c>
      <c r="AG23" s="160">
        <f>資金繰り予定表!AG23</f>
        <v>0</v>
      </c>
      <c r="AH23" s="160">
        <f>資金繰り予定表!AH23</f>
        <v>0</v>
      </c>
      <c r="AI23" s="160">
        <f>資金繰り予定表!AI23</f>
        <v>0</v>
      </c>
      <c r="AJ23" s="160">
        <f>資金繰り予定表!AJ23</f>
        <v>0</v>
      </c>
      <c r="AK23" s="160">
        <f>資金繰り予定表!AK23</f>
        <v>0</v>
      </c>
      <c r="AL23" s="160">
        <f>資金繰り予定表!AL23</f>
        <v>0</v>
      </c>
      <c r="AM23" s="160">
        <f>資金繰り予定表!AM23</f>
        <v>0</v>
      </c>
      <c r="AN23" s="160">
        <f>資金繰り予定表!AN23</f>
        <v>0</v>
      </c>
      <c r="AO23" s="160">
        <f>資金繰り予定表!AO23</f>
        <v>0</v>
      </c>
      <c r="AP23" s="160">
        <f t="shared" si="5"/>
        <v>0</v>
      </c>
    </row>
    <row r="24" spans="1:42" ht="15.75" customHeight="1">
      <c r="A24" s="159" t="str">
        <f>資金繰り予定表!A24</f>
        <v>消費税・租税公課</v>
      </c>
      <c r="B24" s="172">
        <f>IF(B$102=TRUE,SUMIF(資金繰り実績表!$A$2:$A$38,"消費税・租税公課",資金繰り実績表!B$2:B$38),資金繰り予定表!B24)</f>
        <v>0</v>
      </c>
      <c r="C24" s="172">
        <f>IF(C$102=TRUE,SUMIF(資金繰り実績表!$A$2:$A$38,"消費税・租税公課",資金繰り実績表!C$2:C$38),資金繰り予定表!C24)</f>
        <v>0</v>
      </c>
      <c r="D24" s="172">
        <f>IF(D$102=TRUE,SUMIF(資金繰り実績表!$A$2:$A$38,"消費税・租税公課",資金繰り実績表!D$2:D$38),資金繰り予定表!D24)</f>
        <v>0</v>
      </c>
      <c r="E24" s="172">
        <f>IF(E$102=TRUE,SUMIF(資金繰り実績表!$A$2:$A$38,"消費税・租税公課",資金繰り実績表!E$2:E$38),資金繰り予定表!E24)</f>
        <v>0</v>
      </c>
      <c r="F24" s="172">
        <f>IF(F$102=TRUE,SUMIF(資金繰り実績表!$A$2:$A$38,"消費税・租税公課",資金繰り実績表!F$2:F$38),資金繰り予定表!F24)</f>
        <v>60400</v>
      </c>
      <c r="G24" s="172">
        <f>IF(G$102=TRUE,SUMIF(資金繰り実績表!$A$2:$A$38,"消費税・租税公課",資金繰り実績表!G$2:G$38),資金繰り予定表!G24)</f>
        <v>0</v>
      </c>
      <c r="H24" s="172">
        <f>IF(H$102=TRUE,SUMIF(資金繰り実績表!$A$2:$A$38,"消費税・租税公課",資金繰り実績表!H$2:H$38),資金繰り予定表!H24)</f>
        <v>0</v>
      </c>
      <c r="I24" s="172">
        <f>IF(I$102=TRUE,SUMIF(資金繰り実績表!$A$2:$A$38,"消費税・租税公課",資金繰り実績表!I$2:I$38),資金繰り予定表!I24)</f>
        <v>0</v>
      </c>
      <c r="J24" s="172">
        <f>IF(J$102=TRUE,SUMIF(資金繰り実績表!$A$2:$A$38,"消費税・租税公課",資金繰り実績表!J$2:J$38),資金繰り予定表!J24)</f>
        <v>0</v>
      </c>
      <c r="K24" s="172">
        <f>IF(K$102=TRUE,SUMIF(資金繰り実績表!$A$2:$A$38,"消費税・租税公課",資金繰り実績表!K$2:K$38),資金繰り予定表!K24)</f>
        <v>0</v>
      </c>
      <c r="L24" s="172">
        <f>IF(L$102=TRUE,SUMIF(資金繰り実績表!$A$2:$A$38,"消費税・租税公課",資金繰り実績表!L$2:L$38),資金繰り予定表!L24)</f>
        <v>0</v>
      </c>
      <c r="M24" s="172">
        <f>IF(M$102=TRUE,SUMIF(資金繰り実績表!$A$2:$A$38,"消費税・租税公課",資金繰り実績表!M$2:M$38),資金繰り予定表!M24)</f>
        <v>0</v>
      </c>
      <c r="N24" s="160">
        <f t="shared" si="1"/>
        <v>60400</v>
      </c>
      <c r="O24" s="153" t="str">
        <f t="shared" si="2"/>
        <v>消費税・租税公課</v>
      </c>
      <c r="P24" s="160">
        <f>資金繰り予定表!P24</f>
        <v>0</v>
      </c>
      <c r="Q24" s="160">
        <f>資金繰り予定表!Q24</f>
        <v>0</v>
      </c>
      <c r="R24" s="160">
        <f>資金繰り予定表!R24</f>
        <v>0</v>
      </c>
      <c r="S24" s="160">
        <f>資金繰り予定表!S24</f>
        <v>0</v>
      </c>
      <c r="T24" s="160">
        <f>資金繰り予定表!T24</f>
        <v>0</v>
      </c>
      <c r="U24" s="160">
        <f>資金繰り予定表!U24</f>
        <v>0</v>
      </c>
      <c r="V24" s="160">
        <f>資金繰り予定表!V24</f>
        <v>0</v>
      </c>
      <c r="W24" s="160">
        <f>資金繰り予定表!W24</f>
        <v>0</v>
      </c>
      <c r="X24" s="160">
        <f>資金繰り予定表!X24</f>
        <v>0</v>
      </c>
      <c r="Y24" s="160">
        <f>資金繰り予定表!Y24</f>
        <v>0</v>
      </c>
      <c r="Z24" s="160">
        <f>資金繰り予定表!Z24</f>
        <v>0</v>
      </c>
      <c r="AA24" s="160">
        <f>資金繰り予定表!AA24</f>
        <v>0</v>
      </c>
      <c r="AB24" s="160">
        <f t="shared" si="3"/>
        <v>0</v>
      </c>
      <c r="AC24" s="160" t="str">
        <f t="shared" si="4"/>
        <v>消費税・租税公課</v>
      </c>
      <c r="AD24" s="160">
        <f>資金繰り予定表!AD24</f>
        <v>0</v>
      </c>
      <c r="AE24" s="160">
        <f>資金繰り予定表!AE24</f>
        <v>0</v>
      </c>
      <c r="AF24" s="160">
        <f>資金繰り予定表!AF24</f>
        <v>0</v>
      </c>
      <c r="AG24" s="160">
        <f>資金繰り予定表!AG24</f>
        <v>0</v>
      </c>
      <c r="AH24" s="160">
        <f>資金繰り予定表!AH24</f>
        <v>0</v>
      </c>
      <c r="AI24" s="160">
        <f>資金繰り予定表!AI24</f>
        <v>0</v>
      </c>
      <c r="AJ24" s="160">
        <f>資金繰り予定表!AJ24</f>
        <v>0</v>
      </c>
      <c r="AK24" s="160">
        <f>資金繰り予定表!AK24</f>
        <v>0</v>
      </c>
      <c r="AL24" s="160">
        <f>資金繰り予定表!AL24</f>
        <v>0</v>
      </c>
      <c r="AM24" s="160">
        <f>資金繰り予定表!AM24</f>
        <v>0</v>
      </c>
      <c r="AN24" s="160">
        <f>資金繰り予定表!AN24</f>
        <v>0</v>
      </c>
      <c r="AO24" s="160">
        <f>資金繰り予定表!AO24</f>
        <v>0</v>
      </c>
      <c r="AP24" s="160">
        <f t="shared" si="5"/>
        <v>0</v>
      </c>
    </row>
    <row r="25" spans="1:42" ht="15.75" customHeight="1">
      <c r="A25" s="159" t="str">
        <f>資金繰り予定表!A25</f>
        <v>事業主貸（個人事業）</v>
      </c>
      <c r="B25" s="172">
        <f>IF(B$102=TRUE,SUMIF(資金繰り実績表!$A$2:$A$38,"事業主貸（個人事業）",資金繰り実績表!B$2:B$38),資金繰り予定表!B25)</f>
        <v>0</v>
      </c>
      <c r="C25" s="172">
        <f>IF(C$102=TRUE,SUMIF(資金繰り実績表!$A$2:$A$38,"事業主貸（個人事業）",資金繰り実績表!C$2:C$38),資金繰り予定表!C25)</f>
        <v>0</v>
      </c>
      <c r="D25" s="172">
        <f>IF(D$102=TRUE,SUMIF(資金繰り実績表!$A$2:$A$38,"事業主貸（個人事業）",資金繰り実績表!D$2:D$38),資金繰り予定表!D25)</f>
        <v>0</v>
      </c>
      <c r="E25" s="172">
        <f>IF(E$102=TRUE,SUMIF(資金繰り実績表!$A$2:$A$38,"事業主貸（個人事業）",資金繰り実績表!E$2:E$38),資金繰り予定表!E25)</f>
        <v>0</v>
      </c>
      <c r="F25" s="172">
        <f>IF(F$102=TRUE,SUMIF(資金繰り実績表!$A$2:$A$38,"事業主貸（個人事業）",資金繰り実績表!F$2:F$38),資金繰り予定表!F25)</f>
        <v>0</v>
      </c>
      <c r="G25" s="172">
        <f>IF(G$102=TRUE,SUMIF(資金繰り実績表!$A$2:$A$38,"事業主貸（個人事業）",資金繰り実績表!G$2:G$38),資金繰り予定表!G25)</f>
        <v>0</v>
      </c>
      <c r="H25" s="172">
        <f>IF(H$102=TRUE,SUMIF(資金繰り実績表!$A$2:$A$38,"事業主貸（個人事業）",資金繰り実績表!H$2:H$38),資金繰り予定表!H25)</f>
        <v>0</v>
      </c>
      <c r="I25" s="172">
        <f>IF(I$102=TRUE,SUMIF(資金繰り実績表!$A$2:$A$38,"事業主貸（個人事業）",資金繰り実績表!I$2:I$38),資金繰り予定表!I25)</f>
        <v>0</v>
      </c>
      <c r="J25" s="172">
        <f>IF(J$102=TRUE,SUMIF(資金繰り実績表!$A$2:$A$38,"事業主貸（個人事業）",資金繰り実績表!J$2:J$38),資金繰り予定表!J25)</f>
        <v>0</v>
      </c>
      <c r="K25" s="172">
        <f>IF(K$102=TRUE,SUMIF(資金繰り実績表!$A$2:$A$38,"事業主貸（個人事業）",資金繰り実績表!K$2:K$38),資金繰り予定表!K25)</f>
        <v>0</v>
      </c>
      <c r="L25" s="172">
        <f>IF(L$102=TRUE,SUMIF(資金繰り実績表!$A$2:$A$38,"事業主貸（個人事業）",資金繰り実績表!L$2:L$38),資金繰り予定表!L25)</f>
        <v>0</v>
      </c>
      <c r="M25" s="172">
        <f>IF(M$102=TRUE,SUMIF(資金繰り実績表!$A$2:$A$38,"事業主貸（個人事業）",資金繰り実績表!M$2:M$38),資金繰り予定表!M25)</f>
        <v>0</v>
      </c>
      <c r="N25" s="160">
        <f t="shared" si="1"/>
        <v>0</v>
      </c>
      <c r="O25" s="153" t="str">
        <f t="shared" si="2"/>
        <v>事業主貸（個人事業）</v>
      </c>
      <c r="P25" s="160">
        <f>資金繰り予定表!P25</f>
        <v>0</v>
      </c>
      <c r="Q25" s="160">
        <f>資金繰り予定表!Q25</f>
        <v>0</v>
      </c>
      <c r="R25" s="160">
        <f>資金繰り予定表!R25</f>
        <v>0</v>
      </c>
      <c r="S25" s="160">
        <f>資金繰り予定表!S25</f>
        <v>0</v>
      </c>
      <c r="T25" s="160">
        <f>資金繰り予定表!T25</f>
        <v>0</v>
      </c>
      <c r="U25" s="160">
        <f>資金繰り予定表!U25</f>
        <v>0</v>
      </c>
      <c r="V25" s="160">
        <f>資金繰り予定表!V25</f>
        <v>0</v>
      </c>
      <c r="W25" s="160">
        <f>資金繰り予定表!W25</f>
        <v>0</v>
      </c>
      <c r="X25" s="160">
        <f>資金繰り予定表!X25</f>
        <v>0</v>
      </c>
      <c r="Y25" s="160">
        <f>資金繰り予定表!Y25</f>
        <v>0</v>
      </c>
      <c r="Z25" s="160">
        <f>資金繰り予定表!Z25</f>
        <v>0</v>
      </c>
      <c r="AA25" s="160">
        <f>資金繰り予定表!AA25</f>
        <v>0</v>
      </c>
      <c r="AB25" s="160">
        <f t="shared" si="3"/>
        <v>0</v>
      </c>
      <c r="AC25" s="160" t="str">
        <f t="shared" si="4"/>
        <v>事業主貸（個人事業）</v>
      </c>
      <c r="AD25" s="160">
        <f>資金繰り予定表!AD25</f>
        <v>0</v>
      </c>
      <c r="AE25" s="160">
        <f>資金繰り予定表!AE25</f>
        <v>0</v>
      </c>
      <c r="AF25" s="160">
        <f>資金繰り予定表!AF25</f>
        <v>0</v>
      </c>
      <c r="AG25" s="160">
        <f>資金繰り予定表!AG25</f>
        <v>0</v>
      </c>
      <c r="AH25" s="160">
        <f>資金繰り予定表!AH25</f>
        <v>0</v>
      </c>
      <c r="AI25" s="160">
        <f>資金繰り予定表!AI25</f>
        <v>0</v>
      </c>
      <c r="AJ25" s="160">
        <f>資金繰り予定表!AJ25</f>
        <v>0</v>
      </c>
      <c r="AK25" s="160">
        <f>資金繰り予定表!AK25</f>
        <v>0</v>
      </c>
      <c r="AL25" s="160">
        <f>資金繰り予定表!AL25</f>
        <v>0</v>
      </c>
      <c r="AM25" s="160">
        <f>資金繰り予定表!AM25</f>
        <v>0</v>
      </c>
      <c r="AN25" s="160">
        <f>資金繰り予定表!AN25</f>
        <v>0</v>
      </c>
      <c r="AO25" s="160">
        <f>資金繰り予定表!AO25</f>
        <v>0</v>
      </c>
      <c r="AP25" s="160">
        <f t="shared" si="5"/>
        <v>0</v>
      </c>
    </row>
    <row r="26" spans="1:42" ht="15.75" customHeight="1">
      <c r="A26" s="161" t="s">
        <v>50</v>
      </c>
      <c r="B26" s="173">
        <f t="shared" ref="B26:M26" si="7">SUM(B6:B25)</f>
        <v>59013480</v>
      </c>
      <c r="C26" s="173">
        <f t="shared" si="7"/>
        <v>34218636</v>
      </c>
      <c r="D26" s="173">
        <f t="shared" si="7"/>
        <v>29275286</v>
      </c>
      <c r="E26" s="173">
        <f t="shared" si="7"/>
        <v>34847080</v>
      </c>
      <c r="F26" s="173">
        <f t="shared" si="7"/>
        <v>34264371</v>
      </c>
      <c r="G26" s="173">
        <f t="shared" si="7"/>
        <v>42286223</v>
      </c>
      <c r="H26" s="173">
        <f t="shared" si="7"/>
        <v>41084750</v>
      </c>
      <c r="I26" s="173">
        <f t="shared" si="7"/>
        <v>36370470</v>
      </c>
      <c r="J26" s="173">
        <f t="shared" si="7"/>
        <v>28461733</v>
      </c>
      <c r="K26" s="173">
        <f t="shared" si="7"/>
        <v>0</v>
      </c>
      <c r="L26" s="173">
        <f t="shared" si="7"/>
        <v>0</v>
      </c>
      <c r="M26" s="173">
        <f t="shared" si="7"/>
        <v>0</v>
      </c>
      <c r="N26" s="162">
        <f t="shared" si="1"/>
        <v>339822029</v>
      </c>
      <c r="O26" s="163" t="str">
        <f t="shared" si="2"/>
        <v>②経常支出合計</v>
      </c>
      <c r="P26" s="162">
        <f>資金繰り予定表!P26</f>
        <v>0</v>
      </c>
      <c r="Q26" s="162">
        <f>資金繰り予定表!Q26</f>
        <v>0</v>
      </c>
      <c r="R26" s="162">
        <f>資金繰り予定表!R26</f>
        <v>0</v>
      </c>
      <c r="S26" s="162">
        <f>資金繰り予定表!S26</f>
        <v>0</v>
      </c>
      <c r="T26" s="162">
        <f>資金繰り予定表!T26</f>
        <v>0</v>
      </c>
      <c r="U26" s="162">
        <f>資金繰り予定表!U26</f>
        <v>0</v>
      </c>
      <c r="V26" s="162">
        <f>資金繰り予定表!V26</f>
        <v>0</v>
      </c>
      <c r="W26" s="162">
        <f>資金繰り予定表!W26</f>
        <v>0</v>
      </c>
      <c r="X26" s="162">
        <f>資金繰り予定表!X26</f>
        <v>0</v>
      </c>
      <c r="Y26" s="162">
        <f>資金繰り予定表!Y26</f>
        <v>0</v>
      </c>
      <c r="Z26" s="162">
        <f>資金繰り予定表!Z26</f>
        <v>0</v>
      </c>
      <c r="AA26" s="162">
        <f>資金繰り予定表!AA26</f>
        <v>0</v>
      </c>
      <c r="AB26" s="162">
        <f t="shared" si="3"/>
        <v>0</v>
      </c>
      <c r="AC26" s="162" t="str">
        <f t="shared" si="4"/>
        <v>②経常支出合計</v>
      </c>
      <c r="AD26" s="162">
        <f>資金繰り予定表!AD26</f>
        <v>0</v>
      </c>
      <c r="AE26" s="162">
        <f>資金繰り予定表!AE26</f>
        <v>0</v>
      </c>
      <c r="AF26" s="162">
        <f>資金繰り予定表!AF26</f>
        <v>0</v>
      </c>
      <c r="AG26" s="162">
        <f>資金繰り予定表!AG26</f>
        <v>0</v>
      </c>
      <c r="AH26" s="162">
        <f>資金繰り予定表!AH26</f>
        <v>0</v>
      </c>
      <c r="AI26" s="162">
        <f>資金繰り予定表!AI26</f>
        <v>0</v>
      </c>
      <c r="AJ26" s="162">
        <f>資金繰り予定表!AJ26</f>
        <v>0</v>
      </c>
      <c r="AK26" s="162">
        <f>資金繰り予定表!AK26</f>
        <v>0</v>
      </c>
      <c r="AL26" s="162">
        <f>資金繰り予定表!AL26</f>
        <v>0</v>
      </c>
      <c r="AM26" s="162">
        <f>資金繰り予定表!AM26</f>
        <v>0</v>
      </c>
      <c r="AN26" s="162">
        <f>資金繰り予定表!AN26</f>
        <v>0</v>
      </c>
      <c r="AO26" s="162">
        <f>資金繰り予定表!AO26</f>
        <v>0</v>
      </c>
      <c r="AP26" s="162">
        <f t="shared" si="5"/>
        <v>0</v>
      </c>
    </row>
    <row r="27" spans="1:42" ht="15.75" customHeight="1">
      <c r="A27" s="164" t="s">
        <v>51</v>
      </c>
      <c r="B27" s="174">
        <f t="shared" ref="B27:M27" si="8">B5-B26</f>
        <v>-4446942</v>
      </c>
      <c r="C27" s="174">
        <f t="shared" si="8"/>
        <v>2902793</v>
      </c>
      <c r="D27" s="174">
        <f t="shared" si="8"/>
        <v>-1270137</v>
      </c>
      <c r="E27" s="174">
        <f t="shared" si="8"/>
        <v>6134477</v>
      </c>
      <c r="F27" s="174">
        <f t="shared" si="8"/>
        <v>-1490466</v>
      </c>
      <c r="G27" s="174">
        <f t="shared" si="8"/>
        <v>-14547862</v>
      </c>
      <c r="H27" s="174">
        <f t="shared" si="8"/>
        <v>13756336</v>
      </c>
      <c r="I27" s="174">
        <f t="shared" si="8"/>
        <v>15096779</v>
      </c>
      <c r="J27" s="174">
        <f t="shared" si="8"/>
        <v>-9343102</v>
      </c>
      <c r="K27" s="174">
        <f t="shared" si="8"/>
        <v>0</v>
      </c>
      <c r="L27" s="174">
        <f t="shared" si="8"/>
        <v>0</v>
      </c>
      <c r="M27" s="174">
        <f t="shared" si="8"/>
        <v>0</v>
      </c>
      <c r="N27" s="165">
        <f t="shared" si="1"/>
        <v>6791876</v>
      </c>
      <c r="O27" s="166" t="str">
        <f t="shared" si="2"/>
        <v>③経常収支</v>
      </c>
      <c r="P27" s="165">
        <f>資金繰り予定表!P27</f>
        <v>0</v>
      </c>
      <c r="Q27" s="165">
        <f>資金繰り予定表!Q27</f>
        <v>0</v>
      </c>
      <c r="R27" s="165">
        <f>資金繰り予定表!R27</f>
        <v>0</v>
      </c>
      <c r="S27" s="165">
        <f>資金繰り予定表!S27</f>
        <v>0</v>
      </c>
      <c r="T27" s="165">
        <f>資金繰り予定表!T27</f>
        <v>0</v>
      </c>
      <c r="U27" s="165">
        <f>資金繰り予定表!U27</f>
        <v>0</v>
      </c>
      <c r="V27" s="165">
        <f>資金繰り予定表!V27</f>
        <v>0</v>
      </c>
      <c r="W27" s="165">
        <f>資金繰り予定表!W27</f>
        <v>0</v>
      </c>
      <c r="X27" s="165">
        <f>資金繰り予定表!X27</f>
        <v>0</v>
      </c>
      <c r="Y27" s="165">
        <f>資金繰り予定表!Y27</f>
        <v>0</v>
      </c>
      <c r="Z27" s="165">
        <f>資金繰り予定表!Z27</f>
        <v>0</v>
      </c>
      <c r="AA27" s="165">
        <f>資金繰り予定表!AA27</f>
        <v>0</v>
      </c>
      <c r="AB27" s="165">
        <f t="shared" si="3"/>
        <v>0</v>
      </c>
      <c r="AC27" s="165" t="str">
        <f t="shared" si="4"/>
        <v>③経常収支</v>
      </c>
      <c r="AD27" s="165">
        <f>資金繰り予定表!AD27</f>
        <v>0</v>
      </c>
      <c r="AE27" s="165">
        <f>資金繰り予定表!AE27</f>
        <v>0</v>
      </c>
      <c r="AF27" s="165">
        <f>資金繰り予定表!AF27</f>
        <v>0</v>
      </c>
      <c r="AG27" s="165">
        <f>資金繰り予定表!AG27</f>
        <v>0</v>
      </c>
      <c r="AH27" s="165">
        <f>資金繰り予定表!AH27</f>
        <v>0</v>
      </c>
      <c r="AI27" s="165">
        <f>資金繰り予定表!AI27</f>
        <v>0</v>
      </c>
      <c r="AJ27" s="165">
        <f>資金繰り予定表!AJ27</f>
        <v>0</v>
      </c>
      <c r="AK27" s="165">
        <f>資金繰り予定表!AK27</f>
        <v>0</v>
      </c>
      <c r="AL27" s="165">
        <f>資金繰り予定表!AL27</f>
        <v>0</v>
      </c>
      <c r="AM27" s="165">
        <f>資金繰り予定表!AM27</f>
        <v>0</v>
      </c>
      <c r="AN27" s="165">
        <f>資金繰り予定表!AN27</f>
        <v>0</v>
      </c>
      <c r="AO27" s="165">
        <f>資金繰り予定表!AO27</f>
        <v>0</v>
      </c>
      <c r="AP27" s="165">
        <f t="shared" si="5"/>
        <v>0</v>
      </c>
    </row>
    <row r="28" spans="1:42" ht="15.75" customHeight="1">
      <c r="A28" s="159" t="str">
        <f>資金繰り予定表!A28</f>
        <v>定期預金解約</v>
      </c>
      <c r="B28" s="172">
        <f>IF(B$102=TRUE,SUMIF(資金繰り実績表!$A$2:$A$38,"定期預金解約",資金繰り実績表!B$2:B$38),資金繰り予定表!B28)</f>
        <v>0</v>
      </c>
      <c r="C28" s="172">
        <f>IF(C$102=TRUE,SUMIF(資金繰り実績表!$A$2:$A$38,"定期預金解約",資金繰り実績表!C$2:C$38),資金繰り予定表!C28)</f>
        <v>0</v>
      </c>
      <c r="D28" s="172">
        <f>IF(D$102=TRUE,SUMIF(資金繰り実績表!$A$2:$A$38,"定期預金解約",資金繰り実績表!D$2:D$38),資金繰り予定表!D28)</f>
        <v>0</v>
      </c>
      <c r="E28" s="172">
        <f>IF(E$102=TRUE,SUMIF(資金繰り実績表!$A$2:$A$38,"定期預金解約",資金繰り実績表!E$2:E$38),資金繰り予定表!E28)</f>
        <v>0</v>
      </c>
      <c r="F28" s="172">
        <f>IF(F$102=TRUE,SUMIF(資金繰り実績表!$A$2:$A$38,"定期預金解約",資金繰り実績表!F$2:F$38),資金繰り予定表!F28)</f>
        <v>0</v>
      </c>
      <c r="G28" s="172">
        <f>IF(G$102=TRUE,SUMIF(資金繰り実績表!$A$2:$A$38,"定期預金解約",資金繰り実績表!G$2:G$38),資金繰り予定表!G28)</f>
        <v>0</v>
      </c>
      <c r="H28" s="172">
        <f>IF(H$102=TRUE,SUMIF(資金繰り実績表!$A$2:$A$38,"定期預金解約",資金繰り実績表!H$2:H$38),資金繰り予定表!H28)</f>
        <v>0</v>
      </c>
      <c r="I28" s="172">
        <f>IF(I$102=TRUE,SUMIF(資金繰り実績表!$A$2:$A$38,"定期預金解約",資金繰り実績表!I$2:I$38),資金繰り予定表!I28)</f>
        <v>0</v>
      </c>
      <c r="J28" s="172">
        <f>IF(J$102=TRUE,SUMIF(資金繰り実績表!$A$2:$A$38,"定期預金解約",資金繰り実績表!J$2:J$38),資金繰り予定表!J28)</f>
        <v>0</v>
      </c>
      <c r="K28" s="172">
        <f>IF(K$102=TRUE,SUMIF(資金繰り実績表!$A$2:$A$38,"定期預金解約",資金繰り実績表!K$2:K$38),資金繰り予定表!K28)</f>
        <v>0</v>
      </c>
      <c r="L28" s="172">
        <f>IF(L$102=TRUE,SUMIF(資金繰り実績表!$A$2:$A$38,"定期預金解約",資金繰り実績表!L$2:L$38),資金繰り予定表!L28)</f>
        <v>0</v>
      </c>
      <c r="M28" s="172">
        <f>IF(M$102=TRUE,SUMIF(資金繰り実績表!$A$2:$A$38,"定期預金解約",資金繰り実績表!M$2:M$38),資金繰り予定表!M28)</f>
        <v>0</v>
      </c>
      <c r="N28" s="160">
        <f t="shared" si="1"/>
        <v>0</v>
      </c>
      <c r="O28" s="153" t="str">
        <f t="shared" si="2"/>
        <v>定期預金解約</v>
      </c>
      <c r="P28" s="160">
        <f>資金繰り予定表!P28</f>
        <v>0</v>
      </c>
      <c r="Q28" s="160">
        <f>資金繰り予定表!Q28</f>
        <v>0</v>
      </c>
      <c r="R28" s="160">
        <f>資金繰り予定表!R28</f>
        <v>0</v>
      </c>
      <c r="S28" s="160">
        <f>資金繰り予定表!S28</f>
        <v>0</v>
      </c>
      <c r="T28" s="160">
        <f>資金繰り予定表!T28</f>
        <v>0</v>
      </c>
      <c r="U28" s="160">
        <f>資金繰り予定表!U28</f>
        <v>0</v>
      </c>
      <c r="V28" s="160">
        <f>資金繰り予定表!V28</f>
        <v>0</v>
      </c>
      <c r="W28" s="160">
        <f>資金繰り予定表!W28</f>
        <v>0</v>
      </c>
      <c r="X28" s="160">
        <f>資金繰り予定表!X28</f>
        <v>0</v>
      </c>
      <c r="Y28" s="160">
        <f>資金繰り予定表!Y28</f>
        <v>0</v>
      </c>
      <c r="Z28" s="160">
        <f>資金繰り予定表!Z28</f>
        <v>0</v>
      </c>
      <c r="AA28" s="160">
        <f>資金繰り予定表!AA28</f>
        <v>0</v>
      </c>
      <c r="AB28" s="160">
        <f t="shared" si="3"/>
        <v>0</v>
      </c>
      <c r="AC28" s="160" t="str">
        <f t="shared" si="4"/>
        <v>定期預金解約</v>
      </c>
      <c r="AD28" s="160">
        <f>資金繰り予定表!AD28</f>
        <v>0</v>
      </c>
      <c r="AE28" s="160">
        <f>資金繰り予定表!AE28</f>
        <v>0</v>
      </c>
      <c r="AF28" s="160">
        <f>資金繰り予定表!AF28</f>
        <v>0</v>
      </c>
      <c r="AG28" s="160">
        <f>資金繰り予定表!AG28</f>
        <v>0</v>
      </c>
      <c r="AH28" s="160">
        <f>資金繰り予定表!AH28</f>
        <v>0</v>
      </c>
      <c r="AI28" s="160">
        <f>資金繰り予定表!AI28</f>
        <v>0</v>
      </c>
      <c r="AJ28" s="160">
        <f>資金繰り予定表!AJ28</f>
        <v>0</v>
      </c>
      <c r="AK28" s="160">
        <f>資金繰り予定表!AK28</f>
        <v>0</v>
      </c>
      <c r="AL28" s="160">
        <f>資金繰り予定表!AL28</f>
        <v>0</v>
      </c>
      <c r="AM28" s="160">
        <f>資金繰り予定表!AM28</f>
        <v>0</v>
      </c>
      <c r="AN28" s="160">
        <f>資金繰り予定表!AN28</f>
        <v>0</v>
      </c>
      <c r="AO28" s="160">
        <f>資金繰り予定表!AO28</f>
        <v>0</v>
      </c>
      <c r="AP28" s="160">
        <f t="shared" si="5"/>
        <v>0</v>
      </c>
    </row>
    <row r="29" spans="1:42" ht="15.75" customHeight="1">
      <c r="A29" s="159" t="str">
        <f>資金繰り予定表!A29</f>
        <v>固定資産売却</v>
      </c>
      <c r="B29" s="172">
        <f>IF(B$102=TRUE,SUMIF(資金繰り実績表!$A$2:$A$38,"固定資産売却",資金繰り実績表!B$2:B$38),資金繰り予定表!B29)</f>
        <v>0</v>
      </c>
      <c r="C29" s="172">
        <f>IF(C$102=TRUE,SUMIF(資金繰り実績表!$A$2:$A$38,"固定資産売却",資金繰り実績表!C$2:C$38),資金繰り予定表!C29)</f>
        <v>0</v>
      </c>
      <c r="D29" s="172">
        <f>IF(D$102=TRUE,SUMIF(資金繰り実績表!$A$2:$A$38,"固定資産売却",資金繰り実績表!D$2:D$38),資金繰り予定表!D29)</f>
        <v>0</v>
      </c>
      <c r="E29" s="172">
        <f>IF(E$102=TRUE,SUMIF(資金繰り実績表!$A$2:$A$38,"固定資産売却",資金繰り実績表!E$2:E$38),資金繰り予定表!E29)</f>
        <v>0</v>
      </c>
      <c r="F29" s="172">
        <f>IF(F$102=TRUE,SUMIF(資金繰り実績表!$A$2:$A$38,"固定資産売却",資金繰り実績表!F$2:F$38),資金繰り予定表!F29)</f>
        <v>0</v>
      </c>
      <c r="G29" s="172">
        <f>IF(G$102=TRUE,SUMIF(資金繰り実績表!$A$2:$A$38,"固定資産売却",資金繰り実績表!G$2:G$38),資金繰り予定表!G29)</f>
        <v>0</v>
      </c>
      <c r="H29" s="172">
        <f>IF(H$102=TRUE,SUMIF(資金繰り実績表!$A$2:$A$38,"固定資産売却",資金繰り実績表!H$2:H$38),資金繰り予定表!H29)</f>
        <v>0</v>
      </c>
      <c r="I29" s="172">
        <f>IF(I$102=TRUE,SUMIF(資金繰り実績表!$A$2:$A$38,"固定資産売却",資金繰り実績表!I$2:I$38),資金繰り予定表!I29)</f>
        <v>0</v>
      </c>
      <c r="J29" s="172">
        <f>IF(J$102=TRUE,SUMIF(資金繰り実績表!$A$2:$A$38,"固定資産売却",資金繰り実績表!J$2:J$38),資金繰り予定表!J29)</f>
        <v>0</v>
      </c>
      <c r="K29" s="172">
        <f>IF(K$102=TRUE,SUMIF(資金繰り実績表!$A$2:$A$38,"固定資産売却",資金繰り実績表!K$2:K$38),資金繰り予定表!K29)</f>
        <v>0</v>
      </c>
      <c r="L29" s="172">
        <f>IF(L$102=TRUE,SUMIF(資金繰り実績表!$A$2:$A$38,"固定資産売却",資金繰り実績表!L$2:L$38),資金繰り予定表!L29)</f>
        <v>0</v>
      </c>
      <c r="M29" s="172">
        <f>IF(M$102=TRUE,SUMIF(資金繰り実績表!$A$2:$A$38,"固定資産売却",資金繰り実績表!M$2:M$38),資金繰り予定表!M29)</f>
        <v>0</v>
      </c>
      <c r="N29" s="160">
        <f t="shared" si="1"/>
        <v>0</v>
      </c>
      <c r="O29" s="153" t="str">
        <f t="shared" si="2"/>
        <v>固定資産売却</v>
      </c>
      <c r="P29" s="160">
        <f>資金繰り予定表!P29</f>
        <v>0</v>
      </c>
      <c r="Q29" s="160">
        <f>資金繰り予定表!Q29</f>
        <v>0</v>
      </c>
      <c r="R29" s="160">
        <f>資金繰り予定表!R29</f>
        <v>0</v>
      </c>
      <c r="S29" s="160">
        <f>資金繰り予定表!S29</f>
        <v>0</v>
      </c>
      <c r="T29" s="160">
        <f>資金繰り予定表!T29</f>
        <v>0</v>
      </c>
      <c r="U29" s="160">
        <f>資金繰り予定表!U29</f>
        <v>0</v>
      </c>
      <c r="V29" s="160">
        <f>資金繰り予定表!V29</f>
        <v>0</v>
      </c>
      <c r="W29" s="160">
        <f>資金繰り予定表!W29</f>
        <v>0</v>
      </c>
      <c r="X29" s="160">
        <f>資金繰り予定表!X29</f>
        <v>0</v>
      </c>
      <c r="Y29" s="160">
        <f>資金繰り予定表!Y29</f>
        <v>0</v>
      </c>
      <c r="Z29" s="160">
        <f>資金繰り予定表!Z29</f>
        <v>0</v>
      </c>
      <c r="AA29" s="160">
        <f>資金繰り予定表!AA29</f>
        <v>0</v>
      </c>
      <c r="AB29" s="160">
        <f t="shared" si="3"/>
        <v>0</v>
      </c>
      <c r="AC29" s="160" t="str">
        <f t="shared" si="4"/>
        <v>固定資産売却</v>
      </c>
      <c r="AD29" s="160">
        <f>資金繰り予定表!AD29</f>
        <v>0</v>
      </c>
      <c r="AE29" s="160">
        <f>資金繰り予定表!AE29</f>
        <v>0</v>
      </c>
      <c r="AF29" s="160">
        <f>資金繰り予定表!AF29</f>
        <v>0</v>
      </c>
      <c r="AG29" s="160">
        <f>資金繰り予定表!AG29</f>
        <v>0</v>
      </c>
      <c r="AH29" s="160">
        <f>資金繰り予定表!AH29</f>
        <v>0</v>
      </c>
      <c r="AI29" s="160">
        <f>資金繰り予定表!AI29</f>
        <v>0</v>
      </c>
      <c r="AJ29" s="160">
        <f>資金繰り予定表!AJ29</f>
        <v>0</v>
      </c>
      <c r="AK29" s="160">
        <f>資金繰り予定表!AK29</f>
        <v>0</v>
      </c>
      <c r="AL29" s="160">
        <f>資金繰り予定表!AL29</f>
        <v>0</v>
      </c>
      <c r="AM29" s="160">
        <f>資金繰り予定表!AM29</f>
        <v>0</v>
      </c>
      <c r="AN29" s="160">
        <f>資金繰り予定表!AN29</f>
        <v>0</v>
      </c>
      <c r="AO29" s="160">
        <f>資金繰り予定表!AO29</f>
        <v>0</v>
      </c>
      <c r="AP29" s="160">
        <f t="shared" si="5"/>
        <v>0</v>
      </c>
    </row>
    <row r="30" spans="1:42" ht="15.75" customHeight="1">
      <c r="A30" s="159" t="str">
        <f>資金繰り予定表!A30</f>
        <v>補助金・助成金等</v>
      </c>
      <c r="B30" s="172">
        <f>IF(B$102=TRUE,SUMIF(資金繰り実績表!$A$2:$A$38,"補助金・助成金等",資金繰り実績表!B$2:B$38),資金繰り予定表!B30)</f>
        <v>0</v>
      </c>
      <c r="C30" s="172">
        <f>IF(C$102=TRUE,SUMIF(資金繰り実績表!$A$2:$A$38,"補助金・助成金等",資金繰り実績表!C$2:C$38),資金繰り予定表!C30)</f>
        <v>0</v>
      </c>
      <c r="D30" s="172">
        <f>IF(D$102=TRUE,SUMIF(資金繰り実績表!$A$2:$A$38,"補助金・助成金等",資金繰り実績表!D$2:D$38),資金繰り予定表!D30)</f>
        <v>0</v>
      </c>
      <c r="E30" s="172">
        <f>IF(E$102=TRUE,SUMIF(資金繰り実績表!$A$2:$A$38,"補助金・助成金等",資金繰り実績表!E$2:E$38),資金繰り予定表!E30)</f>
        <v>0</v>
      </c>
      <c r="F30" s="172">
        <f>IF(F$102=TRUE,SUMIF(資金繰り実績表!$A$2:$A$38,"補助金・助成金等",資金繰り実績表!F$2:F$38),資金繰り予定表!F30)</f>
        <v>0</v>
      </c>
      <c r="G30" s="172">
        <f>IF(G$102=TRUE,SUMIF(資金繰り実績表!$A$2:$A$38,"補助金・助成金等",資金繰り実績表!G$2:G$38),資金繰り予定表!G30)</f>
        <v>0</v>
      </c>
      <c r="H30" s="172">
        <f>IF(H$102=TRUE,SUMIF(資金繰り実績表!$A$2:$A$38,"補助金・助成金等",資金繰り実績表!H$2:H$38),資金繰り予定表!H30)</f>
        <v>0</v>
      </c>
      <c r="I30" s="172">
        <f>IF(I$102=TRUE,SUMIF(資金繰り実績表!$A$2:$A$38,"補助金・助成金等",資金繰り実績表!I$2:I$38),資金繰り予定表!I30)</f>
        <v>0</v>
      </c>
      <c r="J30" s="172">
        <f>IF(J$102=TRUE,SUMIF(資金繰り実績表!$A$2:$A$38,"補助金・助成金等",資金繰り実績表!J$2:J$38),資金繰り予定表!J30)</f>
        <v>0</v>
      </c>
      <c r="K30" s="172">
        <f>IF(K$102=TRUE,SUMIF(資金繰り実績表!$A$2:$A$38,"補助金・助成金等",資金繰り実績表!K$2:K$38),資金繰り予定表!K30)</f>
        <v>0</v>
      </c>
      <c r="L30" s="172">
        <f>IF(L$102=TRUE,SUMIF(資金繰り実績表!$A$2:$A$38,"補助金・助成金等",資金繰り実績表!L$2:L$38),資金繰り予定表!L30)</f>
        <v>0</v>
      </c>
      <c r="M30" s="172">
        <f>IF(M$102=TRUE,SUMIF(資金繰り実績表!$A$2:$A$38,"補助金・助成金等",資金繰り実績表!M$2:M$38),資金繰り予定表!M30)</f>
        <v>0</v>
      </c>
      <c r="N30" s="160">
        <f t="shared" si="1"/>
        <v>0</v>
      </c>
      <c r="O30" s="153" t="str">
        <f t="shared" si="2"/>
        <v>補助金・助成金等</v>
      </c>
      <c r="P30" s="160">
        <f>資金繰り予定表!P30</f>
        <v>0</v>
      </c>
      <c r="Q30" s="160">
        <f>資金繰り予定表!Q30</f>
        <v>0</v>
      </c>
      <c r="R30" s="160">
        <f>資金繰り予定表!R30</f>
        <v>0</v>
      </c>
      <c r="S30" s="160">
        <f>資金繰り予定表!S30</f>
        <v>0</v>
      </c>
      <c r="T30" s="160">
        <f>資金繰り予定表!T30</f>
        <v>0</v>
      </c>
      <c r="U30" s="160">
        <f>資金繰り予定表!U30</f>
        <v>0</v>
      </c>
      <c r="V30" s="160">
        <f>資金繰り予定表!V30</f>
        <v>0</v>
      </c>
      <c r="W30" s="160">
        <f>資金繰り予定表!W30</f>
        <v>0</v>
      </c>
      <c r="X30" s="160">
        <f>資金繰り予定表!X30</f>
        <v>0</v>
      </c>
      <c r="Y30" s="160">
        <f>資金繰り予定表!Y30</f>
        <v>0</v>
      </c>
      <c r="Z30" s="160">
        <f>資金繰り予定表!Z30</f>
        <v>0</v>
      </c>
      <c r="AA30" s="160">
        <f>資金繰り予定表!AA30</f>
        <v>0</v>
      </c>
      <c r="AB30" s="160">
        <f t="shared" si="3"/>
        <v>0</v>
      </c>
      <c r="AC30" s="160" t="str">
        <f t="shared" si="4"/>
        <v>補助金・助成金等</v>
      </c>
      <c r="AD30" s="160">
        <f>資金繰り予定表!AD30</f>
        <v>0</v>
      </c>
      <c r="AE30" s="160">
        <f>資金繰り予定表!AE30</f>
        <v>0</v>
      </c>
      <c r="AF30" s="160">
        <f>資金繰り予定表!AF30</f>
        <v>0</v>
      </c>
      <c r="AG30" s="160">
        <f>資金繰り予定表!AG30</f>
        <v>0</v>
      </c>
      <c r="AH30" s="160">
        <f>資金繰り予定表!AH30</f>
        <v>0</v>
      </c>
      <c r="AI30" s="160">
        <f>資金繰り予定表!AI30</f>
        <v>0</v>
      </c>
      <c r="AJ30" s="160">
        <f>資金繰り予定表!AJ30</f>
        <v>0</v>
      </c>
      <c r="AK30" s="160">
        <f>資金繰り予定表!AK30</f>
        <v>0</v>
      </c>
      <c r="AL30" s="160">
        <f>資金繰り予定表!AL30</f>
        <v>0</v>
      </c>
      <c r="AM30" s="160">
        <f>資金繰り予定表!AM30</f>
        <v>0</v>
      </c>
      <c r="AN30" s="160">
        <f>資金繰り予定表!AN30</f>
        <v>0</v>
      </c>
      <c r="AO30" s="160">
        <f>資金繰り予定表!AO30</f>
        <v>0</v>
      </c>
      <c r="AP30" s="160">
        <f t="shared" si="5"/>
        <v>0</v>
      </c>
    </row>
    <row r="31" spans="1:42" ht="15.75" customHeight="1">
      <c r="A31" s="159" t="str">
        <f>資金繰り予定表!A31</f>
        <v>その他経常外収入</v>
      </c>
      <c r="B31" s="172">
        <f>IF(B$102=TRUE,SUMIF(資金繰り実績表!$A$2:$A$38,"その他経常外収入",資金繰り実績表!B$2:B$38),資金繰り予定表!B31)</f>
        <v>0</v>
      </c>
      <c r="C31" s="172">
        <f>IF(C$102=TRUE,SUMIF(資金繰り実績表!$A$2:$A$38,"その他経常外収入",資金繰り実績表!C$2:C$38),資金繰り予定表!C31)</f>
        <v>0</v>
      </c>
      <c r="D31" s="172">
        <f>IF(D$102=TRUE,SUMIF(資金繰り実績表!$A$2:$A$38,"その他経常外収入",資金繰り実績表!D$2:D$38),資金繰り予定表!D31)</f>
        <v>72000</v>
      </c>
      <c r="E31" s="172">
        <f>IF(E$102=TRUE,SUMIF(資金繰り実績表!$A$2:$A$38,"その他経常外収入",資金繰り実績表!E$2:E$38),資金繰り予定表!E31)</f>
        <v>600000</v>
      </c>
      <c r="F31" s="172">
        <f>IF(F$102=TRUE,SUMIF(資金繰り実績表!$A$2:$A$38,"その他経常外収入",資金繰り実績表!F$2:F$38),資金繰り予定表!F31)</f>
        <v>152000</v>
      </c>
      <c r="G31" s="172">
        <f>IF(G$102=TRUE,SUMIF(資金繰り実績表!$A$2:$A$38,"その他経常外収入",資金繰り実績表!G$2:G$38),資金繰り予定表!G31)</f>
        <v>0</v>
      </c>
      <c r="H31" s="172">
        <f>IF(H$102=TRUE,SUMIF(資金繰り実績表!$A$2:$A$38,"その他経常外収入",資金繰り実績表!H$2:H$38),資金繰り予定表!H31)</f>
        <v>0</v>
      </c>
      <c r="I31" s="172">
        <f>IF(I$102=TRUE,SUMIF(資金繰り実績表!$A$2:$A$38,"その他経常外収入",資金繰り実績表!I$2:I$38),資金繰り予定表!I31)</f>
        <v>0</v>
      </c>
      <c r="J31" s="172">
        <f>IF(J$102=TRUE,SUMIF(資金繰り実績表!$A$2:$A$38,"その他経常外収入",資金繰り実績表!J$2:J$38),資金繰り予定表!J31)</f>
        <v>0</v>
      </c>
      <c r="K31" s="172">
        <f>IF(K$102=TRUE,SUMIF(資金繰り実績表!$A$2:$A$38,"その他経常外収入",資金繰り実績表!K$2:K$38),資金繰り予定表!K31)</f>
        <v>0</v>
      </c>
      <c r="L31" s="172">
        <f>IF(L$102=TRUE,SUMIF(資金繰り実績表!$A$2:$A$38,"その他経常外収入",資金繰り実績表!L$2:L$38),資金繰り予定表!L31)</f>
        <v>0</v>
      </c>
      <c r="M31" s="172">
        <f>IF(M$102=TRUE,SUMIF(資金繰り実績表!$A$2:$A$38,"その他経常外収入",資金繰り実績表!M$2:M$38),資金繰り予定表!M31)</f>
        <v>0</v>
      </c>
      <c r="N31" s="160">
        <f t="shared" si="1"/>
        <v>824000</v>
      </c>
      <c r="O31" s="153" t="str">
        <f t="shared" si="2"/>
        <v>その他経常外収入</v>
      </c>
      <c r="P31" s="160">
        <f>資金繰り予定表!P31</f>
        <v>0</v>
      </c>
      <c r="Q31" s="160">
        <f>資金繰り予定表!Q31</f>
        <v>0</v>
      </c>
      <c r="R31" s="160">
        <f>資金繰り予定表!R31</f>
        <v>0</v>
      </c>
      <c r="S31" s="160">
        <f>資金繰り予定表!S31</f>
        <v>0</v>
      </c>
      <c r="T31" s="160">
        <f>資金繰り予定表!T31</f>
        <v>0</v>
      </c>
      <c r="U31" s="160">
        <f>資金繰り予定表!U31</f>
        <v>0</v>
      </c>
      <c r="V31" s="160">
        <f>資金繰り予定表!V31</f>
        <v>0</v>
      </c>
      <c r="W31" s="160">
        <f>資金繰り予定表!W31</f>
        <v>0</v>
      </c>
      <c r="X31" s="160">
        <f>資金繰り予定表!X31</f>
        <v>0</v>
      </c>
      <c r="Y31" s="160">
        <f>資金繰り予定表!Y31</f>
        <v>0</v>
      </c>
      <c r="Z31" s="160">
        <f>資金繰り予定表!Z31</f>
        <v>0</v>
      </c>
      <c r="AA31" s="160">
        <f>資金繰り予定表!AA31</f>
        <v>0</v>
      </c>
      <c r="AB31" s="160">
        <f t="shared" si="3"/>
        <v>0</v>
      </c>
      <c r="AC31" s="160" t="str">
        <f t="shared" si="4"/>
        <v>その他経常外収入</v>
      </c>
      <c r="AD31" s="160">
        <f>資金繰り予定表!AD31</f>
        <v>0</v>
      </c>
      <c r="AE31" s="160">
        <f>資金繰り予定表!AE31</f>
        <v>0</v>
      </c>
      <c r="AF31" s="160">
        <f>資金繰り予定表!AF31</f>
        <v>0</v>
      </c>
      <c r="AG31" s="160">
        <f>資金繰り予定表!AG31</f>
        <v>0</v>
      </c>
      <c r="AH31" s="160">
        <f>資金繰り予定表!AH31</f>
        <v>0</v>
      </c>
      <c r="AI31" s="160">
        <f>資金繰り予定表!AI31</f>
        <v>0</v>
      </c>
      <c r="AJ31" s="160">
        <f>資金繰り予定表!AJ31</f>
        <v>0</v>
      </c>
      <c r="AK31" s="160">
        <f>資金繰り予定表!AK31</f>
        <v>0</v>
      </c>
      <c r="AL31" s="160">
        <f>資金繰り予定表!AL31</f>
        <v>0</v>
      </c>
      <c r="AM31" s="160">
        <f>資金繰り予定表!AM31</f>
        <v>0</v>
      </c>
      <c r="AN31" s="160">
        <f>資金繰り予定表!AN31</f>
        <v>0</v>
      </c>
      <c r="AO31" s="160">
        <f>資金繰り予定表!AO31</f>
        <v>0</v>
      </c>
      <c r="AP31" s="160">
        <f t="shared" si="5"/>
        <v>0</v>
      </c>
    </row>
    <row r="32" spans="1:42" ht="15.75" customHeight="1">
      <c r="A32" s="161" t="s">
        <v>52</v>
      </c>
      <c r="B32" s="173">
        <f t="shared" ref="B32:M32" si="9">SUM(B28:B31)</f>
        <v>0</v>
      </c>
      <c r="C32" s="173">
        <f t="shared" si="9"/>
        <v>0</v>
      </c>
      <c r="D32" s="173">
        <f t="shared" si="9"/>
        <v>72000</v>
      </c>
      <c r="E32" s="173">
        <f t="shared" si="9"/>
        <v>600000</v>
      </c>
      <c r="F32" s="173">
        <f t="shared" si="9"/>
        <v>152000</v>
      </c>
      <c r="G32" s="173">
        <f t="shared" si="9"/>
        <v>0</v>
      </c>
      <c r="H32" s="173">
        <f t="shared" si="9"/>
        <v>0</v>
      </c>
      <c r="I32" s="173">
        <f t="shared" si="9"/>
        <v>0</v>
      </c>
      <c r="J32" s="173">
        <f t="shared" si="9"/>
        <v>0</v>
      </c>
      <c r="K32" s="173">
        <f t="shared" si="9"/>
        <v>0</v>
      </c>
      <c r="L32" s="173">
        <f t="shared" si="9"/>
        <v>0</v>
      </c>
      <c r="M32" s="173">
        <f t="shared" si="9"/>
        <v>0</v>
      </c>
      <c r="N32" s="162">
        <f t="shared" si="1"/>
        <v>824000</v>
      </c>
      <c r="O32" s="163" t="str">
        <f t="shared" si="2"/>
        <v>④経常外収入合計</v>
      </c>
      <c r="P32" s="162">
        <f>資金繰り予定表!P32</f>
        <v>0</v>
      </c>
      <c r="Q32" s="162">
        <f>資金繰り予定表!Q32</f>
        <v>0</v>
      </c>
      <c r="R32" s="162">
        <f>資金繰り予定表!R32</f>
        <v>0</v>
      </c>
      <c r="S32" s="162">
        <f>資金繰り予定表!S32</f>
        <v>0</v>
      </c>
      <c r="T32" s="162">
        <f>資金繰り予定表!T32</f>
        <v>0</v>
      </c>
      <c r="U32" s="162">
        <f>資金繰り予定表!U32</f>
        <v>0</v>
      </c>
      <c r="V32" s="162">
        <f>資金繰り予定表!V32</f>
        <v>0</v>
      </c>
      <c r="W32" s="162">
        <f>資金繰り予定表!W32</f>
        <v>0</v>
      </c>
      <c r="X32" s="162">
        <f>資金繰り予定表!X32</f>
        <v>0</v>
      </c>
      <c r="Y32" s="162">
        <f>資金繰り予定表!Y32</f>
        <v>0</v>
      </c>
      <c r="Z32" s="162">
        <f>資金繰り予定表!Z32</f>
        <v>0</v>
      </c>
      <c r="AA32" s="162">
        <f>資金繰り予定表!AA32</f>
        <v>0</v>
      </c>
      <c r="AB32" s="162">
        <f t="shared" si="3"/>
        <v>0</v>
      </c>
      <c r="AC32" s="162" t="str">
        <f t="shared" si="4"/>
        <v>④経常外収入合計</v>
      </c>
      <c r="AD32" s="162">
        <f>資金繰り予定表!AD32</f>
        <v>0</v>
      </c>
      <c r="AE32" s="162">
        <f>資金繰り予定表!AE32</f>
        <v>0</v>
      </c>
      <c r="AF32" s="162">
        <f>資金繰り予定表!AF32</f>
        <v>0</v>
      </c>
      <c r="AG32" s="162">
        <f>資金繰り予定表!AG32</f>
        <v>0</v>
      </c>
      <c r="AH32" s="162">
        <f>資金繰り予定表!AH32</f>
        <v>0</v>
      </c>
      <c r="AI32" s="162">
        <f>資金繰り予定表!AI32</f>
        <v>0</v>
      </c>
      <c r="AJ32" s="162">
        <f>資金繰り予定表!AJ32</f>
        <v>0</v>
      </c>
      <c r="AK32" s="162">
        <f>資金繰り予定表!AK32</f>
        <v>0</v>
      </c>
      <c r="AL32" s="162">
        <f>資金繰り予定表!AL32</f>
        <v>0</v>
      </c>
      <c r="AM32" s="162">
        <f>資金繰り予定表!AM32</f>
        <v>0</v>
      </c>
      <c r="AN32" s="162">
        <f>資金繰り予定表!AN32</f>
        <v>0</v>
      </c>
      <c r="AO32" s="162">
        <f>資金繰り予定表!AO32</f>
        <v>0</v>
      </c>
      <c r="AP32" s="162">
        <f t="shared" si="5"/>
        <v>0</v>
      </c>
    </row>
    <row r="33" spans="1:42" ht="15.75" customHeight="1">
      <c r="A33" s="159" t="str">
        <f>資金繰り予定表!A33</f>
        <v>定期預金・投資等</v>
      </c>
      <c r="B33" s="172">
        <f>IF(B$102=TRUE,SUMIF(資金繰り実績表!$A$2:$A$38,"定期預金・投資等",資金繰り実績表!B$2:B$38),資金繰り予定表!B33)</f>
        <v>0</v>
      </c>
      <c r="C33" s="172">
        <f>IF(C$102=TRUE,SUMIF(資金繰り実績表!$A$2:$A$38,"定期預金・投資等",資金繰り実績表!C$2:C$38),資金繰り予定表!C33)</f>
        <v>0</v>
      </c>
      <c r="D33" s="172">
        <f>IF(D$102=TRUE,SUMIF(資金繰り実績表!$A$2:$A$38,"定期預金・投資等",資金繰り実績表!D$2:D$38),資金繰り予定表!D33)</f>
        <v>0</v>
      </c>
      <c r="E33" s="172">
        <f>IF(E$102=TRUE,SUMIF(資金繰り実績表!$A$2:$A$38,"定期預金・投資等",資金繰り実績表!E$2:E$38),資金繰り予定表!E33)</f>
        <v>0</v>
      </c>
      <c r="F33" s="172">
        <f>IF(F$102=TRUE,SUMIF(資金繰り実績表!$A$2:$A$38,"定期預金・投資等",資金繰り実績表!F$2:F$38),資金繰り予定表!F33)</f>
        <v>0</v>
      </c>
      <c r="G33" s="172">
        <f>IF(G$102=TRUE,SUMIF(資金繰り実績表!$A$2:$A$38,"定期預金・投資等",資金繰り実績表!G$2:G$38),資金繰り予定表!G33)</f>
        <v>0</v>
      </c>
      <c r="H33" s="172">
        <f>IF(H$102=TRUE,SUMIF(資金繰り実績表!$A$2:$A$38,"定期預金・投資等",資金繰り実績表!H$2:H$38),資金繰り予定表!H33)</f>
        <v>0</v>
      </c>
      <c r="I33" s="172">
        <f>IF(I$102=TRUE,SUMIF(資金繰り実績表!$A$2:$A$38,"定期預金・投資等",資金繰り実績表!I$2:I$38),資金繰り予定表!I33)</f>
        <v>0</v>
      </c>
      <c r="J33" s="172">
        <f>IF(J$102=TRUE,SUMIF(資金繰り実績表!$A$2:$A$38,"定期預金・投資等",資金繰り実績表!J$2:J$38),資金繰り予定表!J33)</f>
        <v>0</v>
      </c>
      <c r="K33" s="172">
        <f>IF(K$102=TRUE,SUMIF(資金繰り実績表!$A$2:$A$38,"定期預金・投資等",資金繰り実績表!K$2:K$38),資金繰り予定表!K33)</f>
        <v>0</v>
      </c>
      <c r="L33" s="172">
        <f>IF(L$102=TRUE,SUMIF(資金繰り実績表!$A$2:$A$38,"定期預金・投資等",資金繰り実績表!L$2:L$38),資金繰り予定表!L33)</f>
        <v>0</v>
      </c>
      <c r="M33" s="172">
        <f>IF(M$102=TRUE,SUMIF(資金繰り実績表!$A$2:$A$38,"定期預金・投資等",資金繰り実績表!M$2:M$38),資金繰り予定表!M33)</f>
        <v>0</v>
      </c>
      <c r="N33" s="160">
        <f t="shared" si="1"/>
        <v>0</v>
      </c>
      <c r="O33" s="153" t="str">
        <f t="shared" si="2"/>
        <v>定期預金・投資等</v>
      </c>
      <c r="P33" s="160">
        <f>資金繰り予定表!P33</f>
        <v>0</v>
      </c>
      <c r="Q33" s="160">
        <f>資金繰り予定表!Q33</f>
        <v>0</v>
      </c>
      <c r="R33" s="160">
        <f>資金繰り予定表!R33</f>
        <v>0</v>
      </c>
      <c r="S33" s="160">
        <f>資金繰り予定表!S33</f>
        <v>0</v>
      </c>
      <c r="T33" s="160">
        <f>資金繰り予定表!T33</f>
        <v>0</v>
      </c>
      <c r="U33" s="160">
        <f>資金繰り予定表!U33</f>
        <v>0</v>
      </c>
      <c r="V33" s="160">
        <f>資金繰り予定表!V33</f>
        <v>0</v>
      </c>
      <c r="W33" s="160">
        <f>資金繰り予定表!W33</f>
        <v>0</v>
      </c>
      <c r="X33" s="160">
        <f>資金繰り予定表!X33</f>
        <v>0</v>
      </c>
      <c r="Y33" s="160">
        <f>資金繰り予定表!Y33</f>
        <v>0</v>
      </c>
      <c r="Z33" s="160">
        <f>資金繰り予定表!Z33</f>
        <v>0</v>
      </c>
      <c r="AA33" s="160">
        <f>資金繰り予定表!AA33</f>
        <v>0</v>
      </c>
      <c r="AB33" s="160">
        <f t="shared" si="3"/>
        <v>0</v>
      </c>
      <c r="AC33" s="160" t="str">
        <f t="shared" si="4"/>
        <v>定期預金・投資等</v>
      </c>
      <c r="AD33" s="160">
        <f>資金繰り予定表!AD33</f>
        <v>0</v>
      </c>
      <c r="AE33" s="160">
        <f>資金繰り予定表!AE33</f>
        <v>0</v>
      </c>
      <c r="AF33" s="160">
        <f>資金繰り予定表!AF33</f>
        <v>0</v>
      </c>
      <c r="AG33" s="160">
        <f>資金繰り予定表!AG33</f>
        <v>0</v>
      </c>
      <c r="AH33" s="160">
        <f>資金繰り予定表!AH33</f>
        <v>0</v>
      </c>
      <c r="AI33" s="160">
        <f>資金繰り予定表!AI33</f>
        <v>0</v>
      </c>
      <c r="AJ33" s="160">
        <f>資金繰り予定表!AJ33</f>
        <v>0</v>
      </c>
      <c r="AK33" s="160">
        <f>資金繰り予定表!AK33</f>
        <v>0</v>
      </c>
      <c r="AL33" s="160">
        <f>資金繰り予定表!AL33</f>
        <v>0</v>
      </c>
      <c r="AM33" s="160">
        <f>資金繰り予定表!AM33</f>
        <v>0</v>
      </c>
      <c r="AN33" s="160">
        <f>資金繰り予定表!AN33</f>
        <v>0</v>
      </c>
      <c r="AO33" s="160">
        <f>資金繰り予定表!AO33</f>
        <v>0</v>
      </c>
      <c r="AP33" s="160">
        <f t="shared" si="5"/>
        <v>0</v>
      </c>
    </row>
    <row r="34" spans="1:42" ht="15.75" customHeight="1">
      <c r="A34" s="159" t="str">
        <f>資金繰り予定表!A34</f>
        <v>固定資産の取得</v>
      </c>
      <c r="B34" s="172">
        <f>IF(B$102=TRUE,SUMIF(資金繰り実績表!$A$2:$A$38,"固定資産の取得",資金繰り実績表!B$2:B$38),資金繰り予定表!B34)</f>
        <v>0</v>
      </c>
      <c r="C34" s="172">
        <f>IF(C$102=TRUE,SUMIF(資金繰り実績表!$A$2:$A$38,"固定資産の取得",資金繰り実績表!C$2:C$38),資金繰り予定表!C34)</f>
        <v>0</v>
      </c>
      <c r="D34" s="172">
        <f>IF(D$102=TRUE,SUMIF(資金繰り実績表!$A$2:$A$38,"固定資産の取得",資金繰り実績表!D$2:D$38),資金繰り予定表!D34)</f>
        <v>0</v>
      </c>
      <c r="E34" s="172">
        <f>IF(E$102=TRUE,SUMIF(資金繰り実績表!$A$2:$A$38,"固定資産の取得",資金繰り実績表!E$2:E$38),資金繰り予定表!E34)</f>
        <v>0</v>
      </c>
      <c r="F34" s="172">
        <f>IF(F$102=TRUE,SUMIF(資金繰り実績表!$A$2:$A$38,"固定資産の取得",資金繰り実績表!F$2:F$38),資金繰り予定表!F34)</f>
        <v>0</v>
      </c>
      <c r="G34" s="172">
        <f>IF(G$102=TRUE,SUMIF(資金繰り実績表!$A$2:$A$38,"固定資産の取得",資金繰り実績表!G$2:G$38),資金繰り予定表!G34)</f>
        <v>0</v>
      </c>
      <c r="H34" s="172">
        <f>IF(H$102=TRUE,SUMIF(資金繰り実績表!$A$2:$A$38,"固定資産の取得",資金繰り実績表!H$2:H$38),資金繰り予定表!H34)</f>
        <v>0</v>
      </c>
      <c r="I34" s="172">
        <f>IF(I$102=TRUE,SUMIF(資金繰り実績表!$A$2:$A$38,"固定資産の取得",資金繰り実績表!I$2:I$38),資金繰り予定表!I34)</f>
        <v>0</v>
      </c>
      <c r="J34" s="172">
        <f>IF(J$102=TRUE,SUMIF(資金繰り実績表!$A$2:$A$38,"固定資産の取得",資金繰り実績表!J$2:J$38),資金繰り予定表!J34)</f>
        <v>0</v>
      </c>
      <c r="K34" s="172">
        <f>IF(K$102=TRUE,SUMIF(資金繰り実績表!$A$2:$A$38,"固定資産の取得",資金繰り実績表!K$2:K$38),資金繰り予定表!K34)</f>
        <v>0</v>
      </c>
      <c r="L34" s="172">
        <f>IF(L$102=TRUE,SUMIF(資金繰り実績表!$A$2:$A$38,"固定資産の取得",資金繰り実績表!L$2:L$38),資金繰り予定表!L34)</f>
        <v>0</v>
      </c>
      <c r="M34" s="172">
        <f>IF(M$102=TRUE,SUMIF(資金繰り実績表!$A$2:$A$38,"固定資産の取得",資金繰り実績表!M$2:M$38),資金繰り予定表!M34)</f>
        <v>0</v>
      </c>
      <c r="N34" s="160">
        <f t="shared" si="1"/>
        <v>0</v>
      </c>
      <c r="O34" s="153" t="str">
        <f t="shared" si="2"/>
        <v>固定資産の取得</v>
      </c>
      <c r="P34" s="160">
        <f>資金繰り予定表!P34</f>
        <v>0</v>
      </c>
      <c r="Q34" s="160">
        <f>資金繰り予定表!Q34</f>
        <v>0</v>
      </c>
      <c r="R34" s="160">
        <f>資金繰り予定表!R34</f>
        <v>0</v>
      </c>
      <c r="S34" s="160">
        <f>資金繰り予定表!S34</f>
        <v>0</v>
      </c>
      <c r="T34" s="160">
        <f>資金繰り予定表!T34</f>
        <v>0</v>
      </c>
      <c r="U34" s="160">
        <f>資金繰り予定表!U34</f>
        <v>0</v>
      </c>
      <c r="V34" s="160">
        <f>資金繰り予定表!V34</f>
        <v>0</v>
      </c>
      <c r="W34" s="160">
        <f>資金繰り予定表!W34</f>
        <v>0</v>
      </c>
      <c r="X34" s="160">
        <f>資金繰り予定表!X34</f>
        <v>0</v>
      </c>
      <c r="Y34" s="160">
        <f>資金繰り予定表!Y34</f>
        <v>0</v>
      </c>
      <c r="Z34" s="160">
        <f>資金繰り予定表!Z34</f>
        <v>0</v>
      </c>
      <c r="AA34" s="160">
        <f>資金繰り予定表!AA34</f>
        <v>0</v>
      </c>
      <c r="AB34" s="160">
        <f t="shared" si="3"/>
        <v>0</v>
      </c>
      <c r="AC34" s="160" t="str">
        <f t="shared" si="4"/>
        <v>固定資産の取得</v>
      </c>
      <c r="AD34" s="160">
        <f>資金繰り予定表!AD34</f>
        <v>0</v>
      </c>
      <c r="AE34" s="160">
        <f>資金繰り予定表!AE34</f>
        <v>0</v>
      </c>
      <c r="AF34" s="160">
        <f>資金繰り予定表!AF34</f>
        <v>0</v>
      </c>
      <c r="AG34" s="160">
        <f>資金繰り予定表!AG34</f>
        <v>0</v>
      </c>
      <c r="AH34" s="160">
        <f>資金繰り予定表!AH34</f>
        <v>0</v>
      </c>
      <c r="AI34" s="160">
        <f>資金繰り予定表!AI34</f>
        <v>0</v>
      </c>
      <c r="AJ34" s="160">
        <f>資金繰り予定表!AJ34</f>
        <v>0</v>
      </c>
      <c r="AK34" s="160">
        <f>資金繰り予定表!AK34</f>
        <v>0</v>
      </c>
      <c r="AL34" s="160">
        <f>資金繰り予定表!AL34</f>
        <v>0</v>
      </c>
      <c r="AM34" s="160">
        <f>資金繰り予定表!AM34</f>
        <v>0</v>
      </c>
      <c r="AN34" s="160">
        <f>資金繰り予定表!AN34</f>
        <v>0</v>
      </c>
      <c r="AO34" s="160">
        <f>資金繰り予定表!AO34</f>
        <v>0</v>
      </c>
      <c r="AP34" s="160">
        <f t="shared" si="5"/>
        <v>0</v>
      </c>
    </row>
    <row r="35" spans="1:42" ht="15.75" customHeight="1">
      <c r="A35" s="159" t="str">
        <f>資金繰り予定表!A35</f>
        <v>法人税等</v>
      </c>
      <c r="B35" s="172">
        <f>IF(B$102=TRUE,SUMIF(資金繰り実績表!$A$2:$A$38,"法人税等",資金繰り実績表!B$2:B$38),資金繰り予定表!B35)</f>
        <v>0</v>
      </c>
      <c r="C35" s="172">
        <f>IF(C$102=TRUE,SUMIF(資金繰り実績表!$A$2:$A$38,"法人税等",資金繰り実績表!C$2:C$38),資金繰り予定表!C35)</f>
        <v>0</v>
      </c>
      <c r="D35" s="172">
        <f>IF(D$102=TRUE,SUMIF(資金繰り実績表!$A$2:$A$38,"法人税等",資金繰り実績表!D$2:D$38),資金繰り予定表!D35)</f>
        <v>0</v>
      </c>
      <c r="E35" s="172">
        <f>IF(E$102=TRUE,SUMIF(資金繰り実績表!$A$2:$A$38,"法人税等",資金繰り実績表!E$2:E$38),資金繰り予定表!E35)</f>
        <v>0</v>
      </c>
      <c r="F35" s="172">
        <f>IF(F$102=TRUE,SUMIF(資金繰り実績表!$A$2:$A$38,"法人税等",資金繰り実績表!F$2:F$38),資金繰り予定表!F35)</f>
        <v>0</v>
      </c>
      <c r="G35" s="172">
        <f>IF(G$102=TRUE,SUMIF(資金繰り実績表!$A$2:$A$38,"法人税等",資金繰り実績表!G$2:G$38),資金繰り予定表!G35)</f>
        <v>0</v>
      </c>
      <c r="H35" s="172">
        <f>IF(H$102=TRUE,SUMIF(資金繰り実績表!$A$2:$A$38,"法人税等",資金繰り実績表!H$2:H$38),資金繰り予定表!H35)</f>
        <v>0</v>
      </c>
      <c r="I35" s="172">
        <f>IF(I$102=TRUE,SUMIF(資金繰り実績表!$A$2:$A$38,"法人税等",資金繰り実績表!I$2:I$38),資金繰り予定表!I35)</f>
        <v>0</v>
      </c>
      <c r="J35" s="172">
        <f>IF(J$102=TRUE,SUMIF(資金繰り実績表!$A$2:$A$38,"法人税等",資金繰り実績表!J$2:J$38),資金繰り予定表!J35)</f>
        <v>0</v>
      </c>
      <c r="K35" s="172">
        <f>IF(K$102=TRUE,SUMIF(資金繰り実績表!$A$2:$A$38,"法人税等",資金繰り実績表!K$2:K$38),資金繰り予定表!K35)</f>
        <v>0</v>
      </c>
      <c r="L35" s="172">
        <f>IF(L$102=TRUE,SUMIF(資金繰り実績表!$A$2:$A$38,"法人税等",資金繰り実績表!L$2:L$38),資金繰り予定表!L35)</f>
        <v>0</v>
      </c>
      <c r="M35" s="172">
        <f>IF(M$102=TRUE,SUMIF(資金繰り実績表!$A$2:$A$38,"法人税等",資金繰り実績表!M$2:M$38),資金繰り予定表!M35)</f>
        <v>0</v>
      </c>
      <c r="N35" s="160">
        <f t="shared" si="1"/>
        <v>0</v>
      </c>
      <c r="O35" s="153" t="str">
        <f t="shared" si="2"/>
        <v>法人税等</v>
      </c>
      <c r="P35" s="160">
        <f>資金繰り予定表!P35</f>
        <v>0</v>
      </c>
      <c r="Q35" s="160">
        <f>資金繰り予定表!Q35</f>
        <v>0</v>
      </c>
      <c r="R35" s="160">
        <f>資金繰り予定表!R35</f>
        <v>0</v>
      </c>
      <c r="S35" s="160">
        <f>資金繰り予定表!S35</f>
        <v>0</v>
      </c>
      <c r="T35" s="160">
        <f>資金繰り予定表!T35</f>
        <v>0</v>
      </c>
      <c r="U35" s="160">
        <f>資金繰り予定表!U35</f>
        <v>0</v>
      </c>
      <c r="V35" s="160">
        <f>資金繰り予定表!V35</f>
        <v>0</v>
      </c>
      <c r="W35" s="160">
        <f>資金繰り予定表!W35</f>
        <v>0</v>
      </c>
      <c r="X35" s="160">
        <f>資金繰り予定表!X35</f>
        <v>0</v>
      </c>
      <c r="Y35" s="160">
        <f>資金繰り予定表!Y35</f>
        <v>0</v>
      </c>
      <c r="Z35" s="160">
        <f>資金繰り予定表!Z35</f>
        <v>0</v>
      </c>
      <c r="AA35" s="160">
        <f>資金繰り予定表!AA35</f>
        <v>0</v>
      </c>
      <c r="AB35" s="160">
        <f t="shared" si="3"/>
        <v>0</v>
      </c>
      <c r="AC35" s="160" t="str">
        <f t="shared" si="4"/>
        <v>法人税等</v>
      </c>
      <c r="AD35" s="160">
        <f>資金繰り予定表!AD35</f>
        <v>0</v>
      </c>
      <c r="AE35" s="160">
        <f>資金繰り予定表!AE35</f>
        <v>0</v>
      </c>
      <c r="AF35" s="160">
        <f>資金繰り予定表!AF35</f>
        <v>0</v>
      </c>
      <c r="AG35" s="160">
        <f>資金繰り予定表!AG35</f>
        <v>0</v>
      </c>
      <c r="AH35" s="160">
        <f>資金繰り予定表!AH35</f>
        <v>0</v>
      </c>
      <c r="AI35" s="160">
        <f>資金繰り予定表!AI35</f>
        <v>0</v>
      </c>
      <c r="AJ35" s="160">
        <f>資金繰り予定表!AJ35</f>
        <v>0</v>
      </c>
      <c r="AK35" s="160">
        <f>資金繰り予定表!AK35</f>
        <v>0</v>
      </c>
      <c r="AL35" s="160">
        <f>資金繰り予定表!AL35</f>
        <v>0</v>
      </c>
      <c r="AM35" s="160">
        <f>資金繰り予定表!AM35</f>
        <v>0</v>
      </c>
      <c r="AN35" s="160">
        <f>資金繰り予定表!AN35</f>
        <v>0</v>
      </c>
      <c r="AO35" s="160">
        <f>資金繰り予定表!AO35</f>
        <v>0</v>
      </c>
      <c r="AP35" s="160">
        <f t="shared" si="5"/>
        <v>0</v>
      </c>
    </row>
    <row r="36" spans="1:42" ht="15.75" customHeight="1">
      <c r="A36" s="159" t="str">
        <f>資金繰り予定表!A36</f>
        <v>その他経常外支出</v>
      </c>
      <c r="B36" s="172">
        <f>IF(B$102=TRUE,SUMIF(資金繰り実績表!$A$2:$A$38,"その他経常外支出",資金繰り実績表!B$2:B$38),資金繰り予定表!B36)</f>
        <v>630990</v>
      </c>
      <c r="C36" s="172">
        <f>IF(C$102=TRUE,SUMIF(資金繰り実績表!$A$2:$A$38,"その他経常外支出",資金繰り実績表!C$2:C$38),資金繰り予定表!C36)</f>
        <v>0</v>
      </c>
      <c r="D36" s="172">
        <f>IF(D$102=TRUE,SUMIF(資金繰り実績表!$A$2:$A$38,"その他経常外支出",資金繰り実績表!D$2:D$38),資金繰り予定表!D36)</f>
        <v>0</v>
      </c>
      <c r="E36" s="172">
        <f>IF(E$102=TRUE,SUMIF(資金繰り実績表!$A$2:$A$38,"その他経常外支出",資金繰り実績表!E$2:E$38),資金繰り予定表!E36)</f>
        <v>0</v>
      </c>
      <c r="F36" s="172">
        <f>IF(F$102=TRUE,SUMIF(資金繰り実績表!$A$2:$A$38,"その他経常外支出",資金繰り実績表!F$2:F$38),資金繰り予定表!F36)</f>
        <v>0</v>
      </c>
      <c r="G36" s="172">
        <f>IF(G$102=TRUE,SUMIF(資金繰り実績表!$A$2:$A$38,"その他経常外支出",資金繰り実績表!G$2:G$38),資金繰り予定表!G36)</f>
        <v>0</v>
      </c>
      <c r="H36" s="172">
        <f>IF(H$102=TRUE,SUMIF(資金繰り実績表!$A$2:$A$38,"その他経常外支出",資金繰り実績表!H$2:H$38),資金繰り予定表!H36)</f>
        <v>0</v>
      </c>
      <c r="I36" s="172">
        <f>IF(I$102=TRUE,SUMIF(資金繰り実績表!$A$2:$A$38,"その他経常外支出",資金繰り実績表!I$2:I$38),資金繰り予定表!I36)</f>
        <v>0</v>
      </c>
      <c r="J36" s="172">
        <f>IF(J$102=TRUE,SUMIF(資金繰り実績表!$A$2:$A$38,"その他経常外支出",資金繰り実績表!J$2:J$38),資金繰り予定表!J36)</f>
        <v>0</v>
      </c>
      <c r="K36" s="172">
        <f>IF(K$102=TRUE,SUMIF(資金繰り実績表!$A$2:$A$38,"その他経常外支出",資金繰り実績表!K$2:K$38),資金繰り予定表!K36)</f>
        <v>0</v>
      </c>
      <c r="L36" s="172">
        <f>IF(L$102=TRUE,SUMIF(資金繰り実績表!$A$2:$A$38,"その他経常外支出",資金繰り実績表!L$2:L$38),資金繰り予定表!L36)</f>
        <v>0</v>
      </c>
      <c r="M36" s="172">
        <f>IF(M$102=TRUE,SUMIF(資金繰り実績表!$A$2:$A$38,"その他経常外支出",資金繰り実績表!M$2:M$38),資金繰り予定表!M36)</f>
        <v>0</v>
      </c>
      <c r="N36" s="160">
        <f t="shared" si="1"/>
        <v>630990</v>
      </c>
      <c r="O36" s="153" t="str">
        <f t="shared" si="2"/>
        <v>その他経常外支出</v>
      </c>
      <c r="P36" s="160">
        <f>資金繰り予定表!P36</f>
        <v>0</v>
      </c>
      <c r="Q36" s="160">
        <f>資金繰り予定表!Q36</f>
        <v>0</v>
      </c>
      <c r="R36" s="160">
        <f>資金繰り予定表!R36</f>
        <v>0</v>
      </c>
      <c r="S36" s="160">
        <f>資金繰り予定表!S36</f>
        <v>0</v>
      </c>
      <c r="T36" s="160">
        <f>資金繰り予定表!T36</f>
        <v>0</v>
      </c>
      <c r="U36" s="160">
        <f>資金繰り予定表!U36</f>
        <v>0</v>
      </c>
      <c r="V36" s="160">
        <f>資金繰り予定表!V36</f>
        <v>0</v>
      </c>
      <c r="W36" s="160">
        <f>資金繰り予定表!W36</f>
        <v>0</v>
      </c>
      <c r="X36" s="160">
        <f>資金繰り予定表!X36</f>
        <v>0</v>
      </c>
      <c r="Y36" s="160">
        <f>資金繰り予定表!Y36</f>
        <v>0</v>
      </c>
      <c r="Z36" s="160">
        <f>資金繰り予定表!Z36</f>
        <v>0</v>
      </c>
      <c r="AA36" s="160">
        <f>資金繰り予定表!AA36</f>
        <v>0</v>
      </c>
      <c r="AB36" s="160"/>
      <c r="AC36" s="160" t="str">
        <f t="shared" si="4"/>
        <v>その他経常外支出</v>
      </c>
      <c r="AD36" s="160">
        <f>資金繰り予定表!AD36</f>
        <v>0</v>
      </c>
      <c r="AE36" s="160">
        <f>資金繰り予定表!AE36</f>
        <v>0</v>
      </c>
      <c r="AF36" s="160">
        <f>資金繰り予定表!AF36</f>
        <v>0</v>
      </c>
      <c r="AG36" s="160">
        <f>資金繰り予定表!AG36</f>
        <v>0</v>
      </c>
      <c r="AH36" s="160">
        <f>資金繰り予定表!AH36</f>
        <v>0</v>
      </c>
      <c r="AI36" s="160">
        <f>資金繰り予定表!AI36</f>
        <v>0</v>
      </c>
      <c r="AJ36" s="160">
        <f>資金繰り予定表!AJ36</f>
        <v>0</v>
      </c>
      <c r="AK36" s="160">
        <f>資金繰り予定表!AK36</f>
        <v>0</v>
      </c>
      <c r="AL36" s="160">
        <f>資金繰り予定表!AL36</f>
        <v>0</v>
      </c>
      <c r="AM36" s="160">
        <f>資金繰り予定表!AM36</f>
        <v>0</v>
      </c>
      <c r="AN36" s="160">
        <f>資金繰り予定表!AN36</f>
        <v>0</v>
      </c>
      <c r="AO36" s="160">
        <f>資金繰り予定表!AO36</f>
        <v>0</v>
      </c>
      <c r="AP36" s="160"/>
    </row>
    <row r="37" spans="1:42" ht="15.75" customHeight="1">
      <c r="A37" s="161" t="s">
        <v>53</v>
      </c>
      <c r="B37" s="173">
        <f t="shared" ref="B37:M37" si="10">SUM(B33:B36)</f>
        <v>630990</v>
      </c>
      <c r="C37" s="173">
        <f t="shared" si="10"/>
        <v>0</v>
      </c>
      <c r="D37" s="173">
        <f t="shared" si="10"/>
        <v>0</v>
      </c>
      <c r="E37" s="173">
        <f t="shared" si="10"/>
        <v>0</v>
      </c>
      <c r="F37" s="173">
        <f t="shared" si="10"/>
        <v>0</v>
      </c>
      <c r="G37" s="173">
        <f t="shared" si="10"/>
        <v>0</v>
      </c>
      <c r="H37" s="173">
        <f t="shared" si="10"/>
        <v>0</v>
      </c>
      <c r="I37" s="173">
        <f t="shared" si="10"/>
        <v>0</v>
      </c>
      <c r="J37" s="173">
        <f t="shared" si="10"/>
        <v>0</v>
      </c>
      <c r="K37" s="173">
        <f t="shared" si="10"/>
        <v>0</v>
      </c>
      <c r="L37" s="173">
        <f t="shared" si="10"/>
        <v>0</v>
      </c>
      <c r="M37" s="173">
        <f t="shared" si="10"/>
        <v>0</v>
      </c>
      <c r="N37" s="162">
        <f t="shared" ref="N37:N48" si="11">SUM(B37:M37)</f>
        <v>630990</v>
      </c>
      <c r="O37" s="163" t="str">
        <f t="shared" si="2"/>
        <v>⑤経常外支出合計</v>
      </c>
      <c r="P37" s="162">
        <f>資金繰り予定表!P37</f>
        <v>0</v>
      </c>
      <c r="Q37" s="162">
        <f>資金繰り予定表!Q37</f>
        <v>0</v>
      </c>
      <c r="R37" s="162">
        <f>資金繰り予定表!R37</f>
        <v>0</v>
      </c>
      <c r="S37" s="162">
        <f>資金繰り予定表!S37</f>
        <v>0</v>
      </c>
      <c r="T37" s="162">
        <f>資金繰り予定表!T37</f>
        <v>0</v>
      </c>
      <c r="U37" s="162">
        <f>資金繰り予定表!U37</f>
        <v>0</v>
      </c>
      <c r="V37" s="162">
        <f>資金繰り予定表!V37</f>
        <v>0</v>
      </c>
      <c r="W37" s="162">
        <f>資金繰り予定表!W37</f>
        <v>0</v>
      </c>
      <c r="X37" s="162">
        <f>資金繰り予定表!X37</f>
        <v>0</v>
      </c>
      <c r="Y37" s="162">
        <f>資金繰り予定表!Y37</f>
        <v>0</v>
      </c>
      <c r="Z37" s="162">
        <f>資金繰り予定表!Z37</f>
        <v>0</v>
      </c>
      <c r="AA37" s="162">
        <f>資金繰り予定表!AA37</f>
        <v>0</v>
      </c>
      <c r="AB37" s="162">
        <f t="shared" ref="AB37:AB42" si="12">SUM(P37:AA37)</f>
        <v>0</v>
      </c>
      <c r="AC37" s="162" t="str">
        <f t="shared" si="4"/>
        <v>⑤経常外支出合計</v>
      </c>
      <c r="AD37" s="162">
        <f>資金繰り予定表!AD37</f>
        <v>0</v>
      </c>
      <c r="AE37" s="162">
        <f>資金繰り予定表!AE37</f>
        <v>0</v>
      </c>
      <c r="AF37" s="162">
        <f>資金繰り予定表!AF37</f>
        <v>0</v>
      </c>
      <c r="AG37" s="162">
        <f>資金繰り予定表!AG37</f>
        <v>0</v>
      </c>
      <c r="AH37" s="162">
        <f>資金繰り予定表!AH37</f>
        <v>0</v>
      </c>
      <c r="AI37" s="162">
        <f>資金繰り予定表!AI37</f>
        <v>0</v>
      </c>
      <c r="AJ37" s="162">
        <f>資金繰り予定表!AJ37</f>
        <v>0</v>
      </c>
      <c r="AK37" s="162">
        <f>資金繰り予定表!AK37</f>
        <v>0</v>
      </c>
      <c r="AL37" s="162">
        <f>資金繰り予定表!AL37</f>
        <v>0</v>
      </c>
      <c r="AM37" s="162">
        <f>資金繰り予定表!AM37</f>
        <v>0</v>
      </c>
      <c r="AN37" s="162">
        <f>資金繰り予定表!AN37</f>
        <v>0</v>
      </c>
      <c r="AO37" s="162">
        <f>資金繰り予定表!AO37</f>
        <v>0</v>
      </c>
      <c r="AP37" s="162">
        <f t="shared" ref="AP37:AP42" si="13">SUM(AD37:AO37)</f>
        <v>0</v>
      </c>
    </row>
    <row r="38" spans="1:42" ht="15.75" customHeight="1">
      <c r="A38" s="161" t="s">
        <v>54</v>
      </c>
      <c r="B38" s="173">
        <f t="shared" ref="B38:M38" si="14">B32-B37</f>
        <v>-630990</v>
      </c>
      <c r="C38" s="173">
        <f t="shared" si="14"/>
        <v>0</v>
      </c>
      <c r="D38" s="173">
        <f t="shared" si="14"/>
        <v>72000</v>
      </c>
      <c r="E38" s="173">
        <f t="shared" si="14"/>
        <v>600000</v>
      </c>
      <c r="F38" s="173">
        <f t="shared" si="14"/>
        <v>152000</v>
      </c>
      <c r="G38" s="173">
        <f t="shared" si="14"/>
        <v>0</v>
      </c>
      <c r="H38" s="173">
        <f t="shared" si="14"/>
        <v>0</v>
      </c>
      <c r="I38" s="173">
        <f t="shared" si="14"/>
        <v>0</v>
      </c>
      <c r="J38" s="173">
        <f t="shared" si="14"/>
        <v>0</v>
      </c>
      <c r="K38" s="173">
        <f t="shared" si="14"/>
        <v>0</v>
      </c>
      <c r="L38" s="173">
        <f t="shared" si="14"/>
        <v>0</v>
      </c>
      <c r="M38" s="173">
        <f t="shared" si="14"/>
        <v>0</v>
      </c>
      <c r="N38" s="162">
        <f t="shared" si="11"/>
        <v>193010</v>
      </c>
      <c r="O38" s="163" t="str">
        <f t="shared" si="2"/>
        <v>⑥経常外収支</v>
      </c>
      <c r="P38" s="162">
        <f>資金繰り予定表!P38</f>
        <v>0</v>
      </c>
      <c r="Q38" s="162">
        <f>資金繰り予定表!Q38</f>
        <v>0</v>
      </c>
      <c r="R38" s="162">
        <f>資金繰り予定表!R38</f>
        <v>0</v>
      </c>
      <c r="S38" s="162">
        <f>資金繰り予定表!S38</f>
        <v>0</v>
      </c>
      <c r="T38" s="162">
        <f>資金繰り予定表!T38</f>
        <v>0</v>
      </c>
      <c r="U38" s="162">
        <f>資金繰り予定表!U38</f>
        <v>0</v>
      </c>
      <c r="V38" s="162">
        <f>資金繰り予定表!V38</f>
        <v>0</v>
      </c>
      <c r="W38" s="162">
        <f>資金繰り予定表!W38</f>
        <v>0</v>
      </c>
      <c r="X38" s="162">
        <f>資金繰り予定表!X38</f>
        <v>0</v>
      </c>
      <c r="Y38" s="162">
        <f>資金繰り予定表!Y38</f>
        <v>0</v>
      </c>
      <c r="Z38" s="162">
        <f>資金繰り予定表!Z38</f>
        <v>0</v>
      </c>
      <c r="AA38" s="162">
        <f>資金繰り予定表!AA38</f>
        <v>0</v>
      </c>
      <c r="AB38" s="162">
        <f t="shared" si="12"/>
        <v>0</v>
      </c>
      <c r="AC38" s="162" t="str">
        <f t="shared" si="4"/>
        <v>⑥経常外収支</v>
      </c>
      <c r="AD38" s="162">
        <f>資金繰り予定表!AD38</f>
        <v>0</v>
      </c>
      <c r="AE38" s="162">
        <f>資金繰り予定表!AE38</f>
        <v>0</v>
      </c>
      <c r="AF38" s="162">
        <f>資金繰り予定表!AF38</f>
        <v>0</v>
      </c>
      <c r="AG38" s="162">
        <f>資金繰り予定表!AG38</f>
        <v>0</v>
      </c>
      <c r="AH38" s="162">
        <f>資金繰り予定表!AH38</f>
        <v>0</v>
      </c>
      <c r="AI38" s="162">
        <f>資金繰り予定表!AI38</f>
        <v>0</v>
      </c>
      <c r="AJ38" s="162">
        <f>資金繰り予定表!AJ38</f>
        <v>0</v>
      </c>
      <c r="AK38" s="162">
        <f>資金繰り予定表!AK38</f>
        <v>0</v>
      </c>
      <c r="AL38" s="162">
        <f>資金繰り予定表!AL38</f>
        <v>0</v>
      </c>
      <c r="AM38" s="162">
        <f>資金繰り予定表!AM38</f>
        <v>0</v>
      </c>
      <c r="AN38" s="162">
        <f>資金繰り予定表!AN38</f>
        <v>0</v>
      </c>
      <c r="AO38" s="162">
        <f>資金繰り予定表!AO38</f>
        <v>0</v>
      </c>
      <c r="AP38" s="162">
        <f t="shared" si="13"/>
        <v>0</v>
      </c>
    </row>
    <row r="39" spans="1:42" ht="15.75" customHeight="1">
      <c r="A39" s="159" t="str">
        <f>資金繰り予定表!A39</f>
        <v>短期借入金</v>
      </c>
      <c r="B39" s="172">
        <f>IF(B$102=TRUE,SUMIF(資金繰り実績表!$A$2:$A$38,"短期借入金",資金繰り実績表!B$2:B$38),資金繰り予定表!B39)</f>
        <v>0</v>
      </c>
      <c r="C39" s="172">
        <f>IF(C$102=TRUE,SUMIF(資金繰り実績表!$A$2:$A$38,"短期借入金",資金繰り実績表!C$2:C$38),資金繰り予定表!C39)</f>
        <v>0</v>
      </c>
      <c r="D39" s="172">
        <f>IF(D$102=TRUE,SUMIF(資金繰り実績表!$A$2:$A$38,"短期借入金",資金繰り実績表!D$2:D$38),資金繰り予定表!D39)</f>
        <v>0</v>
      </c>
      <c r="E39" s="172">
        <f>IF(E$102=TRUE,SUMIF(資金繰り実績表!$A$2:$A$38,"短期借入金",資金繰り実績表!E$2:E$38),資金繰り予定表!E39)</f>
        <v>0</v>
      </c>
      <c r="F39" s="172">
        <f>IF(F$102=TRUE,SUMIF(資金繰り実績表!$A$2:$A$38,"短期借入金",資金繰り実績表!F$2:F$38),資金繰り予定表!F39)</f>
        <v>0</v>
      </c>
      <c r="G39" s="172">
        <f>IF(G$102=TRUE,SUMIF(資金繰り実績表!$A$2:$A$38,"短期借入金",資金繰り実績表!G$2:G$38),資金繰り予定表!G39)</f>
        <v>0</v>
      </c>
      <c r="H39" s="172">
        <f>IF(H$102=TRUE,SUMIF(資金繰り実績表!$A$2:$A$38,"短期借入金",資金繰り実績表!H$2:H$38),資金繰り予定表!H39)</f>
        <v>0</v>
      </c>
      <c r="I39" s="172">
        <f>IF(I$102=TRUE,SUMIF(資金繰り実績表!$A$2:$A$38,"短期借入金",資金繰り実績表!I$2:I$38),資金繰り予定表!I39)</f>
        <v>0</v>
      </c>
      <c r="J39" s="172">
        <f>IF(J$102=TRUE,SUMIF(資金繰り実績表!$A$2:$A$38,"短期借入金",資金繰り実績表!J$2:J$38),資金繰り予定表!J39)</f>
        <v>0</v>
      </c>
      <c r="K39" s="172">
        <f>IF(K$102=TRUE,SUMIF(資金繰り実績表!$A$2:$A$38,"短期借入金",資金繰り実績表!K$2:K$38),資金繰り予定表!K39)</f>
        <v>0</v>
      </c>
      <c r="L39" s="172">
        <f>IF(L$102=TRUE,SUMIF(資金繰り実績表!$A$2:$A$38,"短期借入金",資金繰り実績表!L$2:L$38),資金繰り予定表!L39)</f>
        <v>0</v>
      </c>
      <c r="M39" s="172">
        <f>IF(M$102=TRUE,SUMIF(資金繰り実績表!$A$2:$A$38,"短期借入金",資金繰り実績表!M$2:M$38),資金繰り予定表!M39)</f>
        <v>0</v>
      </c>
      <c r="N39" s="160">
        <f t="shared" si="11"/>
        <v>0</v>
      </c>
      <c r="O39" s="153" t="str">
        <f t="shared" si="2"/>
        <v>短期借入金</v>
      </c>
      <c r="P39" s="160">
        <f>資金繰り予定表!P39</f>
        <v>0</v>
      </c>
      <c r="Q39" s="160">
        <f>資金繰り予定表!Q39</f>
        <v>0</v>
      </c>
      <c r="R39" s="160">
        <f>資金繰り予定表!R39</f>
        <v>0</v>
      </c>
      <c r="S39" s="160">
        <f>資金繰り予定表!S39</f>
        <v>0</v>
      </c>
      <c r="T39" s="160">
        <f>資金繰り予定表!T39</f>
        <v>0</v>
      </c>
      <c r="U39" s="160">
        <f>資金繰り予定表!U39</f>
        <v>0</v>
      </c>
      <c r="V39" s="160">
        <f>資金繰り予定表!V39</f>
        <v>0</v>
      </c>
      <c r="W39" s="160">
        <f>資金繰り予定表!W39</f>
        <v>0</v>
      </c>
      <c r="X39" s="160">
        <f>資金繰り予定表!X39</f>
        <v>0</v>
      </c>
      <c r="Y39" s="160">
        <f>資金繰り予定表!Y39</f>
        <v>0</v>
      </c>
      <c r="Z39" s="160">
        <f>資金繰り予定表!Z39</f>
        <v>0</v>
      </c>
      <c r="AA39" s="160">
        <f>資金繰り予定表!AA39</f>
        <v>0</v>
      </c>
      <c r="AB39" s="160">
        <f t="shared" si="12"/>
        <v>0</v>
      </c>
      <c r="AC39" s="160" t="str">
        <f t="shared" si="4"/>
        <v>短期借入金</v>
      </c>
      <c r="AD39" s="160">
        <f>資金繰り予定表!AD39</f>
        <v>0</v>
      </c>
      <c r="AE39" s="160">
        <f>資金繰り予定表!AE39</f>
        <v>0</v>
      </c>
      <c r="AF39" s="160">
        <f>資金繰り予定表!AF39</f>
        <v>0</v>
      </c>
      <c r="AG39" s="160">
        <f>資金繰り予定表!AG39</f>
        <v>0</v>
      </c>
      <c r="AH39" s="160">
        <f>資金繰り予定表!AH39</f>
        <v>0</v>
      </c>
      <c r="AI39" s="160">
        <f>資金繰り予定表!AI39</f>
        <v>0</v>
      </c>
      <c r="AJ39" s="160">
        <f>資金繰り予定表!AJ39</f>
        <v>0</v>
      </c>
      <c r="AK39" s="160">
        <f>資金繰り予定表!AK39</f>
        <v>0</v>
      </c>
      <c r="AL39" s="160">
        <f>資金繰り予定表!AL39</f>
        <v>0</v>
      </c>
      <c r="AM39" s="160">
        <f>資金繰り予定表!AM39</f>
        <v>0</v>
      </c>
      <c r="AN39" s="160">
        <f>資金繰り予定表!AN39</f>
        <v>0</v>
      </c>
      <c r="AO39" s="160">
        <f>資金繰り予定表!AO39</f>
        <v>0</v>
      </c>
      <c r="AP39" s="160">
        <f t="shared" si="13"/>
        <v>0</v>
      </c>
    </row>
    <row r="40" spans="1:42" ht="15.75" customHeight="1">
      <c r="A40" s="159" t="str">
        <f>資金繰り予定表!A40</f>
        <v>長期借入金</v>
      </c>
      <c r="B40" s="172">
        <f>IF(B$102=TRUE,SUMIF(資金繰り実績表!$A$2:$A$38,"長期借入金",資金繰り実績表!B$2:B$38),資金繰り予定表!B40)</f>
        <v>0</v>
      </c>
      <c r="C40" s="172">
        <f>IF(C$102=TRUE,SUMIF(資金繰り実績表!$A$2:$A$38,"長期借入金",資金繰り実績表!C$2:C$38),資金繰り予定表!C40)</f>
        <v>0</v>
      </c>
      <c r="D40" s="172">
        <f>IF(D$102=TRUE,SUMIF(資金繰り実績表!$A$2:$A$38,"長期借入金",資金繰り実績表!D$2:D$38),資金繰り予定表!D40)</f>
        <v>0</v>
      </c>
      <c r="E40" s="172">
        <f>IF(E$102=TRUE,SUMIF(資金繰り実績表!$A$2:$A$38,"長期借入金",資金繰り実績表!E$2:E$38),資金繰り予定表!E40)</f>
        <v>0</v>
      </c>
      <c r="F40" s="172">
        <f>IF(F$102=TRUE,SUMIF(資金繰り実績表!$A$2:$A$38,"長期借入金",資金繰り実績表!F$2:F$38),資金繰り予定表!F40)</f>
        <v>0</v>
      </c>
      <c r="G40" s="172">
        <f>IF(G$102=TRUE,SUMIF(資金繰り実績表!$A$2:$A$38,"長期借入金",資金繰り実績表!G$2:G$38),資金繰り予定表!G40)</f>
        <v>66051004</v>
      </c>
      <c r="H40" s="172">
        <f>IF(H$102=TRUE,SUMIF(資金繰り実績表!$A$2:$A$38,"長期借入金",資金繰り実績表!H$2:H$38),資金繰り予定表!H40)</f>
        <v>28867500</v>
      </c>
      <c r="I40" s="172">
        <f>IF(I$102=TRUE,SUMIF(資金繰り実績表!$A$2:$A$38,"長期借入金",資金繰り実績表!I$2:I$38),資金繰り予定表!I40)</f>
        <v>0</v>
      </c>
      <c r="J40" s="172">
        <f>IF(J$102=TRUE,SUMIF(資金繰り実績表!$A$2:$A$38,"長期借入金",資金繰り実績表!J$2:J$38),資金繰り予定表!J40)</f>
        <v>0</v>
      </c>
      <c r="K40" s="172">
        <f>IF(K$102=TRUE,SUMIF(資金繰り実績表!$A$2:$A$38,"長期借入金",資金繰り実績表!K$2:K$38),資金繰り予定表!K40)</f>
        <v>0</v>
      </c>
      <c r="L40" s="172">
        <f>IF(L$102=TRUE,SUMIF(資金繰り実績表!$A$2:$A$38,"長期借入金",資金繰り実績表!L$2:L$38),資金繰り予定表!L40)</f>
        <v>0</v>
      </c>
      <c r="M40" s="172">
        <f>IF(M$102=TRUE,SUMIF(資金繰り実績表!$A$2:$A$38,"長期借入金",資金繰り実績表!M$2:M$38),資金繰り予定表!M40)</f>
        <v>0</v>
      </c>
      <c r="N40" s="160">
        <f t="shared" si="11"/>
        <v>94918504</v>
      </c>
      <c r="O40" s="153" t="str">
        <f t="shared" si="2"/>
        <v>長期借入金</v>
      </c>
      <c r="P40" s="160">
        <f>資金繰り予定表!P40</f>
        <v>0</v>
      </c>
      <c r="Q40" s="160">
        <f>資金繰り予定表!Q40</f>
        <v>0</v>
      </c>
      <c r="R40" s="160">
        <f>資金繰り予定表!R40</f>
        <v>0</v>
      </c>
      <c r="S40" s="160">
        <f>資金繰り予定表!S40</f>
        <v>0</v>
      </c>
      <c r="T40" s="160">
        <f>資金繰り予定表!T40</f>
        <v>0</v>
      </c>
      <c r="U40" s="160">
        <f>資金繰り予定表!U40</f>
        <v>0</v>
      </c>
      <c r="V40" s="160">
        <f>資金繰り予定表!V40</f>
        <v>0</v>
      </c>
      <c r="W40" s="160">
        <f>資金繰り予定表!W40</f>
        <v>0</v>
      </c>
      <c r="X40" s="160">
        <f>資金繰り予定表!X40</f>
        <v>0</v>
      </c>
      <c r="Y40" s="160">
        <f>資金繰り予定表!Y40</f>
        <v>0</v>
      </c>
      <c r="Z40" s="160">
        <f>資金繰り予定表!Z40</f>
        <v>0</v>
      </c>
      <c r="AA40" s="160">
        <f>資金繰り予定表!AA40</f>
        <v>0</v>
      </c>
      <c r="AB40" s="160">
        <f t="shared" si="12"/>
        <v>0</v>
      </c>
      <c r="AC40" s="160" t="str">
        <f t="shared" si="4"/>
        <v>長期借入金</v>
      </c>
      <c r="AD40" s="160">
        <f>資金繰り予定表!AD40</f>
        <v>0</v>
      </c>
      <c r="AE40" s="160">
        <f>資金繰り予定表!AE40</f>
        <v>0</v>
      </c>
      <c r="AF40" s="160">
        <f>資金繰り予定表!AF40</f>
        <v>0</v>
      </c>
      <c r="AG40" s="160">
        <f>資金繰り予定表!AG40</f>
        <v>0</v>
      </c>
      <c r="AH40" s="160">
        <f>資金繰り予定表!AH40</f>
        <v>0</v>
      </c>
      <c r="AI40" s="160">
        <f>資金繰り予定表!AI40</f>
        <v>0</v>
      </c>
      <c r="AJ40" s="160">
        <f>資金繰り予定表!AJ40</f>
        <v>0</v>
      </c>
      <c r="AK40" s="160">
        <f>資金繰り予定表!AK40</f>
        <v>0</v>
      </c>
      <c r="AL40" s="160">
        <f>資金繰り予定表!AL40</f>
        <v>0</v>
      </c>
      <c r="AM40" s="160">
        <f>資金繰り予定表!AM40</f>
        <v>0</v>
      </c>
      <c r="AN40" s="160">
        <f>資金繰り予定表!AN40</f>
        <v>0</v>
      </c>
      <c r="AO40" s="160">
        <f>資金繰り予定表!AO40</f>
        <v>0</v>
      </c>
      <c r="AP40" s="160">
        <f t="shared" si="13"/>
        <v>0</v>
      </c>
    </row>
    <row r="41" spans="1:42" ht="15.75" customHeight="1">
      <c r="A41" s="159" t="str">
        <f>資金繰り予定表!A41</f>
        <v>役員・関係会社から入金</v>
      </c>
      <c r="B41" s="172">
        <f>IF(B$102=TRUE,SUMIF(資金繰り実績表!$A$2:$A$38,"役員・関係会社から入金",資金繰り実績表!B$2:B$38),資金繰り予定表!B41)</f>
        <v>0</v>
      </c>
      <c r="C41" s="172">
        <f>IF(C$102=TRUE,SUMIF(資金繰り実績表!$A$2:$A$38,"役員・関係会社から入金",資金繰り実績表!C$2:C$38),資金繰り予定表!C41)</f>
        <v>0</v>
      </c>
      <c r="D41" s="172">
        <f>IF(D$102=TRUE,SUMIF(資金繰り実績表!$A$2:$A$38,"役員・関係会社から入金",資金繰り実績表!D$2:D$38),資金繰り予定表!D41)</f>
        <v>0</v>
      </c>
      <c r="E41" s="172">
        <f>IF(E$102=TRUE,SUMIF(資金繰り実績表!$A$2:$A$38,"役員・関係会社から入金",資金繰り実績表!E$2:E$38),資金繰り予定表!E41)</f>
        <v>0</v>
      </c>
      <c r="F41" s="172">
        <f>IF(F$102=TRUE,SUMIF(資金繰り実績表!$A$2:$A$38,"役員・関係会社から入金",資金繰り実績表!F$2:F$38),資金繰り予定表!F41)</f>
        <v>0</v>
      </c>
      <c r="G41" s="172">
        <f>IF(G$102=TRUE,SUMIF(資金繰り実績表!$A$2:$A$38,"役員・関係会社から入金",資金繰り実績表!G$2:G$38),資金繰り予定表!G41)</f>
        <v>0</v>
      </c>
      <c r="H41" s="172">
        <f>IF(H$102=TRUE,SUMIF(資金繰り実績表!$A$2:$A$38,"役員・関係会社から入金",資金繰り実績表!H$2:H$38),資金繰り予定表!H41)</f>
        <v>0</v>
      </c>
      <c r="I41" s="172">
        <f>IF(I$102=TRUE,SUMIF(資金繰り実績表!$A$2:$A$38,"役員・関係会社から入金",資金繰り実績表!I$2:I$38),資金繰り予定表!I41)</f>
        <v>0</v>
      </c>
      <c r="J41" s="172">
        <f>IF(J$102=TRUE,SUMIF(資金繰り実績表!$A$2:$A$38,"役員・関係会社から入金",資金繰り実績表!J$2:J$38),資金繰り予定表!J41)</f>
        <v>0</v>
      </c>
      <c r="K41" s="172">
        <f>IF(K$102=TRUE,SUMIF(資金繰り実績表!$A$2:$A$38,"役員・関係会社から入金",資金繰り実績表!K$2:K$38),資金繰り予定表!K41)</f>
        <v>0</v>
      </c>
      <c r="L41" s="172">
        <f>IF(L$102=TRUE,SUMIF(資金繰り実績表!$A$2:$A$38,"役員・関係会社から入金",資金繰り実績表!L$2:L$38),資金繰り予定表!L41)</f>
        <v>0</v>
      </c>
      <c r="M41" s="172">
        <f>IF(M$102=TRUE,SUMIF(資金繰り実績表!$A$2:$A$38,"役員・関係会社から入金",資金繰り実績表!M$2:M$38),資金繰り予定表!M41)</f>
        <v>0</v>
      </c>
      <c r="N41" s="160">
        <f t="shared" si="11"/>
        <v>0</v>
      </c>
      <c r="O41" s="153" t="str">
        <f t="shared" si="2"/>
        <v>役員・関係会社から入金</v>
      </c>
      <c r="P41" s="160">
        <f>資金繰り予定表!P41</f>
        <v>0</v>
      </c>
      <c r="Q41" s="160">
        <f>資金繰り予定表!Q41</f>
        <v>0</v>
      </c>
      <c r="R41" s="160">
        <f>資金繰り予定表!R41</f>
        <v>0</v>
      </c>
      <c r="S41" s="160">
        <f>資金繰り予定表!S41</f>
        <v>0</v>
      </c>
      <c r="T41" s="160">
        <f>資金繰り予定表!T41</f>
        <v>0</v>
      </c>
      <c r="U41" s="160">
        <f>資金繰り予定表!U41</f>
        <v>0</v>
      </c>
      <c r="V41" s="160">
        <f>資金繰り予定表!V41</f>
        <v>0</v>
      </c>
      <c r="W41" s="160">
        <f>資金繰り予定表!W41</f>
        <v>0</v>
      </c>
      <c r="X41" s="160">
        <f>資金繰り予定表!X41</f>
        <v>0</v>
      </c>
      <c r="Y41" s="160">
        <f>資金繰り予定表!Y41</f>
        <v>0</v>
      </c>
      <c r="Z41" s="160">
        <f>資金繰り予定表!Z41</f>
        <v>0</v>
      </c>
      <c r="AA41" s="160">
        <f>資金繰り予定表!AA41</f>
        <v>0</v>
      </c>
      <c r="AB41" s="160">
        <f t="shared" si="12"/>
        <v>0</v>
      </c>
      <c r="AC41" s="160" t="str">
        <f t="shared" si="4"/>
        <v>役員・関係会社から入金</v>
      </c>
      <c r="AD41" s="160">
        <f>資金繰り予定表!AD41</f>
        <v>0</v>
      </c>
      <c r="AE41" s="160">
        <f>資金繰り予定表!AE41</f>
        <v>0</v>
      </c>
      <c r="AF41" s="160">
        <f>資金繰り予定表!AF41</f>
        <v>0</v>
      </c>
      <c r="AG41" s="160">
        <f>資金繰り予定表!AG41</f>
        <v>0</v>
      </c>
      <c r="AH41" s="160">
        <f>資金繰り予定表!AH41</f>
        <v>0</v>
      </c>
      <c r="AI41" s="160">
        <f>資金繰り予定表!AI41</f>
        <v>0</v>
      </c>
      <c r="AJ41" s="160">
        <f>資金繰り予定表!AJ41</f>
        <v>0</v>
      </c>
      <c r="AK41" s="160">
        <f>資金繰り予定表!AK41</f>
        <v>0</v>
      </c>
      <c r="AL41" s="160">
        <f>資金繰り予定表!AL41</f>
        <v>0</v>
      </c>
      <c r="AM41" s="160">
        <f>資金繰り予定表!AM41</f>
        <v>0</v>
      </c>
      <c r="AN41" s="160">
        <f>資金繰り予定表!AN41</f>
        <v>0</v>
      </c>
      <c r="AO41" s="160">
        <f>資金繰り予定表!AO41</f>
        <v>0</v>
      </c>
      <c r="AP41" s="160">
        <f t="shared" si="13"/>
        <v>0</v>
      </c>
    </row>
    <row r="42" spans="1:42" ht="15.75" customHeight="1">
      <c r="A42" s="159" t="str">
        <f>資金繰り予定表!A42</f>
        <v>受取利息・配当</v>
      </c>
      <c r="B42" s="172">
        <f>IF(B$102=TRUE,SUMIF(資金繰り実績表!$A$2:$A$38,"受取利息・配当",資金繰り実績表!B$2:B$38),資金繰り予定表!B42)</f>
        <v>0</v>
      </c>
      <c r="C42" s="172">
        <f>IF(C$102=TRUE,SUMIF(資金繰り実績表!$A$2:$A$38,"受取利息・配当",資金繰り実績表!C$2:C$38),資金繰り予定表!C42)</f>
        <v>6823</v>
      </c>
      <c r="D42" s="172">
        <f>IF(D$102=TRUE,SUMIF(資金繰り実績表!$A$2:$A$38,"受取利息・配当",資金繰り実績表!D$2:D$38),資金繰り予定表!D42)</f>
        <v>2446</v>
      </c>
      <c r="E42" s="172">
        <f>IF(E$102=TRUE,SUMIF(資金繰り実績表!$A$2:$A$38,"受取利息・配当",資金繰り実績表!E$2:E$38),資金繰り予定表!E42)</f>
        <v>0</v>
      </c>
      <c r="F42" s="172">
        <f>IF(F$102=TRUE,SUMIF(資金繰り実績表!$A$2:$A$38,"受取利息・配当",資金繰り実績表!F$2:F$38),資金繰り予定表!F42)</f>
        <v>0</v>
      </c>
      <c r="G42" s="172">
        <f>IF(G$102=TRUE,SUMIF(資金繰り実績表!$A$2:$A$38,"受取利息・配当",資金繰り実績表!G$2:G$38),資金繰り予定表!G42)</f>
        <v>0</v>
      </c>
      <c r="H42" s="172">
        <f>IF(H$102=TRUE,SUMIF(資金繰り実績表!$A$2:$A$38,"受取利息・配当",資金繰り実績表!H$2:H$38),資金繰り予定表!H42)</f>
        <v>0</v>
      </c>
      <c r="I42" s="172">
        <f>IF(I$102=TRUE,SUMIF(資金繰り実績表!$A$2:$A$38,"受取利息・配当",資金繰り実績表!I$2:I$38),資金繰り予定表!I42)</f>
        <v>5033</v>
      </c>
      <c r="J42" s="172">
        <f>IF(J$102=TRUE,SUMIF(資金繰り実績表!$A$2:$A$38,"受取利息・配当",資金繰り実績表!J$2:J$38),資金繰り予定表!J42)</f>
        <v>1038</v>
      </c>
      <c r="K42" s="172">
        <f>IF(K$102=TRUE,SUMIF(資金繰り実績表!$A$2:$A$38,"受取利息・配当",資金繰り実績表!K$2:K$38),資金繰り予定表!K42)</f>
        <v>0</v>
      </c>
      <c r="L42" s="172">
        <f>IF(L$102=TRUE,SUMIF(資金繰り実績表!$A$2:$A$38,"受取利息・配当",資金繰り実績表!L$2:L$38),資金繰り予定表!L42)</f>
        <v>0</v>
      </c>
      <c r="M42" s="172">
        <f>IF(M$102=TRUE,SUMIF(資金繰り実績表!$A$2:$A$38,"受取利息・配当",資金繰り実績表!M$2:M$38),資金繰り予定表!M42)</f>
        <v>0</v>
      </c>
      <c r="N42" s="160">
        <f t="shared" si="11"/>
        <v>15340</v>
      </c>
      <c r="O42" s="153" t="str">
        <f t="shared" si="2"/>
        <v>受取利息・配当</v>
      </c>
      <c r="P42" s="160">
        <f>資金繰り予定表!P42</f>
        <v>0</v>
      </c>
      <c r="Q42" s="160">
        <f>資金繰り予定表!Q42</f>
        <v>0</v>
      </c>
      <c r="R42" s="160">
        <f>資金繰り予定表!R42</f>
        <v>0</v>
      </c>
      <c r="S42" s="160">
        <f>資金繰り予定表!S42</f>
        <v>0</v>
      </c>
      <c r="T42" s="160">
        <f>資金繰り予定表!T42</f>
        <v>0</v>
      </c>
      <c r="U42" s="160">
        <f>資金繰り予定表!U42</f>
        <v>0</v>
      </c>
      <c r="V42" s="160">
        <f>資金繰り予定表!V42</f>
        <v>0</v>
      </c>
      <c r="W42" s="160">
        <f>資金繰り予定表!W42</f>
        <v>0</v>
      </c>
      <c r="X42" s="160">
        <f>資金繰り予定表!X42</f>
        <v>0</v>
      </c>
      <c r="Y42" s="160">
        <f>資金繰り予定表!Y42</f>
        <v>0</v>
      </c>
      <c r="Z42" s="160">
        <f>資金繰り予定表!Z42</f>
        <v>0</v>
      </c>
      <c r="AA42" s="160">
        <f>資金繰り予定表!AA42</f>
        <v>0</v>
      </c>
      <c r="AB42" s="160">
        <f t="shared" si="12"/>
        <v>0</v>
      </c>
      <c r="AC42" s="160" t="str">
        <f t="shared" si="4"/>
        <v>受取利息・配当</v>
      </c>
      <c r="AD42" s="160">
        <f>資金繰り予定表!AD42</f>
        <v>0</v>
      </c>
      <c r="AE42" s="160">
        <f>資金繰り予定表!AE42</f>
        <v>0</v>
      </c>
      <c r="AF42" s="160">
        <f>資金繰り予定表!AF42</f>
        <v>0</v>
      </c>
      <c r="AG42" s="160">
        <f>資金繰り予定表!AG42</f>
        <v>0</v>
      </c>
      <c r="AH42" s="160">
        <f>資金繰り予定表!AH42</f>
        <v>0</v>
      </c>
      <c r="AI42" s="160">
        <f>資金繰り予定表!AI42</f>
        <v>0</v>
      </c>
      <c r="AJ42" s="160">
        <f>資金繰り予定表!AJ42</f>
        <v>0</v>
      </c>
      <c r="AK42" s="160">
        <f>資金繰り予定表!AK42</f>
        <v>0</v>
      </c>
      <c r="AL42" s="160">
        <f>資金繰り予定表!AL42</f>
        <v>0</v>
      </c>
      <c r="AM42" s="160">
        <f>資金繰り予定表!AM42</f>
        <v>0</v>
      </c>
      <c r="AN42" s="160">
        <f>資金繰り予定表!AN42</f>
        <v>0</v>
      </c>
      <c r="AO42" s="160">
        <f>資金繰り予定表!AO42</f>
        <v>0</v>
      </c>
      <c r="AP42" s="160">
        <f t="shared" si="13"/>
        <v>0</v>
      </c>
    </row>
    <row r="43" spans="1:42" ht="15.75" customHeight="1">
      <c r="A43" s="159" t="str">
        <f>資金繰り予定表!A43</f>
        <v>その他財務収入</v>
      </c>
      <c r="B43" s="172">
        <f>IF(B$102=TRUE,SUMIF(資金繰り実績表!$A$2:$A$38,"その他財務収入",資金繰り実績表!B$2:B$38),資金繰り予定表!B43)</f>
        <v>11135384</v>
      </c>
      <c r="C43" s="172">
        <f>IF(C$102=TRUE,SUMIF(資金繰り実績表!$A$2:$A$38,"その他財務収入",資金繰り実績表!C$2:C$38),資金繰り予定表!C43)</f>
        <v>0</v>
      </c>
      <c r="D43" s="172">
        <f>IF(D$102=TRUE,SUMIF(資金繰り実績表!$A$2:$A$38,"その他財務収入",資金繰り実績表!D$2:D$38),資金繰り予定表!D43)</f>
        <v>0</v>
      </c>
      <c r="E43" s="172">
        <f>IF(E$102=TRUE,SUMIF(資金繰り実績表!$A$2:$A$38,"その他財務収入",資金繰り実績表!E$2:E$38),資金繰り予定表!E43)</f>
        <v>0</v>
      </c>
      <c r="F43" s="172">
        <f>IF(F$102=TRUE,SUMIF(資金繰り実績表!$A$2:$A$38,"その他財務収入",資金繰り実績表!F$2:F$38),資金繰り予定表!F43)</f>
        <v>0</v>
      </c>
      <c r="G43" s="172">
        <f>IF(G$102=TRUE,SUMIF(資金繰り実績表!$A$2:$A$38,"その他財務収入",資金繰り実績表!G$2:G$38),資金繰り予定表!G43)</f>
        <v>0</v>
      </c>
      <c r="H43" s="172">
        <f>IF(H$102=TRUE,SUMIF(資金繰り実績表!$A$2:$A$38,"その他財務収入",資金繰り実績表!H$2:H$38),資金繰り予定表!H43)</f>
        <v>0</v>
      </c>
      <c r="I43" s="172">
        <f>IF(I$102=TRUE,SUMIF(資金繰り実績表!$A$2:$A$38,"その他財務収入",資金繰り実績表!I$2:I$38),資金繰り予定表!I43)</f>
        <v>0</v>
      </c>
      <c r="J43" s="172">
        <f>IF(J$102=TRUE,SUMIF(資金繰り実績表!$A$2:$A$38,"その他財務収入",資金繰り実績表!J$2:J$38),資金繰り予定表!J43)</f>
        <v>0</v>
      </c>
      <c r="K43" s="172">
        <f>IF(K$102=TRUE,SUMIF(資金繰り実績表!$A$2:$A$38,"その他財務収入",資金繰り実績表!K$2:K$38),資金繰り予定表!K43)</f>
        <v>0</v>
      </c>
      <c r="L43" s="172">
        <f>IF(L$102=TRUE,SUMIF(資金繰り実績表!$A$2:$A$38,"その他財務収入",資金繰り実績表!L$2:L$38),資金繰り予定表!L43)</f>
        <v>0</v>
      </c>
      <c r="M43" s="172">
        <f>IF(M$102=TRUE,SUMIF(資金繰り実績表!$A$2:$A$38,"その他財務収入",資金繰り実績表!M$2:M$38),資金繰り予定表!M43)</f>
        <v>0</v>
      </c>
      <c r="N43" s="160">
        <f t="shared" si="11"/>
        <v>11135384</v>
      </c>
      <c r="O43" s="153" t="str">
        <f t="shared" si="2"/>
        <v>その他財務収入</v>
      </c>
      <c r="P43" s="160">
        <f>資金繰り予定表!P43</f>
        <v>0</v>
      </c>
      <c r="Q43" s="160">
        <f>資金繰り予定表!Q43</f>
        <v>0</v>
      </c>
      <c r="R43" s="160">
        <f>資金繰り予定表!R43</f>
        <v>0</v>
      </c>
      <c r="S43" s="160">
        <f>資金繰り予定表!S43</f>
        <v>0</v>
      </c>
      <c r="T43" s="160">
        <f>資金繰り予定表!T43</f>
        <v>0</v>
      </c>
      <c r="U43" s="160">
        <f>資金繰り予定表!U43</f>
        <v>0</v>
      </c>
      <c r="V43" s="160">
        <f>資金繰り予定表!V43</f>
        <v>0</v>
      </c>
      <c r="W43" s="160">
        <f>資金繰り予定表!W43</f>
        <v>0</v>
      </c>
      <c r="X43" s="160">
        <f>資金繰り予定表!X43</f>
        <v>0</v>
      </c>
      <c r="Y43" s="160">
        <f>資金繰り予定表!Y43</f>
        <v>0</v>
      </c>
      <c r="Z43" s="160">
        <f>資金繰り予定表!Z43</f>
        <v>0</v>
      </c>
      <c r="AA43" s="160">
        <f>資金繰り予定表!AA43</f>
        <v>0</v>
      </c>
      <c r="AB43" s="160"/>
      <c r="AC43" s="160" t="str">
        <f t="shared" si="4"/>
        <v>その他財務収入</v>
      </c>
      <c r="AD43" s="160">
        <f>資金繰り予定表!AD43</f>
        <v>0</v>
      </c>
      <c r="AE43" s="160">
        <f>資金繰り予定表!AE43</f>
        <v>0</v>
      </c>
      <c r="AF43" s="160">
        <f>資金繰り予定表!AF43</f>
        <v>0</v>
      </c>
      <c r="AG43" s="160">
        <f>資金繰り予定表!AG43</f>
        <v>0</v>
      </c>
      <c r="AH43" s="160">
        <f>資金繰り予定表!AH43</f>
        <v>0</v>
      </c>
      <c r="AI43" s="160">
        <f>資金繰り予定表!AI43</f>
        <v>0</v>
      </c>
      <c r="AJ43" s="160">
        <f>資金繰り予定表!AJ43</f>
        <v>0</v>
      </c>
      <c r="AK43" s="160">
        <f>資金繰り予定表!AK43</f>
        <v>0</v>
      </c>
      <c r="AL43" s="160">
        <f>資金繰り予定表!AL43</f>
        <v>0</v>
      </c>
      <c r="AM43" s="160">
        <f>資金繰り予定表!AM43</f>
        <v>0</v>
      </c>
      <c r="AN43" s="160">
        <f>資金繰り予定表!AN43</f>
        <v>0</v>
      </c>
      <c r="AO43" s="160">
        <f>資金繰り予定表!AO43</f>
        <v>0</v>
      </c>
      <c r="AP43" s="160"/>
    </row>
    <row r="44" spans="1:42" ht="15">
      <c r="A44" s="161" t="s">
        <v>55</v>
      </c>
      <c r="B44" s="173">
        <f t="shared" ref="B44:M44" si="15">SUM(B39:B43)</f>
        <v>11135384</v>
      </c>
      <c r="C44" s="173">
        <f t="shared" si="15"/>
        <v>6823</v>
      </c>
      <c r="D44" s="173">
        <f t="shared" si="15"/>
        <v>2446</v>
      </c>
      <c r="E44" s="173">
        <f t="shared" si="15"/>
        <v>0</v>
      </c>
      <c r="F44" s="173">
        <f t="shared" si="15"/>
        <v>0</v>
      </c>
      <c r="G44" s="173">
        <f t="shared" si="15"/>
        <v>66051004</v>
      </c>
      <c r="H44" s="173">
        <f t="shared" si="15"/>
        <v>28867500</v>
      </c>
      <c r="I44" s="173">
        <f t="shared" si="15"/>
        <v>5033</v>
      </c>
      <c r="J44" s="173">
        <f t="shared" si="15"/>
        <v>1038</v>
      </c>
      <c r="K44" s="173">
        <f t="shared" si="15"/>
        <v>0</v>
      </c>
      <c r="L44" s="173">
        <f t="shared" si="15"/>
        <v>0</v>
      </c>
      <c r="M44" s="173">
        <f t="shared" si="15"/>
        <v>0</v>
      </c>
      <c r="N44" s="162">
        <f t="shared" si="11"/>
        <v>106069228</v>
      </c>
      <c r="O44" s="163" t="str">
        <f t="shared" si="2"/>
        <v>⑦財務収入合計</v>
      </c>
      <c r="P44" s="162">
        <f>資金繰り予定表!P44</f>
        <v>0</v>
      </c>
      <c r="Q44" s="162">
        <f>資金繰り予定表!Q44</f>
        <v>0</v>
      </c>
      <c r="R44" s="162">
        <f>資金繰り予定表!R44</f>
        <v>0</v>
      </c>
      <c r="S44" s="162">
        <f>資金繰り予定表!S44</f>
        <v>0</v>
      </c>
      <c r="T44" s="162">
        <f>資金繰り予定表!T44</f>
        <v>0</v>
      </c>
      <c r="U44" s="162">
        <f>資金繰り予定表!U44</f>
        <v>0</v>
      </c>
      <c r="V44" s="162">
        <f>資金繰り予定表!V44</f>
        <v>0</v>
      </c>
      <c r="W44" s="162">
        <f>資金繰り予定表!W44</f>
        <v>0</v>
      </c>
      <c r="X44" s="162">
        <f>資金繰り予定表!X44</f>
        <v>0</v>
      </c>
      <c r="Y44" s="162">
        <f>資金繰り予定表!Y44</f>
        <v>0</v>
      </c>
      <c r="Z44" s="162">
        <f>資金繰り予定表!Z44</f>
        <v>0</v>
      </c>
      <c r="AA44" s="162">
        <f>資金繰り予定表!AA44</f>
        <v>0</v>
      </c>
      <c r="AB44" s="162">
        <f t="shared" ref="AB44:AB48" si="16">SUM(P44:AA44)</f>
        <v>0</v>
      </c>
      <c r="AC44" s="162" t="str">
        <f t="shared" si="4"/>
        <v>⑦財務収入合計</v>
      </c>
      <c r="AD44" s="162">
        <f>資金繰り予定表!AD44</f>
        <v>0</v>
      </c>
      <c r="AE44" s="162">
        <f>資金繰り予定表!AE44</f>
        <v>0</v>
      </c>
      <c r="AF44" s="162">
        <f>資金繰り予定表!AF44</f>
        <v>0</v>
      </c>
      <c r="AG44" s="162">
        <f>資金繰り予定表!AG44</f>
        <v>0</v>
      </c>
      <c r="AH44" s="162">
        <f>資金繰り予定表!AH44</f>
        <v>0</v>
      </c>
      <c r="AI44" s="162">
        <f>資金繰り予定表!AI44</f>
        <v>0</v>
      </c>
      <c r="AJ44" s="162">
        <f>資金繰り予定表!AJ44</f>
        <v>0</v>
      </c>
      <c r="AK44" s="162">
        <f>資金繰り予定表!AK44</f>
        <v>0</v>
      </c>
      <c r="AL44" s="162">
        <f>資金繰り予定表!AL44</f>
        <v>0</v>
      </c>
      <c r="AM44" s="162">
        <f>資金繰り予定表!AM44</f>
        <v>0</v>
      </c>
      <c r="AN44" s="162">
        <f>資金繰り予定表!AN44</f>
        <v>0</v>
      </c>
      <c r="AO44" s="162">
        <f>資金繰り予定表!AO44</f>
        <v>0</v>
      </c>
      <c r="AP44" s="162">
        <f t="shared" ref="AP44:AP48" si="17">SUM(AD44:AO44)</f>
        <v>0</v>
      </c>
    </row>
    <row r="45" spans="1:42" ht="15">
      <c r="A45" s="159" t="str">
        <f>資金繰り予定表!A45</f>
        <v>短期借入金返済</v>
      </c>
      <c r="B45" s="172">
        <f>IF(B$102=TRUE,SUMIF(資金繰り実績表!$A$2:$A$41,"短期借入金返済",資金繰り実績表!B$2:B$41),資金繰り予定表!B45)</f>
        <v>0</v>
      </c>
      <c r="C45" s="172">
        <f>IF(C$102=TRUE,SUMIF(資金繰り実績表!$A$2:$A$38,"短期借入金返済",資金繰り実績表!C$2:C$38),資金繰り予定表!C45)</f>
        <v>0</v>
      </c>
      <c r="D45" s="172">
        <f>IF(D$102=TRUE,SUMIF(資金繰り実績表!$A$2:$A$38,"短期借入金返済",資金繰り実績表!D$2:D$38),資金繰り予定表!D45)</f>
        <v>0</v>
      </c>
      <c r="E45" s="172">
        <f>IF(E$102=TRUE,SUMIF(資金繰り実績表!$A$2:$A$38,"短期借入金返済",資金繰り実績表!E$2:E$38),資金繰り予定表!E45)</f>
        <v>0</v>
      </c>
      <c r="F45" s="172">
        <f>IF(F$102=TRUE,SUMIF(資金繰り実績表!$A$2:$A$38,"短期借入金返済",資金繰り実績表!F$2:F$38),資金繰り予定表!F45)</f>
        <v>0</v>
      </c>
      <c r="G45" s="172">
        <f>IF(G$102=TRUE,SUMIF(資金繰り実績表!$A$2:$A$38,"短期借入金返済",資金繰り実績表!G$2:G$38),資金繰り予定表!G45)</f>
        <v>0</v>
      </c>
      <c r="H45" s="172">
        <f>IF(H$102=TRUE,SUMIF(資金繰り実績表!$A$2:$A$38,"短期借入金返済",資金繰り実績表!H$2:H$38),資金繰り予定表!H45)</f>
        <v>0</v>
      </c>
      <c r="I45" s="172">
        <f>IF(I$102=TRUE,SUMIF(資金繰り実績表!$A$2:$A$38,"短期借入金返済",資金繰り実績表!I$2:I$38),資金繰り予定表!I45)</f>
        <v>0</v>
      </c>
      <c r="J45" s="172">
        <f>IF(J$102=TRUE,SUMIF(資金繰り実績表!$A$2:$A$38,"短期借入金返済",資金繰り実績表!J$2:J$38),資金繰り予定表!J45)</f>
        <v>0</v>
      </c>
      <c r="K45" s="172">
        <f>IF(K$102=TRUE,SUMIF(資金繰り実績表!$A$2:$A$38,"短期借入金返済",資金繰り実績表!K$2:K$38),資金繰り予定表!K45)</f>
        <v>0</v>
      </c>
      <c r="L45" s="172">
        <f>IF(L$102=TRUE,SUMIF(資金繰り実績表!$A$2:$A$38,"短期借入金返済",資金繰り実績表!L$2:L$38),資金繰り予定表!L45)</f>
        <v>0</v>
      </c>
      <c r="M45" s="172">
        <f>IF(M$102=TRUE,SUMIF(資金繰り実績表!$A$2:$A$38,"短期借入金返済",資金繰り実績表!M$2:M$38),資金繰り予定表!M45)</f>
        <v>0</v>
      </c>
      <c r="N45" s="160">
        <f t="shared" si="11"/>
        <v>0</v>
      </c>
      <c r="O45" s="153" t="str">
        <f t="shared" si="2"/>
        <v>短期借入金返済</v>
      </c>
      <c r="P45" s="160">
        <f>資金繰り予定表!P45</f>
        <v>0</v>
      </c>
      <c r="Q45" s="160">
        <f>資金繰り予定表!Q45</f>
        <v>0</v>
      </c>
      <c r="R45" s="160">
        <f>資金繰り予定表!R45</f>
        <v>0</v>
      </c>
      <c r="S45" s="160">
        <f>資金繰り予定表!S45</f>
        <v>0</v>
      </c>
      <c r="T45" s="160">
        <f>資金繰り予定表!T45</f>
        <v>0</v>
      </c>
      <c r="U45" s="160">
        <f>資金繰り予定表!U45</f>
        <v>0</v>
      </c>
      <c r="V45" s="160">
        <f>資金繰り予定表!V45</f>
        <v>0</v>
      </c>
      <c r="W45" s="160">
        <f>資金繰り予定表!W45</f>
        <v>0</v>
      </c>
      <c r="X45" s="160">
        <f>資金繰り予定表!X45</f>
        <v>0</v>
      </c>
      <c r="Y45" s="160">
        <f>資金繰り予定表!Y45</f>
        <v>0</v>
      </c>
      <c r="Z45" s="160">
        <f>資金繰り予定表!Z45</f>
        <v>0</v>
      </c>
      <c r="AA45" s="160">
        <f>資金繰り予定表!AA45</f>
        <v>0</v>
      </c>
      <c r="AB45" s="160">
        <f t="shared" si="16"/>
        <v>0</v>
      </c>
      <c r="AC45" s="160" t="str">
        <f t="shared" si="4"/>
        <v>短期借入金返済</v>
      </c>
      <c r="AD45" s="160">
        <f>資金繰り予定表!AD45</f>
        <v>0</v>
      </c>
      <c r="AE45" s="160">
        <f>資金繰り予定表!AE45</f>
        <v>0</v>
      </c>
      <c r="AF45" s="160">
        <f>資金繰り予定表!AF45</f>
        <v>0</v>
      </c>
      <c r="AG45" s="160">
        <f>資金繰り予定表!AG45</f>
        <v>0</v>
      </c>
      <c r="AH45" s="160">
        <f>資金繰り予定表!AH45</f>
        <v>0</v>
      </c>
      <c r="AI45" s="160">
        <f>資金繰り予定表!AI45</f>
        <v>0</v>
      </c>
      <c r="AJ45" s="160">
        <f>資金繰り予定表!AJ45</f>
        <v>0</v>
      </c>
      <c r="AK45" s="160">
        <f>資金繰り予定表!AK45</f>
        <v>0</v>
      </c>
      <c r="AL45" s="160">
        <f>資金繰り予定表!AL45</f>
        <v>0</v>
      </c>
      <c r="AM45" s="160">
        <f>資金繰り予定表!AM45</f>
        <v>0</v>
      </c>
      <c r="AN45" s="160">
        <f>資金繰り予定表!AN45</f>
        <v>0</v>
      </c>
      <c r="AO45" s="160">
        <f>資金繰り予定表!AO45</f>
        <v>0</v>
      </c>
      <c r="AP45" s="160">
        <f t="shared" si="17"/>
        <v>0</v>
      </c>
    </row>
    <row r="46" spans="1:42" ht="15">
      <c r="A46" s="159" t="str">
        <f>資金繰り予定表!A46</f>
        <v>長期借入金返済</v>
      </c>
      <c r="B46" s="172">
        <f>IF(B$102=TRUE,SUMIF(資金繰り実績表!$A$2:$A$38,"長期借入金返済",資金繰り実績表!B$2:B$38),資金繰り予定表!B46)</f>
        <v>1689913</v>
      </c>
      <c r="C46" s="172">
        <f>IF(C$102=TRUE,SUMIF(資金繰り実績表!$A$2:$A$38,"長期借入金返済",資金繰り実績表!C$2:C$38),資金繰り予定表!C46)</f>
        <v>0</v>
      </c>
      <c r="D46" s="172">
        <f>IF(D$102=TRUE,SUMIF(資金繰り実績表!$A$2:$A$38,"長期借入金返済",資金繰り実績表!D$2:D$38),資金繰り予定表!D46)</f>
        <v>4006170</v>
      </c>
      <c r="E46" s="172">
        <f>IF(E$102=TRUE,SUMIF(資金繰り実績表!$A$2:$A$38,"長期借入金返済",資金繰り実績表!E$2:E$38),資金繰り予定表!E46)</f>
        <v>2003083</v>
      </c>
      <c r="F46" s="172">
        <f>IF(F$102=TRUE,SUMIF(資金繰り実績表!$A$2:$A$38,"長期借入金返済",資金繰り実績表!F$2:F$38),資金繰り予定表!F46)</f>
        <v>0</v>
      </c>
      <c r="G46" s="172">
        <f>IF(G$102=TRUE,SUMIF(資金繰り実績表!$A$2:$A$38,"長期借入金返済",資金繰り実績表!G$2:G$38),資金繰り予定表!G46)</f>
        <v>43408783</v>
      </c>
      <c r="H46" s="172">
        <f>IF(H$102=TRUE,SUMIF(資金繰り実績表!$A$2:$A$38,"長期借入金返済",資金繰り実績表!H$2:H$38),資金繰り予定表!H46)</f>
        <v>32246230</v>
      </c>
      <c r="I46" s="172">
        <f>IF(I$102=TRUE,SUMIF(資金繰り実績表!$A$2:$A$38,"長期借入金返済",資金繰り実績表!I$2:I$38),資金繰り予定表!I46)</f>
        <v>2242348</v>
      </c>
      <c r="J46" s="172">
        <f>IF(J$102=TRUE,SUMIF(資金繰り実績表!$A$2:$A$38,"長期借入金返済",資金繰り実績表!J$2:J$38),資金繰り予定表!J46)</f>
        <v>3522286</v>
      </c>
      <c r="K46" s="172">
        <f>IF(K$102=TRUE,SUMIF(資金繰り実績表!$A$2:$A$38,"長期借入金返済",資金繰り実績表!K$2:K$38),資金繰り予定表!K46)</f>
        <v>0</v>
      </c>
      <c r="L46" s="172">
        <f>IF(L$102=TRUE,SUMIF(資金繰り実績表!$A$2:$A$38,"長期借入金返済",資金繰り実績表!L$2:L$38),資金繰り予定表!L46)</f>
        <v>0</v>
      </c>
      <c r="M46" s="172">
        <f>IF(M$102=TRUE,SUMIF(資金繰り実績表!$A$2:$A$38,"長期借入金返済",資金繰り実績表!M$2:M$38),資金繰り予定表!M46)</f>
        <v>0</v>
      </c>
      <c r="N46" s="160">
        <f t="shared" si="11"/>
        <v>89118813</v>
      </c>
      <c r="O46" s="153" t="str">
        <f t="shared" si="2"/>
        <v>長期借入金返済</v>
      </c>
      <c r="P46" s="160">
        <f>資金繰り予定表!P46</f>
        <v>0</v>
      </c>
      <c r="Q46" s="160">
        <f>資金繰り予定表!Q46</f>
        <v>0</v>
      </c>
      <c r="R46" s="160">
        <f>資金繰り予定表!R46</f>
        <v>0</v>
      </c>
      <c r="S46" s="160">
        <f>資金繰り予定表!S46</f>
        <v>0</v>
      </c>
      <c r="T46" s="160">
        <f>資金繰り予定表!T46</f>
        <v>0</v>
      </c>
      <c r="U46" s="160">
        <f>資金繰り予定表!U46</f>
        <v>0</v>
      </c>
      <c r="V46" s="160">
        <f>資金繰り予定表!V46</f>
        <v>0</v>
      </c>
      <c r="W46" s="160">
        <f>資金繰り予定表!W46</f>
        <v>0</v>
      </c>
      <c r="X46" s="160">
        <f>資金繰り予定表!X46</f>
        <v>0</v>
      </c>
      <c r="Y46" s="160">
        <f>資金繰り予定表!Y46</f>
        <v>0</v>
      </c>
      <c r="Z46" s="160">
        <f>資金繰り予定表!Z46</f>
        <v>0</v>
      </c>
      <c r="AA46" s="160">
        <f>資金繰り予定表!AA46</f>
        <v>0</v>
      </c>
      <c r="AB46" s="160">
        <f t="shared" si="16"/>
        <v>0</v>
      </c>
      <c r="AC46" s="160" t="str">
        <f t="shared" si="4"/>
        <v>長期借入金返済</v>
      </c>
      <c r="AD46" s="160">
        <f>資金繰り予定表!AD46</f>
        <v>0</v>
      </c>
      <c r="AE46" s="160">
        <f>資金繰り予定表!AE46</f>
        <v>0</v>
      </c>
      <c r="AF46" s="160">
        <f>資金繰り予定表!AF46</f>
        <v>0</v>
      </c>
      <c r="AG46" s="160">
        <f>資金繰り予定表!AG46</f>
        <v>0</v>
      </c>
      <c r="AH46" s="160">
        <f>資金繰り予定表!AH46</f>
        <v>0</v>
      </c>
      <c r="AI46" s="160">
        <f>資金繰り予定表!AI46</f>
        <v>0</v>
      </c>
      <c r="AJ46" s="160">
        <f>資金繰り予定表!AJ46</f>
        <v>0</v>
      </c>
      <c r="AK46" s="160">
        <f>資金繰り予定表!AK46</f>
        <v>0</v>
      </c>
      <c r="AL46" s="160">
        <f>資金繰り予定表!AL46</f>
        <v>0</v>
      </c>
      <c r="AM46" s="160">
        <f>資金繰り予定表!AM46</f>
        <v>0</v>
      </c>
      <c r="AN46" s="160">
        <f>資金繰り予定表!AN46</f>
        <v>0</v>
      </c>
      <c r="AO46" s="160">
        <f>資金繰り予定表!AO46</f>
        <v>0</v>
      </c>
      <c r="AP46" s="160">
        <f t="shared" si="17"/>
        <v>0</v>
      </c>
    </row>
    <row r="47" spans="1:42" ht="15">
      <c r="A47" s="159" t="str">
        <f>資金繰り予定表!A47</f>
        <v>役員・関係会社へ支出</v>
      </c>
      <c r="B47" s="172">
        <f>IF(B$102=TRUE,SUMIF(資金繰り実績表!$A$2:$A$41,"役員・関係会社へ支出",資金繰り実績表!B$2:B$41),資金繰り予定表!B47)</f>
        <v>150550</v>
      </c>
      <c r="C47" s="172">
        <f>IF(C$102=TRUE,SUMIF(資金繰り実績表!$A$2:$A$41,"役員・関係会社へ支出",資金繰り実績表!C$2:C$41),資金繰り予定表!C47)</f>
        <v>0</v>
      </c>
      <c r="D47" s="172">
        <f>IF(D$102=TRUE,SUMIF(資金繰り実績表!$A$2:$A$41,"役員・関係会社へ支出",資金繰り実績表!D$2:D$41),資金繰り予定表!D47)</f>
        <v>150000</v>
      </c>
      <c r="E47" s="172">
        <f>IF(E$102=TRUE,SUMIF(資金繰り実績表!$A$2:$A$41,"役員・関係会社へ支出",資金繰り実績表!E$2:E$41),資金繰り予定表!E47)</f>
        <v>0</v>
      </c>
      <c r="F47" s="172">
        <f>IF(F$102=TRUE,SUMIF(資金繰り実績表!$A$2:$A$41,"役員・関係会社へ支出",資金繰り実績表!F$2:F$41),資金繰り予定表!F47)</f>
        <v>0</v>
      </c>
      <c r="G47" s="172">
        <f>IF(G$102=TRUE,SUMIF(資金繰り実績表!$A$2:$A$41,"役員・関係会社へ支出",資金繰り実績表!G$2:G$41),資金繰り予定表!G47)</f>
        <v>450900</v>
      </c>
      <c r="H47" s="172">
        <f>IF(H$102=TRUE,SUMIF(資金繰り実績表!$A$2:$A$41,"役員・関係会社へ支出",資金繰り実績表!H$2:H$41),資金繰り予定表!H47)</f>
        <v>0</v>
      </c>
      <c r="I47" s="172">
        <f>IF(I$102=TRUE,SUMIF(資金繰り実績表!$A$2:$A$41,"役員・関係会社へ支出",資金繰り実績表!I$2:I$41),資金繰り予定表!I47)</f>
        <v>0</v>
      </c>
      <c r="J47" s="172">
        <f>IF(J$102=TRUE,SUMIF(資金繰り実績表!$A$2:$A$41,"役員・関係会社へ支出",資金繰り実績表!J$2:J$41),資金繰り予定表!J47)</f>
        <v>0</v>
      </c>
      <c r="K47" s="172">
        <f>IF(K$102=TRUE,SUMIF(資金繰り実績表!$A$2:$A$41,"役員・関係会社へ支出",資金繰り実績表!K$2:K$41),資金繰り予定表!K47)</f>
        <v>0</v>
      </c>
      <c r="L47" s="172">
        <f>IF(L$102=TRUE,SUMIF(資金繰り実績表!$A$2:$A$41,"役員・関係会社へ支出",資金繰り実績表!L$2:L$41),資金繰り予定表!L47)</f>
        <v>0</v>
      </c>
      <c r="M47" s="172">
        <f>IF(M$102=TRUE,SUMIF(資金繰り実績表!$A$2:$A$41,"役員・関係会社へ支出",資金繰り実績表!M$2:M$41),資金繰り予定表!M47)</f>
        <v>0</v>
      </c>
      <c r="N47" s="160">
        <f t="shared" si="11"/>
        <v>751450</v>
      </c>
      <c r="O47" s="153" t="str">
        <f t="shared" si="2"/>
        <v>役員・関係会社へ支出</v>
      </c>
      <c r="P47" s="160">
        <f>資金繰り予定表!P47</f>
        <v>0</v>
      </c>
      <c r="Q47" s="160">
        <f>資金繰り予定表!Q47</f>
        <v>0</v>
      </c>
      <c r="R47" s="160">
        <f>資金繰り予定表!R47</f>
        <v>0</v>
      </c>
      <c r="S47" s="160">
        <f>資金繰り予定表!S47</f>
        <v>0</v>
      </c>
      <c r="T47" s="160">
        <f>資金繰り予定表!T47</f>
        <v>0</v>
      </c>
      <c r="U47" s="160">
        <f>資金繰り予定表!U47</f>
        <v>0</v>
      </c>
      <c r="V47" s="160">
        <f>資金繰り予定表!V47</f>
        <v>0</v>
      </c>
      <c r="W47" s="160">
        <f>資金繰り予定表!W47</f>
        <v>0</v>
      </c>
      <c r="X47" s="160">
        <f>資金繰り予定表!X47</f>
        <v>0</v>
      </c>
      <c r="Y47" s="160">
        <f>資金繰り予定表!Y47</f>
        <v>0</v>
      </c>
      <c r="Z47" s="160">
        <f>資金繰り予定表!Z47</f>
        <v>0</v>
      </c>
      <c r="AA47" s="160">
        <f>資金繰り予定表!AA47</f>
        <v>0</v>
      </c>
      <c r="AB47" s="160">
        <f t="shared" si="16"/>
        <v>0</v>
      </c>
      <c r="AC47" s="160" t="str">
        <f t="shared" si="4"/>
        <v>役員・関係会社へ支出</v>
      </c>
      <c r="AD47" s="160">
        <f>資金繰り予定表!AD47</f>
        <v>0</v>
      </c>
      <c r="AE47" s="160">
        <f>資金繰り予定表!AE47</f>
        <v>0</v>
      </c>
      <c r="AF47" s="160">
        <f>資金繰り予定表!AF47</f>
        <v>0</v>
      </c>
      <c r="AG47" s="160">
        <f>資金繰り予定表!AG47</f>
        <v>0</v>
      </c>
      <c r="AH47" s="160">
        <f>資金繰り予定表!AH47</f>
        <v>0</v>
      </c>
      <c r="AI47" s="160">
        <f>資金繰り予定表!AI47</f>
        <v>0</v>
      </c>
      <c r="AJ47" s="160">
        <f>資金繰り予定表!AJ47</f>
        <v>0</v>
      </c>
      <c r="AK47" s="160">
        <f>資金繰り予定表!AK47</f>
        <v>0</v>
      </c>
      <c r="AL47" s="160">
        <f>資金繰り予定表!AL47</f>
        <v>0</v>
      </c>
      <c r="AM47" s="160">
        <f>資金繰り予定表!AM47</f>
        <v>0</v>
      </c>
      <c r="AN47" s="160">
        <f>資金繰り予定表!AN47</f>
        <v>0</v>
      </c>
      <c r="AO47" s="160">
        <f>資金繰り予定表!AO47</f>
        <v>0</v>
      </c>
      <c r="AP47" s="160">
        <f t="shared" si="17"/>
        <v>0</v>
      </c>
    </row>
    <row r="48" spans="1:42" ht="15">
      <c r="A48" s="159" t="str">
        <f>資金繰り予定表!A48</f>
        <v>支払利息・保証料</v>
      </c>
      <c r="B48" s="172">
        <f>IF(B$102=TRUE,SUMIF(資金繰り実績表!$A$2:$A$41,"支払利息・保証料",資金繰り実績表!B$2:B$41),資金繰り予定表!B48)</f>
        <v>135045</v>
      </c>
      <c r="C48" s="172">
        <f>IF(C$102=TRUE,SUMIF(資金繰り実績表!$A$2:$A$41,"支払利息・保証料",資金繰り実績表!C$2:C$41),資金繰り予定表!C48)</f>
        <v>0</v>
      </c>
      <c r="D48" s="172">
        <f>IF(D$102=TRUE,SUMIF(資金繰り実績表!$A$2:$A$41,"支払利息・保証料",資金繰り実績表!D$2:D$41),資金繰り予定表!D48)</f>
        <v>173666</v>
      </c>
      <c r="E48" s="172">
        <f>IF(E$102=TRUE,SUMIF(資金繰り実績表!$A$2:$A$41,"支払利息・保証料",資金繰り実績表!E$2:E$41),資金繰り予定表!E48)</f>
        <v>88038</v>
      </c>
      <c r="F48" s="172">
        <f>IF(F$102=TRUE,SUMIF(資金繰り実績表!$A$2:$A$41,"支払利息・保証料",資金繰り実績表!F$2:F$41),資金繰り予定表!F48)</f>
        <v>0</v>
      </c>
      <c r="G48" s="172">
        <f>IF(G$102=TRUE,SUMIF(資金繰り実績表!$A$2:$A$41,"支払利息・保証料",資金繰り実績表!G$2:G$41),資金繰り予定表!G48)</f>
        <v>1632975</v>
      </c>
      <c r="H48" s="172">
        <f>IF(H$102=TRUE,SUMIF(資金繰り実績表!$A$2:$A$41,"支払利息・保証料",資金繰り実績表!H$2:H$41),資金繰り予定表!H48)</f>
        <v>77461</v>
      </c>
      <c r="I48" s="172">
        <f>IF(I$102=TRUE,SUMIF(資金繰り実績表!$A$2:$A$41,"支払利息・保証料",資金繰り実績表!I$2:I$41),資金繰り予定表!I48)</f>
        <v>76432</v>
      </c>
      <c r="J48" s="172">
        <f>IF(J$102=TRUE,SUMIF(資金繰り実績表!$A$2:$A$41,"支払利息・保証料",資金繰り実績表!J$2:J$41),資金繰り予定表!J48)</f>
        <v>174878</v>
      </c>
      <c r="K48" s="172">
        <f>IF(K$102=TRUE,SUMIF(資金繰り実績表!$A$2:$A$41,"支払利息・保証料",資金繰り実績表!K$2:K$41),資金繰り予定表!K48)</f>
        <v>0</v>
      </c>
      <c r="L48" s="172">
        <f>IF(L$102=TRUE,SUMIF(資金繰り実績表!$A$2:$A$41,"支払利息・保証料",資金繰り実績表!L$2:L$41),資金繰り予定表!L48)</f>
        <v>0</v>
      </c>
      <c r="M48" s="172">
        <f>IF(M$102=TRUE,SUMIF(資金繰り実績表!$A$2:$A$41,"支払利息・保証料",資金繰り実績表!M$2:M$41),資金繰り予定表!M48)</f>
        <v>0</v>
      </c>
      <c r="N48" s="160">
        <f t="shared" si="11"/>
        <v>2358495</v>
      </c>
      <c r="O48" s="153" t="str">
        <f t="shared" si="2"/>
        <v>支払利息・保証料</v>
      </c>
      <c r="P48" s="160">
        <f>資金繰り予定表!P48</f>
        <v>0</v>
      </c>
      <c r="Q48" s="160">
        <f>資金繰り予定表!Q48</f>
        <v>0</v>
      </c>
      <c r="R48" s="160">
        <f>資金繰り予定表!R48</f>
        <v>0</v>
      </c>
      <c r="S48" s="160">
        <f>資金繰り予定表!S48</f>
        <v>0</v>
      </c>
      <c r="T48" s="160">
        <f>資金繰り予定表!T48</f>
        <v>0</v>
      </c>
      <c r="U48" s="160">
        <f>資金繰り予定表!U48</f>
        <v>0</v>
      </c>
      <c r="V48" s="160">
        <f>資金繰り予定表!V48</f>
        <v>0</v>
      </c>
      <c r="W48" s="160">
        <f>資金繰り予定表!W48</f>
        <v>0</v>
      </c>
      <c r="X48" s="160">
        <f>資金繰り予定表!X48</f>
        <v>0</v>
      </c>
      <c r="Y48" s="160">
        <f>資金繰り予定表!Y48</f>
        <v>0</v>
      </c>
      <c r="Z48" s="160">
        <f>資金繰り予定表!Z48</f>
        <v>0</v>
      </c>
      <c r="AA48" s="160">
        <f>資金繰り予定表!AA48</f>
        <v>0</v>
      </c>
      <c r="AB48" s="160">
        <f t="shared" si="16"/>
        <v>0</v>
      </c>
      <c r="AC48" s="160" t="str">
        <f t="shared" si="4"/>
        <v>支払利息・保証料</v>
      </c>
      <c r="AD48" s="160">
        <f>資金繰り予定表!AD48</f>
        <v>0</v>
      </c>
      <c r="AE48" s="160">
        <f>資金繰り予定表!AE48</f>
        <v>0</v>
      </c>
      <c r="AF48" s="160">
        <f>資金繰り予定表!AF48</f>
        <v>0</v>
      </c>
      <c r="AG48" s="160">
        <f>資金繰り予定表!AG48</f>
        <v>0</v>
      </c>
      <c r="AH48" s="160">
        <f>資金繰り予定表!AH48</f>
        <v>0</v>
      </c>
      <c r="AI48" s="160">
        <f>資金繰り予定表!AI48</f>
        <v>0</v>
      </c>
      <c r="AJ48" s="160">
        <f>資金繰り予定表!AJ48</f>
        <v>0</v>
      </c>
      <c r="AK48" s="160">
        <f>資金繰り予定表!AK48</f>
        <v>0</v>
      </c>
      <c r="AL48" s="160">
        <f>資金繰り予定表!AL48</f>
        <v>0</v>
      </c>
      <c r="AM48" s="160">
        <f>資金繰り予定表!AM48</f>
        <v>0</v>
      </c>
      <c r="AN48" s="160">
        <f>資金繰り予定表!AN48</f>
        <v>0</v>
      </c>
      <c r="AO48" s="160">
        <f>資金繰り予定表!AO48</f>
        <v>0</v>
      </c>
      <c r="AP48" s="160">
        <f t="shared" si="17"/>
        <v>0</v>
      </c>
    </row>
    <row r="49" spans="1:42" ht="15">
      <c r="A49" s="159" t="str">
        <f>資金繰り予定表!A49</f>
        <v>その他財務支出</v>
      </c>
      <c r="B49" s="172">
        <f>IF(B$102=TRUE,SUMIF(資金繰り実績表!$A$2:$A$41,"その他財務支出",資金繰り実績表!B$2:B$41),資金繰り予定表!B49)</f>
        <v>0</v>
      </c>
      <c r="C49" s="172">
        <f>IF(C$102=TRUE,SUMIF(資金繰り実績表!$A$2:$A$41,"その他財務支出",資金繰り実績表!C$2:C$41),資金繰り予定表!C49)</f>
        <v>0</v>
      </c>
      <c r="D49" s="172">
        <f>IF(D$102=TRUE,SUMIF(資金繰り実績表!$A$2:$A$41,"その他財務支出",資金繰り実績表!D$2:D$41),資金繰り予定表!D49)</f>
        <v>0</v>
      </c>
      <c r="E49" s="172">
        <f>IF(E$102=TRUE,SUMIF(資金繰り実績表!$A$2:$A$41,"その他財務支出",資金繰り実績表!E$2:E$41),資金繰り予定表!E49)</f>
        <v>0</v>
      </c>
      <c r="F49" s="172">
        <f>IF(F$102=TRUE,SUMIF(資金繰り実績表!$A$2:$A$41,"その他財務支出",資金繰り実績表!F$2:F$41),資金繰り予定表!F49)</f>
        <v>0</v>
      </c>
      <c r="G49" s="172">
        <f>IF(G$102=TRUE,SUMIF(資金繰り実績表!$A$2:$A$41,"その他財務支出",資金繰り実績表!G$2:G$41),資金繰り予定表!G49)</f>
        <v>0</v>
      </c>
      <c r="H49" s="172">
        <f>IF(H$102=TRUE,SUMIF(資金繰り実績表!$A$2:$A$41,"その他財務支出",資金繰り実績表!H$2:H$41),資金繰り予定表!H49)</f>
        <v>0</v>
      </c>
      <c r="I49" s="172">
        <f>IF(I$102=TRUE,SUMIF(資金繰り実績表!$A$2:$A$41,"その他財務支出",資金繰り実績表!I$2:I$41),資金繰り予定表!I49)</f>
        <v>0</v>
      </c>
      <c r="J49" s="172">
        <f>IF(J$102=TRUE,SUMIF(資金繰り実績表!$A$2:$A$41,"その他財務支出",資金繰り実績表!J$2:J$41),資金繰り予定表!J49)</f>
        <v>0</v>
      </c>
      <c r="K49" s="172">
        <f>IF(K$102=TRUE,SUMIF(資金繰り実績表!$A$2:$A$41,"その他財務支出",資金繰り実績表!K$2:K$41),資金繰り予定表!K49)</f>
        <v>0</v>
      </c>
      <c r="L49" s="172">
        <f>IF(L$102=TRUE,SUMIF(資金繰り実績表!$A$2:$A$41,"その他財務支出",資金繰り実績表!L$2:L$41),資金繰り予定表!L49)</f>
        <v>0</v>
      </c>
      <c r="M49" s="172">
        <f>IF(M$102=TRUE,SUMIF(資金繰り実績表!$A$2:$A$41,"その他財務支出",資金繰り実績表!M$2:M$41),資金繰り予定表!M49)</f>
        <v>0</v>
      </c>
      <c r="N49" s="160"/>
      <c r="O49" s="153" t="str">
        <f t="shared" si="2"/>
        <v>その他財務支出</v>
      </c>
      <c r="P49" s="160">
        <f>資金繰り予定表!P49</f>
        <v>0</v>
      </c>
      <c r="Q49" s="160">
        <f>資金繰り予定表!Q49</f>
        <v>0</v>
      </c>
      <c r="R49" s="160">
        <f>資金繰り予定表!R49</f>
        <v>0</v>
      </c>
      <c r="S49" s="160">
        <f>資金繰り予定表!S49</f>
        <v>0</v>
      </c>
      <c r="T49" s="160">
        <f>資金繰り予定表!T49</f>
        <v>0</v>
      </c>
      <c r="U49" s="160">
        <f>資金繰り予定表!U49</f>
        <v>0</v>
      </c>
      <c r="V49" s="160">
        <f>資金繰り予定表!V49</f>
        <v>0</v>
      </c>
      <c r="W49" s="160">
        <f>資金繰り予定表!W49</f>
        <v>0</v>
      </c>
      <c r="X49" s="160">
        <f>資金繰り予定表!X49</f>
        <v>0</v>
      </c>
      <c r="Y49" s="160">
        <f>資金繰り予定表!Y49</f>
        <v>0</v>
      </c>
      <c r="Z49" s="160">
        <f>資金繰り予定表!Z49</f>
        <v>0</v>
      </c>
      <c r="AA49" s="160">
        <f>資金繰り予定表!AA49</f>
        <v>0</v>
      </c>
      <c r="AB49" s="160"/>
      <c r="AC49" s="160" t="str">
        <f t="shared" si="4"/>
        <v>その他財務支出</v>
      </c>
      <c r="AD49" s="160">
        <f>資金繰り予定表!AD49</f>
        <v>0</v>
      </c>
      <c r="AE49" s="160">
        <f>資金繰り予定表!AE49</f>
        <v>0</v>
      </c>
      <c r="AF49" s="160">
        <f>資金繰り予定表!AF49</f>
        <v>0</v>
      </c>
      <c r="AG49" s="160">
        <f>資金繰り予定表!AG49</f>
        <v>0</v>
      </c>
      <c r="AH49" s="160">
        <f>資金繰り予定表!AH49</f>
        <v>0</v>
      </c>
      <c r="AI49" s="160">
        <f>資金繰り予定表!AI49</f>
        <v>0</v>
      </c>
      <c r="AJ49" s="160">
        <f>資金繰り予定表!AJ49</f>
        <v>0</v>
      </c>
      <c r="AK49" s="160">
        <f>資金繰り予定表!AK49</f>
        <v>0</v>
      </c>
      <c r="AL49" s="160">
        <f>資金繰り予定表!AL49</f>
        <v>0</v>
      </c>
      <c r="AM49" s="160">
        <f>資金繰り予定表!AM49</f>
        <v>0</v>
      </c>
      <c r="AN49" s="160">
        <f>資金繰り予定表!AN49</f>
        <v>0</v>
      </c>
      <c r="AO49" s="160">
        <f>資金繰り予定表!AO49</f>
        <v>0</v>
      </c>
      <c r="AP49" s="160"/>
    </row>
    <row r="50" spans="1:42" ht="15">
      <c r="A50" s="161" t="s">
        <v>56</v>
      </c>
      <c r="B50" s="173">
        <f t="shared" ref="B50:M50" si="18">SUM(B45:B48)</f>
        <v>1975508</v>
      </c>
      <c r="C50" s="173">
        <f t="shared" si="18"/>
        <v>0</v>
      </c>
      <c r="D50" s="173">
        <f t="shared" si="18"/>
        <v>4329836</v>
      </c>
      <c r="E50" s="173">
        <f t="shared" si="18"/>
        <v>2091121</v>
      </c>
      <c r="F50" s="173">
        <f t="shared" si="18"/>
        <v>0</v>
      </c>
      <c r="G50" s="173">
        <f t="shared" si="18"/>
        <v>45492658</v>
      </c>
      <c r="H50" s="173">
        <f t="shared" si="18"/>
        <v>32323691</v>
      </c>
      <c r="I50" s="173">
        <f t="shared" si="18"/>
        <v>2318780</v>
      </c>
      <c r="J50" s="173">
        <f t="shared" si="18"/>
        <v>3697164</v>
      </c>
      <c r="K50" s="173">
        <f t="shared" si="18"/>
        <v>0</v>
      </c>
      <c r="L50" s="173">
        <f t="shared" si="18"/>
        <v>0</v>
      </c>
      <c r="M50" s="173">
        <f t="shared" si="18"/>
        <v>0</v>
      </c>
      <c r="N50" s="162">
        <f t="shared" ref="N50:N54" si="19">SUM(B50:M50)</f>
        <v>92228758</v>
      </c>
      <c r="O50" s="163" t="str">
        <f t="shared" si="2"/>
        <v>⑧財務支出合計</v>
      </c>
      <c r="P50" s="162">
        <f>資金繰り予定表!P50</f>
        <v>0</v>
      </c>
      <c r="Q50" s="162">
        <f>資金繰り予定表!Q50</f>
        <v>0</v>
      </c>
      <c r="R50" s="162">
        <f>資金繰り予定表!R50</f>
        <v>0</v>
      </c>
      <c r="S50" s="162">
        <f>資金繰り予定表!S50</f>
        <v>0</v>
      </c>
      <c r="T50" s="162">
        <f>資金繰り予定表!T50</f>
        <v>0</v>
      </c>
      <c r="U50" s="162">
        <f>資金繰り予定表!U50</f>
        <v>0</v>
      </c>
      <c r="V50" s="162">
        <f>資金繰り予定表!V50</f>
        <v>0</v>
      </c>
      <c r="W50" s="162">
        <f>資金繰り予定表!W50</f>
        <v>0</v>
      </c>
      <c r="X50" s="162">
        <f>資金繰り予定表!X50</f>
        <v>0</v>
      </c>
      <c r="Y50" s="162">
        <f>資金繰り予定表!Y50</f>
        <v>0</v>
      </c>
      <c r="Z50" s="162">
        <f>資金繰り予定表!Z50</f>
        <v>0</v>
      </c>
      <c r="AA50" s="162">
        <f>資金繰り予定表!AA50</f>
        <v>0</v>
      </c>
      <c r="AB50" s="162">
        <f t="shared" ref="AB50:AB54" si="20">SUM(P50:AA50)</f>
        <v>0</v>
      </c>
      <c r="AC50" s="162" t="str">
        <f t="shared" si="4"/>
        <v>⑧財務支出合計</v>
      </c>
      <c r="AD50" s="162">
        <f>資金繰り予定表!AD50</f>
        <v>0</v>
      </c>
      <c r="AE50" s="162">
        <f>資金繰り予定表!AE50</f>
        <v>0</v>
      </c>
      <c r="AF50" s="162">
        <f>資金繰り予定表!AF50</f>
        <v>0</v>
      </c>
      <c r="AG50" s="162">
        <f>資金繰り予定表!AG50</f>
        <v>0</v>
      </c>
      <c r="AH50" s="162">
        <f>資金繰り予定表!AH50</f>
        <v>0</v>
      </c>
      <c r="AI50" s="162">
        <f>資金繰り予定表!AI50</f>
        <v>0</v>
      </c>
      <c r="AJ50" s="162">
        <f>資金繰り予定表!AJ50</f>
        <v>0</v>
      </c>
      <c r="AK50" s="162">
        <f>資金繰り予定表!AK50</f>
        <v>0</v>
      </c>
      <c r="AL50" s="162">
        <f>資金繰り予定表!AL50</f>
        <v>0</v>
      </c>
      <c r="AM50" s="162">
        <f>資金繰り予定表!AM50</f>
        <v>0</v>
      </c>
      <c r="AN50" s="162">
        <f>資金繰り予定表!AN50</f>
        <v>0</v>
      </c>
      <c r="AO50" s="162">
        <f>資金繰り予定表!AO50</f>
        <v>0</v>
      </c>
      <c r="AP50" s="162">
        <f t="shared" ref="AP50:AP54" si="21">SUM(AD50:AO50)</f>
        <v>0</v>
      </c>
    </row>
    <row r="51" spans="1:42" ht="15">
      <c r="A51" s="161" t="s">
        <v>57</v>
      </c>
      <c r="B51" s="173">
        <f t="shared" ref="B51:M51" si="22">B44-B50</f>
        <v>9159876</v>
      </c>
      <c r="C51" s="173">
        <f t="shared" si="22"/>
        <v>6823</v>
      </c>
      <c r="D51" s="173">
        <f t="shared" si="22"/>
        <v>-4327390</v>
      </c>
      <c r="E51" s="173">
        <f t="shared" si="22"/>
        <v>-2091121</v>
      </c>
      <c r="F51" s="173">
        <f t="shared" si="22"/>
        <v>0</v>
      </c>
      <c r="G51" s="173">
        <f t="shared" si="22"/>
        <v>20558346</v>
      </c>
      <c r="H51" s="173">
        <f t="shared" si="22"/>
        <v>-3456191</v>
      </c>
      <c r="I51" s="173">
        <f t="shared" si="22"/>
        <v>-2313747</v>
      </c>
      <c r="J51" s="173">
        <f t="shared" si="22"/>
        <v>-3696126</v>
      </c>
      <c r="K51" s="173">
        <f t="shared" si="22"/>
        <v>0</v>
      </c>
      <c r="L51" s="173">
        <f t="shared" si="22"/>
        <v>0</v>
      </c>
      <c r="M51" s="173">
        <f t="shared" si="22"/>
        <v>0</v>
      </c>
      <c r="N51" s="162">
        <f t="shared" si="19"/>
        <v>13840470</v>
      </c>
      <c r="O51" s="163" t="str">
        <f t="shared" si="2"/>
        <v>⑨財務収支</v>
      </c>
      <c r="P51" s="162">
        <f>資金繰り予定表!P51</f>
        <v>0</v>
      </c>
      <c r="Q51" s="162">
        <f>資金繰り予定表!Q51</f>
        <v>0</v>
      </c>
      <c r="R51" s="162">
        <f>資金繰り予定表!R51</f>
        <v>0</v>
      </c>
      <c r="S51" s="162">
        <f>資金繰り予定表!S51</f>
        <v>0</v>
      </c>
      <c r="T51" s="162">
        <f>資金繰り予定表!T51</f>
        <v>0</v>
      </c>
      <c r="U51" s="162">
        <f>資金繰り予定表!U51</f>
        <v>0</v>
      </c>
      <c r="V51" s="162">
        <f>資金繰り予定表!V51</f>
        <v>0</v>
      </c>
      <c r="W51" s="162">
        <f>資金繰り予定表!W51</f>
        <v>0</v>
      </c>
      <c r="X51" s="162">
        <f>資金繰り予定表!X51</f>
        <v>0</v>
      </c>
      <c r="Y51" s="162">
        <f>資金繰り予定表!Y51</f>
        <v>0</v>
      </c>
      <c r="Z51" s="162">
        <f>資金繰り予定表!Z51</f>
        <v>0</v>
      </c>
      <c r="AA51" s="162">
        <f>資金繰り予定表!AA51</f>
        <v>0</v>
      </c>
      <c r="AB51" s="162">
        <f t="shared" si="20"/>
        <v>0</v>
      </c>
      <c r="AC51" s="162" t="str">
        <f t="shared" si="4"/>
        <v>⑨財務収支</v>
      </c>
      <c r="AD51" s="162">
        <f>資金繰り予定表!AD51</f>
        <v>0</v>
      </c>
      <c r="AE51" s="162">
        <f>資金繰り予定表!AE51</f>
        <v>0</v>
      </c>
      <c r="AF51" s="162">
        <f>資金繰り予定表!AF51</f>
        <v>0</v>
      </c>
      <c r="AG51" s="162">
        <f>資金繰り予定表!AG51</f>
        <v>0</v>
      </c>
      <c r="AH51" s="162">
        <f>資金繰り予定表!AH51</f>
        <v>0</v>
      </c>
      <c r="AI51" s="162">
        <f>資金繰り予定表!AI51</f>
        <v>0</v>
      </c>
      <c r="AJ51" s="162">
        <f>資金繰り予定表!AJ51</f>
        <v>0</v>
      </c>
      <c r="AK51" s="162">
        <f>資金繰り予定表!AK51</f>
        <v>0</v>
      </c>
      <c r="AL51" s="162">
        <f>資金繰り予定表!AL51</f>
        <v>0</v>
      </c>
      <c r="AM51" s="162">
        <f>資金繰り予定表!AM51</f>
        <v>0</v>
      </c>
      <c r="AN51" s="162">
        <f>資金繰り予定表!AN51</f>
        <v>0</v>
      </c>
      <c r="AO51" s="162">
        <f>資金繰り予定表!AO51</f>
        <v>0</v>
      </c>
      <c r="AP51" s="162">
        <f t="shared" si="21"/>
        <v>0</v>
      </c>
    </row>
    <row r="52" spans="1:42" ht="15">
      <c r="A52" s="301" t="s">
        <v>264</v>
      </c>
      <c r="B52" s="302">
        <f>B5+B32+B44</f>
        <v>65701922</v>
      </c>
      <c r="C52" s="302">
        <f t="shared" ref="C52:M52" si="23">C5+C32+C44</f>
        <v>37128252</v>
      </c>
      <c r="D52" s="302">
        <f t="shared" si="23"/>
        <v>28079595</v>
      </c>
      <c r="E52" s="302">
        <f t="shared" si="23"/>
        <v>41581557</v>
      </c>
      <c r="F52" s="302">
        <f t="shared" si="23"/>
        <v>32925905</v>
      </c>
      <c r="G52" s="302">
        <f t="shared" si="23"/>
        <v>93789365</v>
      </c>
      <c r="H52" s="302">
        <f t="shared" si="23"/>
        <v>83708586</v>
      </c>
      <c r="I52" s="302">
        <f t="shared" si="23"/>
        <v>51472282</v>
      </c>
      <c r="J52" s="302">
        <f t="shared" si="23"/>
        <v>19119669</v>
      </c>
      <c r="K52" s="302">
        <f t="shared" si="23"/>
        <v>0</v>
      </c>
      <c r="L52" s="302">
        <f t="shared" si="23"/>
        <v>0</v>
      </c>
      <c r="M52" s="302">
        <f t="shared" si="23"/>
        <v>0</v>
      </c>
      <c r="N52" s="165">
        <f t="shared" si="19"/>
        <v>453507133</v>
      </c>
      <c r="O52" s="304"/>
      <c r="P52" s="302">
        <f t="shared" ref="P52:AA52" si="24">P5+P32+P44</f>
        <v>0</v>
      </c>
      <c r="Q52" s="302">
        <f t="shared" si="24"/>
        <v>0</v>
      </c>
      <c r="R52" s="302">
        <f t="shared" si="24"/>
        <v>0</v>
      </c>
      <c r="S52" s="302">
        <f t="shared" si="24"/>
        <v>0</v>
      </c>
      <c r="T52" s="302">
        <f t="shared" si="24"/>
        <v>0</v>
      </c>
      <c r="U52" s="302">
        <f t="shared" si="24"/>
        <v>0</v>
      </c>
      <c r="V52" s="302">
        <f t="shared" si="24"/>
        <v>0</v>
      </c>
      <c r="W52" s="302">
        <f t="shared" si="24"/>
        <v>0</v>
      </c>
      <c r="X52" s="302">
        <f t="shared" si="24"/>
        <v>0</v>
      </c>
      <c r="Y52" s="302">
        <f t="shared" si="24"/>
        <v>0</v>
      </c>
      <c r="Z52" s="302">
        <f t="shared" si="24"/>
        <v>0</v>
      </c>
      <c r="AA52" s="302">
        <f t="shared" si="24"/>
        <v>0</v>
      </c>
      <c r="AB52" s="165">
        <f t="shared" si="20"/>
        <v>0</v>
      </c>
      <c r="AC52" s="303"/>
      <c r="AD52" s="302">
        <f t="shared" ref="AD52:AO52" si="25">AD5+AD32+AD44</f>
        <v>0</v>
      </c>
      <c r="AE52" s="302">
        <f t="shared" si="25"/>
        <v>0</v>
      </c>
      <c r="AF52" s="302">
        <f t="shared" si="25"/>
        <v>0</v>
      </c>
      <c r="AG52" s="302">
        <f t="shared" si="25"/>
        <v>0</v>
      </c>
      <c r="AH52" s="302">
        <f t="shared" si="25"/>
        <v>0</v>
      </c>
      <c r="AI52" s="302">
        <f t="shared" si="25"/>
        <v>0</v>
      </c>
      <c r="AJ52" s="302">
        <f t="shared" si="25"/>
        <v>0</v>
      </c>
      <c r="AK52" s="302">
        <f t="shared" si="25"/>
        <v>0</v>
      </c>
      <c r="AL52" s="302">
        <f t="shared" si="25"/>
        <v>0</v>
      </c>
      <c r="AM52" s="302">
        <f t="shared" si="25"/>
        <v>0</v>
      </c>
      <c r="AN52" s="302">
        <f t="shared" si="25"/>
        <v>0</v>
      </c>
      <c r="AO52" s="302">
        <f t="shared" si="25"/>
        <v>0</v>
      </c>
      <c r="AP52" s="303"/>
    </row>
    <row r="53" spans="1:42" ht="15">
      <c r="A53" s="301" t="s">
        <v>265</v>
      </c>
      <c r="B53" s="302">
        <f>B26+B37+B50</f>
        <v>61619978</v>
      </c>
      <c r="C53" s="302">
        <f t="shared" ref="C53:M53" si="26">C26+C37+C50</f>
        <v>34218636</v>
      </c>
      <c r="D53" s="302">
        <f t="shared" si="26"/>
        <v>33605122</v>
      </c>
      <c r="E53" s="302">
        <f t="shared" si="26"/>
        <v>36938201</v>
      </c>
      <c r="F53" s="302">
        <f t="shared" si="26"/>
        <v>34264371</v>
      </c>
      <c r="G53" s="302">
        <f t="shared" si="26"/>
        <v>87778881</v>
      </c>
      <c r="H53" s="302">
        <f t="shared" si="26"/>
        <v>73408441</v>
      </c>
      <c r="I53" s="302">
        <f t="shared" si="26"/>
        <v>38689250</v>
      </c>
      <c r="J53" s="302">
        <f t="shared" si="26"/>
        <v>32158897</v>
      </c>
      <c r="K53" s="302">
        <f t="shared" si="26"/>
        <v>0</v>
      </c>
      <c r="L53" s="302">
        <f t="shared" si="26"/>
        <v>0</v>
      </c>
      <c r="M53" s="302">
        <f t="shared" si="26"/>
        <v>0</v>
      </c>
      <c r="N53" s="165">
        <f t="shared" si="19"/>
        <v>432681777</v>
      </c>
      <c r="O53" s="304"/>
      <c r="P53" s="302">
        <f t="shared" ref="P53:AA53" si="27">P26+P37+P50</f>
        <v>0</v>
      </c>
      <c r="Q53" s="302">
        <f t="shared" si="27"/>
        <v>0</v>
      </c>
      <c r="R53" s="302">
        <f t="shared" si="27"/>
        <v>0</v>
      </c>
      <c r="S53" s="302">
        <f t="shared" si="27"/>
        <v>0</v>
      </c>
      <c r="T53" s="302">
        <f t="shared" si="27"/>
        <v>0</v>
      </c>
      <c r="U53" s="302">
        <f t="shared" si="27"/>
        <v>0</v>
      </c>
      <c r="V53" s="302">
        <f t="shared" si="27"/>
        <v>0</v>
      </c>
      <c r="W53" s="302">
        <f t="shared" si="27"/>
        <v>0</v>
      </c>
      <c r="X53" s="302">
        <f t="shared" si="27"/>
        <v>0</v>
      </c>
      <c r="Y53" s="302">
        <f t="shared" si="27"/>
        <v>0</v>
      </c>
      <c r="Z53" s="302">
        <f t="shared" si="27"/>
        <v>0</v>
      </c>
      <c r="AA53" s="302">
        <f t="shared" si="27"/>
        <v>0</v>
      </c>
      <c r="AB53" s="165">
        <f t="shared" si="20"/>
        <v>0</v>
      </c>
      <c r="AC53" s="303"/>
      <c r="AD53" s="302">
        <f t="shared" ref="AD53:AO53" si="28">AD26+AD37+AD50</f>
        <v>0</v>
      </c>
      <c r="AE53" s="302">
        <f t="shared" si="28"/>
        <v>0</v>
      </c>
      <c r="AF53" s="302">
        <f t="shared" si="28"/>
        <v>0</v>
      </c>
      <c r="AG53" s="302">
        <f t="shared" si="28"/>
        <v>0</v>
      </c>
      <c r="AH53" s="302">
        <f t="shared" si="28"/>
        <v>0</v>
      </c>
      <c r="AI53" s="302">
        <f t="shared" si="28"/>
        <v>0</v>
      </c>
      <c r="AJ53" s="302">
        <f t="shared" si="28"/>
        <v>0</v>
      </c>
      <c r="AK53" s="302">
        <f t="shared" si="28"/>
        <v>0</v>
      </c>
      <c r="AL53" s="302">
        <f t="shared" si="28"/>
        <v>0</v>
      </c>
      <c r="AM53" s="302">
        <f t="shared" si="28"/>
        <v>0</v>
      </c>
      <c r="AN53" s="302">
        <f t="shared" si="28"/>
        <v>0</v>
      </c>
      <c r="AO53" s="302">
        <f t="shared" si="28"/>
        <v>0</v>
      </c>
      <c r="AP53" s="303"/>
    </row>
    <row r="54" spans="1:42" ht="15">
      <c r="A54" s="164" t="s">
        <v>266</v>
      </c>
      <c r="B54" s="174">
        <f>B52-B53</f>
        <v>4081944</v>
      </c>
      <c r="C54" s="174">
        <f t="shared" ref="C54:M54" si="29">C52-C53</f>
        <v>2909616</v>
      </c>
      <c r="D54" s="174">
        <f t="shared" si="29"/>
        <v>-5525527</v>
      </c>
      <c r="E54" s="174">
        <f t="shared" si="29"/>
        <v>4643356</v>
      </c>
      <c r="F54" s="174">
        <f t="shared" si="29"/>
        <v>-1338466</v>
      </c>
      <c r="G54" s="174">
        <f t="shared" si="29"/>
        <v>6010484</v>
      </c>
      <c r="H54" s="174">
        <f t="shared" si="29"/>
        <v>10300145</v>
      </c>
      <c r="I54" s="174">
        <f t="shared" si="29"/>
        <v>12783032</v>
      </c>
      <c r="J54" s="174">
        <f t="shared" si="29"/>
        <v>-13039228</v>
      </c>
      <c r="K54" s="174">
        <f t="shared" si="29"/>
        <v>0</v>
      </c>
      <c r="L54" s="174">
        <f t="shared" si="29"/>
        <v>0</v>
      </c>
      <c r="M54" s="174">
        <f t="shared" si="29"/>
        <v>0</v>
      </c>
      <c r="N54" s="165">
        <f t="shared" si="19"/>
        <v>20825356</v>
      </c>
      <c r="O54" s="166" t="str">
        <f t="shared" si="2"/>
        <v>⑩総合収支</v>
      </c>
      <c r="P54" s="174">
        <f t="shared" ref="P54" si="30">P52-P53</f>
        <v>0</v>
      </c>
      <c r="Q54" s="174">
        <f t="shared" ref="Q54" si="31">Q52-Q53</f>
        <v>0</v>
      </c>
      <c r="R54" s="174">
        <f t="shared" ref="R54" si="32">R52-R53</f>
        <v>0</v>
      </c>
      <c r="S54" s="174">
        <f t="shared" ref="S54" si="33">S52-S53</f>
        <v>0</v>
      </c>
      <c r="T54" s="174">
        <f t="shared" ref="T54" si="34">T52-T53</f>
        <v>0</v>
      </c>
      <c r="U54" s="174">
        <f t="shared" ref="U54" si="35">U52-U53</f>
        <v>0</v>
      </c>
      <c r="V54" s="174">
        <f t="shared" ref="V54" si="36">V52-V53</f>
        <v>0</v>
      </c>
      <c r="W54" s="174">
        <f t="shared" ref="W54" si="37">W52-W53</f>
        <v>0</v>
      </c>
      <c r="X54" s="174">
        <f t="shared" ref="X54" si="38">X52-X53</f>
        <v>0</v>
      </c>
      <c r="Y54" s="174">
        <f t="shared" ref="Y54" si="39">Y52-Y53</f>
        <v>0</v>
      </c>
      <c r="Z54" s="174">
        <f t="shared" ref="Z54" si="40">Z52-Z53</f>
        <v>0</v>
      </c>
      <c r="AA54" s="174">
        <f t="shared" ref="AA54" si="41">AA52-AA53</f>
        <v>0</v>
      </c>
      <c r="AB54" s="165">
        <f t="shared" si="20"/>
        <v>0</v>
      </c>
      <c r="AC54" s="165" t="str">
        <f t="shared" si="4"/>
        <v>⑩総合収支</v>
      </c>
      <c r="AD54" s="174">
        <f t="shared" ref="AD54" si="42">AD52-AD53</f>
        <v>0</v>
      </c>
      <c r="AE54" s="174">
        <f t="shared" ref="AE54" si="43">AE52-AE53</f>
        <v>0</v>
      </c>
      <c r="AF54" s="174">
        <f t="shared" ref="AF54" si="44">AF52-AF53</f>
        <v>0</v>
      </c>
      <c r="AG54" s="174">
        <f t="shared" ref="AG54" si="45">AG52-AG53</f>
        <v>0</v>
      </c>
      <c r="AH54" s="174">
        <f t="shared" ref="AH54" si="46">AH52-AH53</f>
        <v>0</v>
      </c>
      <c r="AI54" s="174">
        <f t="shared" ref="AI54" si="47">AI52-AI53</f>
        <v>0</v>
      </c>
      <c r="AJ54" s="174">
        <f t="shared" ref="AJ54" si="48">AJ52-AJ53</f>
        <v>0</v>
      </c>
      <c r="AK54" s="174">
        <f t="shared" ref="AK54" si="49">AK52-AK53</f>
        <v>0</v>
      </c>
      <c r="AL54" s="174">
        <f t="shared" ref="AL54" si="50">AL52-AL53</f>
        <v>0</v>
      </c>
      <c r="AM54" s="174">
        <f t="shared" ref="AM54" si="51">AM52-AM53</f>
        <v>0</v>
      </c>
      <c r="AN54" s="174">
        <f t="shared" ref="AN54" si="52">AN52-AN53</f>
        <v>0</v>
      </c>
      <c r="AO54" s="174">
        <f t="shared" ref="AO54" si="53">AO52-AO53</f>
        <v>0</v>
      </c>
      <c r="AP54" s="165">
        <f t="shared" si="21"/>
        <v>0</v>
      </c>
    </row>
    <row r="55" spans="1:42" ht="15">
      <c r="A55" s="164" t="s">
        <v>59</v>
      </c>
      <c r="B55" s="174">
        <f>B56+B54</f>
        <v>4081944</v>
      </c>
      <c r="C55" s="174">
        <f t="shared" ref="C55:M55" si="54">B55+C54</f>
        <v>6991560</v>
      </c>
      <c r="D55" s="174">
        <f t="shared" si="54"/>
        <v>1466033</v>
      </c>
      <c r="E55" s="174">
        <f t="shared" si="54"/>
        <v>6109389</v>
      </c>
      <c r="F55" s="174">
        <f t="shared" si="54"/>
        <v>4770923</v>
      </c>
      <c r="G55" s="174">
        <f t="shared" si="54"/>
        <v>10781407</v>
      </c>
      <c r="H55" s="174">
        <f t="shared" si="54"/>
        <v>21081552</v>
      </c>
      <c r="I55" s="174">
        <f t="shared" si="54"/>
        <v>33864584</v>
      </c>
      <c r="J55" s="174">
        <f t="shared" si="54"/>
        <v>20825356</v>
      </c>
      <c r="K55" s="174">
        <f t="shared" si="54"/>
        <v>20825356</v>
      </c>
      <c r="L55" s="174">
        <f t="shared" si="54"/>
        <v>20825356</v>
      </c>
      <c r="M55" s="174">
        <f t="shared" si="54"/>
        <v>20825356</v>
      </c>
      <c r="N55" s="165"/>
      <c r="O55" s="166" t="str">
        <f t="shared" si="2"/>
        <v>当月現預金残高</v>
      </c>
      <c r="P55" s="165">
        <f>M55+P54</f>
        <v>20825356</v>
      </c>
      <c r="Q55" s="165">
        <f t="shared" ref="Q55:AA55" si="55">P55+Q54</f>
        <v>20825356</v>
      </c>
      <c r="R55" s="165">
        <f t="shared" si="55"/>
        <v>20825356</v>
      </c>
      <c r="S55" s="165">
        <f t="shared" si="55"/>
        <v>20825356</v>
      </c>
      <c r="T55" s="165">
        <f t="shared" si="55"/>
        <v>20825356</v>
      </c>
      <c r="U55" s="165">
        <f t="shared" si="55"/>
        <v>20825356</v>
      </c>
      <c r="V55" s="165">
        <f t="shared" si="55"/>
        <v>20825356</v>
      </c>
      <c r="W55" s="165">
        <f t="shared" si="55"/>
        <v>20825356</v>
      </c>
      <c r="X55" s="165">
        <f t="shared" si="55"/>
        <v>20825356</v>
      </c>
      <c r="Y55" s="165">
        <f t="shared" si="55"/>
        <v>20825356</v>
      </c>
      <c r="Z55" s="165">
        <f t="shared" si="55"/>
        <v>20825356</v>
      </c>
      <c r="AA55" s="165">
        <f t="shared" si="55"/>
        <v>20825356</v>
      </c>
      <c r="AB55" s="165"/>
      <c r="AC55" s="165" t="str">
        <f t="shared" si="4"/>
        <v>当月現預金残高</v>
      </c>
      <c r="AD55" s="165">
        <f>AA55</f>
        <v>20825356</v>
      </c>
      <c r="AE55" s="165">
        <f t="shared" ref="AE55:AO55" si="56">AD55+AE54</f>
        <v>20825356</v>
      </c>
      <c r="AF55" s="165">
        <f t="shared" si="56"/>
        <v>20825356</v>
      </c>
      <c r="AG55" s="165">
        <f t="shared" si="56"/>
        <v>20825356</v>
      </c>
      <c r="AH55" s="165">
        <f t="shared" si="56"/>
        <v>20825356</v>
      </c>
      <c r="AI55" s="165">
        <f t="shared" si="56"/>
        <v>20825356</v>
      </c>
      <c r="AJ55" s="165">
        <f t="shared" si="56"/>
        <v>20825356</v>
      </c>
      <c r="AK55" s="165">
        <f t="shared" si="56"/>
        <v>20825356</v>
      </c>
      <c r="AL55" s="165">
        <f t="shared" si="56"/>
        <v>20825356</v>
      </c>
      <c r="AM55" s="165">
        <f t="shared" si="56"/>
        <v>20825356</v>
      </c>
      <c r="AN55" s="165">
        <f t="shared" si="56"/>
        <v>20825356</v>
      </c>
      <c r="AO55" s="165">
        <f t="shared" si="56"/>
        <v>20825356</v>
      </c>
      <c r="AP55" s="165"/>
    </row>
    <row r="56" spans="1:42" ht="15">
      <c r="A56" s="159" t="s">
        <v>42</v>
      </c>
      <c r="B56" s="172">
        <f>資金繰り実績表!B42</f>
        <v>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60"/>
      <c r="O56" s="153" t="str">
        <f t="shared" si="2"/>
        <v>期首・期末現預金残高</v>
      </c>
      <c r="P56" s="160">
        <f>M55</f>
        <v>20825356</v>
      </c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 t="str">
        <f t="shared" si="4"/>
        <v>期首・期末現預金残高</v>
      </c>
      <c r="AD56" s="160">
        <f>AA55</f>
        <v>20825356</v>
      </c>
      <c r="AE56" s="160"/>
      <c r="AF56" s="160"/>
      <c r="AG56" s="160"/>
      <c r="AH56" s="160"/>
      <c r="AI56" s="160"/>
      <c r="AJ56" s="160"/>
      <c r="AK56" s="160"/>
      <c r="AL56" s="160"/>
      <c r="AM56" s="160"/>
      <c r="AN56" s="160"/>
      <c r="AO56" s="160"/>
      <c r="AP56" s="160"/>
    </row>
    <row r="57" spans="1:42" ht="15">
      <c r="A57" s="159"/>
    </row>
    <row r="58" spans="1:42" ht="15">
      <c r="A58" s="159"/>
      <c r="B58" s="305"/>
      <c r="C58" s="305"/>
      <c r="D58" s="305"/>
      <c r="E58" s="305"/>
      <c r="F58" s="305"/>
      <c r="G58" s="305"/>
      <c r="H58" s="305"/>
      <c r="I58" s="305"/>
    </row>
    <row r="59" spans="1:42" ht="15">
      <c r="A59" s="159"/>
      <c r="C59" s="305"/>
      <c r="D59" s="305"/>
      <c r="E59" s="305"/>
      <c r="F59" s="305"/>
      <c r="G59" s="305"/>
      <c r="H59" s="305"/>
      <c r="I59" s="305"/>
    </row>
    <row r="60" spans="1:42" ht="15">
      <c r="A60" s="167"/>
    </row>
    <row r="61" spans="1:42" ht="15">
      <c r="A61" s="159"/>
    </row>
    <row r="62" spans="1:42" ht="15">
      <c r="A62" s="159"/>
    </row>
    <row r="63" spans="1:42" ht="15">
      <c r="A63" s="159"/>
    </row>
    <row r="64" spans="1:42" ht="15">
      <c r="A64" s="159"/>
    </row>
    <row r="65" spans="1:15" ht="15">
      <c r="A65" s="159"/>
    </row>
    <row r="66" spans="1:15" ht="15">
      <c r="A66" s="159"/>
    </row>
    <row r="67" spans="1:15" ht="15">
      <c r="A67" s="159"/>
    </row>
    <row r="68" spans="1:15" ht="15">
      <c r="A68" s="159"/>
    </row>
    <row r="69" spans="1:15" ht="15">
      <c r="A69" s="159"/>
    </row>
    <row r="70" spans="1:15" ht="15">
      <c r="A70" s="159"/>
    </row>
    <row r="71" spans="1:15" ht="15">
      <c r="A71" s="159"/>
    </row>
    <row r="72" spans="1:15" ht="15">
      <c r="A72" s="159"/>
    </row>
    <row r="73" spans="1:15" ht="15">
      <c r="A73" s="159"/>
    </row>
    <row r="74" spans="1:15" ht="15">
      <c r="A74" s="159"/>
    </row>
    <row r="75" spans="1:15" ht="15">
      <c r="A75" s="159"/>
    </row>
    <row r="76" spans="1:15" ht="15">
      <c r="A76" s="159"/>
    </row>
    <row r="77" spans="1:15" ht="15">
      <c r="A77" s="159"/>
      <c r="O77" s="159"/>
    </row>
    <row r="78" spans="1:15" ht="15">
      <c r="A78" s="167"/>
      <c r="O78" s="167"/>
    </row>
    <row r="79" spans="1:15" ht="15">
      <c r="A79" s="159"/>
    </row>
    <row r="80" spans="1:15" ht="15">
      <c r="A80" s="159"/>
    </row>
    <row r="81" spans="1:1" ht="15">
      <c r="A81" s="159"/>
    </row>
    <row r="82" spans="1:1" ht="15">
      <c r="A82" s="159"/>
    </row>
    <row r="83" spans="1:1" ht="15">
      <c r="A83" s="159"/>
    </row>
    <row r="84" spans="1:1" ht="15">
      <c r="A84" s="159"/>
    </row>
    <row r="85" spans="1:1" ht="15">
      <c r="A85" s="159"/>
    </row>
    <row r="86" spans="1:1" ht="15">
      <c r="A86" s="159"/>
    </row>
    <row r="87" spans="1:1" ht="15">
      <c r="A87" s="159"/>
    </row>
    <row r="88" spans="1:1" ht="15">
      <c r="A88" s="159"/>
    </row>
    <row r="89" spans="1:1" ht="15">
      <c r="A89" s="159"/>
    </row>
    <row r="90" spans="1:1" ht="15">
      <c r="A90" s="159"/>
    </row>
    <row r="91" spans="1:1" ht="15">
      <c r="A91" s="159"/>
    </row>
    <row r="92" spans="1:1" ht="15">
      <c r="A92" s="159"/>
    </row>
    <row r="93" spans="1:1" ht="15">
      <c r="A93" s="159"/>
    </row>
    <row r="94" spans="1:1" ht="15">
      <c r="A94" s="159"/>
    </row>
    <row r="95" spans="1:1" ht="15">
      <c r="A95" s="159"/>
    </row>
    <row r="96" spans="1:1" ht="15">
      <c r="A96" s="159"/>
    </row>
    <row r="97" spans="1:13" ht="15">
      <c r="A97" s="159"/>
    </row>
    <row r="98" spans="1:13" ht="15">
      <c r="A98" s="159"/>
    </row>
    <row r="99" spans="1:13" ht="15">
      <c r="A99" s="159"/>
    </row>
    <row r="100" spans="1:13" ht="15">
      <c r="A100" s="159"/>
    </row>
    <row r="101" spans="1:13" ht="15">
      <c r="A101" s="159"/>
    </row>
    <row r="102" spans="1:13" ht="15">
      <c r="A102" s="159"/>
      <c r="B102" s="175" t="b">
        <v>1</v>
      </c>
      <c r="C102" s="175" t="b">
        <v>1</v>
      </c>
      <c r="D102" s="175" t="b">
        <v>1</v>
      </c>
      <c r="E102" s="175" t="b">
        <v>1</v>
      </c>
      <c r="F102" s="175" t="b">
        <v>1</v>
      </c>
      <c r="G102" s="175" t="b">
        <v>1</v>
      </c>
      <c r="H102" s="175" t="b">
        <v>1</v>
      </c>
      <c r="I102" s="175" t="b">
        <v>1</v>
      </c>
      <c r="J102" s="175" t="b">
        <v>1</v>
      </c>
      <c r="K102" s="175" t="b">
        <v>0</v>
      </c>
      <c r="L102" s="175" t="b">
        <v>0</v>
      </c>
      <c r="M102" s="175" t="b">
        <v>0</v>
      </c>
    </row>
    <row r="103" spans="1:13" ht="15">
      <c r="A103" s="159"/>
    </row>
    <row r="104" spans="1:13" ht="15">
      <c r="A104" s="159"/>
    </row>
    <row r="105" spans="1:13" ht="15">
      <c r="A105" s="159"/>
    </row>
    <row r="106" spans="1:13" ht="15">
      <c r="A106" s="159"/>
    </row>
    <row r="107" spans="1:13" ht="15">
      <c r="A107" s="159"/>
    </row>
    <row r="108" spans="1:13" ht="15">
      <c r="A108" s="159"/>
    </row>
    <row r="109" spans="1:13" ht="15">
      <c r="A109" s="159"/>
    </row>
    <row r="110" spans="1:13" ht="15">
      <c r="A110" s="159"/>
    </row>
    <row r="111" spans="1:13" ht="15">
      <c r="A111" s="159"/>
    </row>
    <row r="112" spans="1:13" ht="15">
      <c r="A112" s="159"/>
    </row>
    <row r="113" spans="1:25" ht="15">
      <c r="A113" s="159"/>
    </row>
    <row r="114" spans="1:25" ht="15">
      <c r="A114" s="159"/>
    </row>
    <row r="115" spans="1:25" ht="15">
      <c r="A115" s="159"/>
    </row>
    <row r="116" spans="1:25" ht="15">
      <c r="A116" s="159"/>
    </row>
    <row r="117" spans="1:25" ht="15">
      <c r="A117" s="159"/>
    </row>
    <row r="118" spans="1:25" ht="15">
      <c r="A118" s="159"/>
    </row>
    <row r="119" spans="1:25" ht="15">
      <c r="A119" s="159"/>
    </row>
    <row r="120" spans="1:25" ht="15">
      <c r="A120" s="159"/>
    </row>
    <row r="121" spans="1:25" ht="15">
      <c r="A121" s="159"/>
    </row>
    <row r="122" spans="1:25" ht="15">
      <c r="A122" s="159"/>
      <c r="B122" s="176">
        <f t="shared" ref="B122:M122" si="57">B2</f>
        <v>45839</v>
      </c>
      <c r="C122" s="176">
        <f t="shared" si="57"/>
        <v>45870</v>
      </c>
      <c r="D122" s="176">
        <f t="shared" si="57"/>
        <v>45901</v>
      </c>
      <c r="E122" s="176">
        <f t="shared" si="57"/>
        <v>45931</v>
      </c>
      <c r="F122" s="176">
        <f t="shared" si="57"/>
        <v>45962</v>
      </c>
      <c r="G122" s="176">
        <f t="shared" si="57"/>
        <v>45992</v>
      </c>
      <c r="H122" s="176">
        <f t="shared" si="57"/>
        <v>46023</v>
      </c>
      <c r="I122" s="176">
        <f t="shared" si="57"/>
        <v>46054</v>
      </c>
      <c r="J122" s="176">
        <f t="shared" si="57"/>
        <v>46082</v>
      </c>
      <c r="K122" s="176">
        <f t="shared" si="57"/>
        <v>46113</v>
      </c>
      <c r="L122" s="176">
        <f t="shared" si="57"/>
        <v>46143</v>
      </c>
      <c r="M122" s="176">
        <f t="shared" si="57"/>
        <v>46174</v>
      </c>
      <c r="N122" s="168">
        <f t="shared" ref="N122:Y122" si="58">P2</f>
        <v>0</v>
      </c>
      <c r="O122" s="168">
        <f t="shared" si="58"/>
        <v>0</v>
      </c>
      <c r="P122" s="168">
        <f t="shared" si="58"/>
        <v>0</v>
      </c>
      <c r="Q122" s="168">
        <f t="shared" si="58"/>
        <v>0</v>
      </c>
      <c r="R122" s="168">
        <f t="shared" si="58"/>
        <v>0</v>
      </c>
      <c r="S122" s="168">
        <f t="shared" si="58"/>
        <v>0</v>
      </c>
      <c r="T122" s="168">
        <f t="shared" si="58"/>
        <v>0</v>
      </c>
      <c r="U122" s="168">
        <f t="shared" si="58"/>
        <v>0</v>
      </c>
      <c r="V122" s="168">
        <f t="shared" si="58"/>
        <v>0</v>
      </c>
      <c r="W122" s="168">
        <f t="shared" si="58"/>
        <v>0</v>
      </c>
      <c r="X122" s="168">
        <f t="shared" si="58"/>
        <v>0</v>
      </c>
      <c r="Y122" s="168">
        <f t="shared" si="58"/>
        <v>0</v>
      </c>
    </row>
    <row r="123" spans="1:25" ht="15">
      <c r="A123" s="167" t="s">
        <v>60</v>
      </c>
      <c r="B123" s="177">
        <f t="shared" ref="B123:M123" si="59">B55</f>
        <v>4081944</v>
      </c>
      <c r="C123" s="177">
        <f t="shared" si="59"/>
        <v>6991560</v>
      </c>
      <c r="D123" s="177">
        <f t="shared" si="59"/>
        <v>1466033</v>
      </c>
      <c r="E123" s="177">
        <f t="shared" si="59"/>
        <v>6109389</v>
      </c>
      <c r="F123" s="177">
        <f t="shared" si="59"/>
        <v>4770923</v>
      </c>
      <c r="G123" s="177">
        <f t="shared" si="59"/>
        <v>10781407</v>
      </c>
      <c r="H123" s="177">
        <f t="shared" si="59"/>
        <v>21081552</v>
      </c>
      <c r="I123" s="177">
        <f t="shared" si="59"/>
        <v>33864584</v>
      </c>
      <c r="J123" s="177">
        <f t="shared" si="59"/>
        <v>20825356</v>
      </c>
      <c r="K123" s="177">
        <f t="shared" si="59"/>
        <v>20825356</v>
      </c>
      <c r="L123" s="177">
        <f t="shared" si="59"/>
        <v>20825356</v>
      </c>
      <c r="M123" s="177">
        <f t="shared" si="59"/>
        <v>20825356</v>
      </c>
      <c r="N123" s="169">
        <f t="shared" ref="N123:Y123" si="60">P55</f>
        <v>20825356</v>
      </c>
      <c r="O123" s="169">
        <f t="shared" si="60"/>
        <v>20825356</v>
      </c>
      <c r="P123" s="169">
        <f t="shared" si="60"/>
        <v>20825356</v>
      </c>
      <c r="Q123" s="169">
        <f t="shared" si="60"/>
        <v>20825356</v>
      </c>
      <c r="R123" s="169">
        <f t="shared" si="60"/>
        <v>20825356</v>
      </c>
      <c r="S123" s="169">
        <f t="shared" si="60"/>
        <v>20825356</v>
      </c>
      <c r="T123" s="169">
        <f t="shared" si="60"/>
        <v>20825356</v>
      </c>
      <c r="U123" s="169">
        <f t="shared" si="60"/>
        <v>20825356</v>
      </c>
      <c r="V123" s="169">
        <f t="shared" si="60"/>
        <v>20825356</v>
      </c>
      <c r="W123" s="169">
        <f t="shared" si="60"/>
        <v>20825356</v>
      </c>
      <c r="X123" s="169">
        <f t="shared" si="60"/>
        <v>20825356</v>
      </c>
      <c r="Y123" s="169">
        <f t="shared" si="60"/>
        <v>20825356</v>
      </c>
    </row>
    <row r="124" spans="1:25" ht="15">
      <c r="A124" s="159"/>
    </row>
    <row r="125" spans="1:25" ht="15">
      <c r="A125" s="159"/>
      <c r="B125" s="176">
        <f t="shared" ref="B125:M125" si="61">B2</f>
        <v>45839</v>
      </c>
      <c r="C125" s="176">
        <f t="shared" si="61"/>
        <v>45870</v>
      </c>
      <c r="D125" s="176">
        <f t="shared" si="61"/>
        <v>45901</v>
      </c>
      <c r="E125" s="176">
        <f t="shared" si="61"/>
        <v>45931</v>
      </c>
      <c r="F125" s="176">
        <f t="shared" si="61"/>
        <v>45962</v>
      </c>
      <c r="G125" s="176">
        <f t="shared" si="61"/>
        <v>45992</v>
      </c>
      <c r="H125" s="176">
        <f t="shared" si="61"/>
        <v>46023</v>
      </c>
      <c r="I125" s="176">
        <f t="shared" si="61"/>
        <v>46054</v>
      </c>
      <c r="J125" s="176">
        <f t="shared" si="61"/>
        <v>46082</v>
      </c>
      <c r="K125" s="176">
        <f t="shared" si="61"/>
        <v>46113</v>
      </c>
      <c r="L125" s="176">
        <f t="shared" si="61"/>
        <v>46143</v>
      </c>
      <c r="M125" s="176">
        <f t="shared" si="61"/>
        <v>46174</v>
      </c>
      <c r="N125" s="168">
        <f t="shared" ref="N125:Y125" si="62">P2</f>
        <v>0</v>
      </c>
      <c r="O125" s="168">
        <f t="shared" si="62"/>
        <v>0</v>
      </c>
      <c r="P125" s="168">
        <f t="shared" si="62"/>
        <v>0</v>
      </c>
      <c r="Q125" s="168">
        <f t="shared" si="62"/>
        <v>0</v>
      </c>
      <c r="R125" s="168">
        <f t="shared" si="62"/>
        <v>0</v>
      </c>
      <c r="S125" s="168">
        <f t="shared" si="62"/>
        <v>0</v>
      </c>
      <c r="T125" s="168">
        <f t="shared" si="62"/>
        <v>0</v>
      </c>
      <c r="U125" s="168">
        <f t="shared" si="62"/>
        <v>0</v>
      </c>
      <c r="V125" s="168">
        <f t="shared" si="62"/>
        <v>0</v>
      </c>
      <c r="W125" s="168">
        <f t="shared" si="62"/>
        <v>0</v>
      </c>
      <c r="X125" s="168">
        <f t="shared" si="62"/>
        <v>0</v>
      </c>
      <c r="Y125" s="168">
        <f t="shared" si="62"/>
        <v>0</v>
      </c>
    </row>
    <row r="126" spans="1:25" ht="15">
      <c r="A126" s="167" t="s">
        <v>61</v>
      </c>
      <c r="B126" s="177">
        <f t="shared" ref="B126:M126" si="63">B27</f>
        <v>-4446942</v>
      </c>
      <c r="C126" s="177">
        <f t="shared" si="63"/>
        <v>2902793</v>
      </c>
      <c r="D126" s="177">
        <f t="shared" si="63"/>
        <v>-1270137</v>
      </c>
      <c r="E126" s="177">
        <f t="shared" si="63"/>
        <v>6134477</v>
      </c>
      <c r="F126" s="177">
        <f t="shared" si="63"/>
        <v>-1490466</v>
      </c>
      <c r="G126" s="177">
        <f t="shared" si="63"/>
        <v>-14547862</v>
      </c>
      <c r="H126" s="177">
        <f t="shared" si="63"/>
        <v>13756336</v>
      </c>
      <c r="I126" s="177">
        <f t="shared" si="63"/>
        <v>15096779</v>
      </c>
      <c r="J126" s="177">
        <f t="shared" si="63"/>
        <v>-9343102</v>
      </c>
      <c r="K126" s="177">
        <f t="shared" si="63"/>
        <v>0</v>
      </c>
      <c r="L126" s="177">
        <f t="shared" si="63"/>
        <v>0</v>
      </c>
      <c r="M126" s="177">
        <f t="shared" si="63"/>
        <v>0</v>
      </c>
      <c r="N126" s="169">
        <f t="shared" ref="N126:Y126" si="64">P27</f>
        <v>0</v>
      </c>
      <c r="O126" s="169">
        <f t="shared" si="64"/>
        <v>0</v>
      </c>
      <c r="P126" s="169">
        <f t="shared" si="64"/>
        <v>0</v>
      </c>
      <c r="Q126" s="169">
        <f t="shared" si="64"/>
        <v>0</v>
      </c>
      <c r="R126" s="169">
        <f t="shared" si="64"/>
        <v>0</v>
      </c>
      <c r="S126" s="169">
        <f t="shared" si="64"/>
        <v>0</v>
      </c>
      <c r="T126" s="169">
        <f t="shared" si="64"/>
        <v>0</v>
      </c>
      <c r="U126" s="169">
        <f t="shared" si="64"/>
        <v>0</v>
      </c>
      <c r="V126" s="169">
        <f t="shared" si="64"/>
        <v>0</v>
      </c>
      <c r="W126" s="169">
        <f t="shared" si="64"/>
        <v>0</v>
      </c>
      <c r="X126" s="169">
        <f t="shared" si="64"/>
        <v>0</v>
      </c>
      <c r="Y126" s="169">
        <f t="shared" si="64"/>
        <v>0</v>
      </c>
    </row>
    <row r="127" spans="1:25" ht="15">
      <c r="A127" s="159"/>
    </row>
    <row r="128" spans="1:25" ht="15">
      <c r="A128" s="159"/>
    </row>
    <row r="129" spans="1:1" ht="15">
      <c r="A129" s="159"/>
    </row>
    <row r="130" spans="1:1" ht="15">
      <c r="A130" s="159"/>
    </row>
    <row r="131" spans="1:1" ht="15">
      <c r="A131" s="159"/>
    </row>
    <row r="132" spans="1:1" ht="15">
      <c r="A132" s="159"/>
    </row>
    <row r="133" spans="1:1" ht="15">
      <c r="A133" s="159"/>
    </row>
    <row r="134" spans="1:1" ht="15">
      <c r="A134" s="159"/>
    </row>
    <row r="135" spans="1:1" ht="15">
      <c r="A135" s="159"/>
    </row>
    <row r="136" spans="1:1" ht="15">
      <c r="A136" s="159"/>
    </row>
    <row r="137" spans="1:1" ht="15">
      <c r="A137" s="159"/>
    </row>
    <row r="138" spans="1:1" ht="15">
      <c r="A138" s="159"/>
    </row>
    <row r="139" spans="1:1" ht="15">
      <c r="A139" s="159"/>
    </row>
    <row r="140" spans="1:1" ht="15">
      <c r="A140" s="159"/>
    </row>
    <row r="141" spans="1:1" ht="15">
      <c r="A141" s="159"/>
    </row>
    <row r="142" spans="1:1" ht="15">
      <c r="A142" s="159"/>
    </row>
    <row r="143" spans="1:1" ht="15">
      <c r="A143" s="159"/>
    </row>
    <row r="144" spans="1:1" ht="15">
      <c r="A144" s="159"/>
    </row>
    <row r="145" spans="1:1" ht="15">
      <c r="A145" s="159"/>
    </row>
    <row r="146" spans="1:1" ht="15">
      <c r="A146" s="159"/>
    </row>
    <row r="147" spans="1:1" ht="15">
      <c r="A147" s="159"/>
    </row>
    <row r="148" spans="1:1" ht="15">
      <c r="A148" s="159"/>
    </row>
    <row r="149" spans="1:1" ht="15">
      <c r="A149" s="159"/>
    </row>
    <row r="150" spans="1:1" ht="15">
      <c r="A150" s="159"/>
    </row>
    <row r="151" spans="1:1" ht="15">
      <c r="A151" s="159"/>
    </row>
    <row r="152" spans="1:1" ht="15">
      <c r="A152" s="159"/>
    </row>
    <row r="153" spans="1:1" ht="15">
      <c r="A153" s="159"/>
    </row>
    <row r="154" spans="1:1" ht="15">
      <c r="A154" s="159"/>
    </row>
    <row r="155" spans="1:1" ht="15">
      <c r="A155" s="159"/>
    </row>
    <row r="156" spans="1:1" ht="15">
      <c r="A156" s="159"/>
    </row>
    <row r="157" spans="1:1" ht="15">
      <c r="A157" s="159"/>
    </row>
    <row r="158" spans="1:1" ht="15">
      <c r="A158" s="159"/>
    </row>
    <row r="159" spans="1:1" ht="15">
      <c r="A159" s="159"/>
    </row>
    <row r="160" spans="1:1" ht="15">
      <c r="A160" s="159"/>
    </row>
    <row r="161" spans="1:1" ht="15">
      <c r="A161" s="159"/>
    </row>
    <row r="162" spans="1:1" ht="15">
      <c r="A162" s="159"/>
    </row>
    <row r="163" spans="1:1" ht="15">
      <c r="A163" s="159"/>
    </row>
    <row r="164" spans="1:1" ht="15">
      <c r="A164" s="159"/>
    </row>
    <row r="165" spans="1:1" ht="15">
      <c r="A165" s="159"/>
    </row>
    <row r="166" spans="1:1" ht="15">
      <c r="A166" s="159"/>
    </row>
    <row r="167" spans="1:1" ht="15">
      <c r="A167" s="159"/>
    </row>
    <row r="168" spans="1:1" ht="15">
      <c r="A168" s="159"/>
    </row>
    <row r="169" spans="1:1" ht="15">
      <c r="A169" s="159"/>
    </row>
    <row r="170" spans="1:1" ht="15">
      <c r="A170" s="159"/>
    </row>
    <row r="171" spans="1:1" ht="15">
      <c r="A171" s="159"/>
    </row>
    <row r="172" spans="1:1" ht="15">
      <c r="A172" s="159"/>
    </row>
    <row r="173" spans="1:1" ht="15">
      <c r="A173" s="159"/>
    </row>
    <row r="174" spans="1:1" ht="15">
      <c r="A174" s="159"/>
    </row>
    <row r="175" spans="1:1" ht="15">
      <c r="A175" s="159"/>
    </row>
    <row r="176" spans="1:1" ht="15">
      <c r="A176" s="159"/>
    </row>
    <row r="177" spans="1:1" ht="15">
      <c r="A177" s="159"/>
    </row>
    <row r="178" spans="1:1" ht="15">
      <c r="A178" s="159"/>
    </row>
    <row r="179" spans="1:1" ht="15">
      <c r="A179" s="159"/>
    </row>
    <row r="180" spans="1:1" ht="15">
      <c r="A180" s="159"/>
    </row>
    <row r="181" spans="1:1" ht="15">
      <c r="A181" s="159"/>
    </row>
    <row r="182" spans="1:1" ht="15">
      <c r="A182" s="159"/>
    </row>
    <row r="183" spans="1:1" ht="15">
      <c r="A183" s="159"/>
    </row>
    <row r="184" spans="1:1" ht="15">
      <c r="A184" s="159"/>
    </row>
    <row r="185" spans="1:1" ht="15">
      <c r="A185" s="159"/>
    </row>
    <row r="186" spans="1:1" ht="15">
      <c r="A186" s="159"/>
    </row>
    <row r="187" spans="1:1" ht="15">
      <c r="A187" s="159"/>
    </row>
    <row r="188" spans="1:1" ht="15">
      <c r="A188" s="159"/>
    </row>
    <row r="189" spans="1:1" ht="15">
      <c r="A189" s="159"/>
    </row>
    <row r="190" spans="1:1" ht="15">
      <c r="A190" s="159"/>
    </row>
    <row r="191" spans="1:1" ht="15">
      <c r="A191" s="159"/>
    </row>
    <row r="192" spans="1:1" ht="15">
      <c r="A192" s="159"/>
    </row>
    <row r="193" spans="1:1" ht="15">
      <c r="A193" s="159"/>
    </row>
    <row r="194" spans="1:1" ht="15">
      <c r="A194" s="159"/>
    </row>
    <row r="195" spans="1:1" ht="15">
      <c r="A195" s="159"/>
    </row>
    <row r="196" spans="1:1" ht="15">
      <c r="A196" s="159"/>
    </row>
    <row r="197" spans="1:1" ht="15">
      <c r="A197" s="159"/>
    </row>
    <row r="198" spans="1:1" ht="15">
      <c r="A198" s="159"/>
    </row>
    <row r="199" spans="1:1" ht="15">
      <c r="A199" s="159"/>
    </row>
    <row r="200" spans="1:1" ht="15">
      <c r="A200" s="159"/>
    </row>
    <row r="201" spans="1:1" ht="15">
      <c r="A201" s="159"/>
    </row>
    <row r="202" spans="1:1" ht="15">
      <c r="A202" s="159"/>
    </row>
    <row r="203" spans="1:1" ht="15">
      <c r="A203" s="159"/>
    </row>
    <row r="204" spans="1:1" ht="15">
      <c r="A204" s="159"/>
    </row>
    <row r="205" spans="1:1" ht="15">
      <c r="A205" s="159"/>
    </row>
    <row r="206" spans="1:1" ht="15">
      <c r="A206" s="159"/>
    </row>
    <row r="207" spans="1:1" ht="15">
      <c r="A207" s="159"/>
    </row>
    <row r="208" spans="1:1" ht="15">
      <c r="A208" s="159"/>
    </row>
    <row r="209" spans="1:1" ht="15">
      <c r="A209" s="159"/>
    </row>
    <row r="210" spans="1:1" ht="15">
      <c r="A210" s="159"/>
    </row>
    <row r="211" spans="1:1" ht="15">
      <c r="A211" s="159"/>
    </row>
    <row r="212" spans="1:1" ht="15">
      <c r="A212" s="159"/>
    </row>
    <row r="213" spans="1:1" ht="15">
      <c r="A213" s="159"/>
    </row>
    <row r="214" spans="1:1" ht="15">
      <c r="A214" s="159"/>
    </row>
    <row r="215" spans="1:1" ht="15">
      <c r="A215" s="159"/>
    </row>
    <row r="216" spans="1:1" ht="15">
      <c r="A216" s="159"/>
    </row>
    <row r="217" spans="1:1" ht="15">
      <c r="A217" s="159"/>
    </row>
    <row r="218" spans="1:1" ht="15">
      <c r="A218" s="159"/>
    </row>
    <row r="219" spans="1:1" ht="15">
      <c r="A219" s="159"/>
    </row>
    <row r="220" spans="1:1" ht="15">
      <c r="A220" s="159"/>
    </row>
    <row r="221" spans="1:1" ht="15">
      <c r="A221" s="159"/>
    </row>
    <row r="222" spans="1:1" ht="15">
      <c r="A222" s="159"/>
    </row>
    <row r="223" spans="1:1" ht="15">
      <c r="A223" s="159"/>
    </row>
    <row r="224" spans="1:1" ht="15">
      <c r="A224" s="159"/>
    </row>
    <row r="225" spans="1:1" ht="15">
      <c r="A225" s="159"/>
    </row>
    <row r="226" spans="1:1" ht="15">
      <c r="A226" s="159"/>
    </row>
    <row r="227" spans="1:1" ht="15">
      <c r="A227" s="159"/>
    </row>
    <row r="228" spans="1:1" ht="15">
      <c r="A228" s="159"/>
    </row>
    <row r="229" spans="1:1" ht="15">
      <c r="A229" s="159"/>
    </row>
    <row r="230" spans="1:1" ht="15">
      <c r="A230" s="159"/>
    </row>
    <row r="231" spans="1:1" ht="15">
      <c r="A231" s="159"/>
    </row>
    <row r="232" spans="1:1" ht="15">
      <c r="A232" s="159"/>
    </row>
    <row r="233" spans="1:1" ht="15">
      <c r="A233" s="159"/>
    </row>
    <row r="234" spans="1:1" ht="15">
      <c r="A234" s="159"/>
    </row>
    <row r="235" spans="1:1" ht="15">
      <c r="A235" s="159"/>
    </row>
    <row r="236" spans="1:1" ht="15">
      <c r="A236" s="159"/>
    </row>
    <row r="237" spans="1:1" ht="15">
      <c r="A237" s="159"/>
    </row>
    <row r="238" spans="1:1" ht="15">
      <c r="A238" s="159"/>
    </row>
    <row r="239" spans="1:1" ht="15">
      <c r="A239" s="159"/>
    </row>
    <row r="240" spans="1:1" ht="15">
      <c r="A240" s="159"/>
    </row>
    <row r="241" spans="1:1" ht="15">
      <c r="A241" s="159"/>
    </row>
    <row r="242" spans="1:1" ht="15">
      <c r="A242" s="159"/>
    </row>
    <row r="243" spans="1:1" ht="15">
      <c r="A243" s="159"/>
    </row>
    <row r="244" spans="1:1" ht="15">
      <c r="A244" s="159"/>
    </row>
    <row r="245" spans="1:1" ht="15">
      <c r="A245" s="159"/>
    </row>
    <row r="246" spans="1:1" ht="15">
      <c r="A246" s="159"/>
    </row>
    <row r="247" spans="1:1" ht="15">
      <c r="A247" s="159"/>
    </row>
    <row r="248" spans="1:1" ht="15">
      <c r="A248" s="159"/>
    </row>
    <row r="249" spans="1:1" ht="15">
      <c r="A249" s="159"/>
    </row>
    <row r="250" spans="1:1" ht="15">
      <c r="A250" s="159"/>
    </row>
    <row r="251" spans="1:1" ht="15">
      <c r="A251" s="159"/>
    </row>
    <row r="252" spans="1:1" ht="15">
      <c r="A252" s="159"/>
    </row>
    <row r="253" spans="1:1" ht="15">
      <c r="A253" s="159"/>
    </row>
    <row r="254" spans="1:1" ht="15">
      <c r="A254" s="159"/>
    </row>
    <row r="255" spans="1:1" ht="15">
      <c r="A255" s="159"/>
    </row>
    <row r="256" spans="1:1" ht="15">
      <c r="A256" s="159"/>
    </row>
    <row r="257" spans="1:1" ht="15">
      <c r="A257" s="159"/>
    </row>
    <row r="258" spans="1:1" ht="15">
      <c r="A258" s="159"/>
    </row>
    <row r="259" spans="1:1" ht="15">
      <c r="A259" s="159"/>
    </row>
    <row r="260" spans="1:1" ht="15">
      <c r="A260" s="159"/>
    </row>
    <row r="261" spans="1:1" ht="15">
      <c r="A261" s="159"/>
    </row>
    <row r="262" spans="1:1" ht="15">
      <c r="A262" s="159"/>
    </row>
    <row r="263" spans="1:1" ht="15">
      <c r="A263" s="159"/>
    </row>
    <row r="264" spans="1:1" ht="15">
      <c r="A264" s="159"/>
    </row>
    <row r="265" spans="1:1" ht="15">
      <c r="A265" s="159"/>
    </row>
    <row r="266" spans="1:1" ht="15">
      <c r="A266" s="159"/>
    </row>
    <row r="267" spans="1:1" ht="15">
      <c r="A267" s="159"/>
    </row>
    <row r="268" spans="1:1" ht="15">
      <c r="A268" s="159"/>
    </row>
    <row r="269" spans="1:1" ht="15">
      <c r="A269" s="159"/>
    </row>
    <row r="270" spans="1:1" ht="15">
      <c r="A270" s="159"/>
    </row>
    <row r="271" spans="1:1" ht="15">
      <c r="A271" s="159"/>
    </row>
    <row r="272" spans="1:1" ht="15">
      <c r="A272" s="159"/>
    </row>
    <row r="273" spans="1:1" ht="15">
      <c r="A273" s="159"/>
    </row>
    <row r="274" spans="1:1" ht="15">
      <c r="A274" s="159"/>
    </row>
    <row r="275" spans="1:1" ht="15">
      <c r="A275" s="159"/>
    </row>
    <row r="276" spans="1:1" ht="15">
      <c r="A276" s="159"/>
    </row>
    <row r="277" spans="1:1" ht="15">
      <c r="A277" s="159"/>
    </row>
    <row r="278" spans="1:1" ht="15">
      <c r="A278" s="159"/>
    </row>
    <row r="279" spans="1:1" ht="15">
      <c r="A279" s="159"/>
    </row>
    <row r="280" spans="1:1" ht="15">
      <c r="A280" s="159"/>
    </row>
    <row r="281" spans="1:1" ht="15">
      <c r="A281" s="159"/>
    </row>
    <row r="282" spans="1:1" ht="15">
      <c r="A282" s="159"/>
    </row>
    <row r="283" spans="1:1" ht="15">
      <c r="A283" s="159"/>
    </row>
    <row r="284" spans="1:1" ht="15">
      <c r="A284" s="159"/>
    </row>
    <row r="285" spans="1:1" ht="15">
      <c r="A285" s="159"/>
    </row>
    <row r="286" spans="1:1" ht="15">
      <c r="A286" s="159"/>
    </row>
    <row r="287" spans="1:1" ht="15">
      <c r="A287" s="159"/>
    </row>
    <row r="288" spans="1:1" ht="15">
      <c r="A288" s="159"/>
    </row>
    <row r="289" spans="1:1" ht="15">
      <c r="A289" s="159"/>
    </row>
    <row r="290" spans="1:1" ht="15">
      <c r="A290" s="159"/>
    </row>
    <row r="291" spans="1:1" ht="15">
      <c r="A291" s="159"/>
    </row>
    <row r="292" spans="1:1" ht="15">
      <c r="A292" s="159"/>
    </row>
    <row r="293" spans="1:1" ht="15">
      <c r="A293" s="159"/>
    </row>
    <row r="294" spans="1:1" ht="15">
      <c r="A294" s="159"/>
    </row>
    <row r="295" spans="1:1" ht="15">
      <c r="A295" s="159"/>
    </row>
    <row r="296" spans="1:1" ht="15">
      <c r="A296" s="159"/>
    </row>
    <row r="297" spans="1:1" ht="15">
      <c r="A297" s="159"/>
    </row>
    <row r="298" spans="1:1" ht="15">
      <c r="A298" s="159"/>
    </row>
    <row r="299" spans="1:1" ht="15">
      <c r="A299" s="159"/>
    </row>
    <row r="300" spans="1:1" ht="15">
      <c r="A300" s="159"/>
    </row>
    <row r="301" spans="1:1" ht="15">
      <c r="A301" s="159"/>
    </row>
    <row r="302" spans="1:1" ht="15">
      <c r="A302" s="159"/>
    </row>
    <row r="303" spans="1:1" ht="15">
      <c r="A303" s="159"/>
    </row>
    <row r="304" spans="1:1" ht="15">
      <c r="A304" s="159"/>
    </row>
    <row r="305" spans="1:1" ht="15">
      <c r="A305" s="159"/>
    </row>
    <row r="306" spans="1:1" ht="15">
      <c r="A306" s="159"/>
    </row>
    <row r="307" spans="1:1" ht="15">
      <c r="A307" s="159"/>
    </row>
    <row r="308" spans="1:1" ht="15">
      <c r="A308" s="159"/>
    </row>
    <row r="309" spans="1:1" ht="15">
      <c r="A309" s="159"/>
    </row>
    <row r="310" spans="1:1" ht="15">
      <c r="A310" s="159"/>
    </row>
    <row r="311" spans="1:1" ht="15">
      <c r="A311" s="159"/>
    </row>
    <row r="312" spans="1:1" ht="15">
      <c r="A312" s="159"/>
    </row>
    <row r="313" spans="1:1" ht="15">
      <c r="A313" s="159"/>
    </row>
    <row r="314" spans="1:1" ht="15">
      <c r="A314" s="159"/>
    </row>
    <row r="315" spans="1:1" ht="15">
      <c r="A315" s="159"/>
    </row>
    <row r="316" spans="1:1" ht="15">
      <c r="A316" s="159"/>
    </row>
    <row r="317" spans="1:1" ht="15">
      <c r="A317" s="159"/>
    </row>
    <row r="318" spans="1:1" ht="15">
      <c r="A318" s="159"/>
    </row>
    <row r="319" spans="1:1" ht="15">
      <c r="A319" s="159"/>
    </row>
    <row r="320" spans="1:1" ht="15">
      <c r="A320" s="159"/>
    </row>
    <row r="321" spans="1:1" ht="15">
      <c r="A321" s="159"/>
    </row>
    <row r="322" spans="1:1" ht="15">
      <c r="A322" s="159"/>
    </row>
    <row r="323" spans="1:1" ht="15">
      <c r="A323" s="159"/>
    </row>
    <row r="324" spans="1:1" ht="15">
      <c r="A324" s="159"/>
    </row>
    <row r="325" spans="1:1" ht="15">
      <c r="A325" s="159"/>
    </row>
    <row r="326" spans="1:1" ht="15">
      <c r="A326" s="159"/>
    </row>
    <row r="327" spans="1:1" ht="15">
      <c r="A327" s="159"/>
    </row>
    <row r="328" spans="1:1" ht="15">
      <c r="A328" s="159"/>
    </row>
    <row r="329" spans="1:1" ht="15">
      <c r="A329" s="159"/>
    </row>
    <row r="330" spans="1:1" ht="15">
      <c r="A330" s="159"/>
    </row>
    <row r="331" spans="1:1" ht="15">
      <c r="A331" s="159"/>
    </row>
    <row r="332" spans="1:1" ht="15">
      <c r="A332" s="159"/>
    </row>
    <row r="333" spans="1:1" ht="15">
      <c r="A333" s="159"/>
    </row>
    <row r="334" spans="1:1" ht="15">
      <c r="A334" s="159"/>
    </row>
    <row r="335" spans="1:1" ht="15">
      <c r="A335" s="159"/>
    </row>
    <row r="336" spans="1:1" ht="15">
      <c r="A336" s="159"/>
    </row>
    <row r="337" spans="1:1" ht="15">
      <c r="A337" s="159"/>
    </row>
    <row r="338" spans="1:1" ht="15">
      <c r="A338" s="159"/>
    </row>
    <row r="339" spans="1:1" ht="15">
      <c r="A339" s="159"/>
    </row>
    <row r="340" spans="1:1" ht="15">
      <c r="A340" s="159"/>
    </row>
    <row r="341" spans="1:1" ht="15">
      <c r="A341" s="159"/>
    </row>
    <row r="342" spans="1:1" ht="15">
      <c r="A342" s="159"/>
    </row>
    <row r="343" spans="1:1" ht="15">
      <c r="A343" s="159"/>
    </row>
    <row r="344" spans="1:1" ht="15">
      <c r="A344" s="159"/>
    </row>
    <row r="345" spans="1:1" ht="15">
      <c r="A345" s="159"/>
    </row>
    <row r="346" spans="1:1" ht="15">
      <c r="A346" s="159"/>
    </row>
    <row r="347" spans="1:1" ht="15">
      <c r="A347" s="159"/>
    </row>
    <row r="348" spans="1:1" ht="15">
      <c r="A348" s="159"/>
    </row>
    <row r="349" spans="1:1" ht="15">
      <c r="A349" s="159"/>
    </row>
    <row r="350" spans="1:1" ht="15">
      <c r="A350" s="159"/>
    </row>
    <row r="351" spans="1:1" ht="15">
      <c r="A351" s="159"/>
    </row>
    <row r="352" spans="1:1" ht="15">
      <c r="A352" s="159"/>
    </row>
    <row r="353" spans="1:1" ht="15">
      <c r="A353" s="159"/>
    </row>
    <row r="354" spans="1:1" ht="15">
      <c r="A354" s="159"/>
    </row>
    <row r="355" spans="1:1" ht="15">
      <c r="A355" s="159"/>
    </row>
    <row r="356" spans="1:1" ht="15">
      <c r="A356" s="159"/>
    </row>
    <row r="357" spans="1:1" ht="15">
      <c r="A357" s="159"/>
    </row>
    <row r="358" spans="1:1" ht="15">
      <c r="A358" s="159"/>
    </row>
    <row r="359" spans="1:1" ht="15">
      <c r="A359" s="159"/>
    </row>
    <row r="360" spans="1:1" ht="15">
      <c r="A360" s="159"/>
    </row>
    <row r="361" spans="1:1" ht="15">
      <c r="A361" s="159"/>
    </row>
    <row r="362" spans="1:1" ht="15">
      <c r="A362" s="159"/>
    </row>
    <row r="363" spans="1:1" ht="15">
      <c r="A363" s="159"/>
    </row>
    <row r="364" spans="1:1" ht="15">
      <c r="A364" s="159"/>
    </row>
    <row r="365" spans="1:1" ht="15">
      <c r="A365" s="159"/>
    </row>
    <row r="366" spans="1:1" ht="15">
      <c r="A366" s="159"/>
    </row>
    <row r="367" spans="1:1" ht="15">
      <c r="A367" s="159"/>
    </row>
    <row r="368" spans="1:1" ht="15">
      <c r="A368" s="159"/>
    </row>
    <row r="369" spans="1:1" ht="15">
      <c r="A369" s="159"/>
    </row>
    <row r="370" spans="1:1" ht="15">
      <c r="A370" s="159"/>
    </row>
    <row r="371" spans="1:1" ht="15">
      <c r="A371" s="159"/>
    </row>
    <row r="372" spans="1:1" ht="15">
      <c r="A372" s="159"/>
    </row>
    <row r="373" spans="1:1" ht="15">
      <c r="A373" s="159"/>
    </row>
    <row r="374" spans="1:1" ht="15">
      <c r="A374" s="159"/>
    </row>
    <row r="375" spans="1:1" ht="15">
      <c r="A375" s="159"/>
    </row>
    <row r="376" spans="1:1" ht="15">
      <c r="A376" s="159"/>
    </row>
    <row r="377" spans="1:1" ht="15">
      <c r="A377" s="159"/>
    </row>
    <row r="378" spans="1:1" ht="15">
      <c r="A378" s="159"/>
    </row>
    <row r="379" spans="1:1" ht="15">
      <c r="A379" s="159"/>
    </row>
    <row r="380" spans="1:1" ht="15">
      <c r="A380" s="159"/>
    </row>
    <row r="381" spans="1:1" ht="15">
      <c r="A381" s="159"/>
    </row>
    <row r="382" spans="1:1" ht="15">
      <c r="A382" s="159"/>
    </row>
    <row r="383" spans="1:1" ht="15">
      <c r="A383" s="159"/>
    </row>
    <row r="384" spans="1:1" ht="15">
      <c r="A384" s="159"/>
    </row>
    <row r="385" spans="1:1" ht="15">
      <c r="A385" s="159"/>
    </row>
    <row r="386" spans="1:1" ht="15">
      <c r="A386" s="159"/>
    </row>
    <row r="387" spans="1:1" ht="15">
      <c r="A387" s="159"/>
    </row>
    <row r="388" spans="1:1" ht="15">
      <c r="A388" s="159"/>
    </row>
    <row r="389" spans="1:1" ht="15">
      <c r="A389" s="159"/>
    </row>
    <row r="390" spans="1:1" ht="15">
      <c r="A390" s="159"/>
    </row>
    <row r="391" spans="1:1" ht="15">
      <c r="A391" s="159"/>
    </row>
    <row r="392" spans="1:1" ht="15">
      <c r="A392" s="159"/>
    </row>
    <row r="393" spans="1:1" ht="15">
      <c r="A393" s="159"/>
    </row>
    <row r="394" spans="1:1" ht="15">
      <c r="A394" s="159"/>
    </row>
    <row r="395" spans="1:1" ht="15">
      <c r="A395" s="159"/>
    </row>
    <row r="396" spans="1:1" ht="15">
      <c r="A396" s="159"/>
    </row>
    <row r="397" spans="1:1" ht="15">
      <c r="A397" s="159"/>
    </row>
    <row r="398" spans="1:1" ht="15">
      <c r="A398" s="159"/>
    </row>
    <row r="399" spans="1:1" ht="15">
      <c r="A399" s="159"/>
    </row>
    <row r="400" spans="1:1" ht="15">
      <c r="A400" s="159"/>
    </row>
    <row r="401" spans="1:1" ht="15">
      <c r="A401" s="159"/>
    </row>
    <row r="402" spans="1:1" ht="15">
      <c r="A402" s="159"/>
    </row>
    <row r="403" spans="1:1" ht="15">
      <c r="A403" s="159"/>
    </row>
    <row r="404" spans="1:1" ht="15">
      <c r="A404" s="159"/>
    </row>
    <row r="405" spans="1:1" ht="15">
      <c r="A405" s="159"/>
    </row>
    <row r="406" spans="1:1" ht="15">
      <c r="A406" s="159"/>
    </row>
    <row r="407" spans="1:1" ht="15">
      <c r="A407" s="159"/>
    </row>
    <row r="408" spans="1:1" ht="15">
      <c r="A408" s="159"/>
    </row>
    <row r="409" spans="1:1" ht="15">
      <c r="A409" s="159"/>
    </row>
    <row r="410" spans="1:1" ht="15">
      <c r="A410" s="159"/>
    </row>
    <row r="411" spans="1:1" ht="15">
      <c r="A411" s="159"/>
    </row>
    <row r="412" spans="1:1" ht="15">
      <c r="A412" s="159"/>
    </row>
    <row r="413" spans="1:1" ht="15">
      <c r="A413" s="159"/>
    </row>
    <row r="414" spans="1:1" ht="15">
      <c r="A414" s="159"/>
    </row>
    <row r="415" spans="1:1" ht="15">
      <c r="A415" s="159"/>
    </row>
    <row r="416" spans="1:1" ht="15">
      <c r="A416" s="159"/>
    </row>
    <row r="417" spans="1:1" ht="15">
      <c r="A417" s="159"/>
    </row>
    <row r="418" spans="1:1" ht="15">
      <c r="A418" s="159"/>
    </row>
    <row r="419" spans="1:1" ht="15">
      <c r="A419" s="159"/>
    </row>
    <row r="420" spans="1:1" ht="15">
      <c r="A420" s="159"/>
    </row>
    <row r="421" spans="1:1" ht="15">
      <c r="A421" s="159"/>
    </row>
    <row r="422" spans="1:1" ht="15">
      <c r="A422" s="159"/>
    </row>
    <row r="423" spans="1:1" ht="15">
      <c r="A423" s="159"/>
    </row>
    <row r="424" spans="1:1" ht="15">
      <c r="A424" s="159"/>
    </row>
    <row r="425" spans="1:1" ht="15">
      <c r="A425" s="159"/>
    </row>
    <row r="426" spans="1:1" ht="15">
      <c r="A426" s="159"/>
    </row>
    <row r="427" spans="1:1" ht="15">
      <c r="A427" s="159"/>
    </row>
    <row r="428" spans="1:1" ht="15">
      <c r="A428" s="159"/>
    </row>
    <row r="429" spans="1:1" ht="15">
      <c r="A429" s="159"/>
    </row>
    <row r="430" spans="1:1" ht="15">
      <c r="A430" s="159"/>
    </row>
    <row r="431" spans="1:1" ht="15">
      <c r="A431" s="159"/>
    </row>
    <row r="432" spans="1:1" ht="15">
      <c r="A432" s="159"/>
    </row>
    <row r="433" spans="1:1" ht="15">
      <c r="A433" s="159"/>
    </row>
    <row r="434" spans="1:1" ht="15">
      <c r="A434" s="159"/>
    </row>
    <row r="435" spans="1:1" ht="15">
      <c r="A435" s="159"/>
    </row>
    <row r="436" spans="1:1" ht="15">
      <c r="A436" s="159"/>
    </row>
    <row r="437" spans="1:1" ht="15">
      <c r="A437" s="159"/>
    </row>
    <row r="438" spans="1:1" ht="15">
      <c r="A438" s="159"/>
    </row>
    <row r="439" spans="1:1" ht="15">
      <c r="A439" s="159"/>
    </row>
    <row r="440" spans="1:1" ht="15">
      <c r="A440" s="159"/>
    </row>
    <row r="441" spans="1:1" ht="15">
      <c r="A441" s="159"/>
    </row>
    <row r="442" spans="1:1" ht="15">
      <c r="A442" s="159"/>
    </row>
    <row r="443" spans="1:1" ht="15">
      <c r="A443" s="159"/>
    </row>
    <row r="444" spans="1:1" ht="15">
      <c r="A444" s="159"/>
    </row>
    <row r="445" spans="1:1" ht="15">
      <c r="A445" s="159"/>
    </row>
    <row r="446" spans="1:1" ht="15">
      <c r="A446" s="159"/>
    </row>
    <row r="447" spans="1:1" ht="15">
      <c r="A447" s="159"/>
    </row>
    <row r="448" spans="1:1" ht="15">
      <c r="A448" s="159"/>
    </row>
    <row r="449" spans="1:1" ht="15">
      <c r="A449" s="159"/>
    </row>
    <row r="450" spans="1:1" ht="15">
      <c r="A450" s="159"/>
    </row>
    <row r="451" spans="1:1" ht="15">
      <c r="A451" s="159"/>
    </row>
    <row r="452" spans="1:1" ht="15">
      <c r="A452" s="159"/>
    </row>
    <row r="453" spans="1:1" ht="15">
      <c r="A453" s="159"/>
    </row>
    <row r="454" spans="1:1" ht="15">
      <c r="A454" s="159"/>
    </row>
    <row r="455" spans="1:1" ht="15">
      <c r="A455" s="159"/>
    </row>
    <row r="456" spans="1:1" ht="15">
      <c r="A456" s="159"/>
    </row>
    <row r="457" spans="1:1" ht="15">
      <c r="A457" s="159"/>
    </row>
    <row r="458" spans="1:1" ht="15">
      <c r="A458" s="159"/>
    </row>
    <row r="459" spans="1:1" ht="15">
      <c r="A459" s="159"/>
    </row>
    <row r="460" spans="1:1" ht="15">
      <c r="A460" s="159"/>
    </row>
    <row r="461" spans="1:1" ht="15">
      <c r="A461" s="159"/>
    </row>
    <row r="462" spans="1:1" ht="15">
      <c r="A462" s="159"/>
    </row>
    <row r="463" spans="1:1" ht="15">
      <c r="A463" s="159"/>
    </row>
    <row r="464" spans="1:1" ht="15">
      <c r="A464" s="159"/>
    </row>
    <row r="465" spans="1:1" ht="15">
      <c r="A465" s="159"/>
    </row>
    <row r="466" spans="1:1" ht="15">
      <c r="A466" s="159"/>
    </row>
    <row r="467" spans="1:1" ht="15">
      <c r="A467" s="159"/>
    </row>
    <row r="468" spans="1:1" ht="15">
      <c r="A468" s="159"/>
    </row>
    <row r="469" spans="1:1" ht="15">
      <c r="A469" s="159"/>
    </row>
    <row r="470" spans="1:1" ht="15">
      <c r="A470" s="159"/>
    </row>
    <row r="471" spans="1:1" ht="15">
      <c r="A471" s="159"/>
    </row>
    <row r="472" spans="1:1" ht="15">
      <c r="A472" s="159"/>
    </row>
    <row r="473" spans="1:1" ht="15">
      <c r="A473" s="159"/>
    </row>
    <row r="474" spans="1:1" ht="15">
      <c r="A474" s="159"/>
    </row>
    <row r="475" spans="1:1" ht="15">
      <c r="A475" s="159"/>
    </row>
    <row r="476" spans="1:1" ht="15">
      <c r="A476" s="159"/>
    </row>
    <row r="477" spans="1:1" ht="15">
      <c r="A477" s="159"/>
    </row>
    <row r="478" spans="1:1" ht="15">
      <c r="A478" s="159"/>
    </row>
    <row r="479" spans="1:1" ht="15">
      <c r="A479" s="159"/>
    </row>
    <row r="480" spans="1:1" ht="15">
      <c r="A480" s="159"/>
    </row>
    <row r="481" spans="1:1" ht="15">
      <c r="A481" s="159"/>
    </row>
    <row r="482" spans="1:1" ht="15">
      <c r="A482" s="159"/>
    </row>
    <row r="483" spans="1:1" ht="15">
      <c r="A483" s="159"/>
    </row>
    <row r="484" spans="1:1" ht="15">
      <c r="A484" s="159"/>
    </row>
    <row r="485" spans="1:1" ht="15">
      <c r="A485" s="159"/>
    </row>
    <row r="486" spans="1:1" ht="15">
      <c r="A486" s="159"/>
    </row>
    <row r="487" spans="1:1" ht="15">
      <c r="A487" s="159"/>
    </row>
    <row r="488" spans="1:1" ht="15">
      <c r="A488" s="159"/>
    </row>
    <row r="489" spans="1:1" ht="15">
      <c r="A489" s="159"/>
    </row>
    <row r="490" spans="1:1" ht="15">
      <c r="A490" s="159"/>
    </row>
    <row r="491" spans="1:1" ht="15">
      <c r="A491" s="159"/>
    </row>
    <row r="492" spans="1:1" ht="15">
      <c r="A492" s="159"/>
    </row>
    <row r="493" spans="1:1" ht="15">
      <c r="A493" s="159"/>
    </row>
    <row r="494" spans="1:1" ht="15">
      <c r="A494" s="159"/>
    </row>
    <row r="495" spans="1:1" ht="15">
      <c r="A495" s="159"/>
    </row>
    <row r="496" spans="1:1" ht="15">
      <c r="A496" s="159"/>
    </row>
    <row r="497" spans="1:1" ht="15">
      <c r="A497" s="159"/>
    </row>
    <row r="498" spans="1:1" ht="15">
      <c r="A498" s="159"/>
    </row>
    <row r="499" spans="1:1" ht="15">
      <c r="A499" s="159"/>
    </row>
    <row r="500" spans="1:1" ht="15">
      <c r="A500" s="159"/>
    </row>
    <row r="501" spans="1:1" ht="15">
      <c r="A501" s="159"/>
    </row>
    <row r="502" spans="1:1" ht="15">
      <c r="A502" s="159"/>
    </row>
    <row r="503" spans="1:1" ht="15">
      <c r="A503" s="159"/>
    </row>
    <row r="504" spans="1:1" ht="15">
      <c r="A504" s="159"/>
    </row>
    <row r="505" spans="1:1" ht="15">
      <c r="A505" s="159"/>
    </row>
    <row r="506" spans="1:1" ht="15">
      <c r="A506" s="159"/>
    </row>
    <row r="507" spans="1:1" ht="15">
      <c r="A507" s="159"/>
    </row>
    <row r="508" spans="1:1" ht="15">
      <c r="A508" s="159"/>
    </row>
    <row r="509" spans="1:1" ht="15">
      <c r="A509" s="159"/>
    </row>
    <row r="510" spans="1:1" ht="15">
      <c r="A510" s="159"/>
    </row>
    <row r="511" spans="1:1" ht="15">
      <c r="A511" s="159"/>
    </row>
    <row r="512" spans="1:1" ht="15">
      <c r="A512" s="159"/>
    </row>
    <row r="513" spans="1:1" ht="15">
      <c r="A513" s="159"/>
    </row>
    <row r="514" spans="1:1" ht="15">
      <c r="A514" s="159"/>
    </row>
    <row r="515" spans="1:1" ht="15">
      <c r="A515" s="159"/>
    </row>
    <row r="516" spans="1:1" ht="15">
      <c r="A516" s="159"/>
    </row>
    <row r="517" spans="1:1" ht="15">
      <c r="A517" s="159"/>
    </row>
    <row r="518" spans="1:1" ht="15">
      <c r="A518" s="159"/>
    </row>
    <row r="519" spans="1:1" ht="15">
      <c r="A519" s="159"/>
    </row>
    <row r="520" spans="1:1" ht="15">
      <c r="A520" s="159"/>
    </row>
    <row r="521" spans="1:1" ht="15">
      <c r="A521" s="159"/>
    </row>
    <row r="522" spans="1:1" ht="15">
      <c r="A522" s="159"/>
    </row>
    <row r="523" spans="1:1" ht="15">
      <c r="A523" s="159"/>
    </row>
    <row r="524" spans="1:1" ht="15">
      <c r="A524" s="159"/>
    </row>
    <row r="525" spans="1:1" ht="15">
      <c r="A525" s="159"/>
    </row>
    <row r="526" spans="1:1" ht="15">
      <c r="A526" s="159"/>
    </row>
    <row r="527" spans="1:1" ht="15">
      <c r="A527" s="159"/>
    </row>
    <row r="528" spans="1:1" ht="15">
      <c r="A528" s="159"/>
    </row>
    <row r="529" spans="1:1" ht="15">
      <c r="A529" s="159"/>
    </row>
    <row r="530" spans="1:1" ht="15">
      <c r="A530" s="159"/>
    </row>
    <row r="531" spans="1:1" ht="15">
      <c r="A531" s="159"/>
    </row>
    <row r="532" spans="1:1" ht="15">
      <c r="A532" s="159"/>
    </row>
    <row r="533" spans="1:1" ht="15">
      <c r="A533" s="159"/>
    </row>
    <row r="534" spans="1:1" ht="15">
      <c r="A534" s="159"/>
    </row>
    <row r="535" spans="1:1" ht="15">
      <c r="A535" s="159"/>
    </row>
    <row r="536" spans="1:1" ht="15">
      <c r="A536" s="159"/>
    </row>
    <row r="537" spans="1:1" ht="15">
      <c r="A537" s="159"/>
    </row>
    <row r="538" spans="1:1" ht="15">
      <c r="A538" s="159"/>
    </row>
    <row r="539" spans="1:1" ht="15">
      <c r="A539" s="159"/>
    </row>
    <row r="540" spans="1:1" ht="15">
      <c r="A540" s="159"/>
    </row>
    <row r="541" spans="1:1" ht="15">
      <c r="A541" s="159"/>
    </row>
    <row r="542" spans="1:1" ht="15">
      <c r="A542" s="159"/>
    </row>
    <row r="543" spans="1:1" ht="15">
      <c r="A543" s="159"/>
    </row>
    <row r="544" spans="1:1" ht="15">
      <c r="A544" s="159"/>
    </row>
    <row r="545" spans="1:1" ht="15">
      <c r="A545" s="159"/>
    </row>
    <row r="546" spans="1:1" ht="15">
      <c r="A546" s="159"/>
    </row>
    <row r="547" spans="1:1" ht="15">
      <c r="A547" s="159"/>
    </row>
    <row r="548" spans="1:1" ht="15">
      <c r="A548" s="159"/>
    </row>
    <row r="549" spans="1:1" ht="15">
      <c r="A549" s="159"/>
    </row>
    <row r="550" spans="1:1" ht="15">
      <c r="A550" s="159"/>
    </row>
    <row r="551" spans="1:1" ht="15">
      <c r="A551" s="159"/>
    </row>
    <row r="552" spans="1:1" ht="15">
      <c r="A552" s="159"/>
    </row>
    <row r="553" spans="1:1" ht="15">
      <c r="A553" s="159"/>
    </row>
    <row r="554" spans="1:1" ht="15">
      <c r="A554" s="159"/>
    </row>
    <row r="555" spans="1:1" ht="15">
      <c r="A555" s="159"/>
    </row>
    <row r="556" spans="1:1" ht="15">
      <c r="A556" s="159"/>
    </row>
    <row r="557" spans="1:1" ht="15">
      <c r="A557" s="159"/>
    </row>
    <row r="558" spans="1:1" ht="15">
      <c r="A558" s="159"/>
    </row>
    <row r="559" spans="1:1" ht="15">
      <c r="A559" s="159"/>
    </row>
    <row r="560" spans="1:1" ht="15">
      <c r="A560" s="159"/>
    </row>
    <row r="561" spans="1:1" ht="15">
      <c r="A561" s="159"/>
    </row>
    <row r="562" spans="1:1" ht="15">
      <c r="A562" s="159"/>
    </row>
    <row r="563" spans="1:1" ht="15">
      <c r="A563" s="159"/>
    </row>
    <row r="564" spans="1:1" ht="15">
      <c r="A564" s="159"/>
    </row>
    <row r="565" spans="1:1" ht="15">
      <c r="A565" s="159"/>
    </row>
    <row r="566" spans="1:1" ht="15">
      <c r="A566" s="159"/>
    </row>
    <row r="567" spans="1:1" ht="15">
      <c r="A567" s="159"/>
    </row>
    <row r="568" spans="1:1" ht="15">
      <c r="A568" s="159"/>
    </row>
    <row r="569" spans="1:1" ht="15">
      <c r="A569" s="159"/>
    </row>
    <row r="570" spans="1:1" ht="15">
      <c r="A570" s="159"/>
    </row>
    <row r="571" spans="1:1" ht="15">
      <c r="A571" s="159"/>
    </row>
    <row r="572" spans="1:1" ht="15">
      <c r="A572" s="159"/>
    </row>
    <row r="573" spans="1:1" ht="15">
      <c r="A573" s="159"/>
    </row>
    <row r="574" spans="1:1" ht="15">
      <c r="A574" s="159"/>
    </row>
    <row r="575" spans="1:1" ht="15">
      <c r="A575" s="159"/>
    </row>
    <row r="576" spans="1:1" ht="15">
      <c r="A576" s="159"/>
    </row>
    <row r="577" spans="1:1" ht="15">
      <c r="A577" s="159"/>
    </row>
    <row r="578" spans="1:1" ht="15">
      <c r="A578" s="159"/>
    </row>
    <row r="579" spans="1:1" ht="15">
      <c r="A579" s="159"/>
    </row>
    <row r="580" spans="1:1" ht="15">
      <c r="A580" s="159"/>
    </row>
    <row r="581" spans="1:1" ht="15">
      <c r="A581" s="159"/>
    </row>
    <row r="582" spans="1:1" ht="15">
      <c r="A582" s="159"/>
    </row>
    <row r="583" spans="1:1" ht="15">
      <c r="A583" s="159"/>
    </row>
    <row r="584" spans="1:1" ht="15">
      <c r="A584" s="159"/>
    </row>
    <row r="585" spans="1:1" ht="15">
      <c r="A585" s="159"/>
    </row>
    <row r="586" spans="1:1" ht="15">
      <c r="A586" s="159"/>
    </row>
    <row r="587" spans="1:1" ht="15">
      <c r="A587" s="159"/>
    </row>
    <row r="588" spans="1:1" ht="15">
      <c r="A588" s="159"/>
    </row>
    <row r="589" spans="1:1" ht="15">
      <c r="A589" s="159"/>
    </row>
    <row r="590" spans="1:1" ht="15">
      <c r="A590" s="159"/>
    </row>
    <row r="591" spans="1:1" ht="15">
      <c r="A591" s="159"/>
    </row>
    <row r="592" spans="1:1" ht="15">
      <c r="A592" s="159"/>
    </row>
    <row r="593" spans="1:1" ht="15">
      <c r="A593" s="159"/>
    </row>
    <row r="594" spans="1:1" ht="15">
      <c r="A594" s="159"/>
    </row>
    <row r="595" spans="1:1" ht="15">
      <c r="A595" s="159"/>
    </row>
    <row r="596" spans="1:1" ht="15">
      <c r="A596" s="159"/>
    </row>
    <row r="597" spans="1:1" ht="15">
      <c r="A597" s="159"/>
    </row>
    <row r="598" spans="1:1" ht="15">
      <c r="A598" s="159"/>
    </row>
    <row r="599" spans="1:1" ht="15">
      <c r="A599" s="159"/>
    </row>
    <row r="600" spans="1:1" ht="15">
      <c r="A600" s="159"/>
    </row>
    <row r="601" spans="1:1" ht="15">
      <c r="A601" s="159"/>
    </row>
    <row r="602" spans="1:1" ht="15">
      <c r="A602" s="159"/>
    </row>
    <row r="603" spans="1:1" ht="15">
      <c r="A603" s="159"/>
    </row>
    <row r="604" spans="1:1" ht="15">
      <c r="A604" s="159"/>
    </row>
    <row r="605" spans="1:1" ht="15">
      <c r="A605" s="159"/>
    </row>
    <row r="606" spans="1:1" ht="15">
      <c r="A606" s="159"/>
    </row>
    <row r="607" spans="1:1" ht="15">
      <c r="A607" s="159"/>
    </row>
    <row r="608" spans="1:1" ht="15">
      <c r="A608" s="159"/>
    </row>
    <row r="609" spans="1:1" ht="15">
      <c r="A609" s="159"/>
    </row>
    <row r="610" spans="1:1" ht="15">
      <c r="A610" s="159"/>
    </row>
    <row r="611" spans="1:1" ht="15">
      <c r="A611" s="159"/>
    </row>
    <row r="612" spans="1:1" ht="15">
      <c r="A612" s="159"/>
    </row>
    <row r="613" spans="1:1" ht="15">
      <c r="A613" s="159"/>
    </row>
    <row r="614" spans="1:1" ht="15">
      <c r="A614" s="159"/>
    </row>
    <row r="615" spans="1:1" ht="15">
      <c r="A615" s="159"/>
    </row>
    <row r="616" spans="1:1" ht="15">
      <c r="A616" s="159"/>
    </row>
    <row r="617" spans="1:1" ht="15">
      <c r="A617" s="159"/>
    </row>
    <row r="618" spans="1:1" ht="15">
      <c r="A618" s="159"/>
    </row>
    <row r="619" spans="1:1" ht="15">
      <c r="A619" s="159"/>
    </row>
    <row r="620" spans="1:1" ht="15">
      <c r="A620" s="159"/>
    </row>
    <row r="621" spans="1:1" ht="15">
      <c r="A621" s="159"/>
    </row>
    <row r="622" spans="1:1" ht="15">
      <c r="A622" s="159"/>
    </row>
    <row r="623" spans="1:1" ht="15">
      <c r="A623" s="159"/>
    </row>
    <row r="624" spans="1:1" ht="15">
      <c r="A624" s="159"/>
    </row>
    <row r="625" spans="1:1" ht="15">
      <c r="A625" s="159"/>
    </row>
    <row r="626" spans="1:1" ht="15">
      <c r="A626" s="159"/>
    </row>
    <row r="627" spans="1:1" ht="15">
      <c r="A627" s="159"/>
    </row>
    <row r="628" spans="1:1" ht="15">
      <c r="A628" s="159"/>
    </row>
    <row r="629" spans="1:1" ht="15">
      <c r="A629" s="159"/>
    </row>
    <row r="630" spans="1:1" ht="15">
      <c r="A630" s="159"/>
    </row>
    <row r="631" spans="1:1" ht="15">
      <c r="A631" s="159"/>
    </row>
    <row r="632" spans="1:1" ht="15">
      <c r="A632" s="159"/>
    </row>
    <row r="633" spans="1:1" ht="15">
      <c r="A633" s="159"/>
    </row>
    <row r="634" spans="1:1" ht="15">
      <c r="A634" s="159"/>
    </row>
    <row r="635" spans="1:1" ht="15">
      <c r="A635" s="159"/>
    </row>
    <row r="636" spans="1:1" ht="15">
      <c r="A636" s="159"/>
    </row>
    <row r="637" spans="1:1" ht="15">
      <c r="A637" s="159"/>
    </row>
    <row r="638" spans="1:1" ht="15">
      <c r="A638" s="159"/>
    </row>
    <row r="639" spans="1:1" ht="15">
      <c r="A639" s="159"/>
    </row>
    <row r="640" spans="1:1" ht="15">
      <c r="A640" s="159"/>
    </row>
    <row r="641" spans="1:1" ht="15">
      <c r="A641" s="159"/>
    </row>
    <row r="642" spans="1:1" ht="15">
      <c r="A642" s="159"/>
    </row>
    <row r="643" spans="1:1" ht="15">
      <c r="A643" s="159"/>
    </row>
    <row r="644" spans="1:1" ht="15">
      <c r="A644" s="159"/>
    </row>
    <row r="645" spans="1:1" ht="15">
      <c r="A645" s="159"/>
    </row>
    <row r="646" spans="1:1" ht="15">
      <c r="A646" s="159"/>
    </row>
    <row r="647" spans="1:1" ht="15">
      <c r="A647" s="159"/>
    </row>
    <row r="648" spans="1:1" ht="15">
      <c r="A648" s="159"/>
    </row>
    <row r="649" spans="1:1" ht="15">
      <c r="A649" s="159"/>
    </row>
    <row r="650" spans="1:1" ht="15">
      <c r="A650" s="159"/>
    </row>
    <row r="651" spans="1:1" ht="15">
      <c r="A651" s="159"/>
    </row>
    <row r="652" spans="1:1" ht="15">
      <c r="A652" s="159"/>
    </row>
    <row r="653" spans="1:1" ht="15">
      <c r="A653" s="159"/>
    </row>
    <row r="654" spans="1:1" ht="15">
      <c r="A654" s="159"/>
    </row>
    <row r="655" spans="1:1" ht="15">
      <c r="A655" s="159"/>
    </row>
    <row r="656" spans="1:1" ht="15">
      <c r="A656" s="159"/>
    </row>
    <row r="657" spans="1:1" ht="15">
      <c r="A657" s="159"/>
    </row>
    <row r="658" spans="1:1" ht="15">
      <c r="A658" s="159"/>
    </row>
    <row r="659" spans="1:1" ht="15">
      <c r="A659" s="159"/>
    </row>
    <row r="660" spans="1:1" ht="15">
      <c r="A660" s="159"/>
    </row>
    <row r="661" spans="1:1" ht="15">
      <c r="A661" s="159"/>
    </row>
    <row r="662" spans="1:1" ht="15">
      <c r="A662" s="159"/>
    </row>
    <row r="663" spans="1:1" ht="15">
      <c r="A663" s="159"/>
    </row>
    <row r="664" spans="1:1" ht="15">
      <c r="A664" s="159"/>
    </row>
    <row r="665" spans="1:1" ht="15">
      <c r="A665" s="159"/>
    </row>
    <row r="666" spans="1:1" ht="15">
      <c r="A666" s="159"/>
    </row>
    <row r="667" spans="1:1" ht="15">
      <c r="A667" s="159"/>
    </row>
    <row r="668" spans="1:1" ht="15">
      <c r="A668" s="159"/>
    </row>
    <row r="669" spans="1:1" ht="15">
      <c r="A669" s="159"/>
    </row>
    <row r="670" spans="1:1" ht="15">
      <c r="A670" s="159"/>
    </row>
    <row r="671" spans="1:1" ht="15">
      <c r="A671" s="159"/>
    </row>
    <row r="672" spans="1:1" ht="15">
      <c r="A672" s="159"/>
    </row>
    <row r="673" spans="1:1" ht="15">
      <c r="A673" s="159"/>
    </row>
    <row r="674" spans="1:1" ht="15">
      <c r="A674" s="159"/>
    </row>
    <row r="675" spans="1:1" ht="15">
      <c r="A675" s="159"/>
    </row>
    <row r="676" spans="1:1" ht="15">
      <c r="A676" s="159"/>
    </row>
    <row r="677" spans="1:1" ht="15">
      <c r="A677" s="159"/>
    </row>
    <row r="678" spans="1:1" ht="15">
      <c r="A678" s="159"/>
    </row>
    <row r="679" spans="1:1" ht="15">
      <c r="A679" s="159"/>
    </row>
    <row r="680" spans="1:1" ht="15">
      <c r="A680" s="159"/>
    </row>
    <row r="681" spans="1:1" ht="15">
      <c r="A681" s="159"/>
    </row>
    <row r="682" spans="1:1" ht="15">
      <c r="A682" s="159"/>
    </row>
    <row r="683" spans="1:1" ht="15">
      <c r="A683" s="159"/>
    </row>
    <row r="684" spans="1:1" ht="15">
      <c r="A684" s="159"/>
    </row>
    <row r="685" spans="1:1" ht="15">
      <c r="A685" s="159"/>
    </row>
    <row r="686" spans="1:1" ht="15">
      <c r="A686" s="159"/>
    </row>
    <row r="687" spans="1:1" ht="15">
      <c r="A687" s="159"/>
    </row>
    <row r="688" spans="1:1" ht="15">
      <c r="A688" s="159"/>
    </row>
    <row r="689" spans="1:1" ht="15">
      <c r="A689" s="159"/>
    </row>
    <row r="690" spans="1:1" ht="15">
      <c r="A690" s="159"/>
    </row>
    <row r="691" spans="1:1" ht="15">
      <c r="A691" s="159"/>
    </row>
    <row r="692" spans="1:1" ht="15">
      <c r="A692" s="159"/>
    </row>
    <row r="693" spans="1:1" ht="15">
      <c r="A693" s="159"/>
    </row>
    <row r="694" spans="1:1" ht="15">
      <c r="A694" s="159"/>
    </row>
    <row r="695" spans="1:1" ht="15">
      <c r="A695" s="159"/>
    </row>
    <row r="696" spans="1:1" ht="15">
      <c r="A696" s="159"/>
    </row>
    <row r="697" spans="1:1" ht="15">
      <c r="A697" s="159"/>
    </row>
    <row r="698" spans="1:1" ht="15">
      <c r="A698" s="159"/>
    </row>
    <row r="699" spans="1:1" ht="15">
      <c r="A699" s="159"/>
    </row>
    <row r="700" spans="1:1" ht="15">
      <c r="A700" s="159"/>
    </row>
    <row r="701" spans="1:1" ht="15">
      <c r="A701" s="159"/>
    </row>
    <row r="702" spans="1:1" ht="15">
      <c r="A702" s="159"/>
    </row>
    <row r="703" spans="1:1" ht="15">
      <c r="A703" s="159"/>
    </row>
    <row r="704" spans="1:1" ht="15">
      <c r="A704" s="159"/>
    </row>
    <row r="705" spans="1:1" ht="15">
      <c r="A705" s="159"/>
    </row>
    <row r="706" spans="1:1" ht="15">
      <c r="A706" s="159"/>
    </row>
    <row r="707" spans="1:1" ht="15">
      <c r="A707" s="159"/>
    </row>
    <row r="708" spans="1:1" ht="15">
      <c r="A708" s="159"/>
    </row>
    <row r="709" spans="1:1" ht="15">
      <c r="A709" s="159"/>
    </row>
    <row r="710" spans="1:1" ht="15">
      <c r="A710" s="159"/>
    </row>
    <row r="711" spans="1:1" ht="15">
      <c r="A711" s="159"/>
    </row>
    <row r="712" spans="1:1" ht="15">
      <c r="A712" s="159"/>
    </row>
    <row r="713" spans="1:1" ht="15">
      <c r="A713" s="159"/>
    </row>
    <row r="714" spans="1:1" ht="15">
      <c r="A714" s="159"/>
    </row>
    <row r="715" spans="1:1" ht="15">
      <c r="A715" s="159"/>
    </row>
    <row r="716" spans="1:1" ht="15">
      <c r="A716" s="159"/>
    </row>
    <row r="717" spans="1:1" ht="15">
      <c r="A717" s="159"/>
    </row>
    <row r="718" spans="1:1" ht="15">
      <c r="A718" s="159"/>
    </row>
    <row r="719" spans="1:1" ht="15">
      <c r="A719" s="159"/>
    </row>
    <row r="720" spans="1:1" ht="15">
      <c r="A720" s="159"/>
    </row>
    <row r="721" spans="1:1" ht="15">
      <c r="A721" s="159"/>
    </row>
    <row r="722" spans="1:1" ht="15">
      <c r="A722" s="159"/>
    </row>
    <row r="723" spans="1:1" ht="15">
      <c r="A723" s="159"/>
    </row>
    <row r="724" spans="1:1" ht="15">
      <c r="A724" s="159"/>
    </row>
    <row r="725" spans="1:1" ht="15">
      <c r="A725" s="159"/>
    </row>
    <row r="726" spans="1:1" ht="15">
      <c r="A726" s="159"/>
    </row>
    <row r="727" spans="1:1" ht="15">
      <c r="A727" s="159"/>
    </row>
    <row r="728" spans="1:1" ht="15">
      <c r="A728" s="159"/>
    </row>
    <row r="729" spans="1:1" ht="15">
      <c r="A729" s="159"/>
    </row>
    <row r="730" spans="1:1" ht="15">
      <c r="A730" s="159"/>
    </row>
    <row r="731" spans="1:1" ht="15">
      <c r="A731" s="159"/>
    </row>
    <row r="732" spans="1:1" ht="15">
      <c r="A732" s="159"/>
    </row>
    <row r="733" spans="1:1" ht="15">
      <c r="A733" s="159"/>
    </row>
    <row r="734" spans="1:1" ht="15">
      <c r="A734" s="159"/>
    </row>
    <row r="735" spans="1:1" ht="15">
      <c r="A735" s="159"/>
    </row>
    <row r="736" spans="1:1" ht="15">
      <c r="A736" s="159"/>
    </row>
    <row r="737" spans="1:1" ht="15">
      <c r="A737" s="159"/>
    </row>
    <row r="738" spans="1:1" ht="15">
      <c r="A738" s="159"/>
    </row>
    <row r="739" spans="1:1" ht="15">
      <c r="A739" s="159"/>
    </row>
    <row r="740" spans="1:1" ht="15">
      <c r="A740" s="159"/>
    </row>
    <row r="741" spans="1:1" ht="15">
      <c r="A741" s="159"/>
    </row>
    <row r="742" spans="1:1" ht="15">
      <c r="A742" s="159"/>
    </row>
    <row r="743" spans="1:1" ht="15">
      <c r="A743" s="159"/>
    </row>
    <row r="744" spans="1:1" ht="15">
      <c r="A744" s="159"/>
    </row>
    <row r="745" spans="1:1" ht="15">
      <c r="A745" s="159"/>
    </row>
    <row r="746" spans="1:1" ht="15">
      <c r="A746" s="159"/>
    </row>
    <row r="747" spans="1:1" ht="15">
      <c r="A747" s="159"/>
    </row>
    <row r="748" spans="1:1" ht="15">
      <c r="A748" s="159"/>
    </row>
    <row r="749" spans="1:1" ht="15">
      <c r="A749" s="159"/>
    </row>
    <row r="750" spans="1:1" ht="15">
      <c r="A750" s="159"/>
    </row>
    <row r="751" spans="1:1" ht="15">
      <c r="A751" s="159"/>
    </row>
    <row r="752" spans="1:1" ht="15">
      <c r="A752" s="159"/>
    </row>
    <row r="753" spans="1:1" ht="15">
      <c r="A753" s="159"/>
    </row>
    <row r="754" spans="1:1" ht="15">
      <c r="A754" s="159"/>
    </row>
    <row r="755" spans="1:1" ht="15">
      <c r="A755" s="159"/>
    </row>
    <row r="756" spans="1:1" ht="15">
      <c r="A756" s="159"/>
    </row>
    <row r="757" spans="1:1" ht="15">
      <c r="A757" s="159"/>
    </row>
    <row r="758" spans="1:1" ht="15">
      <c r="A758" s="159"/>
    </row>
    <row r="759" spans="1:1" ht="15">
      <c r="A759" s="159"/>
    </row>
    <row r="760" spans="1:1" ht="15">
      <c r="A760" s="159"/>
    </row>
    <row r="761" spans="1:1" ht="15">
      <c r="A761" s="159"/>
    </row>
    <row r="762" spans="1:1" ht="15">
      <c r="A762" s="159"/>
    </row>
    <row r="763" spans="1:1" ht="15">
      <c r="A763" s="159"/>
    </row>
    <row r="764" spans="1:1" ht="15">
      <c r="A764" s="159"/>
    </row>
    <row r="765" spans="1:1" ht="15">
      <c r="A765" s="159"/>
    </row>
    <row r="766" spans="1:1" ht="15">
      <c r="A766" s="159"/>
    </row>
    <row r="767" spans="1:1" ht="15">
      <c r="A767" s="159"/>
    </row>
    <row r="768" spans="1:1" ht="15">
      <c r="A768" s="159"/>
    </row>
    <row r="769" spans="1:1" ht="15">
      <c r="A769" s="159"/>
    </row>
    <row r="770" spans="1:1" ht="15">
      <c r="A770" s="159"/>
    </row>
    <row r="771" spans="1:1" ht="15">
      <c r="A771" s="159"/>
    </row>
    <row r="772" spans="1:1" ht="15">
      <c r="A772" s="159"/>
    </row>
    <row r="773" spans="1:1" ht="15">
      <c r="A773" s="159"/>
    </row>
    <row r="774" spans="1:1" ht="15">
      <c r="A774" s="159"/>
    </row>
    <row r="775" spans="1:1" ht="15">
      <c r="A775" s="159"/>
    </row>
    <row r="776" spans="1:1" ht="15">
      <c r="A776" s="159"/>
    </row>
    <row r="777" spans="1:1" ht="15">
      <c r="A777" s="159"/>
    </row>
    <row r="778" spans="1:1" ht="15">
      <c r="A778" s="159"/>
    </row>
    <row r="779" spans="1:1" ht="15">
      <c r="A779" s="159"/>
    </row>
    <row r="780" spans="1:1" ht="15">
      <c r="A780" s="159"/>
    </row>
    <row r="781" spans="1:1" ht="15">
      <c r="A781" s="159"/>
    </row>
    <row r="782" spans="1:1" ht="15">
      <c r="A782" s="159"/>
    </row>
    <row r="783" spans="1:1" ht="15">
      <c r="A783" s="159"/>
    </row>
    <row r="784" spans="1:1" ht="15">
      <c r="A784" s="159"/>
    </row>
    <row r="785" spans="1:1" ht="15">
      <c r="A785" s="159"/>
    </row>
    <row r="786" spans="1:1" ht="15">
      <c r="A786" s="159"/>
    </row>
    <row r="787" spans="1:1" ht="15">
      <c r="A787" s="159"/>
    </row>
    <row r="788" spans="1:1" ht="15">
      <c r="A788" s="159"/>
    </row>
    <row r="789" spans="1:1" ht="15">
      <c r="A789" s="159"/>
    </row>
    <row r="790" spans="1:1" ht="15">
      <c r="A790" s="159"/>
    </row>
    <row r="791" spans="1:1" ht="15">
      <c r="A791" s="159"/>
    </row>
    <row r="792" spans="1:1" ht="15">
      <c r="A792" s="159"/>
    </row>
    <row r="793" spans="1:1" ht="15">
      <c r="A793" s="159"/>
    </row>
    <row r="794" spans="1:1" ht="15">
      <c r="A794" s="159"/>
    </row>
    <row r="795" spans="1:1" ht="15">
      <c r="A795" s="159"/>
    </row>
    <row r="796" spans="1:1" ht="15">
      <c r="A796" s="159"/>
    </row>
    <row r="797" spans="1:1" ht="15">
      <c r="A797" s="159"/>
    </row>
    <row r="798" spans="1:1" ht="15">
      <c r="A798" s="159"/>
    </row>
    <row r="799" spans="1:1" ht="15">
      <c r="A799" s="159"/>
    </row>
    <row r="800" spans="1:1" ht="15">
      <c r="A800" s="159"/>
    </row>
    <row r="801" spans="1:1" ht="15">
      <c r="A801" s="159"/>
    </row>
    <row r="802" spans="1:1" ht="15">
      <c r="A802" s="159"/>
    </row>
    <row r="803" spans="1:1" ht="15">
      <c r="A803" s="159"/>
    </row>
    <row r="804" spans="1:1" ht="15">
      <c r="A804" s="159"/>
    </row>
    <row r="805" spans="1:1" ht="15">
      <c r="A805" s="159"/>
    </row>
    <row r="806" spans="1:1" ht="15">
      <c r="A806" s="159"/>
    </row>
    <row r="807" spans="1:1" ht="15">
      <c r="A807" s="159"/>
    </row>
    <row r="808" spans="1:1" ht="15">
      <c r="A808" s="159"/>
    </row>
    <row r="809" spans="1:1" ht="15">
      <c r="A809" s="159"/>
    </row>
    <row r="810" spans="1:1" ht="15">
      <c r="A810" s="159"/>
    </row>
    <row r="811" spans="1:1" ht="15">
      <c r="A811" s="159"/>
    </row>
    <row r="812" spans="1:1" ht="15">
      <c r="A812" s="159"/>
    </row>
    <row r="813" spans="1:1" ht="15">
      <c r="A813" s="159"/>
    </row>
    <row r="814" spans="1:1" ht="15">
      <c r="A814" s="159"/>
    </row>
    <row r="815" spans="1:1" ht="15">
      <c r="A815" s="159"/>
    </row>
    <row r="816" spans="1:1" ht="15">
      <c r="A816" s="159"/>
    </row>
    <row r="817" spans="1:1" ht="15">
      <c r="A817" s="159"/>
    </row>
    <row r="818" spans="1:1" ht="15">
      <c r="A818" s="159"/>
    </row>
    <row r="819" spans="1:1" ht="15">
      <c r="A819" s="159"/>
    </row>
    <row r="820" spans="1:1" ht="15">
      <c r="A820" s="159"/>
    </row>
    <row r="821" spans="1:1" ht="15">
      <c r="A821" s="159"/>
    </row>
    <row r="822" spans="1:1" ht="15">
      <c r="A822" s="159"/>
    </row>
    <row r="823" spans="1:1" ht="15">
      <c r="A823" s="159"/>
    </row>
    <row r="824" spans="1:1" ht="15">
      <c r="A824" s="159"/>
    </row>
    <row r="825" spans="1:1" ht="15">
      <c r="A825" s="159"/>
    </row>
    <row r="826" spans="1:1" ht="15">
      <c r="A826" s="159"/>
    </row>
    <row r="827" spans="1:1" ht="15">
      <c r="A827" s="159"/>
    </row>
    <row r="828" spans="1:1" ht="15">
      <c r="A828" s="159"/>
    </row>
    <row r="829" spans="1:1" ht="15">
      <c r="A829" s="159"/>
    </row>
    <row r="830" spans="1:1" ht="15">
      <c r="A830" s="159"/>
    </row>
    <row r="831" spans="1:1" ht="15">
      <c r="A831" s="159"/>
    </row>
    <row r="832" spans="1:1" ht="15">
      <c r="A832" s="159"/>
    </row>
    <row r="833" spans="1:1" ht="15">
      <c r="A833" s="159"/>
    </row>
    <row r="834" spans="1:1" ht="15">
      <c r="A834" s="159"/>
    </row>
    <row r="835" spans="1:1" ht="15">
      <c r="A835" s="159"/>
    </row>
    <row r="836" spans="1:1" ht="15">
      <c r="A836" s="159"/>
    </row>
    <row r="837" spans="1:1" ht="15">
      <c r="A837" s="159"/>
    </row>
    <row r="838" spans="1:1" ht="15">
      <c r="A838" s="159"/>
    </row>
    <row r="839" spans="1:1" ht="15">
      <c r="A839" s="159"/>
    </row>
    <row r="840" spans="1:1" ht="15">
      <c r="A840" s="159"/>
    </row>
    <row r="841" spans="1:1" ht="15">
      <c r="A841" s="159"/>
    </row>
    <row r="842" spans="1:1" ht="15">
      <c r="A842" s="159"/>
    </row>
    <row r="843" spans="1:1" ht="15">
      <c r="A843" s="159"/>
    </row>
    <row r="844" spans="1:1" ht="15">
      <c r="A844" s="159"/>
    </row>
    <row r="845" spans="1:1" ht="15">
      <c r="A845" s="159"/>
    </row>
    <row r="846" spans="1:1" ht="15">
      <c r="A846" s="159"/>
    </row>
    <row r="847" spans="1:1" ht="15">
      <c r="A847" s="159"/>
    </row>
    <row r="848" spans="1:1" ht="15">
      <c r="A848" s="159"/>
    </row>
    <row r="849" spans="1:1" ht="15">
      <c r="A849" s="159"/>
    </row>
    <row r="850" spans="1:1" ht="15">
      <c r="A850" s="159"/>
    </row>
    <row r="851" spans="1:1" ht="15">
      <c r="A851" s="159"/>
    </row>
    <row r="852" spans="1:1" ht="15">
      <c r="A852" s="159"/>
    </row>
    <row r="853" spans="1:1" ht="15">
      <c r="A853" s="159"/>
    </row>
    <row r="854" spans="1:1" ht="15">
      <c r="A854" s="159"/>
    </row>
    <row r="855" spans="1:1" ht="15">
      <c r="A855" s="159"/>
    </row>
    <row r="856" spans="1:1" ht="15">
      <c r="A856" s="159"/>
    </row>
    <row r="857" spans="1:1" ht="15">
      <c r="A857" s="159"/>
    </row>
    <row r="858" spans="1:1" ht="15">
      <c r="A858" s="159"/>
    </row>
    <row r="859" spans="1:1" ht="15">
      <c r="A859" s="159"/>
    </row>
    <row r="860" spans="1:1" ht="15">
      <c r="A860" s="159"/>
    </row>
    <row r="861" spans="1:1" ht="15">
      <c r="A861" s="159"/>
    </row>
    <row r="862" spans="1:1" ht="15">
      <c r="A862" s="159"/>
    </row>
    <row r="863" spans="1:1" ht="15">
      <c r="A863" s="159"/>
    </row>
    <row r="864" spans="1:1" ht="15">
      <c r="A864" s="159"/>
    </row>
    <row r="865" spans="1:1" ht="15">
      <c r="A865" s="159"/>
    </row>
    <row r="866" spans="1:1" ht="15">
      <c r="A866" s="159"/>
    </row>
    <row r="867" spans="1:1" ht="15">
      <c r="A867" s="159"/>
    </row>
    <row r="868" spans="1:1" ht="15">
      <c r="A868" s="159"/>
    </row>
    <row r="869" spans="1:1" ht="15">
      <c r="A869" s="159"/>
    </row>
    <row r="870" spans="1:1" ht="15">
      <c r="A870" s="159"/>
    </row>
    <row r="871" spans="1:1" ht="15">
      <c r="A871" s="159"/>
    </row>
    <row r="872" spans="1:1" ht="15">
      <c r="A872" s="159"/>
    </row>
    <row r="873" spans="1:1" ht="15">
      <c r="A873" s="159"/>
    </row>
    <row r="874" spans="1:1" ht="15">
      <c r="A874" s="159"/>
    </row>
    <row r="875" spans="1:1" ht="15">
      <c r="A875" s="159"/>
    </row>
    <row r="876" spans="1:1" ht="15">
      <c r="A876" s="159"/>
    </row>
    <row r="877" spans="1:1" ht="15">
      <c r="A877" s="159"/>
    </row>
    <row r="878" spans="1:1" ht="15">
      <c r="A878" s="159"/>
    </row>
    <row r="879" spans="1:1" ht="15">
      <c r="A879" s="159"/>
    </row>
    <row r="880" spans="1:1" ht="15">
      <c r="A880" s="159"/>
    </row>
    <row r="881" spans="1:1" ht="15">
      <c r="A881" s="159"/>
    </row>
    <row r="882" spans="1:1" ht="15">
      <c r="A882" s="159"/>
    </row>
    <row r="883" spans="1:1" ht="15">
      <c r="A883" s="159"/>
    </row>
    <row r="884" spans="1:1" ht="15">
      <c r="A884" s="159"/>
    </row>
    <row r="885" spans="1:1" ht="15">
      <c r="A885" s="159"/>
    </row>
    <row r="886" spans="1:1" ht="15">
      <c r="A886" s="159"/>
    </row>
    <row r="887" spans="1:1" ht="15">
      <c r="A887" s="159"/>
    </row>
    <row r="888" spans="1:1" ht="15">
      <c r="A888" s="159"/>
    </row>
    <row r="889" spans="1:1" ht="15">
      <c r="A889" s="159"/>
    </row>
    <row r="890" spans="1:1" ht="15">
      <c r="A890" s="159"/>
    </row>
    <row r="891" spans="1:1" ht="15">
      <c r="A891" s="159"/>
    </row>
    <row r="892" spans="1:1" ht="15">
      <c r="A892" s="159"/>
    </row>
    <row r="893" spans="1:1" ht="15">
      <c r="A893" s="159"/>
    </row>
    <row r="894" spans="1:1" ht="15">
      <c r="A894" s="159"/>
    </row>
    <row r="895" spans="1:1" ht="15">
      <c r="A895" s="159"/>
    </row>
    <row r="896" spans="1:1" ht="15">
      <c r="A896" s="159"/>
    </row>
    <row r="897" spans="1:1" ht="15">
      <c r="A897" s="159"/>
    </row>
    <row r="898" spans="1:1" ht="15">
      <c r="A898" s="159"/>
    </row>
    <row r="899" spans="1:1" ht="15">
      <c r="A899" s="159"/>
    </row>
    <row r="900" spans="1:1" ht="15">
      <c r="A900" s="159"/>
    </row>
    <row r="901" spans="1:1" ht="15">
      <c r="A901" s="159"/>
    </row>
    <row r="902" spans="1:1" ht="15">
      <c r="A902" s="159"/>
    </row>
    <row r="903" spans="1:1" ht="15">
      <c r="A903" s="159"/>
    </row>
    <row r="904" spans="1:1" ht="15">
      <c r="A904" s="159"/>
    </row>
    <row r="905" spans="1:1" ht="15">
      <c r="A905" s="159"/>
    </row>
    <row r="906" spans="1:1" ht="15">
      <c r="A906" s="159"/>
    </row>
    <row r="907" spans="1:1" ht="15">
      <c r="A907" s="159"/>
    </row>
    <row r="908" spans="1:1" ht="15">
      <c r="A908" s="159"/>
    </row>
    <row r="909" spans="1:1" ht="15">
      <c r="A909" s="159"/>
    </row>
    <row r="910" spans="1:1" ht="15">
      <c r="A910" s="159"/>
    </row>
    <row r="911" spans="1:1" ht="15">
      <c r="A911" s="159"/>
    </row>
    <row r="912" spans="1:1" ht="15">
      <c r="A912" s="159"/>
    </row>
    <row r="913" spans="1:1" ht="15">
      <c r="A913" s="159"/>
    </row>
    <row r="914" spans="1:1" ht="15">
      <c r="A914" s="159"/>
    </row>
    <row r="915" spans="1:1" ht="15">
      <c r="A915" s="159"/>
    </row>
    <row r="916" spans="1:1" ht="15">
      <c r="A916" s="159"/>
    </row>
    <row r="917" spans="1:1" ht="15">
      <c r="A917" s="159"/>
    </row>
    <row r="918" spans="1:1" ht="15">
      <c r="A918" s="159"/>
    </row>
    <row r="919" spans="1:1" ht="15">
      <c r="A919" s="159"/>
    </row>
    <row r="920" spans="1:1" ht="15">
      <c r="A920" s="159"/>
    </row>
    <row r="921" spans="1:1" ht="15">
      <c r="A921" s="159"/>
    </row>
    <row r="922" spans="1:1" ht="15">
      <c r="A922" s="159"/>
    </row>
    <row r="923" spans="1:1" ht="15">
      <c r="A923" s="159"/>
    </row>
    <row r="924" spans="1:1" ht="15">
      <c r="A924" s="159"/>
    </row>
    <row r="925" spans="1:1" ht="15">
      <c r="A925" s="159"/>
    </row>
    <row r="926" spans="1:1" ht="15">
      <c r="A926" s="159"/>
    </row>
    <row r="927" spans="1:1" ht="15">
      <c r="A927" s="159"/>
    </row>
    <row r="928" spans="1:1" ht="15">
      <c r="A928" s="159"/>
    </row>
    <row r="929" spans="1:1" ht="15">
      <c r="A929" s="159"/>
    </row>
    <row r="930" spans="1:1" ht="15">
      <c r="A930" s="159"/>
    </row>
    <row r="931" spans="1:1" ht="15">
      <c r="A931" s="159"/>
    </row>
    <row r="932" spans="1:1" ht="15">
      <c r="A932" s="159"/>
    </row>
    <row r="933" spans="1:1" ht="15">
      <c r="A933" s="159"/>
    </row>
    <row r="934" spans="1:1" ht="15">
      <c r="A934" s="159"/>
    </row>
    <row r="935" spans="1:1" ht="15">
      <c r="A935" s="159"/>
    </row>
    <row r="936" spans="1:1" ht="15">
      <c r="A936" s="159"/>
    </row>
    <row r="937" spans="1:1" ht="15">
      <c r="A937" s="159"/>
    </row>
    <row r="938" spans="1:1" ht="15">
      <c r="A938" s="159"/>
    </row>
    <row r="939" spans="1:1" ht="15">
      <c r="A939" s="159"/>
    </row>
    <row r="940" spans="1:1" ht="15">
      <c r="A940" s="159"/>
    </row>
    <row r="941" spans="1:1" ht="15">
      <c r="A941" s="159"/>
    </row>
    <row r="942" spans="1:1" ht="15">
      <c r="A942" s="159"/>
    </row>
    <row r="943" spans="1:1" ht="15">
      <c r="A943" s="159"/>
    </row>
    <row r="944" spans="1:1" ht="15">
      <c r="A944" s="159"/>
    </row>
    <row r="945" spans="1:1" ht="15">
      <c r="A945" s="159"/>
    </row>
    <row r="946" spans="1:1" ht="15">
      <c r="A946" s="159"/>
    </row>
    <row r="947" spans="1:1" ht="15">
      <c r="A947" s="159"/>
    </row>
    <row r="948" spans="1:1" ht="15">
      <c r="A948" s="159"/>
    </row>
    <row r="949" spans="1:1" ht="15">
      <c r="A949" s="159"/>
    </row>
    <row r="950" spans="1:1" ht="15">
      <c r="A950" s="159"/>
    </row>
    <row r="951" spans="1:1" ht="15">
      <c r="A951" s="159"/>
    </row>
    <row r="952" spans="1:1" ht="15">
      <c r="A952" s="159"/>
    </row>
    <row r="953" spans="1:1" ht="15">
      <c r="A953" s="159"/>
    </row>
    <row r="954" spans="1:1" ht="15">
      <c r="A954" s="159"/>
    </row>
    <row r="955" spans="1:1" ht="15">
      <c r="A955" s="159"/>
    </row>
    <row r="956" spans="1:1" ht="15">
      <c r="A956" s="159"/>
    </row>
    <row r="957" spans="1:1" ht="15">
      <c r="A957" s="159"/>
    </row>
    <row r="958" spans="1:1" ht="15">
      <c r="A958" s="159"/>
    </row>
    <row r="959" spans="1:1" ht="15">
      <c r="A959" s="159"/>
    </row>
    <row r="960" spans="1:1" ht="15">
      <c r="A960" s="159"/>
    </row>
    <row r="961" spans="1:1" ht="15">
      <c r="A961" s="159"/>
    </row>
    <row r="962" spans="1:1" ht="15">
      <c r="A962" s="159"/>
    </row>
    <row r="963" spans="1:1" ht="15">
      <c r="A963" s="159"/>
    </row>
    <row r="964" spans="1:1" ht="15">
      <c r="A964" s="159"/>
    </row>
    <row r="965" spans="1:1" ht="15">
      <c r="A965" s="159"/>
    </row>
    <row r="966" spans="1:1" ht="15">
      <c r="A966" s="159"/>
    </row>
    <row r="967" spans="1:1" ht="15">
      <c r="A967" s="159"/>
    </row>
    <row r="968" spans="1:1" ht="15">
      <c r="A968" s="159"/>
    </row>
    <row r="969" spans="1:1" ht="15">
      <c r="A969" s="159"/>
    </row>
    <row r="970" spans="1:1" ht="15">
      <c r="A970" s="159"/>
    </row>
    <row r="971" spans="1:1" ht="15">
      <c r="A971" s="159"/>
    </row>
    <row r="972" spans="1:1" ht="15">
      <c r="A972" s="159"/>
    </row>
    <row r="973" spans="1:1" ht="15">
      <c r="A973" s="159"/>
    </row>
    <row r="974" spans="1:1" ht="15">
      <c r="A974" s="159"/>
    </row>
    <row r="975" spans="1:1" ht="15">
      <c r="A975" s="159"/>
    </row>
    <row r="976" spans="1:1" ht="15">
      <c r="A976" s="159"/>
    </row>
    <row r="977" spans="1:1" ht="15">
      <c r="A977" s="159"/>
    </row>
    <row r="978" spans="1:1" ht="15">
      <c r="A978" s="159"/>
    </row>
    <row r="979" spans="1:1" ht="15">
      <c r="A979" s="159"/>
    </row>
    <row r="980" spans="1:1" ht="15">
      <c r="A980" s="159"/>
    </row>
    <row r="981" spans="1:1" ht="15">
      <c r="A981" s="159"/>
    </row>
    <row r="982" spans="1:1" ht="15">
      <c r="A982" s="159"/>
    </row>
    <row r="983" spans="1:1" ht="15">
      <c r="A983" s="159"/>
    </row>
    <row r="984" spans="1:1" ht="15">
      <c r="A984" s="159"/>
    </row>
    <row r="985" spans="1:1" ht="15">
      <c r="A985" s="159"/>
    </row>
    <row r="986" spans="1:1" ht="15">
      <c r="A986" s="159"/>
    </row>
    <row r="987" spans="1:1" ht="15">
      <c r="A987" s="159"/>
    </row>
    <row r="988" spans="1:1" ht="15">
      <c r="A988" s="159"/>
    </row>
    <row r="989" spans="1:1" ht="15">
      <c r="A989" s="159"/>
    </row>
    <row r="990" spans="1:1" ht="15">
      <c r="A990" s="159"/>
    </row>
    <row r="991" spans="1:1" ht="15">
      <c r="A991" s="159"/>
    </row>
    <row r="992" spans="1:1" ht="15">
      <c r="A992" s="159"/>
    </row>
    <row r="993" spans="1:1" ht="15">
      <c r="A993" s="159"/>
    </row>
    <row r="994" spans="1:1" ht="15">
      <c r="A994" s="159"/>
    </row>
    <row r="995" spans="1:1" ht="15">
      <c r="A995" s="159"/>
    </row>
    <row r="996" spans="1:1" ht="15">
      <c r="A996" s="159"/>
    </row>
    <row r="997" spans="1:1" ht="15">
      <c r="A997" s="159"/>
    </row>
    <row r="998" spans="1:1" ht="15">
      <c r="A998" s="159"/>
    </row>
    <row r="999" spans="1:1" ht="15">
      <c r="A999" s="159"/>
    </row>
    <row r="1000" spans="1:1" ht="15">
      <c r="A1000" s="159"/>
    </row>
    <row r="1001" spans="1:1" ht="15">
      <c r="A1001" s="159"/>
    </row>
    <row r="1002" spans="1:1" ht="15">
      <c r="A1002" s="159"/>
    </row>
    <row r="1003" spans="1:1" ht="15">
      <c r="A1003" s="159"/>
    </row>
    <row r="1004" spans="1:1" ht="15">
      <c r="A1004" s="159"/>
    </row>
    <row r="1005" spans="1:1" ht="15">
      <c r="A1005" s="159"/>
    </row>
  </sheetData>
  <phoneticPr fontId="14"/>
  <printOptions horizontalCentered="1" gridLines="1"/>
  <pageMargins left="0.25" right="0.25" top="0.30156432193064059" bottom="0.26265279652023538" header="0" footer="0"/>
  <pageSetup paperSize="9" pageOrder="overThenDown" orientation="landscape" cellComments="atEnd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>
                <anchor moveWithCells="1">
                  <from>
                    <xdr:col>1</xdr:col>
                    <xdr:colOff>350520</xdr:colOff>
                    <xdr:row>0</xdr:row>
                    <xdr:rowOff>7620</xdr:rowOff>
                  </from>
                  <to>
                    <xdr:col>1</xdr:col>
                    <xdr:colOff>769620</xdr:colOff>
                    <xdr:row>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2</xdr:col>
                    <xdr:colOff>350520</xdr:colOff>
                    <xdr:row>0</xdr:row>
                    <xdr:rowOff>22860</xdr:rowOff>
                  </from>
                  <to>
                    <xdr:col>2</xdr:col>
                    <xdr:colOff>769620</xdr:colOff>
                    <xdr:row>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3</xdr:col>
                    <xdr:colOff>350520</xdr:colOff>
                    <xdr:row>0</xdr:row>
                    <xdr:rowOff>22860</xdr:rowOff>
                  </from>
                  <to>
                    <xdr:col>3</xdr:col>
                    <xdr:colOff>769620</xdr:colOff>
                    <xdr:row>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350520</xdr:colOff>
                    <xdr:row>0</xdr:row>
                    <xdr:rowOff>22860</xdr:rowOff>
                  </from>
                  <to>
                    <xdr:col>4</xdr:col>
                    <xdr:colOff>769620</xdr:colOff>
                    <xdr:row>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5</xdr:col>
                    <xdr:colOff>350520</xdr:colOff>
                    <xdr:row>0</xdr:row>
                    <xdr:rowOff>22860</xdr:rowOff>
                  </from>
                  <to>
                    <xdr:col>5</xdr:col>
                    <xdr:colOff>769620</xdr:colOff>
                    <xdr:row>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6</xdr:col>
                    <xdr:colOff>350520</xdr:colOff>
                    <xdr:row>0</xdr:row>
                    <xdr:rowOff>22860</xdr:rowOff>
                  </from>
                  <to>
                    <xdr:col>6</xdr:col>
                    <xdr:colOff>769620</xdr:colOff>
                    <xdr:row>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7</xdr:col>
                    <xdr:colOff>350520</xdr:colOff>
                    <xdr:row>0</xdr:row>
                    <xdr:rowOff>22860</xdr:rowOff>
                  </from>
                  <to>
                    <xdr:col>7</xdr:col>
                    <xdr:colOff>769620</xdr:colOff>
                    <xdr:row>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>
                <anchor moveWithCells="1">
                  <from>
                    <xdr:col>8</xdr:col>
                    <xdr:colOff>350520</xdr:colOff>
                    <xdr:row>0</xdr:row>
                    <xdr:rowOff>22860</xdr:rowOff>
                  </from>
                  <to>
                    <xdr:col>8</xdr:col>
                    <xdr:colOff>769620</xdr:colOff>
                    <xdr:row>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autoFill="0" autoLine="0" autoPict="0">
                <anchor moveWithCells="1">
                  <from>
                    <xdr:col>9</xdr:col>
                    <xdr:colOff>350520</xdr:colOff>
                    <xdr:row>0</xdr:row>
                    <xdr:rowOff>22860</xdr:rowOff>
                  </from>
                  <to>
                    <xdr:col>9</xdr:col>
                    <xdr:colOff>769620</xdr:colOff>
                    <xdr:row>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autoFill="0" autoLine="0" autoPict="0">
                <anchor moveWithCells="1">
                  <from>
                    <xdr:col>10</xdr:col>
                    <xdr:colOff>350520</xdr:colOff>
                    <xdr:row>0</xdr:row>
                    <xdr:rowOff>22860</xdr:rowOff>
                  </from>
                  <to>
                    <xdr:col>10</xdr:col>
                    <xdr:colOff>769620</xdr:colOff>
                    <xdr:row>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Check Box 13">
              <controlPr defaultSize="0" autoFill="0" autoLine="0" autoPict="0">
                <anchor moveWithCells="1">
                  <from>
                    <xdr:col>11</xdr:col>
                    <xdr:colOff>350520</xdr:colOff>
                    <xdr:row>0</xdr:row>
                    <xdr:rowOff>22860</xdr:rowOff>
                  </from>
                  <to>
                    <xdr:col>11</xdr:col>
                    <xdr:colOff>769620</xdr:colOff>
                    <xdr:row>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Check Box 14">
              <controlPr defaultSize="0" autoFill="0" autoLine="0" autoPict="0">
                <anchor moveWithCells="1">
                  <from>
                    <xdr:col>12</xdr:col>
                    <xdr:colOff>350520</xdr:colOff>
                    <xdr:row>0</xdr:row>
                    <xdr:rowOff>22860</xdr:rowOff>
                  </from>
                  <to>
                    <xdr:col>12</xdr:col>
                    <xdr:colOff>769620</xdr:colOff>
                    <xdr:row>0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9F0E6-6520-43AC-9F34-74F91C46C17F}">
  <sheetPr codeName="Sheet5">
    <tabColor rgb="FFFF0000"/>
    <outlinePr summaryBelow="0" summaryRight="0"/>
    <pageSetUpPr fitToPage="1"/>
  </sheetPr>
  <dimension ref="A1:AP1003"/>
  <sheetViews>
    <sheetView showGridLines="0" zoomScale="80" zoomScaleNormal="80" workbookViewId="0">
      <selection activeCell="K18" sqref="K18"/>
    </sheetView>
  </sheetViews>
  <sheetFormatPr defaultColWidth="12.6640625" defaultRowHeight="15.75" customHeight="1"/>
  <cols>
    <col min="1" max="1" width="32.33203125" style="154" bestFit="1" customWidth="1"/>
    <col min="2" max="13" width="11.6640625" style="175" customWidth="1"/>
    <col min="14" max="14" width="12.77734375" style="154" bestFit="1" customWidth="1"/>
    <col min="15" max="15" width="26.77734375" style="154" customWidth="1"/>
    <col min="16" max="18" width="12.77734375" style="154" bestFit="1" customWidth="1"/>
    <col min="19" max="21" width="12.88671875" style="154" bestFit="1" customWidth="1"/>
    <col min="22" max="28" width="12.77734375" style="154" bestFit="1" customWidth="1"/>
    <col min="29" max="29" width="31" style="154" customWidth="1"/>
    <col min="30" max="32" width="12.77734375" style="154" bestFit="1" customWidth="1"/>
    <col min="33" max="35" width="12.88671875" style="154" bestFit="1" customWidth="1"/>
    <col min="36" max="42" width="12.77734375" style="154" bestFit="1" customWidth="1"/>
    <col min="43" max="16384" width="12.6640625" style="154"/>
  </cols>
  <sheetData>
    <row r="1" spans="1:42" ht="21.45" customHeight="1">
      <c r="A1" s="159" t="s">
        <v>268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O1" s="152" t="s">
        <v>46</v>
      </c>
      <c r="AC1" s="152" t="s">
        <v>47</v>
      </c>
    </row>
    <row r="2" spans="1:42" s="158" customFormat="1" ht="15.75" customHeight="1">
      <c r="A2" s="155" t="s">
        <v>267</v>
      </c>
      <c r="B2" s="171">
        <f>入出金予定表!C1</f>
        <v>45839</v>
      </c>
      <c r="C2" s="171">
        <f>入出金予定表!D1</f>
        <v>45870</v>
      </c>
      <c r="D2" s="171">
        <f>入出金予定表!E1</f>
        <v>45901</v>
      </c>
      <c r="E2" s="171">
        <f>入出金予定表!F1</f>
        <v>45931</v>
      </c>
      <c r="F2" s="171">
        <f>入出金予定表!G1</f>
        <v>45962</v>
      </c>
      <c r="G2" s="171">
        <f>入出金予定表!H1</f>
        <v>45992</v>
      </c>
      <c r="H2" s="171">
        <f>入出金予定表!I1</f>
        <v>46023</v>
      </c>
      <c r="I2" s="171">
        <f>入出金予定表!J1</f>
        <v>46054</v>
      </c>
      <c r="J2" s="171">
        <f>入出金予定表!K1</f>
        <v>46082</v>
      </c>
      <c r="K2" s="171">
        <f>入出金予定表!L1</f>
        <v>46113</v>
      </c>
      <c r="L2" s="171">
        <f>入出金予定表!M1</f>
        <v>46143</v>
      </c>
      <c r="M2" s="171">
        <f>入出金予定表!N1</f>
        <v>46174</v>
      </c>
      <c r="N2" s="157" t="s">
        <v>48</v>
      </c>
      <c r="O2" s="157"/>
      <c r="P2" s="156">
        <f>入出金予定表!O1</f>
        <v>0</v>
      </c>
      <c r="Q2" s="156">
        <f>入出金予定表!P1</f>
        <v>0</v>
      </c>
      <c r="R2" s="156">
        <f>入出金予定表!Q1</f>
        <v>0</v>
      </c>
      <c r="S2" s="156">
        <f>入出金予定表!R1</f>
        <v>0</v>
      </c>
      <c r="T2" s="156">
        <f>入出金予定表!S1</f>
        <v>0</v>
      </c>
      <c r="U2" s="156">
        <f>入出金予定表!T1</f>
        <v>0</v>
      </c>
      <c r="V2" s="156">
        <f>入出金予定表!U1</f>
        <v>0</v>
      </c>
      <c r="W2" s="156">
        <f>入出金予定表!V1</f>
        <v>0</v>
      </c>
      <c r="X2" s="156">
        <f>入出金予定表!W1</f>
        <v>0</v>
      </c>
      <c r="Y2" s="156">
        <f>入出金予定表!X1</f>
        <v>0</v>
      </c>
      <c r="Z2" s="156">
        <f>入出金予定表!Y1</f>
        <v>0</v>
      </c>
      <c r="AA2" s="156">
        <f>入出金予定表!Z1</f>
        <v>0</v>
      </c>
      <c r="AB2" s="157" t="s">
        <v>48</v>
      </c>
      <c r="AC2" s="157"/>
      <c r="AD2" s="156">
        <f>EDATE(AA2,1)</f>
        <v>31</v>
      </c>
      <c r="AE2" s="156">
        <f t="shared" ref="AE2:AO2" si="0">EDATE(AD2,1)</f>
        <v>59</v>
      </c>
      <c r="AF2" s="156">
        <f t="shared" si="0"/>
        <v>88</v>
      </c>
      <c r="AG2" s="156">
        <f t="shared" si="0"/>
        <v>119</v>
      </c>
      <c r="AH2" s="156">
        <f t="shared" si="0"/>
        <v>149</v>
      </c>
      <c r="AI2" s="156">
        <f t="shared" si="0"/>
        <v>180</v>
      </c>
      <c r="AJ2" s="156">
        <f t="shared" si="0"/>
        <v>210</v>
      </c>
      <c r="AK2" s="156">
        <f t="shared" si="0"/>
        <v>241</v>
      </c>
      <c r="AL2" s="156">
        <f t="shared" si="0"/>
        <v>272</v>
      </c>
      <c r="AM2" s="156">
        <f t="shared" si="0"/>
        <v>302</v>
      </c>
      <c r="AN2" s="156">
        <f t="shared" si="0"/>
        <v>333</v>
      </c>
      <c r="AO2" s="156">
        <f t="shared" si="0"/>
        <v>363</v>
      </c>
      <c r="AP2" s="157" t="s">
        <v>48</v>
      </c>
    </row>
    <row r="3" spans="1:42" ht="15.75" customHeight="1">
      <c r="A3" s="159" t="str">
        <f>資金繰り予定表!A3</f>
        <v>売上入金</v>
      </c>
      <c r="B3" s="212">
        <v>54397318</v>
      </c>
      <c r="C3" s="212">
        <v>36633326</v>
      </c>
      <c r="D3" s="212">
        <v>27663609</v>
      </c>
      <c r="E3" s="212">
        <v>40698359</v>
      </c>
      <c r="F3" s="212">
        <v>32379584</v>
      </c>
      <c r="G3" s="212">
        <v>25729152</v>
      </c>
      <c r="H3" s="212">
        <v>54558653</v>
      </c>
      <c r="I3" s="212">
        <v>51184381</v>
      </c>
      <c r="J3" s="212">
        <v>18835978</v>
      </c>
      <c r="K3" s="212">
        <v>0</v>
      </c>
      <c r="L3" s="212">
        <v>0</v>
      </c>
      <c r="M3" s="212">
        <v>0</v>
      </c>
      <c r="N3" s="160">
        <f t="shared" ref="N3:N36" si="1">SUM(B3:M3)</f>
        <v>342080360</v>
      </c>
      <c r="O3" s="153" t="str">
        <f t="shared" ref="O3:O54" si="2">A3</f>
        <v>売上入金</v>
      </c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160">
        <f t="shared" ref="AB3:AB35" si="3">SUM(P3:AA3)</f>
        <v>0</v>
      </c>
      <c r="AC3" s="160" t="str">
        <f t="shared" ref="AC3:AC54" si="4">O3</f>
        <v>売上入金</v>
      </c>
      <c r="AD3" s="213"/>
      <c r="AE3" s="213"/>
      <c r="AF3" s="213"/>
      <c r="AG3" s="213"/>
      <c r="AH3" s="213"/>
      <c r="AI3" s="213"/>
      <c r="AJ3" s="213"/>
      <c r="AK3" s="213"/>
      <c r="AL3" s="213"/>
      <c r="AM3" s="213"/>
      <c r="AN3" s="213"/>
      <c r="AO3" s="213"/>
      <c r="AP3" s="160">
        <f t="shared" ref="AP3:AP35" si="5">SUM(AD3:AO3)</f>
        <v>0</v>
      </c>
    </row>
    <row r="4" spans="1:42" ht="15.75" customHeight="1">
      <c r="A4" s="159" t="str">
        <f>資金繰り予定表!A4</f>
        <v>その他経常収入</v>
      </c>
      <c r="B4" s="212">
        <v>169220</v>
      </c>
      <c r="C4" s="212">
        <v>488103</v>
      </c>
      <c r="D4" s="212">
        <v>341540</v>
      </c>
      <c r="E4" s="212">
        <v>283198</v>
      </c>
      <c r="F4" s="212">
        <v>394321</v>
      </c>
      <c r="G4" s="212">
        <v>2009209</v>
      </c>
      <c r="H4" s="212">
        <v>282433</v>
      </c>
      <c r="I4" s="212">
        <v>282868</v>
      </c>
      <c r="J4" s="212">
        <v>282653</v>
      </c>
      <c r="K4" s="212">
        <v>0</v>
      </c>
      <c r="L4" s="212">
        <v>0</v>
      </c>
      <c r="M4" s="212">
        <v>0</v>
      </c>
      <c r="N4" s="160">
        <f t="shared" si="1"/>
        <v>4533545</v>
      </c>
      <c r="O4" s="153" t="str">
        <f t="shared" si="2"/>
        <v>その他経常収入</v>
      </c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160">
        <f t="shared" si="3"/>
        <v>0</v>
      </c>
      <c r="AC4" s="160" t="str">
        <f t="shared" si="4"/>
        <v>その他経常収入</v>
      </c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160">
        <f t="shared" si="5"/>
        <v>0</v>
      </c>
    </row>
    <row r="5" spans="1:42" ht="15.75" customHeight="1">
      <c r="A5" s="161" t="s">
        <v>49</v>
      </c>
      <c r="B5" s="173">
        <f t="shared" ref="B5:M5" si="6">SUM(B3:B4)</f>
        <v>54566538</v>
      </c>
      <c r="C5" s="173">
        <f t="shared" si="6"/>
        <v>37121429</v>
      </c>
      <c r="D5" s="173">
        <f t="shared" si="6"/>
        <v>28005149</v>
      </c>
      <c r="E5" s="173">
        <f t="shared" si="6"/>
        <v>40981557</v>
      </c>
      <c r="F5" s="173">
        <f t="shared" si="6"/>
        <v>32773905</v>
      </c>
      <c r="G5" s="173">
        <f t="shared" si="6"/>
        <v>27738361</v>
      </c>
      <c r="H5" s="173">
        <f t="shared" si="6"/>
        <v>54841086</v>
      </c>
      <c r="I5" s="173">
        <f t="shared" si="6"/>
        <v>51467249</v>
      </c>
      <c r="J5" s="173">
        <f t="shared" si="6"/>
        <v>19118631</v>
      </c>
      <c r="K5" s="173">
        <f t="shared" si="6"/>
        <v>0</v>
      </c>
      <c r="L5" s="173">
        <f t="shared" si="6"/>
        <v>0</v>
      </c>
      <c r="M5" s="173">
        <f t="shared" si="6"/>
        <v>0</v>
      </c>
      <c r="N5" s="162">
        <f t="shared" si="1"/>
        <v>346613905</v>
      </c>
      <c r="O5" s="163" t="str">
        <f t="shared" si="2"/>
        <v>①経常収入合計</v>
      </c>
      <c r="P5" s="173">
        <f t="shared" ref="P5:AA5" si="7">SUM(P3:P4)</f>
        <v>0</v>
      </c>
      <c r="Q5" s="173">
        <f t="shared" si="7"/>
        <v>0</v>
      </c>
      <c r="R5" s="173">
        <f t="shared" si="7"/>
        <v>0</v>
      </c>
      <c r="S5" s="173">
        <f t="shared" si="7"/>
        <v>0</v>
      </c>
      <c r="T5" s="173">
        <f t="shared" si="7"/>
        <v>0</v>
      </c>
      <c r="U5" s="173">
        <f t="shared" si="7"/>
        <v>0</v>
      </c>
      <c r="V5" s="173">
        <f t="shared" si="7"/>
        <v>0</v>
      </c>
      <c r="W5" s="173">
        <f t="shared" si="7"/>
        <v>0</v>
      </c>
      <c r="X5" s="173">
        <f t="shared" si="7"/>
        <v>0</v>
      </c>
      <c r="Y5" s="173">
        <f t="shared" si="7"/>
        <v>0</v>
      </c>
      <c r="Z5" s="173">
        <f t="shared" si="7"/>
        <v>0</v>
      </c>
      <c r="AA5" s="173">
        <f t="shared" si="7"/>
        <v>0</v>
      </c>
      <c r="AB5" s="162">
        <f t="shared" si="3"/>
        <v>0</v>
      </c>
      <c r="AC5" s="162" t="str">
        <f t="shared" si="4"/>
        <v>①経常収入合計</v>
      </c>
      <c r="AD5" s="162">
        <f t="shared" ref="AD5:AO5" si="8">SUM(AD3:AD4)</f>
        <v>0</v>
      </c>
      <c r="AE5" s="162">
        <f t="shared" si="8"/>
        <v>0</v>
      </c>
      <c r="AF5" s="162">
        <f t="shared" si="8"/>
        <v>0</v>
      </c>
      <c r="AG5" s="162">
        <f t="shared" si="8"/>
        <v>0</v>
      </c>
      <c r="AH5" s="162">
        <f t="shared" si="8"/>
        <v>0</v>
      </c>
      <c r="AI5" s="162">
        <f t="shared" si="8"/>
        <v>0</v>
      </c>
      <c r="AJ5" s="162">
        <f t="shared" si="8"/>
        <v>0</v>
      </c>
      <c r="AK5" s="162">
        <f t="shared" si="8"/>
        <v>0</v>
      </c>
      <c r="AL5" s="162">
        <f t="shared" si="8"/>
        <v>0</v>
      </c>
      <c r="AM5" s="162">
        <f t="shared" si="8"/>
        <v>0</v>
      </c>
      <c r="AN5" s="162">
        <f t="shared" si="8"/>
        <v>0</v>
      </c>
      <c r="AO5" s="162">
        <f t="shared" si="8"/>
        <v>0</v>
      </c>
      <c r="AP5" s="162">
        <f t="shared" si="5"/>
        <v>0</v>
      </c>
    </row>
    <row r="6" spans="1:42" ht="15.75" customHeight="1">
      <c r="A6" s="159" t="str">
        <f>資金繰り予定表!A6</f>
        <v>仕入支払い</v>
      </c>
      <c r="B6" s="212">
        <v>47765346</v>
      </c>
      <c r="C6" s="212">
        <v>23771476</v>
      </c>
      <c r="D6" s="212">
        <v>17888831</v>
      </c>
      <c r="E6" s="212">
        <v>23481022</v>
      </c>
      <c r="F6" s="212">
        <v>22792525</v>
      </c>
      <c r="G6" s="212">
        <v>6318533</v>
      </c>
      <c r="H6" s="212">
        <v>28239252</v>
      </c>
      <c r="I6" s="212">
        <v>23680587</v>
      </c>
      <c r="J6" s="212">
        <v>21000375</v>
      </c>
      <c r="K6" s="212">
        <v>0</v>
      </c>
      <c r="L6" s="212">
        <v>0</v>
      </c>
      <c r="M6" s="212">
        <v>0</v>
      </c>
      <c r="N6" s="160">
        <f t="shared" si="1"/>
        <v>214937947</v>
      </c>
      <c r="O6" s="153" t="str">
        <f t="shared" si="2"/>
        <v>仕入支払い</v>
      </c>
      <c r="P6" s="213"/>
      <c r="Q6" s="213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160">
        <f t="shared" si="3"/>
        <v>0</v>
      </c>
      <c r="AC6" s="160" t="str">
        <f t="shared" si="4"/>
        <v>仕入支払い</v>
      </c>
      <c r="AD6" s="213"/>
      <c r="AE6" s="213"/>
      <c r="AF6" s="213"/>
      <c r="AG6" s="213"/>
      <c r="AH6" s="213"/>
      <c r="AI6" s="213"/>
      <c r="AJ6" s="213"/>
      <c r="AK6" s="213"/>
      <c r="AL6" s="213"/>
      <c r="AM6" s="213"/>
      <c r="AN6" s="213"/>
      <c r="AO6" s="213"/>
      <c r="AP6" s="160">
        <f t="shared" si="5"/>
        <v>0</v>
      </c>
    </row>
    <row r="7" spans="1:42" ht="15.75" customHeight="1">
      <c r="A7" s="159" t="str">
        <f>資金繰り予定表!A7</f>
        <v>外注費</v>
      </c>
      <c r="B7" s="212">
        <v>3962380</v>
      </c>
      <c r="C7" s="212">
        <v>5465980</v>
      </c>
      <c r="D7" s="212">
        <v>3316614</v>
      </c>
      <c r="E7" s="212">
        <v>2490000</v>
      </c>
      <c r="F7" s="212">
        <v>4710426</v>
      </c>
      <c r="G7" s="212">
        <v>27279202</v>
      </c>
      <c r="H7" s="212">
        <v>6344902</v>
      </c>
      <c r="I7" s="212">
        <v>3371348</v>
      </c>
      <c r="J7" s="212">
        <v>165210</v>
      </c>
      <c r="K7" s="212">
        <v>0</v>
      </c>
      <c r="L7" s="212">
        <v>0</v>
      </c>
      <c r="M7" s="212">
        <v>0</v>
      </c>
      <c r="N7" s="160">
        <f t="shared" si="1"/>
        <v>57106062</v>
      </c>
      <c r="O7" s="153" t="str">
        <f t="shared" si="2"/>
        <v>外注費</v>
      </c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160">
        <f t="shared" si="3"/>
        <v>0</v>
      </c>
      <c r="AC7" s="160" t="str">
        <f t="shared" si="4"/>
        <v>外注費</v>
      </c>
      <c r="AD7" s="213"/>
      <c r="AE7" s="213"/>
      <c r="AF7" s="213"/>
      <c r="AG7" s="213"/>
      <c r="AH7" s="213"/>
      <c r="AI7" s="213"/>
      <c r="AJ7" s="213"/>
      <c r="AK7" s="213"/>
      <c r="AL7" s="213"/>
      <c r="AM7" s="213"/>
      <c r="AN7" s="213"/>
      <c r="AO7" s="213"/>
      <c r="AP7" s="160">
        <f t="shared" si="5"/>
        <v>0</v>
      </c>
    </row>
    <row r="8" spans="1:42" ht="15.75" customHeight="1">
      <c r="A8" s="159" t="str">
        <f>資金繰り予定表!A8</f>
        <v>給与・賞与</v>
      </c>
      <c r="B8" s="212">
        <v>1778257</v>
      </c>
      <c r="C8" s="212">
        <v>1752394</v>
      </c>
      <c r="D8" s="212">
        <v>2260053</v>
      </c>
      <c r="E8" s="212">
        <v>1756330</v>
      </c>
      <c r="F8" s="212">
        <v>1872813</v>
      </c>
      <c r="G8" s="212">
        <v>3035179</v>
      </c>
      <c r="H8" s="212">
        <v>1628672</v>
      </c>
      <c r="I8" s="212">
        <v>1671365</v>
      </c>
      <c r="J8" s="212">
        <v>1586132</v>
      </c>
      <c r="K8" s="212">
        <v>0</v>
      </c>
      <c r="L8" s="212">
        <v>0</v>
      </c>
      <c r="M8" s="212">
        <v>0</v>
      </c>
      <c r="N8" s="160">
        <f t="shared" si="1"/>
        <v>17341195</v>
      </c>
      <c r="O8" s="153" t="str">
        <f t="shared" si="2"/>
        <v>給与・賞与</v>
      </c>
      <c r="P8" s="213"/>
      <c r="Q8" s="213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160">
        <f t="shared" si="3"/>
        <v>0</v>
      </c>
      <c r="AC8" s="160" t="str">
        <f t="shared" si="4"/>
        <v>給与・賞与</v>
      </c>
      <c r="AD8" s="213"/>
      <c r="AE8" s="213"/>
      <c r="AF8" s="213"/>
      <c r="AG8" s="213"/>
      <c r="AH8" s="213"/>
      <c r="AI8" s="213"/>
      <c r="AJ8" s="213"/>
      <c r="AK8" s="213"/>
      <c r="AL8" s="213"/>
      <c r="AM8" s="213"/>
      <c r="AN8" s="213"/>
      <c r="AO8" s="213"/>
      <c r="AP8" s="160">
        <f t="shared" si="5"/>
        <v>0</v>
      </c>
    </row>
    <row r="9" spans="1:42" ht="15.75" customHeight="1">
      <c r="A9" s="159" t="str">
        <f>資金繰り予定表!A9</f>
        <v>社会保険料・源泉所得税・住民税</v>
      </c>
      <c r="B9" s="212">
        <v>577203</v>
      </c>
      <c r="C9" s="212">
        <v>0</v>
      </c>
      <c r="D9" s="212">
        <v>1154406</v>
      </c>
      <c r="E9" s="212">
        <v>878810</v>
      </c>
      <c r="F9" s="212">
        <v>0</v>
      </c>
      <c r="G9" s="212">
        <v>567978</v>
      </c>
      <c r="H9" s="212">
        <v>694225</v>
      </c>
      <c r="I9" s="212">
        <v>1193098</v>
      </c>
      <c r="J9" s="212">
        <v>1135956</v>
      </c>
      <c r="K9" s="212">
        <v>0</v>
      </c>
      <c r="L9" s="212">
        <v>0</v>
      </c>
      <c r="M9" s="212">
        <v>0</v>
      </c>
      <c r="N9" s="160">
        <f t="shared" si="1"/>
        <v>6201676</v>
      </c>
      <c r="O9" s="153" t="str">
        <f t="shared" si="2"/>
        <v>社会保険料・源泉所得税・住民税</v>
      </c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160">
        <f t="shared" si="3"/>
        <v>0</v>
      </c>
      <c r="AC9" s="160" t="str">
        <f t="shared" si="4"/>
        <v>社会保険料・源泉所得税・住民税</v>
      </c>
      <c r="AD9" s="213"/>
      <c r="AE9" s="213"/>
      <c r="AF9" s="213"/>
      <c r="AG9" s="213"/>
      <c r="AH9" s="213"/>
      <c r="AI9" s="213"/>
      <c r="AJ9" s="213"/>
      <c r="AK9" s="213"/>
      <c r="AL9" s="213"/>
      <c r="AM9" s="213"/>
      <c r="AN9" s="213"/>
      <c r="AO9" s="213"/>
      <c r="AP9" s="160">
        <f t="shared" si="5"/>
        <v>0</v>
      </c>
    </row>
    <row r="10" spans="1:42" ht="15.75" customHeight="1">
      <c r="A10" s="159" t="str">
        <f>資金繰り予定表!A10</f>
        <v>広告宣伝費・販売費</v>
      </c>
      <c r="B10" s="212">
        <v>127446</v>
      </c>
      <c r="C10" s="212">
        <v>0</v>
      </c>
      <c r="D10" s="212">
        <v>409420</v>
      </c>
      <c r="E10" s="212">
        <v>0</v>
      </c>
      <c r="F10" s="212">
        <v>209550</v>
      </c>
      <c r="G10" s="212">
        <v>171285</v>
      </c>
      <c r="H10" s="212">
        <v>77000</v>
      </c>
      <c r="I10" s="212">
        <v>235300</v>
      </c>
      <c r="J10" s="212">
        <v>77000</v>
      </c>
      <c r="K10" s="212">
        <v>0</v>
      </c>
      <c r="L10" s="212">
        <v>0</v>
      </c>
      <c r="M10" s="212">
        <v>0</v>
      </c>
      <c r="N10" s="160">
        <f t="shared" si="1"/>
        <v>1307001</v>
      </c>
      <c r="O10" s="153" t="str">
        <f t="shared" si="2"/>
        <v>広告宣伝費・販売費</v>
      </c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160">
        <f t="shared" si="3"/>
        <v>0</v>
      </c>
      <c r="AC10" s="160" t="str">
        <f t="shared" si="4"/>
        <v>広告宣伝費・販売費</v>
      </c>
      <c r="AD10" s="213"/>
      <c r="AE10" s="213"/>
      <c r="AF10" s="213"/>
      <c r="AG10" s="213"/>
      <c r="AH10" s="213"/>
      <c r="AI10" s="213"/>
      <c r="AJ10" s="213"/>
      <c r="AK10" s="213"/>
      <c r="AL10" s="213"/>
      <c r="AM10" s="213"/>
      <c r="AN10" s="213"/>
      <c r="AO10" s="213"/>
      <c r="AP10" s="160">
        <f t="shared" si="5"/>
        <v>0</v>
      </c>
    </row>
    <row r="11" spans="1:42" ht="15.75" customHeight="1">
      <c r="A11" s="159" t="str">
        <f>資金繰り予定表!A11</f>
        <v>交際費・福利厚生費</v>
      </c>
      <c r="B11" s="212">
        <v>5150</v>
      </c>
      <c r="C11" s="212">
        <v>5150</v>
      </c>
      <c r="D11" s="212">
        <v>5150</v>
      </c>
      <c r="E11" s="212">
        <v>5150</v>
      </c>
      <c r="F11" s="212">
        <v>5150</v>
      </c>
      <c r="G11" s="212">
        <v>150113</v>
      </c>
      <c r="H11" s="212">
        <v>5150</v>
      </c>
      <c r="I11" s="212">
        <v>5150</v>
      </c>
      <c r="J11" s="212">
        <v>5150</v>
      </c>
      <c r="K11" s="212">
        <v>0</v>
      </c>
      <c r="L11" s="212">
        <v>0</v>
      </c>
      <c r="M11" s="212">
        <v>0</v>
      </c>
      <c r="N11" s="160">
        <f t="shared" si="1"/>
        <v>191313</v>
      </c>
      <c r="O11" s="153" t="str">
        <f t="shared" si="2"/>
        <v>交際費・福利厚生費</v>
      </c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160">
        <f t="shared" si="3"/>
        <v>0</v>
      </c>
      <c r="AC11" s="160" t="str">
        <f t="shared" si="4"/>
        <v>交際費・福利厚生費</v>
      </c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  <c r="AN11" s="213"/>
      <c r="AO11" s="213"/>
      <c r="AP11" s="160">
        <f t="shared" si="5"/>
        <v>0</v>
      </c>
    </row>
    <row r="12" spans="1:42" ht="15.75" customHeight="1">
      <c r="A12" s="159" t="str">
        <f>資金繰り予定表!A12</f>
        <v>旅費交通費・車両関連費</v>
      </c>
      <c r="B12" s="212">
        <v>36606</v>
      </c>
      <c r="C12" s="212">
        <v>61189</v>
      </c>
      <c r="D12" s="212">
        <v>38697</v>
      </c>
      <c r="E12" s="212">
        <v>37724</v>
      </c>
      <c r="F12" s="212">
        <v>36004</v>
      </c>
      <c r="G12" s="212">
        <v>38295</v>
      </c>
      <c r="H12" s="212">
        <v>37487</v>
      </c>
      <c r="I12" s="212">
        <v>43089</v>
      </c>
      <c r="J12" s="212">
        <v>35572</v>
      </c>
      <c r="K12" s="212">
        <v>0</v>
      </c>
      <c r="L12" s="212">
        <v>0</v>
      </c>
      <c r="M12" s="212">
        <v>0</v>
      </c>
      <c r="N12" s="160">
        <f t="shared" si="1"/>
        <v>364663</v>
      </c>
      <c r="O12" s="153" t="str">
        <f t="shared" si="2"/>
        <v>旅費交通費・車両関連費</v>
      </c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160">
        <f t="shared" si="3"/>
        <v>0</v>
      </c>
      <c r="AC12" s="160" t="str">
        <f t="shared" si="4"/>
        <v>旅費交通費・車両関連費</v>
      </c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  <c r="AN12" s="213"/>
      <c r="AO12" s="213"/>
      <c r="AP12" s="160">
        <f t="shared" si="5"/>
        <v>0</v>
      </c>
    </row>
    <row r="13" spans="1:42" ht="15.75" customHeight="1">
      <c r="A13" s="159" t="str">
        <f>資金繰り予定表!A13</f>
        <v>地代家賃・水道光熱費</v>
      </c>
      <c r="B13" s="212">
        <v>217870</v>
      </c>
      <c r="C13" s="212">
        <v>237099</v>
      </c>
      <c r="D13" s="212">
        <v>225955</v>
      </c>
      <c r="E13" s="212">
        <v>262403</v>
      </c>
      <c r="F13" s="212">
        <v>235033</v>
      </c>
      <c r="G13" s="212">
        <v>223229</v>
      </c>
      <c r="H13" s="212">
        <v>320365</v>
      </c>
      <c r="I13" s="212">
        <v>360489</v>
      </c>
      <c r="J13" s="212">
        <v>213615</v>
      </c>
      <c r="K13" s="212">
        <v>0</v>
      </c>
      <c r="L13" s="212">
        <v>0</v>
      </c>
      <c r="M13" s="212">
        <v>0</v>
      </c>
      <c r="N13" s="160">
        <f t="shared" si="1"/>
        <v>2296058</v>
      </c>
      <c r="O13" s="153" t="str">
        <f t="shared" si="2"/>
        <v>地代家賃・水道光熱費</v>
      </c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160">
        <f t="shared" si="3"/>
        <v>0</v>
      </c>
      <c r="AC13" s="160" t="str">
        <f t="shared" si="4"/>
        <v>地代家賃・水道光熱費</v>
      </c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160">
        <f t="shared" si="5"/>
        <v>0</v>
      </c>
    </row>
    <row r="14" spans="1:42" ht="15.75" customHeight="1">
      <c r="A14" s="159" t="str">
        <f>資金繰り予定表!A14</f>
        <v>保険料</v>
      </c>
      <c r="B14" s="212">
        <v>349711</v>
      </c>
      <c r="C14" s="212">
        <v>329771</v>
      </c>
      <c r="D14" s="212">
        <v>342391</v>
      </c>
      <c r="E14" s="212">
        <v>332881</v>
      </c>
      <c r="F14" s="212">
        <v>329771</v>
      </c>
      <c r="G14" s="212">
        <v>338481</v>
      </c>
      <c r="H14" s="212">
        <v>325861</v>
      </c>
      <c r="I14" s="212">
        <v>354051</v>
      </c>
      <c r="J14" s="212">
        <v>341431</v>
      </c>
      <c r="K14" s="212">
        <v>0</v>
      </c>
      <c r="L14" s="212">
        <v>0</v>
      </c>
      <c r="M14" s="212">
        <v>0</v>
      </c>
      <c r="N14" s="160">
        <f t="shared" si="1"/>
        <v>3044349</v>
      </c>
      <c r="O14" s="153" t="str">
        <f t="shared" si="2"/>
        <v>保険料</v>
      </c>
      <c r="P14" s="213"/>
      <c r="Q14" s="213"/>
      <c r="R14" s="213"/>
      <c r="S14" s="213"/>
      <c r="T14" s="213"/>
      <c r="U14" s="213"/>
      <c r="V14" s="213"/>
      <c r="W14" s="213"/>
      <c r="X14" s="213"/>
      <c r="Y14" s="213"/>
      <c r="Z14" s="213"/>
      <c r="AA14" s="213"/>
      <c r="AB14" s="160">
        <f t="shared" si="3"/>
        <v>0</v>
      </c>
      <c r="AC14" s="160" t="str">
        <f t="shared" si="4"/>
        <v>保険料</v>
      </c>
      <c r="AD14" s="213"/>
      <c r="AE14" s="213"/>
      <c r="AF14" s="213"/>
      <c r="AG14" s="213"/>
      <c r="AH14" s="213"/>
      <c r="AI14" s="213"/>
      <c r="AJ14" s="213"/>
      <c r="AK14" s="213"/>
      <c r="AL14" s="213"/>
      <c r="AM14" s="213"/>
      <c r="AN14" s="213"/>
      <c r="AO14" s="213"/>
      <c r="AP14" s="160">
        <f t="shared" si="5"/>
        <v>0</v>
      </c>
    </row>
    <row r="15" spans="1:42" ht="15.75" customHeight="1">
      <c r="A15" s="159" t="str">
        <f>資金繰り予定表!A15</f>
        <v>会費・顧問料・手数料・システム利用料</v>
      </c>
      <c r="B15" s="212">
        <v>57788</v>
      </c>
      <c r="C15" s="212">
        <v>85398</v>
      </c>
      <c r="D15" s="212">
        <v>164103</v>
      </c>
      <c r="E15" s="212">
        <v>356971</v>
      </c>
      <c r="F15" s="212">
        <v>212458</v>
      </c>
      <c r="G15" s="212">
        <v>142598</v>
      </c>
      <c r="H15" s="212">
        <v>143148</v>
      </c>
      <c r="I15" s="212">
        <v>223533</v>
      </c>
      <c r="J15" s="212">
        <v>141945</v>
      </c>
      <c r="K15" s="212">
        <v>0</v>
      </c>
      <c r="L15" s="212">
        <v>0</v>
      </c>
      <c r="M15" s="212">
        <v>0</v>
      </c>
      <c r="N15" s="160">
        <f t="shared" si="1"/>
        <v>1527942</v>
      </c>
      <c r="O15" s="153" t="str">
        <f t="shared" si="2"/>
        <v>会費・顧問料・手数料・システム利用料</v>
      </c>
      <c r="P15" s="213"/>
      <c r="Q15" s="213"/>
      <c r="R15" s="213"/>
      <c r="S15" s="213"/>
      <c r="T15" s="213"/>
      <c r="U15" s="213"/>
      <c r="V15" s="213"/>
      <c r="W15" s="213"/>
      <c r="X15" s="213"/>
      <c r="Y15" s="213"/>
      <c r="Z15" s="213"/>
      <c r="AA15" s="213"/>
      <c r="AB15" s="160">
        <f t="shared" si="3"/>
        <v>0</v>
      </c>
      <c r="AC15" s="160" t="str">
        <f t="shared" si="4"/>
        <v>会費・顧問料・手数料・システム利用料</v>
      </c>
      <c r="AD15" s="213"/>
      <c r="AE15" s="213"/>
      <c r="AF15" s="213"/>
      <c r="AG15" s="213"/>
      <c r="AH15" s="213"/>
      <c r="AI15" s="213"/>
      <c r="AJ15" s="213"/>
      <c r="AK15" s="213"/>
      <c r="AL15" s="213"/>
      <c r="AM15" s="213"/>
      <c r="AN15" s="213"/>
      <c r="AO15" s="213"/>
      <c r="AP15" s="160">
        <f t="shared" si="5"/>
        <v>0</v>
      </c>
    </row>
    <row r="16" spans="1:42" ht="15.75" customHeight="1">
      <c r="A16" s="159" t="str">
        <f>資金繰り予定表!A16</f>
        <v>研修費・研究開発費</v>
      </c>
      <c r="B16" s="212">
        <v>0</v>
      </c>
      <c r="C16" s="212">
        <v>0</v>
      </c>
      <c r="D16" s="212">
        <v>0</v>
      </c>
      <c r="E16" s="212">
        <v>0</v>
      </c>
      <c r="F16" s="212">
        <v>0</v>
      </c>
      <c r="G16" s="212">
        <v>0</v>
      </c>
      <c r="H16" s="212">
        <v>0</v>
      </c>
      <c r="I16" s="212">
        <v>0</v>
      </c>
      <c r="J16" s="212">
        <v>0</v>
      </c>
      <c r="K16" s="212">
        <v>0</v>
      </c>
      <c r="L16" s="212">
        <v>0</v>
      </c>
      <c r="M16" s="212">
        <v>0</v>
      </c>
      <c r="N16" s="160">
        <f t="shared" si="1"/>
        <v>0</v>
      </c>
      <c r="O16" s="153" t="str">
        <f t="shared" si="2"/>
        <v>研修費・研究開発費</v>
      </c>
      <c r="P16" s="213"/>
      <c r="Q16" s="213"/>
      <c r="R16" s="213"/>
      <c r="S16" s="213"/>
      <c r="T16" s="213"/>
      <c r="U16" s="213"/>
      <c r="V16" s="213"/>
      <c r="W16" s="213"/>
      <c r="X16" s="213"/>
      <c r="Y16" s="213"/>
      <c r="Z16" s="213"/>
      <c r="AA16" s="213"/>
      <c r="AB16" s="160">
        <f t="shared" si="3"/>
        <v>0</v>
      </c>
      <c r="AC16" s="160" t="str">
        <f t="shared" si="4"/>
        <v>研修費・研究開発費</v>
      </c>
      <c r="AD16" s="213"/>
      <c r="AE16" s="213"/>
      <c r="AF16" s="213"/>
      <c r="AG16" s="213"/>
      <c r="AH16" s="213"/>
      <c r="AI16" s="213"/>
      <c r="AJ16" s="213"/>
      <c r="AK16" s="213"/>
      <c r="AL16" s="213"/>
      <c r="AM16" s="213"/>
      <c r="AN16" s="213"/>
      <c r="AO16" s="213"/>
      <c r="AP16" s="160">
        <f t="shared" si="5"/>
        <v>0</v>
      </c>
    </row>
    <row r="17" spans="1:42" ht="15.75" customHeight="1">
      <c r="A17" s="159" t="str">
        <f>資金繰り予定表!A17</f>
        <v>リース料・割賦支払い</v>
      </c>
      <c r="B17" s="212">
        <v>23980</v>
      </c>
      <c r="C17" s="212">
        <v>60940</v>
      </c>
      <c r="D17" s="212">
        <v>108900</v>
      </c>
      <c r="E17" s="212">
        <v>84920</v>
      </c>
      <c r="F17" s="212">
        <v>60940</v>
      </c>
      <c r="G17" s="212">
        <v>187370</v>
      </c>
      <c r="H17" s="212">
        <v>186820</v>
      </c>
      <c r="I17" s="212">
        <v>186820</v>
      </c>
      <c r="J17" s="212">
        <v>210800</v>
      </c>
      <c r="K17" s="212">
        <v>0</v>
      </c>
      <c r="L17" s="212">
        <v>0</v>
      </c>
      <c r="M17" s="212">
        <v>0</v>
      </c>
      <c r="N17" s="160">
        <f t="shared" si="1"/>
        <v>1111490</v>
      </c>
      <c r="O17" s="153" t="str">
        <f t="shared" si="2"/>
        <v>リース料・割賦支払い</v>
      </c>
      <c r="P17" s="213"/>
      <c r="Q17" s="213"/>
      <c r="R17" s="213"/>
      <c r="S17" s="213"/>
      <c r="T17" s="213"/>
      <c r="U17" s="213"/>
      <c r="V17" s="213"/>
      <c r="W17" s="213"/>
      <c r="X17" s="213"/>
      <c r="Y17" s="213"/>
      <c r="Z17" s="213"/>
      <c r="AA17" s="213"/>
      <c r="AB17" s="160">
        <f t="shared" si="3"/>
        <v>0</v>
      </c>
      <c r="AC17" s="160" t="str">
        <f t="shared" si="4"/>
        <v>リース料・割賦支払い</v>
      </c>
      <c r="AD17" s="213"/>
      <c r="AE17" s="213"/>
      <c r="AF17" s="213"/>
      <c r="AG17" s="213"/>
      <c r="AH17" s="213"/>
      <c r="AI17" s="213"/>
      <c r="AJ17" s="213"/>
      <c r="AK17" s="213"/>
      <c r="AL17" s="213"/>
      <c r="AM17" s="213"/>
      <c r="AN17" s="213"/>
      <c r="AO17" s="213"/>
      <c r="AP17" s="160">
        <f t="shared" si="5"/>
        <v>0</v>
      </c>
    </row>
    <row r="18" spans="1:42" ht="15.75" customHeight="1">
      <c r="A18" s="159" t="str">
        <f>資金繰り予定表!A18</f>
        <v>修繕費・設備管理費・消耗品費</v>
      </c>
      <c r="B18" s="212">
        <v>297131</v>
      </c>
      <c r="C18" s="212">
        <v>149131</v>
      </c>
      <c r="D18" s="212">
        <v>110428</v>
      </c>
      <c r="E18" s="212">
        <v>163267</v>
      </c>
      <c r="F18" s="212">
        <v>204900</v>
      </c>
      <c r="G18" s="212">
        <v>0</v>
      </c>
      <c r="H18" s="212">
        <v>0</v>
      </c>
      <c r="I18" s="212">
        <v>147291</v>
      </c>
      <c r="J18" s="212">
        <v>0</v>
      </c>
      <c r="K18" s="212">
        <v>0</v>
      </c>
      <c r="L18" s="212">
        <v>0</v>
      </c>
      <c r="M18" s="212">
        <v>0</v>
      </c>
      <c r="N18" s="160">
        <f t="shared" si="1"/>
        <v>1072148</v>
      </c>
      <c r="O18" s="153" t="str">
        <f t="shared" si="2"/>
        <v>修繕費・設備管理費・消耗品費</v>
      </c>
      <c r="P18" s="213"/>
      <c r="Q18" s="213"/>
      <c r="R18" s="213"/>
      <c r="S18" s="213"/>
      <c r="T18" s="213"/>
      <c r="U18" s="213"/>
      <c r="V18" s="213"/>
      <c r="W18" s="213"/>
      <c r="X18" s="213"/>
      <c r="Y18" s="213"/>
      <c r="Z18" s="213"/>
      <c r="AA18" s="213"/>
      <c r="AB18" s="160">
        <f t="shared" si="3"/>
        <v>0</v>
      </c>
      <c r="AC18" s="160" t="str">
        <f t="shared" si="4"/>
        <v>修繕費・設備管理費・消耗品費</v>
      </c>
      <c r="AD18" s="213"/>
      <c r="AE18" s="213"/>
      <c r="AF18" s="213"/>
      <c r="AG18" s="213"/>
      <c r="AH18" s="213"/>
      <c r="AI18" s="213"/>
      <c r="AJ18" s="213"/>
      <c r="AK18" s="213"/>
      <c r="AL18" s="213"/>
      <c r="AM18" s="213"/>
      <c r="AN18" s="213"/>
      <c r="AO18" s="213"/>
      <c r="AP18" s="160">
        <f t="shared" si="5"/>
        <v>0</v>
      </c>
    </row>
    <row r="19" spans="1:42" ht="15.75" customHeight="1">
      <c r="A19" s="159" t="str">
        <f>資金繰り予定表!A19</f>
        <v>雑費・銀行手数料</v>
      </c>
      <c r="B19" s="212">
        <v>120603</v>
      </c>
      <c r="C19" s="212">
        <v>121273</v>
      </c>
      <c r="D19" s="212">
        <v>859980</v>
      </c>
      <c r="E19" s="212">
        <v>127800</v>
      </c>
      <c r="F19" s="212">
        <v>116058</v>
      </c>
      <c r="G19" s="212">
        <v>123666</v>
      </c>
      <c r="H19" s="212">
        <v>110895</v>
      </c>
      <c r="I19" s="212">
        <v>134756</v>
      </c>
      <c r="J19" s="212">
        <v>115523</v>
      </c>
      <c r="K19" s="212">
        <v>0</v>
      </c>
      <c r="L19" s="212">
        <v>0</v>
      </c>
      <c r="M19" s="212">
        <v>0</v>
      </c>
      <c r="N19" s="160">
        <f t="shared" si="1"/>
        <v>1830554</v>
      </c>
      <c r="O19" s="153" t="str">
        <f t="shared" si="2"/>
        <v>雑費・銀行手数料</v>
      </c>
      <c r="P19" s="213"/>
      <c r="Q19" s="213"/>
      <c r="R19" s="213"/>
      <c r="S19" s="213"/>
      <c r="T19" s="213"/>
      <c r="U19" s="213"/>
      <c r="V19" s="213"/>
      <c r="W19" s="213"/>
      <c r="X19" s="213"/>
      <c r="Y19" s="213"/>
      <c r="Z19" s="213"/>
      <c r="AA19" s="213"/>
      <c r="AB19" s="160">
        <f t="shared" si="3"/>
        <v>0</v>
      </c>
      <c r="AC19" s="160" t="str">
        <f t="shared" si="4"/>
        <v>雑費・銀行手数料</v>
      </c>
      <c r="AD19" s="213"/>
      <c r="AE19" s="213"/>
      <c r="AF19" s="213"/>
      <c r="AG19" s="213"/>
      <c r="AH19" s="213"/>
      <c r="AI19" s="213"/>
      <c r="AJ19" s="213"/>
      <c r="AK19" s="213"/>
      <c r="AL19" s="213"/>
      <c r="AM19" s="213"/>
      <c r="AN19" s="213"/>
      <c r="AO19" s="213"/>
      <c r="AP19" s="160">
        <f t="shared" si="5"/>
        <v>0</v>
      </c>
    </row>
    <row r="20" spans="1:42" ht="15.75" customHeight="1">
      <c r="A20" s="159" t="str">
        <f>資金繰り予定表!A20</f>
        <v>その他販管費</v>
      </c>
      <c r="B20" s="212">
        <v>79782</v>
      </c>
      <c r="C20" s="212">
        <v>0</v>
      </c>
      <c r="D20" s="212">
        <v>385000</v>
      </c>
      <c r="E20" s="212">
        <v>591965</v>
      </c>
      <c r="F20" s="212">
        <v>892720</v>
      </c>
      <c r="G20" s="212">
        <v>1257480</v>
      </c>
      <c r="H20" s="212">
        <v>601255</v>
      </c>
      <c r="I20" s="212">
        <v>2220580</v>
      </c>
      <c r="J20" s="212">
        <v>198634</v>
      </c>
      <c r="K20" s="212">
        <v>0</v>
      </c>
      <c r="L20" s="212">
        <v>0</v>
      </c>
      <c r="M20" s="212">
        <v>0</v>
      </c>
      <c r="N20" s="160">
        <f t="shared" si="1"/>
        <v>6227416</v>
      </c>
      <c r="O20" s="153" t="str">
        <f t="shared" si="2"/>
        <v>その他販管費</v>
      </c>
      <c r="P20" s="213"/>
      <c r="Q20" s="213"/>
      <c r="R20" s="213"/>
      <c r="S20" s="213"/>
      <c r="T20" s="213"/>
      <c r="U20" s="213"/>
      <c r="V20" s="213"/>
      <c r="W20" s="213"/>
      <c r="X20" s="213"/>
      <c r="Y20" s="213"/>
      <c r="Z20" s="213"/>
      <c r="AA20" s="213"/>
      <c r="AB20" s="160">
        <f t="shared" si="3"/>
        <v>0</v>
      </c>
      <c r="AC20" s="160" t="str">
        <f t="shared" si="4"/>
        <v>その他販管費</v>
      </c>
      <c r="AD20" s="213"/>
      <c r="AE20" s="213"/>
      <c r="AF20" s="213"/>
      <c r="AG20" s="213"/>
      <c r="AH20" s="213"/>
      <c r="AI20" s="213"/>
      <c r="AJ20" s="213"/>
      <c r="AK20" s="213"/>
      <c r="AL20" s="213"/>
      <c r="AM20" s="213"/>
      <c r="AN20" s="213"/>
      <c r="AO20" s="213"/>
      <c r="AP20" s="160">
        <f t="shared" si="5"/>
        <v>0</v>
      </c>
    </row>
    <row r="21" spans="1:42" ht="15.75" customHeight="1">
      <c r="A21" s="159" t="str">
        <f>資金繰り予定表!A21</f>
        <v>その他経常支出</v>
      </c>
      <c r="B21" s="212">
        <v>0</v>
      </c>
      <c r="C21" s="212">
        <v>240000</v>
      </c>
      <c r="D21" s="212">
        <v>487904</v>
      </c>
      <c r="E21" s="212">
        <v>0</v>
      </c>
      <c r="F21" s="212">
        <v>166550</v>
      </c>
      <c r="G21" s="212">
        <v>1154000</v>
      </c>
      <c r="H21" s="212">
        <v>740000</v>
      </c>
      <c r="I21" s="212">
        <v>620000</v>
      </c>
      <c r="J21" s="212">
        <v>500000</v>
      </c>
      <c r="K21" s="212">
        <v>0</v>
      </c>
      <c r="L21" s="212">
        <v>0</v>
      </c>
      <c r="M21" s="212">
        <v>0</v>
      </c>
      <c r="N21" s="160">
        <f t="shared" si="1"/>
        <v>3908454</v>
      </c>
      <c r="O21" s="153" t="str">
        <f t="shared" si="2"/>
        <v>その他経常支出</v>
      </c>
      <c r="P21" s="213"/>
      <c r="Q21" s="213"/>
      <c r="R21" s="213"/>
      <c r="S21" s="213"/>
      <c r="T21" s="213"/>
      <c r="U21" s="213"/>
      <c r="V21" s="213"/>
      <c r="W21" s="213"/>
      <c r="X21" s="213"/>
      <c r="Y21" s="213"/>
      <c r="Z21" s="213"/>
      <c r="AA21" s="213"/>
      <c r="AB21" s="160">
        <f t="shared" si="3"/>
        <v>0</v>
      </c>
      <c r="AC21" s="160" t="str">
        <f t="shared" si="4"/>
        <v>その他経常支出</v>
      </c>
      <c r="AD21" s="213"/>
      <c r="AE21" s="213"/>
      <c r="AF21" s="213"/>
      <c r="AG21" s="213"/>
      <c r="AH21" s="213"/>
      <c r="AI21" s="213"/>
      <c r="AJ21" s="213"/>
      <c r="AK21" s="213"/>
      <c r="AL21" s="213"/>
      <c r="AM21" s="213"/>
      <c r="AN21" s="213"/>
      <c r="AO21" s="213"/>
      <c r="AP21" s="160">
        <f t="shared" si="5"/>
        <v>0</v>
      </c>
    </row>
    <row r="22" spans="1:42" ht="15.75" customHeight="1">
      <c r="A22" s="159" t="str">
        <f>資金繰り予定表!A22</f>
        <v>現金引出し・QR決済</v>
      </c>
      <c r="B22" s="212">
        <v>2445715</v>
      </c>
      <c r="C22" s="212">
        <v>500000</v>
      </c>
      <c r="D22" s="212">
        <v>400110</v>
      </c>
      <c r="E22" s="212">
        <v>0</v>
      </c>
      <c r="F22" s="212">
        <v>0</v>
      </c>
      <c r="G22" s="212">
        <v>0</v>
      </c>
      <c r="H22" s="212">
        <v>0</v>
      </c>
      <c r="I22" s="212">
        <v>0</v>
      </c>
      <c r="J22" s="212">
        <v>0</v>
      </c>
      <c r="K22" s="212">
        <v>0</v>
      </c>
      <c r="L22" s="212">
        <v>0</v>
      </c>
      <c r="M22" s="212">
        <v>0</v>
      </c>
      <c r="N22" s="160">
        <f t="shared" si="1"/>
        <v>3345825</v>
      </c>
      <c r="O22" s="153" t="str">
        <f t="shared" si="2"/>
        <v>現金引出し・QR決済</v>
      </c>
      <c r="P22" s="213"/>
      <c r="Q22" s="213"/>
      <c r="R22" s="213"/>
      <c r="S22" s="213"/>
      <c r="T22" s="213"/>
      <c r="U22" s="213"/>
      <c r="V22" s="213"/>
      <c r="W22" s="213"/>
      <c r="X22" s="213"/>
      <c r="Y22" s="213"/>
      <c r="Z22" s="213"/>
      <c r="AA22" s="213"/>
      <c r="AB22" s="160">
        <f t="shared" si="3"/>
        <v>0</v>
      </c>
      <c r="AC22" s="160" t="str">
        <f t="shared" si="4"/>
        <v>現金引出し・QR決済</v>
      </c>
      <c r="AD22" s="213"/>
      <c r="AE22" s="213"/>
      <c r="AF22" s="213"/>
      <c r="AG22" s="213"/>
      <c r="AH22" s="213"/>
      <c r="AI22" s="213"/>
      <c r="AJ22" s="213"/>
      <c r="AK22" s="213"/>
      <c r="AL22" s="213"/>
      <c r="AM22" s="213"/>
      <c r="AN22" s="213"/>
      <c r="AO22" s="213"/>
      <c r="AP22" s="160">
        <f t="shared" si="5"/>
        <v>0</v>
      </c>
    </row>
    <row r="23" spans="1:42" ht="15.75" customHeight="1">
      <c r="A23" s="159" t="str">
        <f>資金繰り予定表!A23</f>
        <v>クレジットカード支払い</v>
      </c>
      <c r="B23" s="212">
        <v>1168512</v>
      </c>
      <c r="C23" s="212">
        <v>1438835</v>
      </c>
      <c r="D23" s="212">
        <v>1117344</v>
      </c>
      <c r="E23" s="212">
        <v>4277837</v>
      </c>
      <c r="F23" s="212">
        <v>2359073</v>
      </c>
      <c r="G23" s="212">
        <v>1298814</v>
      </c>
      <c r="H23" s="212">
        <v>1629718</v>
      </c>
      <c r="I23" s="212">
        <v>1923013</v>
      </c>
      <c r="J23" s="212">
        <v>2734390</v>
      </c>
      <c r="K23" s="212">
        <v>0</v>
      </c>
      <c r="L23" s="212">
        <v>0</v>
      </c>
      <c r="M23" s="212">
        <v>0</v>
      </c>
      <c r="N23" s="160">
        <f t="shared" si="1"/>
        <v>17947536</v>
      </c>
      <c r="O23" s="153" t="str">
        <f t="shared" si="2"/>
        <v>クレジットカード支払い</v>
      </c>
      <c r="P23" s="213"/>
      <c r="Q23" s="213"/>
      <c r="R23" s="213"/>
      <c r="S23" s="213"/>
      <c r="T23" s="213"/>
      <c r="U23" s="213"/>
      <c r="V23" s="213"/>
      <c r="W23" s="213"/>
      <c r="X23" s="213"/>
      <c r="Y23" s="213"/>
      <c r="Z23" s="213"/>
      <c r="AA23" s="213"/>
      <c r="AB23" s="160">
        <f t="shared" si="3"/>
        <v>0</v>
      </c>
      <c r="AC23" s="160" t="str">
        <f t="shared" si="4"/>
        <v>クレジットカード支払い</v>
      </c>
      <c r="AD23" s="213"/>
      <c r="AE23" s="213"/>
      <c r="AF23" s="213"/>
      <c r="AG23" s="213"/>
      <c r="AH23" s="213"/>
      <c r="AI23" s="213"/>
      <c r="AJ23" s="213"/>
      <c r="AK23" s="213"/>
      <c r="AL23" s="213"/>
      <c r="AM23" s="213"/>
      <c r="AN23" s="213"/>
      <c r="AO23" s="213"/>
      <c r="AP23" s="160">
        <f t="shared" si="5"/>
        <v>0</v>
      </c>
    </row>
    <row r="24" spans="1:42" ht="15.75" customHeight="1">
      <c r="A24" s="159" t="str">
        <f>資金繰り予定表!A24</f>
        <v>消費税・租税公課</v>
      </c>
      <c r="B24" s="212">
        <v>0</v>
      </c>
      <c r="C24" s="212">
        <v>0</v>
      </c>
      <c r="D24" s="212">
        <v>0</v>
      </c>
      <c r="E24" s="212">
        <v>0</v>
      </c>
      <c r="F24" s="212">
        <v>60400</v>
      </c>
      <c r="G24" s="212">
        <v>0</v>
      </c>
      <c r="H24" s="212">
        <v>0</v>
      </c>
      <c r="I24" s="212">
        <v>0</v>
      </c>
      <c r="J24" s="212">
        <v>0</v>
      </c>
      <c r="K24" s="212">
        <v>0</v>
      </c>
      <c r="L24" s="212">
        <v>0</v>
      </c>
      <c r="M24" s="212">
        <v>0</v>
      </c>
      <c r="N24" s="160">
        <f t="shared" si="1"/>
        <v>60400</v>
      </c>
      <c r="O24" s="153" t="str">
        <f t="shared" si="2"/>
        <v>消費税・租税公課</v>
      </c>
      <c r="P24" s="213"/>
      <c r="Q24" s="213"/>
      <c r="R24" s="213"/>
      <c r="S24" s="213"/>
      <c r="T24" s="213"/>
      <c r="U24" s="213"/>
      <c r="V24" s="213"/>
      <c r="W24" s="213"/>
      <c r="X24" s="213"/>
      <c r="Y24" s="213"/>
      <c r="Z24" s="213"/>
      <c r="AA24" s="213"/>
      <c r="AB24" s="160">
        <f t="shared" si="3"/>
        <v>0</v>
      </c>
      <c r="AC24" s="160" t="str">
        <f t="shared" si="4"/>
        <v>消費税・租税公課</v>
      </c>
      <c r="AD24" s="213"/>
      <c r="AE24" s="213"/>
      <c r="AF24" s="213"/>
      <c r="AG24" s="213"/>
      <c r="AH24" s="213"/>
      <c r="AI24" s="213"/>
      <c r="AJ24" s="213"/>
      <c r="AK24" s="213"/>
      <c r="AL24" s="213"/>
      <c r="AM24" s="213"/>
      <c r="AN24" s="213"/>
      <c r="AO24" s="213"/>
      <c r="AP24" s="160">
        <f t="shared" si="5"/>
        <v>0</v>
      </c>
    </row>
    <row r="25" spans="1:42" ht="15.75" customHeight="1">
      <c r="A25" s="159" t="str">
        <f>資金繰り予定表!A25</f>
        <v>事業主貸（個人事業）</v>
      </c>
      <c r="B25" s="212">
        <v>0</v>
      </c>
      <c r="C25" s="212">
        <v>0</v>
      </c>
      <c r="D25" s="212">
        <v>0</v>
      </c>
      <c r="E25" s="212">
        <v>0</v>
      </c>
      <c r="F25" s="212">
        <v>0</v>
      </c>
      <c r="G25" s="212">
        <v>0</v>
      </c>
      <c r="H25" s="212">
        <v>0</v>
      </c>
      <c r="I25" s="212">
        <v>0</v>
      </c>
      <c r="J25" s="212">
        <v>0</v>
      </c>
      <c r="K25" s="212">
        <v>0</v>
      </c>
      <c r="L25" s="212">
        <v>0</v>
      </c>
      <c r="M25" s="212">
        <v>0</v>
      </c>
      <c r="N25" s="160">
        <f t="shared" si="1"/>
        <v>0</v>
      </c>
      <c r="O25" s="153" t="str">
        <f t="shared" si="2"/>
        <v>事業主貸（個人事業）</v>
      </c>
      <c r="P25" s="213"/>
      <c r="Q25" s="213"/>
      <c r="R25" s="213"/>
      <c r="S25" s="213"/>
      <c r="T25" s="213"/>
      <c r="U25" s="213"/>
      <c r="V25" s="213"/>
      <c r="W25" s="213"/>
      <c r="X25" s="213"/>
      <c r="Y25" s="213"/>
      <c r="Z25" s="213"/>
      <c r="AA25" s="213"/>
      <c r="AB25" s="160">
        <f t="shared" si="3"/>
        <v>0</v>
      </c>
      <c r="AC25" s="160" t="str">
        <f t="shared" si="4"/>
        <v>事業主貸（個人事業）</v>
      </c>
      <c r="AD25" s="213"/>
      <c r="AE25" s="213"/>
      <c r="AF25" s="213"/>
      <c r="AG25" s="213"/>
      <c r="AH25" s="213"/>
      <c r="AI25" s="213"/>
      <c r="AJ25" s="213"/>
      <c r="AK25" s="213"/>
      <c r="AL25" s="213"/>
      <c r="AM25" s="213"/>
      <c r="AN25" s="213"/>
      <c r="AO25" s="213"/>
      <c r="AP25" s="160">
        <f t="shared" si="5"/>
        <v>0</v>
      </c>
    </row>
    <row r="26" spans="1:42" ht="15.75" customHeight="1">
      <c r="A26" s="161" t="s">
        <v>50</v>
      </c>
      <c r="B26" s="173">
        <f t="shared" ref="B26:M26" si="9">SUM(B6:B25)</f>
        <v>59013480</v>
      </c>
      <c r="C26" s="173">
        <f t="shared" si="9"/>
        <v>34218636</v>
      </c>
      <c r="D26" s="173">
        <f t="shared" si="9"/>
        <v>29275286</v>
      </c>
      <c r="E26" s="173">
        <f t="shared" si="9"/>
        <v>34847080</v>
      </c>
      <c r="F26" s="173">
        <f t="shared" si="9"/>
        <v>34264371</v>
      </c>
      <c r="G26" s="173">
        <f t="shared" si="9"/>
        <v>42286223</v>
      </c>
      <c r="H26" s="173">
        <f t="shared" si="9"/>
        <v>41084750</v>
      </c>
      <c r="I26" s="173">
        <f t="shared" si="9"/>
        <v>36370470</v>
      </c>
      <c r="J26" s="173">
        <f t="shared" si="9"/>
        <v>28461733</v>
      </c>
      <c r="K26" s="173">
        <f t="shared" si="9"/>
        <v>0</v>
      </c>
      <c r="L26" s="173">
        <f t="shared" si="9"/>
        <v>0</v>
      </c>
      <c r="M26" s="173">
        <f t="shared" si="9"/>
        <v>0</v>
      </c>
      <c r="N26" s="162">
        <f t="shared" si="1"/>
        <v>339822029</v>
      </c>
      <c r="O26" s="163" t="str">
        <f t="shared" si="2"/>
        <v>②経常支出合計</v>
      </c>
      <c r="P26" s="173">
        <f t="shared" ref="P26:AB26" si="10">SUM(P6:P25)</f>
        <v>0</v>
      </c>
      <c r="Q26" s="173">
        <f t="shared" si="10"/>
        <v>0</v>
      </c>
      <c r="R26" s="173">
        <f t="shared" si="10"/>
        <v>0</v>
      </c>
      <c r="S26" s="173">
        <f t="shared" si="10"/>
        <v>0</v>
      </c>
      <c r="T26" s="173">
        <f t="shared" si="10"/>
        <v>0</v>
      </c>
      <c r="U26" s="173">
        <f t="shared" si="10"/>
        <v>0</v>
      </c>
      <c r="V26" s="173">
        <f t="shared" si="10"/>
        <v>0</v>
      </c>
      <c r="W26" s="173">
        <f t="shared" si="10"/>
        <v>0</v>
      </c>
      <c r="X26" s="173">
        <f t="shared" si="10"/>
        <v>0</v>
      </c>
      <c r="Y26" s="173">
        <f t="shared" si="10"/>
        <v>0</v>
      </c>
      <c r="Z26" s="173">
        <f t="shared" si="10"/>
        <v>0</v>
      </c>
      <c r="AA26" s="173">
        <f t="shared" si="10"/>
        <v>0</v>
      </c>
      <c r="AB26" s="173">
        <f t="shared" si="10"/>
        <v>0</v>
      </c>
      <c r="AC26" s="173"/>
      <c r="AD26" s="173">
        <f t="shared" ref="AD26:AO26" si="11">SUM(AD6:AD25)</f>
        <v>0</v>
      </c>
      <c r="AE26" s="173">
        <f t="shared" si="11"/>
        <v>0</v>
      </c>
      <c r="AF26" s="173">
        <f t="shared" si="11"/>
        <v>0</v>
      </c>
      <c r="AG26" s="173">
        <f t="shared" si="11"/>
        <v>0</v>
      </c>
      <c r="AH26" s="173">
        <f t="shared" si="11"/>
        <v>0</v>
      </c>
      <c r="AI26" s="173">
        <f t="shared" si="11"/>
        <v>0</v>
      </c>
      <c r="AJ26" s="173">
        <f t="shared" si="11"/>
        <v>0</v>
      </c>
      <c r="AK26" s="173">
        <f t="shared" si="11"/>
        <v>0</v>
      </c>
      <c r="AL26" s="173">
        <f t="shared" si="11"/>
        <v>0</v>
      </c>
      <c r="AM26" s="173">
        <f t="shared" si="11"/>
        <v>0</v>
      </c>
      <c r="AN26" s="173">
        <f t="shared" si="11"/>
        <v>0</v>
      </c>
      <c r="AO26" s="173">
        <f t="shared" si="11"/>
        <v>0</v>
      </c>
      <c r="AP26" s="162">
        <f t="shared" si="5"/>
        <v>0</v>
      </c>
    </row>
    <row r="27" spans="1:42" ht="15.75" customHeight="1">
      <c r="A27" s="164" t="s">
        <v>51</v>
      </c>
      <c r="B27" s="174">
        <f t="shared" ref="B27:M27" si="12">B5-B26</f>
        <v>-4446942</v>
      </c>
      <c r="C27" s="174">
        <f t="shared" si="12"/>
        <v>2902793</v>
      </c>
      <c r="D27" s="174">
        <f t="shared" si="12"/>
        <v>-1270137</v>
      </c>
      <c r="E27" s="174">
        <f t="shared" si="12"/>
        <v>6134477</v>
      </c>
      <c r="F27" s="174">
        <f t="shared" si="12"/>
        <v>-1490466</v>
      </c>
      <c r="G27" s="174">
        <f t="shared" si="12"/>
        <v>-14547862</v>
      </c>
      <c r="H27" s="174">
        <f t="shared" si="12"/>
        <v>13756336</v>
      </c>
      <c r="I27" s="174">
        <f t="shared" si="12"/>
        <v>15096779</v>
      </c>
      <c r="J27" s="174">
        <f t="shared" si="12"/>
        <v>-9343102</v>
      </c>
      <c r="K27" s="174">
        <f t="shared" si="12"/>
        <v>0</v>
      </c>
      <c r="L27" s="174">
        <f t="shared" si="12"/>
        <v>0</v>
      </c>
      <c r="M27" s="174">
        <f t="shared" si="12"/>
        <v>0</v>
      </c>
      <c r="N27" s="165">
        <f t="shared" si="1"/>
        <v>6791876</v>
      </c>
      <c r="O27" s="166" t="str">
        <f t="shared" si="2"/>
        <v>③経常収支</v>
      </c>
      <c r="P27" s="174">
        <f t="shared" ref="P27:AB27" si="13">P5-P26</f>
        <v>0</v>
      </c>
      <c r="Q27" s="174">
        <f t="shared" si="13"/>
        <v>0</v>
      </c>
      <c r="R27" s="174">
        <f t="shared" si="13"/>
        <v>0</v>
      </c>
      <c r="S27" s="174">
        <f t="shared" si="13"/>
        <v>0</v>
      </c>
      <c r="T27" s="174">
        <f t="shared" si="13"/>
        <v>0</v>
      </c>
      <c r="U27" s="174">
        <f t="shared" si="13"/>
        <v>0</v>
      </c>
      <c r="V27" s="174">
        <f t="shared" si="13"/>
        <v>0</v>
      </c>
      <c r="W27" s="174">
        <f t="shared" si="13"/>
        <v>0</v>
      </c>
      <c r="X27" s="174">
        <f t="shared" si="13"/>
        <v>0</v>
      </c>
      <c r="Y27" s="174">
        <f t="shared" si="13"/>
        <v>0</v>
      </c>
      <c r="Z27" s="174">
        <f t="shared" si="13"/>
        <v>0</v>
      </c>
      <c r="AA27" s="174">
        <f t="shared" si="13"/>
        <v>0</v>
      </c>
      <c r="AB27" s="174">
        <f t="shared" si="13"/>
        <v>0</v>
      </c>
      <c r="AC27" s="174"/>
      <c r="AD27" s="174">
        <f t="shared" ref="AD27:AO27" si="14">AD5-AD26</f>
        <v>0</v>
      </c>
      <c r="AE27" s="174">
        <f t="shared" si="14"/>
        <v>0</v>
      </c>
      <c r="AF27" s="174">
        <f t="shared" si="14"/>
        <v>0</v>
      </c>
      <c r="AG27" s="174">
        <f t="shared" si="14"/>
        <v>0</v>
      </c>
      <c r="AH27" s="174">
        <f t="shared" si="14"/>
        <v>0</v>
      </c>
      <c r="AI27" s="174">
        <f t="shared" si="14"/>
        <v>0</v>
      </c>
      <c r="AJ27" s="174">
        <f t="shared" si="14"/>
        <v>0</v>
      </c>
      <c r="AK27" s="174">
        <f t="shared" si="14"/>
        <v>0</v>
      </c>
      <c r="AL27" s="174">
        <f t="shared" si="14"/>
        <v>0</v>
      </c>
      <c r="AM27" s="174">
        <f t="shared" si="14"/>
        <v>0</v>
      </c>
      <c r="AN27" s="174">
        <f t="shared" si="14"/>
        <v>0</v>
      </c>
      <c r="AO27" s="174">
        <f t="shared" si="14"/>
        <v>0</v>
      </c>
      <c r="AP27" s="165">
        <f t="shared" si="5"/>
        <v>0</v>
      </c>
    </row>
    <row r="28" spans="1:42" ht="15.75" customHeight="1">
      <c r="A28" s="159" t="str">
        <f>資金繰り予定表!A28</f>
        <v>定期預金解約</v>
      </c>
      <c r="B28" s="212">
        <v>0</v>
      </c>
      <c r="C28" s="212">
        <v>0</v>
      </c>
      <c r="D28" s="212">
        <v>0</v>
      </c>
      <c r="E28" s="212">
        <v>0</v>
      </c>
      <c r="F28" s="212">
        <v>0</v>
      </c>
      <c r="G28" s="212">
        <v>0</v>
      </c>
      <c r="H28" s="212">
        <v>0</v>
      </c>
      <c r="I28" s="212">
        <v>0</v>
      </c>
      <c r="J28" s="212">
        <v>0</v>
      </c>
      <c r="K28" s="212">
        <v>0</v>
      </c>
      <c r="L28" s="212">
        <v>0</v>
      </c>
      <c r="M28" s="212">
        <v>0</v>
      </c>
      <c r="N28" s="160">
        <f t="shared" si="1"/>
        <v>0</v>
      </c>
      <c r="O28" s="153" t="str">
        <f t="shared" si="2"/>
        <v>定期預金解約</v>
      </c>
      <c r="P28" s="213"/>
      <c r="Q28" s="213"/>
      <c r="R28" s="213"/>
      <c r="S28" s="213"/>
      <c r="T28" s="213"/>
      <c r="U28" s="213"/>
      <c r="V28" s="213"/>
      <c r="W28" s="213"/>
      <c r="X28" s="213"/>
      <c r="Y28" s="213"/>
      <c r="Z28" s="213"/>
      <c r="AA28" s="213"/>
      <c r="AB28" s="160">
        <f t="shared" si="3"/>
        <v>0</v>
      </c>
      <c r="AC28" s="160" t="str">
        <f t="shared" si="4"/>
        <v>定期預金解約</v>
      </c>
      <c r="AD28" s="213"/>
      <c r="AE28" s="213"/>
      <c r="AF28" s="213"/>
      <c r="AG28" s="213"/>
      <c r="AH28" s="213"/>
      <c r="AI28" s="213"/>
      <c r="AJ28" s="213"/>
      <c r="AK28" s="213"/>
      <c r="AL28" s="213"/>
      <c r="AM28" s="213"/>
      <c r="AN28" s="213"/>
      <c r="AO28" s="213"/>
      <c r="AP28" s="160">
        <f t="shared" si="5"/>
        <v>0</v>
      </c>
    </row>
    <row r="29" spans="1:42" ht="15.75" customHeight="1">
      <c r="A29" s="159" t="str">
        <f>資金繰り予定表!A29</f>
        <v>固定資産売却</v>
      </c>
      <c r="B29" s="212">
        <v>0</v>
      </c>
      <c r="C29" s="212">
        <v>0</v>
      </c>
      <c r="D29" s="212">
        <v>0</v>
      </c>
      <c r="E29" s="212">
        <v>0</v>
      </c>
      <c r="F29" s="212">
        <v>0</v>
      </c>
      <c r="G29" s="212">
        <v>0</v>
      </c>
      <c r="H29" s="212">
        <v>0</v>
      </c>
      <c r="I29" s="212">
        <v>0</v>
      </c>
      <c r="J29" s="212">
        <v>0</v>
      </c>
      <c r="K29" s="212">
        <v>0</v>
      </c>
      <c r="L29" s="212">
        <v>0</v>
      </c>
      <c r="M29" s="212">
        <v>0</v>
      </c>
      <c r="N29" s="160">
        <f t="shared" si="1"/>
        <v>0</v>
      </c>
      <c r="O29" s="153" t="str">
        <f t="shared" si="2"/>
        <v>固定資産売却</v>
      </c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160">
        <f t="shared" si="3"/>
        <v>0</v>
      </c>
      <c r="AC29" s="160" t="str">
        <f t="shared" si="4"/>
        <v>固定資産売却</v>
      </c>
      <c r="AD29" s="213"/>
      <c r="AE29" s="213"/>
      <c r="AF29" s="213"/>
      <c r="AG29" s="213"/>
      <c r="AH29" s="213"/>
      <c r="AI29" s="213"/>
      <c r="AJ29" s="213"/>
      <c r="AK29" s="213"/>
      <c r="AL29" s="213"/>
      <c r="AM29" s="213"/>
      <c r="AN29" s="213"/>
      <c r="AO29" s="213"/>
      <c r="AP29" s="160">
        <f t="shared" si="5"/>
        <v>0</v>
      </c>
    </row>
    <row r="30" spans="1:42" ht="15.75" customHeight="1">
      <c r="A30" s="159" t="str">
        <f>資金繰り予定表!A30</f>
        <v>補助金・助成金等</v>
      </c>
      <c r="B30" s="212">
        <v>0</v>
      </c>
      <c r="C30" s="212">
        <v>0</v>
      </c>
      <c r="D30" s="212">
        <v>0</v>
      </c>
      <c r="E30" s="212">
        <v>0</v>
      </c>
      <c r="F30" s="212">
        <v>0</v>
      </c>
      <c r="G30" s="212">
        <v>0</v>
      </c>
      <c r="H30" s="212">
        <v>0</v>
      </c>
      <c r="I30" s="212">
        <v>0</v>
      </c>
      <c r="J30" s="212">
        <v>0</v>
      </c>
      <c r="K30" s="212">
        <v>0</v>
      </c>
      <c r="L30" s="212">
        <v>0</v>
      </c>
      <c r="M30" s="212">
        <v>0</v>
      </c>
      <c r="N30" s="160">
        <f t="shared" si="1"/>
        <v>0</v>
      </c>
      <c r="O30" s="153" t="str">
        <f t="shared" si="2"/>
        <v>補助金・助成金等</v>
      </c>
      <c r="P30" s="213"/>
      <c r="Q30" s="213"/>
      <c r="R30" s="213"/>
      <c r="S30" s="213"/>
      <c r="T30" s="213"/>
      <c r="U30" s="213"/>
      <c r="V30" s="213"/>
      <c r="W30" s="213"/>
      <c r="X30" s="213"/>
      <c r="Y30" s="213"/>
      <c r="Z30" s="213"/>
      <c r="AA30" s="213"/>
      <c r="AB30" s="160">
        <f t="shared" si="3"/>
        <v>0</v>
      </c>
      <c r="AC30" s="160" t="str">
        <f t="shared" si="4"/>
        <v>補助金・助成金等</v>
      </c>
      <c r="AD30" s="213"/>
      <c r="AE30" s="213"/>
      <c r="AF30" s="213"/>
      <c r="AG30" s="213"/>
      <c r="AH30" s="213"/>
      <c r="AI30" s="213"/>
      <c r="AJ30" s="213"/>
      <c r="AK30" s="213"/>
      <c r="AL30" s="213"/>
      <c r="AM30" s="213"/>
      <c r="AN30" s="213"/>
      <c r="AO30" s="213"/>
      <c r="AP30" s="160">
        <f t="shared" si="5"/>
        <v>0</v>
      </c>
    </row>
    <row r="31" spans="1:42" ht="15.75" customHeight="1">
      <c r="A31" s="159" t="str">
        <f>資金繰り予定表!A31</f>
        <v>その他経常外収入</v>
      </c>
      <c r="B31" s="212">
        <v>0</v>
      </c>
      <c r="C31" s="212">
        <v>0</v>
      </c>
      <c r="D31" s="212">
        <v>72000</v>
      </c>
      <c r="E31" s="212">
        <v>600000</v>
      </c>
      <c r="F31" s="212">
        <v>152000</v>
      </c>
      <c r="G31" s="212">
        <v>0</v>
      </c>
      <c r="H31" s="212">
        <v>0</v>
      </c>
      <c r="I31" s="212">
        <v>0</v>
      </c>
      <c r="J31" s="212">
        <v>0</v>
      </c>
      <c r="K31" s="212">
        <v>0</v>
      </c>
      <c r="L31" s="212">
        <v>0</v>
      </c>
      <c r="M31" s="212">
        <v>0</v>
      </c>
      <c r="N31" s="160">
        <f t="shared" si="1"/>
        <v>824000</v>
      </c>
      <c r="O31" s="153" t="str">
        <f t="shared" si="2"/>
        <v>その他経常外収入</v>
      </c>
      <c r="P31" s="213"/>
      <c r="Q31" s="213"/>
      <c r="R31" s="213"/>
      <c r="S31" s="213"/>
      <c r="T31" s="213"/>
      <c r="U31" s="213"/>
      <c r="V31" s="213"/>
      <c r="W31" s="213"/>
      <c r="X31" s="213"/>
      <c r="Y31" s="213"/>
      <c r="Z31" s="213"/>
      <c r="AA31" s="213"/>
      <c r="AB31" s="160">
        <f t="shared" si="3"/>
        <v>0</v>
      </c>
      <c r="AC31" s="160" t="str">
        <f t="shared" si="4"/>
        <v>その他経常外収入</v>
      </c>
      <c r="AD31" s="213"/>
      <c r="AE31" s="213"/>
      <c r="AF31" s="213"/>
      <c r="AG31" s="213"/>
      <c r="AH31" s="213"/>
      <c r="AI31" s="213"/>
      <c r="AJ31" s="213"/>
      <c r="AK31" s="213"/>
      <c r="AL31" s="213"/>
      <c r="AM31" s="213"/>
      <c r="AN31" s="213"/>
      <c r="AO31" s="213"/>
      <c r="AP31" s="160">
        <f t="shared" si="5"/>
        <v>0</v>
      </c>
    </row>
    <row r="32" spans="1:42" ht="15.75" customHeight="1">
      <c r="A32" s="161" t="s">
        <v>52</v>
      </c>
      <c r="B32" s="173">
        <f t="shared" ref="B32:M32" si="15">SUM(B28:B31)</f>
        <v>0</v>
      </c>
      <c r="C32" s="173">
        <f t="shared" si="15"/>
        <v>0</v>
      </c>
      <c r="D32" s="173">
        <f t="shared" si="15"/>
        <v>72000</v>
      </c>
      <c r="E32" s="173">
        <f t="shared" si="15"/>
        <v>600000</v>
      </c>
      <c r="F32" s="173">
        <f t="shared" si="15"/>
        <v>152000</v>
      </c>
      <c r="G32" s="173">
        <f t="shared" si="15"/>
        <v>0</v>
      </c>
      <c r="H32" s="173">
        <f t="shared" si="15"/>
        <v>0</v>
      </c>
      <c r="I32" s="173">
        <f t="shared" si="15"/>
        <v>0</v>
      </c>
      <c r="J32" s="173">
        <f t="shared" si="15"/>
        <v>0</v>
      </c>
      <c r="K32" s="173">
        <f t="shared" si="15"/>
        <v>0</v>
      </c>
      <c r="L32" s="173">
        <f t="shared" si="15"/>
        <v>0</v>
      </c>
      <c r="M32" s="173">
        <f t="shared" si="15"/>
        <v>0</v>
      </c>
      <c r="N32" s="162">
        <f t="shared" si="1"/>
        <v>824000</v>
      </c>
      <c r="O32" s="163" t="str">
        <f t="shared" si="2"/>
        <v>④経常外収入合計</v>
      </c>
      <c r="P32" s="173">
        <f t="shared" ref="P32:AA32" si="16">SUM(P28:P31)</f>
        <v>0</v>
      </c>
      <c r="Q32" s="173">
        <f t="shared" si="16"/>
        <v>0</v>
      </c>
      <c r="R32" s="173">
        <f t="shared" si="16"/>
        <v>0</v>
      </c>
      <c r="S32" s="173">
        <f t="shared" si="16"/>
        <v>0</v>
      </c>
      <c r="T32" s="173">
        <f t="shared" si="16"/>
        <v>0</v>
      </c>
      <c r="U32" s="173">
        <f t="shared" si="16"/>
        <v>0</v>
      </c>
      <c r="V32" s="173">
        <f t="shared" si="16"/>
        <v>0</v>
      </c>
      <c r="W32" s="173">
        <f t="shared" si="16"/>
        <v>0</v>
      </c>
      <c r="X32" s="173">
        <f t="shared" si="16"/>
        <v>0</v>
      </c>
      <c r="Y32" s="173">
        <f t="shared" si="16"/>
        <v>0</v>
      </c>
      <c r="Z32" s="173">
        <f t="shared" si="16"/>
        <v>0</v>
      </c>
      <c r="AA32" s="173">
        <f t="shared" si="16"/>
        <v>0</v>
      </c>
      <c r="AB32" s="162">
        <f t="shared" si="3"/>
        <v>0</v>
      </c>
      <c r="AC32" s="162" t="str">
        <f t="shared" si="4"/>
        <v>④経常外収入合計</v>
      </c>
      <c r="AD32" s="162">
        <f t="shared" ref="AD32:AO32" si="17">SUM(AD28:AD31)</f>
        <v>0</v>
      </c>
      <c r="AE32" s="162">
        <f t="shared" si="17"/>
        <v>0</v>
      </c>
      <c r="AF32" s="162">
        <f t="shared" si="17"/>
        <v>0</v>
      </c>
      <c r="AG32" s="162">
        <f t="shared" si="17"/>
        <v>0</v>
      </c>
      <c r="AH32" s="162">
        <f t="shared" si="17"/>
        <v>0</v>
      </c>
      <c r="AI32" s="162">
        <f t="shared" si="17"/>
        <v>0</v>
      </c>
      <c r="AJ32" s="162">
        <f t="shared" si="17"/>
        <v>0</v>
      </c>
      <c r="AK32" s="162">
        <f t="shared" si="17"/>
        <v>0</v>
      </c>
      <c r="AL32" s="162">
        <f t="shared" si="17"/>
        <v>0</v>
      </c>
      <c r="AM32" s="162">
        <f t="shared" si="17"/>
        <v>0</v>
      </c>
      <c r="AN32" s="162">
        <f t="shared" si="17"/>
        <v>0</v>
      </c>
      <c r="AO32" s="162">
        <f t="shared" si="17"/>
        <v>0</v>
      </c>
      <c r="AP32" s="162">
        <f t="shared" si="5"/>
        <v>0</v>
      </c>
    </row>
    <row r="33" spans="1:42" ht="15.75" customHeight="1">
      <c r="A33" s="159" t="str">
        <f>資金繰り予定表!A33</f>
        <v>定期預金・投資等</v>
      </c>
      <c r="B33" s="212">
        <v>0</v>
      </c>
      <c r="C33" s="212">
        <v>0</v>
      </c>
      <c r="D33" s="212">
        <v>0</v>
      </c>
      <c r="E33" s="212">
        <v>0</v>
      </c>
      <c r="F33" s="212">
        <v>0</v>
      </c>
      <c r="G33" s="212">
        <v>0</v>
      </c>
      <c r="H33" s="212">
        <v>0</v>
      </c>
      <c r="I33" s="212">
        <v>0</v>
      </c>
      <c r="J33" s="212">
        <v>0</v>
      </c>
      <c r="K33" s="212">
        <v>0</v>
      </c>
      <c r="L33" s="212">
        <v>0</v>
      </c>
      <c r="M33" s="212">
        <v>0</v>
      </c>
      <c r="N33" s="160">
        <f t="shared" si="1"/>
        <v>0</v>
      </c>
      <c r="O33" s="153" t="str">
        <f t="shared" si="2"/>
        <v>定期預金・投資等</v>
      </c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213"/>
      <c r="AA33" s="213"/>
      <c r="AB33" s="160">
        <f t="shared" si="3"/>
        <v>0</v>
      </c>
      <c r="AC33" s="160" t="str">
        <f t="shared" si="4"/>
        <v>定期預金・投資等</v>
      </c>
      <c r="AD33" s="213"/>
      <c r="AE33" s="213"/>
      <c r="AF33" s="213"/>
      <c r="AG33" s="213"/>
      <c r="AH33" s="213"/>
      <c r="AI33" s="213"/>
      <c r="AJ33" s="213"/>
      <c r="AK33" s="213"/>
      <c r="AL33" s="213"/>
      <c r="AM33" s="213"/>
      <c r="AN33" s="213"/>
      <c r="AO33" s="213"/>
      <c r="AP33" s="160">
        <f t="shared" si="5"/>
        <v>0</v>
      </c>
    </row>
    <row r="34" spans="1:42" ht="15.75" customHeight="1">
      <c r="A34" s="159" t="str">
        <f>資金繰り予定表!A34</f>
        <v>固定資産の取得</v>
      </c>
      <c r="B34" s="212">
        <v>0</v>
      </c>
      <c r="C34" s="212">
        <v>0</v>
      </c>
      <c r="D34" s="212">
        <v>0</v>
      </c>
      <c r="E34" s="212">
        <v>0</v>
      </c>
      <c r="F34" s="212">
        <v>0</v>
      </c>
      <c r="G34" s="212">
        <v>0</v>
      </c>
      <c r="H34" s="212">
        <v>0</v>
      </c>
      <c r="I34" s="212">
        <v>0</v>
      </c>
      <c r="J34" s="212">
        <v>0</v>
      </c>
      <c r="K34" s="212">
        <v>0</v>
      </c>
      <c r="L34" s="212">
        <v>0</v>
      </c>
      <c r="M34" s="212">
        <v>0</v>
      </c>
      <c r="N34" s="160">
        <f t="shared" si="1"/>
        <v>0</v>
      </c>
      <c r="O34" s="153" t="str">
        <f t="shared" si="2"/>
        <v>固定資産の取得</v>
      </c>
      <c r="P34" s="213"/>
      <c r="Q34" s="213"/>
      <c r="R34" s="213"/>
      <c r="S34" s="213"/>
      <c r="T34" s="213"/>
      <c r="U34" s="213"/>
      <c r="V34" s="213"/>
      <c r="W34" s="213"/>
      <c r="X34" s="213"/>
      <c r="Y34" s="213"/>
      <c r="Z34" s="213"/>
      <c r="AA34" s="213"/>
      <c r="AB34" s="160">
        <f t="shared" si="3"/>
        <v>0</v>
      </c>
      <c r="AC34" s="160" t="str">
        <f t="shared" si="4"/>
        <v>固定資産の取得</v>
      </c>
      <c r="AD34" s="213"/>
      <c r="AE34" s="213"/>
      <c r="AF34" s="213"/>
      <c r="AG34" s="213"/>
      <c r="AH34" s="213"/>
      <c r="AI34" s="213"/>
      <c r="AJ34" s="213"/>
      <c r="AK34" s="213"/>
      <c r="AL34" s="213"/>
      <c r="AM34" s="213"/>
      <c r="AN34" s="213"/>
      <c r="AO34" s="213"/>
      <c r="AP34" s="160">
        <f t="shared" si="5"/>
        <v>0</v>
      </c>
    </row>
    <row r="35" spans="1:42" ht="15.75" customHeight="1">
      <c r="A35" s="159" t="str">
        <f>資金繰り予定表!A35</f>
        <v>法人税等</v>
      </c>
      <c r="B35" s="212">
        <v>0</v>
      </c>
      <c r="C35" s="212">
        <v>0</v>
      </c>
      <c r="D35" s="212">
        <v>0</v>
      </c>
      <c r="E35" s="212">
        <v>0</v>
      </c>
      <c r="F35" s="212">
        <v>0</v>
      </c>
      <c r="G35" s="212">
        <v>0</v>
      </c>
      <c r="H35" s="212">
        <v>0</v>
      </c>
      <c r="I35" s="212">
        <v>0</v>
      </c>
      <c r="J35" s="212">
        <v>0</v>
      </c>
      <c r="K35" s="212">
        <v>0</v>
      </c>
      <c r="L35" s="212">
        <v>0</v>
      </c>
      <c r="M35" s="212">
        <v>0</v>
      </c>
      <c r="N35" s="160">
        <f t="shared" si="1"/>
        <v>0</v>
      </c>
      <c r="O35" s="153" t="str">
        <f t="shared" si="2"/>
        <v>法人税等</v>
      </c>
      <c r="P35" s="213"/>
      <c r="Q35" s="213"/>
      <c r="R35" s="213"/>
      <c r="S35" s="213"/>
      <c r="T35" s="213"/>
      <c r="U35" s="213"/>
      <c r="V35" s="213"/>
      <c r="W35" s="213"/>
      <c r="X35" s="213"/>
      <c r="Y35" s="213"/>
      <c r="Z35" s="213"/>
      <c r="AA35" s="213"/>
      <c r="AB35" s="160">
        <f t="shared" si="3"/>
        <v>0</v>
      </c>
      <c r="AC35" s="160" t="str">
        <f t="shared" si="4"/>
        <v>法人税等</v>
      </c>
      <c r="AD35" s="213"/>
      <c r="AE35" s="213"/>
      <c r="AF35" s="213"/>
      <c r="AG35" s="213"/>
      <c r="AH35" s="213"/>
      <c r="AI35" s="213"/>
      <c r="AJ35" s="213"/>
      <c r="AK35" s="213"/>
      <c r="AL35" s="213"/>
      <c r="AM35" s="213"/>
      <c r="AN35" s="213"/>
      <c r="AO35" s="213"/>
      <c r="AP35" s="160">
        <f t="shared" si="5"/>
        <v>0</v>
      </c>
    </row>
    <row r="36" spans="1:42" ht="15.75" customHeight="1">
      <c r="A36" s="159" t="str">
        <f>資金繰り予定表!A36</f>
        <v>その他経常外支出</v>
      </c>
      <c r="B36" s="212">
        <v>630990</v>
      </c>
      <c r="C36" s="212">
        <v>0</v>
      </c>
      <c r="D36" s="212">
        <v>0</v>
      </c>
      <c r="E36" s="212">
        <v>0</v>
      </c>
      <c r="F36" s="212">
        <v>0</v>
      </c>
      <c r="G36" s="212">
        <v>0</v>
      </c>
      <c r="H36" s="212">
        <v>0</v>
      </c>
      <c r="I36" s="212">
        <v>0</v>
      </c>
      <c r="J36" s="212">
        <v>0</v>
      </c>
      <c r="K36" s="212">
        <v>0</v>
      </c>
      <c r="L36" s="212">
        <v>0</v>
      </c>
      <c r="M36" s="212">
        <v>0</v>
      </c>
      <c r="N36" s="160">
        <f t="shared" si="1"/>
        <v>630990</v>
      </c>
      <c r="O36" s="153" t="str">
        <f t="shared" si="2"/>
        <v>その他経常外支出</v>
      </c>
      <c r="P36" s="213"/>
      <c r="Q36" s="213"/>
      <c r="R36" s="213"/>
      <c r="S36" s="213"/>
      <c r="T36" s="213"/>
      <c r="U36" s="213"/>
      <c r="V36" s="213"/>
      <c r="W36" s="213"/>
      <c r="X36" s="213"/>
      <c r="Y36" s="213"/>
      <c r="Z36" s="213"/>
      <c r="AA36" s="213"/>
      <c r="AB36" s="160"/>
      <c r="AC36" s="160" t="str">
        <f t="shared" si="4"/>
        <v>その他経常外支出</v>
      </c>
      <c r="AD36" s="213"/>
      <c r="AE36" s="213"/>
      <c r="AF36" s="213"/>
      <c r="AG36" s="213"/>
      <c r="AH36" s="213"/>
      <c r="AI36" s="213"/>
      <c r="AJ36" s="213"/>
      <c r="AK36" s="213"/>
      <c r="AL36" s="213"/>
      <c r="AM36" s="213"/>
      <c r="AN36" s="213"/>
      <c r="AO36" s="213"/>
      <c r="AP36" s="160"/>
    </row>
    <row r="37" spans="1:42" ht="15.75" customHeight="1">
      <c r="A37" s="161" t="s">
        <v>53</v>
      </c>
      <c r="B37" s="173">
        <f t="shared" ref="B37:M37" si="18">SUM(B33:B36)</f>
        <v>630990</v>
      </c>
      <c r="C37" s="173">
        <f t="shared" si="18"/>
        <v>0</v>
      </c>
      <c r="D37" s="173">
        <f t="shared" si="18"/>
        <v>0</v>
      </c>
      <c r="E37" s="173">
        <f t="shared" si="18"/>
        <v>0</v>
      </c>
      <c r="F37" s="173">
        <f t="shared" si="18"/>
        <v>0</v>
      </c>
      <c r="G37" s="173">
        <f t="shared" si="18"/>
        <v>0</v>
      </c>
      <c r="H37" s="173">
        <f t="shared" si="18"/>
        <v>0</v>
      </c>
      <c r="I37" s="173">
        <f t="shared" si="18"/>
        <v>0</v>
      </c>
      <c r="J37" s="173">
        <f t="shared" si="18"/>
        <v>0</v>
      </c>
      <c r="K37" s="173">
        <f t="shared" si="18"/>
        <v>0</v>
      </c>
      <c r="L37" s="173">
        <f t="shared" si="18"/>
        <v>0</v>
      </c>
      <c r="M37" s="173">
        <f t="shared" si="18"/>
        <v>0</v>
      </c>
      <c r="N37" s="162">
        <f t="shared" ref="N37:N48" si="19">SUM(B37:M37)</f>
        <v>630990</v>
      </c>
      <c r="O37" s="163" t="str">
        <f t="shared" si="2"/>
        <v>⑤経常外支出合計</v>
      </c>
      <c r="P37" s="173">
        <f t="shared" ref="P37:AA37" si="20">SUM(P33:P36)</f>
        <v>0</v>
      </c>
      <c r="Q37" s="173">
        <f t="shared" si="20"/>
        <v>0</v>
      </c>
      <c r="R37" s="173">
        <f t="shared" si="20"/>
        <v>0</v>
      </c>
      <c r="S37" s="173">
        <f t="shared" si="20"/>
        <v>0</v>
      </c>
      <c r="T37" s="173">
        <f t="shared" si="20"/>
        <v>0</v>
      </c>
      <c r="U37" s="173">
        <f t="shared" si="20"/>
        <v>0</v>
      </c>
      <c r="V37" s="173">
        <f t="shared" si="20"/>
        <v>0</v>
      </c>
      <c r="W37" s="173">
        <f t="shared" si="20"/>
        <v>0</v>
      </c>
      <c r="X37" s="173">
        <f t="shared" si="20"/>
        <v>0</v>
      </c>
      <c r="Y37" s="173">
        <f t="shared" si="20"/>
        <v>0</v>
      </c>
      <c r="Z37" s="173">
        <f t="shared" si="20"/>
        <v>0</v>
      </c>
      <c r="AA37" s="173">
        <f t="shared" si="20"/>
        <v>0</v>
      </c>
      <c r="AB37" s="162">
        <f t="shared" ref="AB37:AB42" si="21">SUM(P37:AA37)</f>
        <v>0</v>
      </c>
      <c r="AC37" s="162" t="str">
        <f t="shared" si="4"/>
        <v>⑤経常外支出合計</v>
      </c>
      <c r="AD37" s="162">
        <f t="shared" ref="AD37:AO37" si="22">SUM(AD33:AD36)</f>
        <v>0</v>
      </c>
      <c r="AE37" s="162">
        <f t="shared" si="22"/>
        <v>0</v>
      </c>
      <c r="AF37" s="162">
        <f t="shared" si="22"/>
        <v>0</v>
      </c>
      <c r="AG37" s="162">
        <f t="shared" si="22"/>
        <v>0</v>
      </c>
      <c r="AH37" s="162">
        <f t="shared" si="22"/>
        <v>0</v>
      </c>
      <c r="AI37" s="162">
        <f t="shared" si="22"/>
        <v>0</v>
      </c>
      <c r="AJ37" s="162">
        <f t="shared" si="22"/>
        <v>0</v>
      </c>
      <c r="AK37" s="162">
        <f t="shared" si="22"/>
        <v>0</v>
      </c>
      <c r="AL37" s="162">
        <f t="shared" si="22"/>
        <v>0</v>
      </c>
      <c r="AM37" s="162">
        <f t="shared" si="22"/>
        <v>0</v>
      </c>
      <c r="AN37" s="162">
        <f t="shared" si="22"/>
        <v>0</v>
      </c>
      <c r="AO37" s="162">
        <f t="shared" si="22"/>
        <v>0</v>
      </c>
      <c r="AP37" s="162">
        <f t="shared" ref="AP37:AP42" si="23">SUM(AD37:AO37)</f>
        <v>0</v>
      </c>
    </row>
    <row r="38" spans="1:42" ht="15.75" customHeight="1">
      <c r="A38" s="161" t="s">
        <v>54</v>
      </c>
      <c r="B38" s="173">
        <f t="shared" ref="B38:M38" si="24">B32-B37</f>
        <v>-630990</v>
      </c>
      <c r="C38" s="173">
        <f t="shared" si="24"/>
        <v>0</v>
      </c>
      <c r="D38" s="173">
        <f t="shared" si="24"/>
        <v>72000</v>
      </c>
      <c r="E38" s="173">
        <f t="shared" si="24"/>
        <v>600000</v>
      </c>
      <c r="F38" s="173">
        <f t="shared" si="24"/>
        <v>152000</v>
      </c>
      <c r="G38" s="173">
        <f t="shared" si="24"/>
        <v>0</v>
      </c>
      <c r="H38" s="173">
        <f t="shared" si="24"/>
        <v>0</v>
      </c>
      <c r="I38" s="173">
        <f t="shared" si="24"/>
        <v>0</v>
      </c>
      <c r="J38" s="173">
        <f t="shared" si="24"/>
        <v>0</v>
      </c>
      <c r="K38" s="173">
        <f t="shared" si="24"/>
        <v>0</v>
      </c>
      <c r="L38" s="173">
        <f t="shared" si="24"/>
        <v>0</v>
      </c>
      <c r="M38" s="173">
        <f t="shared" si="24"/>
        <v>0</v>
      </c>
      <c r="N38" s="162">
        <f t="shared" si="19"/>
        <v>193010</v>
      </c>
      <c r="O38" s="163" t="str">
        <f t="shared" si="2"/>
        <v>⑥経常外収支</v>
      </c>
      <c r="P38" s="173">
        <f t="shared" ref="P38:AA38" si="25">P32-P37</f>
        <v>0</v>
      </c>
      <c r="Q38" s="173">
        <f t="shared" si="25"/>
        <v>0</v>
      </c>
      <c r="R38" s="173">
        <f t="shared" si="25"/>
        <v>0</v>
      </c>
      <c r="S38" s="173">
        <f t="shared" si="25"/>
        <v>0</v>
      </c>
      <c r="T38" s="173">
        <f t="shared" si="25"/>
        <v>0</v>
      </c>
      <c r="U38" s="173">
        <f t="shared" si="25"/>
        <v>0</v>
      </c>
      <c r="V38" s="173">
        <f t="shared" si="25"/>
        <v>0</v>
      </c>
      <c r="W38" s="173">
        <f t="shared" si="25"/>
        <v>0</v>
      </c>
      <c r="X38" s="173">
        <f t="shared" si="25"/>
        <v>0</v>
      </c>
      <c r="Y38" s="173">
        <f t="shared" si="25"/>
        <v>0</v>
      </c>
      <c r="Z38" s="173">
        <f t="shared" si="25"/>
        <v>0</v>
      </c>
      <c r="AA38" s="173">
        <f t="shared" si="25"/>
        <v>0</v>
      </c>
      <c r="AB38" s="162">
        <f t="shared" si="21"/>
        <v>0</v>
      </c>
      <c r="AC38" s="162" t="str">
        <f t="shared" si="4"/>
        <v>⑥経常外収支</v>
      </c>
      <c r="AD38" s="162">
        <f t="shared" ref="AD38:AO38" si="26">AD32-AD37</f>
        <v>0</v>
      </c>
      <c r="AE38" s="162">
        <f t="shared" si="26"/>
        <v>0</v>
      </c>
      <c r="AF38" s="162">
        <f t="shared" si="26"/>
        <v>0</v>
      </c>
      <c r="AG38" s="162">
        <f t="shared" si="26"/>
        <v>0</v>
      </c>
      <c r="AH38" s="162">
        <f t="shared" si="26"/>
        <v>0</v>
      </c>
      <c r="AI38" s="162">
        <f t="shared" si="26"/>
        <v>0</v>
      </c>
      <c r="AJ38" s="162">
        <f t="shared" si="26"/>
        <v>0</v>
      </c>
      <c r="AK38" s="162">
        <f t="shared" si="26"/>
        <v>0</v>
      </c>
      <c r="AL38" s="162">
        <f t="shared" si="26"/>
        <v>0</v>
      </c>
      <c r="AM38" s="162">
        <f t="shared" si="26"/>
        <v>0</v>
      </c>
      <c r="AN38" s="162">
        <f t="shared" si="26"/>
        <v>0</v>
      </c>
      <c r="AO38" s="162">
        <f t="shared" si="26"/>
        <v>0</v>
      </c>
      <c r="AP38" s="162">
        <f t="shared" si="23"/>
        <v>0</v>
      </c>
    </row>
    <row r="39" spans="1:42" ht="15.75" customHeight="1">
      <c r="A39" s="159" t="str">
        <f>資金繰り予定表!A39</f>
        <v>短期借入金</v>
      </c>
      <c r="B39" s="212">
        <v>0</v>
      </c>
      <c r="C39" s="212">
        <v>0</v>
      </c>
      <c r="D39" s="212">
        <v>0</v>
      </c>
      <c r="E39" s="212">
        <v>0</v>
      </c>
      <c r="F39" s="212">
        <v>0</v>
      </c>
      <c r="G39" s="212">
        <v>0</v>
      </c>
      <c r="H39" s="212">
        <v>0</v>
      </c>
      <c r="I39" s="212">
        <v>0</v>
      </c>
      <c r="J39" s="212">
        <v>0</v>
      </c>
      <c r="K39" s="212">
        <v>0</v>
      </c>
      <c r="L39" s="212">
        <v>0</v>
      </c>
      <c r="M39" s="212">
        <v>0</v>
      </c>
      <c r="N39" s="160">
        <f t="shared" si="19"/>
        <v>0</v>
      </c>
      <c r="O39" s="153" t="str">
        <f t="shared" si="2"/>
        <v>短期借入金</v>
      </c>
      <c r="P39" s="213"/>
      <c r="Q39" s="213"/>
      <c r="R39" s="213"/>
      <c r="S39" s="213"/>
      <c r="T39" s="213"/>
      <c r="U39" s="213"/>
      <c r="V39" s="213"/>
      <c r="W39" s="213"/>
      <c r="X39" s="213"/>
      <c r="Y39" s="213"/>
      <c r="Z39" s="213"/>
      <c r="AA39" s="213"/>
      <c r="AB39" s="160">
        <f t="shared" si="21"/>
        <v>0</v>
      </c>
      <c r="AC39" s="160" t="str">
        <f t="shared" si="4"/>
        <v>短期借入金</v>
      </c>
      <c r="AD39" s="213"/>
      <c r="AE39" s="213"/>
      <c r="AF39" s="213"/>
      <c r="AG39" s="213"/>
      <c r="AH39" s="213"/>
      <c r="AI39" s="213"/>
      <c r="AJ39" s="213"/>
      <c r="AK39" s="213"/>
      <c r="AL39" s="213"/>
      <c r="AM39" s="213"/>
      <c r="AN39" s="213"/>
      <c r="AO39" s="213"/>
      <c r="AP39" s="160">
        <f t="shared" si="23"/>
        <v>0</v>
      </c>
    </row>
    <row r="40" spans="1:42" ht="15.75" customHeight="1">
      <c r="A40" s="159" t="str">
        <f>資金繰り予定表!A40</f>
        <v>長期借入金</v>
      </c>
      <c r="B40" s="212">
        <v>0</v>
      </c>
      <c r="C40" s="212">
        <v>0</v>
      </c>
      <c r="D40" s="212">
        <v>0</v>
      </c>
      <c r="E40" s="212">
        <v>0</v>
      </c>
      <c r="F40" s="212">
        <v>0</v>
      </c>
      <c r="G40" s="212">
        <v>66051004</v>
      </c>
      <c r="H40" s="212">
        <v>28867500</v>
      </c>
      <c r="I40" s="212">
        <v>0</v>
      </c>
      <c r="J40" s="212">
        <v>0</v>
      </c>
      <c r="K40" s="212">
        <v>0</v>
      </c>
      <c r="L40" s="212">
        <v>0</v>
      </c>
      <c r="M40" s="212">
        <v>0</v>
      </c>
      <c r="N40" s="160">
        <f t="shared" si="19"/>
        <v>94918504</v>
      </c>
      <c r="O40" s="153" t="str">
        <f t="shared" si="2"/>
        <v>長期借入金</v>
      </c>
      <c r="P40" s="213"/>
      <c r="Q40" s="213"/>
      <c r="R40" s="213"/>
      <c r="S40" s="213"/>
      <c r="T40" s="213"/>
      <c r="U40" s="213"/>
      <c r="V40" s="213"/>
      <c r="W40" s="213"/>
      <c r="X40" s="213"/>
      <c r="Y40" s="213"/>
      <c r="Z40" s="213"/>
      <c r="AA40" s="213"/>
      <c r="AB40" s="160">
        <f t="shared" si="21"/>
        <v>0</v>
      </c>
      <c r="AC40" s="160" t="str">
        <f t="shared" si="4"/>
        <v>長期借入金</v>
      </c>
      <c r="AD40" s="213"/>
      <c r="AE40" s="213"/>
      <c r="AF40" s="213"/>
      <c r="AG40" s="213"/>
      <c r="AH40" s="213"/>
      <c r="AI40" s="213"/>
      <c r="AJ40" s="213"/>
      <c r="AK40" s="213"/>
      <c r="AL40" s="213"/>
      <c r="AM40" s="213"/>
      <c r="AN40" s="213"/>
      <c r="AO40" s="213"/>
      <c r="AP40" s="160">
        <f t="shared" si="23"/>
        <v>0</v>
      </c>
    </row>
    <row r="41" spans="1:42" ht="15.75" customHeight="1">
      <c r="A41" s="159" t="str">
        <f>資金繰り予定表!A41</f>
        <v>役員・関係会社から入金</v>
      </c>
      <c r="B41" s="212">
        <v>0</v>
      </c>
      <c r="C41" s="212">
        <v>0</v>
      </c>
      <c r="D41" s="212">
        <v>0</v>
      </c>
      <c r="E41" s="212">
        <v>0</v>
      </c>
      <c r="F41" s="212">
        <v>0</v>
      </c>
      <c r="G41" s="212">
        <v>0</v>
      </c>
      <c r="H41" s="212">
        <v>0</v>
      </c>
      <c r="I41" s="212">
        <v>0</v>
      </c>
      <c r="J41" s="212">
        <v>0</v>
      </c>
      <c r="K41" s="212">
        <v>0</v>
      </c>
      <c r="L41" s="212">
        <v>0</v>
      </c>
      <c r="M41" s="212">
        <v>0</v>
      </c>
      <c r="N41" s="160">
        <f t="shared" si="19"/>
        <v>0</v>
      </c>
      <c r="O41" s="153" t="str">
        <f t="shared" si="2"/>
        <v>役員・関係会社から入金</v>
      </c>
      <c r="P41" s="213"/>
      <c r="Q41" s="213"/>
      <c r="R41" s="213"/>
      <c r="S41" s="213"/>
      <c r="T41" s="213"/>
      <c r="U41" s="213"/>
      <c r="V41" s="213"/>
      <c r="W41" s="213"/>
      <c r="X41" s="213"/>
      <c r="Y41" s="213"/>
      <c r="Z41" s="213"/>
      <c r="AA41" s="213"/>
      <c r="AB41" s="160">
        <f t="shared" si="21"/>
        <v>0</v>
      </c>
      <c r="AC41" s="160" t="str">
        <f t="shared" si="4"/>
        <v>役員・関係会社から入金</v>
      </c>
      <c r="AD41" s="213"/>
      <c r="AE41" s="213"/>
      <c r="AF41" s="213"/>
      <c r="AG41" s="213"/>
      <c r="AH41" s="213"/>
      <c r="AI41" s="213"/>
      <c r="AJ41" s="213"/>
      <c r="AK41" s="213"/>
      <c r="AL41" s="213"/>
      <c r="AM41" s="213"/>
      <c r="AN41" s="213"/>
      <c r="AO41" s="213"/>
      <c r="AP41" s="160">
        <f t="shared" si="23"/>
        <v>0</v>
      </c>
    </row>
    <row r="42" spans="1:42" ht="15.75" customHeight="1">
      <c r="A42" s="159" t="str">
        <f>資金繰り予定表!A42</f>
        <v>受取利息・配当</v>
      </c>
      <c r="B42" s="212">
        <v>0</v>
      </c>
      <c r="C42" s="212">
        <v>6823</v>
      </c>
      <c r="D42" s="212">
        <v>2446</v>
      </c>
      <c r="E42" s="212">
        <v>0</v>
      </c>
      <c r="F42" s="212">
        <v>0</v>
      </c>
      <c r="G42" s="212">
        <v>0</v>
      </c>
      <c r="H42" s="212">
        <v>0</v>
      </c>
      <c r="I42" s="212">
        <v>5033</v>
      </c>
      <c r="J42" s="212">
        <v>1038</v>
      </c>
      <c r="K42" s="212">
        <v>0</v>
      </c>
      <c r="L42" s="212">
        <v>0</v>
      </c>
      <c r="M42" s="212">
        <v>0</v>
      </c>
      <c r="N42" s="160">
        <f t="shared" si="19"/>
        <v>15340</v>
      </c>
      <c r="O42" s="153" t="str">
        <f t="shared" si="2"/>
        <v>受取利息・配当</v>
      </c>
      <c r="P42" s="213"/>
      <c r="Q42" s="213"/>
      <c r="R42" s="213"/>
      <c r="S42" s="213"/>
      <c r="T42" s="213"/>
      <c r="U42" s="213"/>
      <c r="V42" s="213"/>
      <c r="W42" s="213"/>
      <c r="X42" s="213"/>
      <c r="Y42" s="213"/>
      <c r="Z42" s="213"/>
      <c r="AA42" s="213"/>
      <c r="AB42" s="160">
        <f t="shared" si="21"/>
        <v>0</v>
      </c>
      <c r="AC42" s="160" t="str">
        <f t="shared" si="4"/>
        <v>受取利息・配当</v>
      </c>
      <c r="AD42" s="213"/>
      <c r="AE42" s="213"/>
      <c r="AF42" s="213"/>
      <c r="AG42" s="213"/>
      <c r="AH42" s="213"/>
      <c r="AI42" s="213"/>
      <c r="AJ42" s="213"/>
      <c r="AK42" s="213"/>
      <c r="AL42" s="213"/>
      <c r="AM42" s="213"/>
      <c r="AN42" s="213"/>
      <c r="AO42" s="213"/>
      <c r="AP42" s="160">
        <f t="shared" si="23"/>
        <v>0</v>
      </c>
    </row>
    <row r="43" spans="1:42" ht="15.75" customHeight="1">
      <c r="A43" s="159" t="str">
        <f>資金繰り予定表!A43</f>
        <v>その他財務収入</v>
      </c>
      <c r="B43" s="212">
        <v>11135384</v>
      </c>
      <c r="C43" s="212">
        <v>0</v>
      </c>
      <c r="D43" s="212">
        <v>0</v>
      </c>
      <c r="E43" s="212">
        <v>0</v>
      </c>
      <c r="F43" s="212">
        <v>0</v>
      </c>
      <c r="G43" s="212">
        <v>0</v>
      </c>
      <c r="H43" s="212">
        <v>0</v>
      </c>
      <c r="I43" s="212">
        <v>0</v>
      </c>
      <c r="J43" s="212">
        <v>0</v>
      </c>
      <c r="K43" s="212">
        <v>0</v>
      </c>
      <c r="L43" s="212">
        <v>0</v>
      </c>
      <c r="M43" s="212">
        <v>0</v>
      </c>
      <c r="N43" s="160">
        <f t="shared" si="19"/>
        <v>11135384</v>
      </c>
      <c r="O43" s="153" t="str">
        <f t="shared" si="2"/>
        <v>その他財務収入</v>
      </c>
      <c r="P43" s="213"/>
      <c r="Q43" s="213"/>
      <c r="R43" s="213"/>
      <c r="S43" s="213"/>
      <c r="T43" s="213"/>
      <c r="U43" s="213"/>
      <c r="V43" s="213"/>
      <c r="W43" s="213"/>
      <c r="X43" s="213"/>
      <c r="Y43" s="213"/>
      <c r="Z43" s="213"/>
      <c r="AA43" s="213"/>
      <c r="AB43" s="160"/>
      <c r="AC43" s="160" t="str">
        <f t="shared" si="4"/>
        <v>その他財務収入</v>
      </c>
      <c r="AD43" s="213"/>
      <c r="AE43" s="213"/>
      <c r="AF43" s="213"/>
      <c r="AG43" s="213"/>
      <c r="AH43" s="213"/>
      <c r="AI43" s="213"/>
      <c r="AJ43" s="213"/>
      <c r="AK43" s="213"/>
      <c r="AL43" s="213"/>
      <c r="AM43" s="213"/>
      <c r="AN43" s="213"/>
      <c r="AO43" s="213"/>
      <c r="AP43" s="160"/>
    </row>
    <row r="44" spans="1:42" ht="15">
      <c r="A44" s="161" t="s">
        <v>55</v>
      </c>
      <c r="B44" s="173">
        <f t="shared" ref="B44:M44" si="27">SUM(B39:B43)</f>
        <v>11135384</v>
      </c>
      <c r="C44" s="173">
        <f t="shared" si="27"/>
        <v>6823</v>
      </c>
      <c r="D44" s="173">
        <f t="shared" si="27"/>
        <v>2446</v>
      </c>
      <c r="E44" s="173">
        <f t="shared" si="27"/>
        <v>0</v>
      </c>
      <c r="F44" s="173">
        <f t="shared" si="27"/>
        <v>0</v>
      </c>
      <c r="G44" s="173">
        <f t="shared" si="27"/>
        <v>66051004</v>
      </c>
      <c r="H44" s="173">
        <f t="shared" si="27"/>
        <v>28867500</v>
      </c>
      <c r="I44" s="173">
        <f t="shared" si="27"/>
        <v>5033</v>
      </c>
      <c r="J44" s="173">
        <f t="shared" si="27"/>
        <v>1038</v>
      </c>
      <c r="K44" s="173">
        <f t="shared" si="27"/>
        <v>0</v>
      </c>
      <c r="L44" s="173">
        <f t="shared" si="27"/>
        <v>0</v>
      </c>
      <c r="M44" s="173">
        <f t="shared" si="27"/>
        <v>0</v>
      </c>
      <c r="N44" s="162">
        <f t="shared" si="19"/>
        <v>106069228</v>
      </c>
      <c r="O44" s="163" t="str">
        <f t="shared" si="2"/>
        <v>⑦財務収入合計</v>
      </c>
      <c r="P44" s="173">
        <f t="shared" ref="P44:AA44" si="28">SUM(P39:P43)</f>
        <v>0</v>
      </c>
      <c r="Q44" s="173">
        <f t="shared" si="28"/>
        <v>0</v>
      </c>
      <c r="R44" s="173">
        <f t="shared" si="28"/>
        <v>0</v>
      </c>
      <c r="S44" s="173">
        <f t="shared" si="28"/>
        <v>0</v>
      </c>
      <c r="T44" s="173">
        <f t="shared" si="28"/>
        <v>0</v>
      </c>
      <c r="U44" s="173">
        <f t="shared" si="28"/>
        <v>0</v>
      </c>
      <c r="V44" s="173">
        <f t="shared" si="28"/>
        <v>0</v>
      </c>
      <c r="W44" s="173">
        <f t="shared" si="28"/>
        <v>0</v>
      </c>
      <c r="X44" s="173">
        <f t="shared" si="28"/>
        <v>0</v>
      </c>
      <c r="Y44" s="173">
        <f t="shared" si="28"/>
        <v>0</v>
      </c>
      <c r="Z44" s="173">
        <f t="shared" si="28"/>
        <v>0</v>
      </c>
      <c r="AA44" s="173">
        <f t="shared" si="28"/>
        <v>0</v>
      </c>
      <c r="AB44" s="162">
        <f t="shared" ref="AB44:AB48" si="29">SUM(P44:AA44)</f>
        <v>0</v>
      </c>
      <c r="AC44" s="162" t="str">
        <f t="shared" si="4"/>
        <v>⑦財務収入合計</v>
      </c>
      <c r="AD44" s="162">
        <f t="shared" ref="AD44:AO44" si="30">SUM(AD39:AD43)</f>
        <v>0</v>
      </c>
      <c r="AE44" s="162">
        <f t="shared" si="30"/>
        <v>0</v>
      </c>
      <c r="AF44" s="162">
        <f t="shared" si="30"/>
        <v>0</v>
      </c>
      <c r="AG44" s="162">
        <f t="shared" si="30"/>
        <v>0</v>
      </c>
      <c r="AH44" s="162">
        <f t="shared" si="30"/>
        <v>0</v>
      </c>
      <c r="AI44" s="162">
        <f t="shared" si="30"/>
        <v>0</v>
      </c>
      <c r="AJ44" s="162">
        <f t="shared" si="30"/>
        <v>0</v>
      </c>
      <c r="AK44" s="162">
        <f t="shared" si="30"/>
        <v>0</v>
      </c>
      <c r="AL44" s="162">
        <f t="shared" si="30"/>
        <v>0</v>
      </c>
      <c r="AM44" s="162">
        <f t="shared" si="30"/>
        <v>0</v>
      </c>
      <c r="AN44" s="162">
        <f t="shared" si="30"/>
        <v>0</v>
      </c>
      <c r="AO44" s="162">
        <f t="shared" si="30"/>
        <v>0</v>
      </c>
      <c r="AP44" s="162">
        <f t="shared" ref="AP44:AP48" si="31">SUM(AD44:AO44)</f>
        <v>0</v>
      </c>
    </row>
    <row r="45" spans="1:42" ht="15">
      <c r="A45" s="159" t="str">
        <f>資金繰り予定表!A45</f>
        <v>短期借入金返済</v>
      </c>
      <c r="B45" s="212">
        <v>0</v>
      </c>
      <c r="C45" s="212">
        <v>0</v>
      </c>
      <c r="D45" s="212">
        <v>0</v>
      </c>
      <c r="E45" s="212">
        <v>0</v>
      </c>
      <c r="F45" s="212">
        <v>0</v>
      </c>
      <c r="G45" s="212">
        <v>0</v>
      </c>
      <c r="H45" s="212">
        <v>0</v>
      </c>
      <c r="I45" s="212">
        <v>0</v>
      </c>
      <c r="J45" s="212">
        <v>0</v>
      </c>
      <c r="K45" s="212">
        <v>0</v>
      </c>
      <c r="L45" s="212">
        <v>0</v>
      </c>
      <c r="M45" s="212">
        <v>0</v>
      </c>
      <c r="N45" s="160">
        <f t="shared" si="19"/>
        <v>0</v>
      </c>
      <c r="O45" s="153" t="str">
        <f t="shared" si="2"/>
        <v>短期借入金返済</v>
      </c>
      <c r="P45" s="213"/>
      <c r="Q45" s="213"/>
      <c r="R45" s="213"/>
      <c r="S45" s="213"/>
      <c r="T45" s="213"/>
      <c r="U45" s="213"/>
      <c r="V45" s="213"/>
      <c r="W45" s="213"/>
      <c r="X45" s="213"/>
      <c r="Y45" s="213"/>
      <c r="Z45" s="213"/>
      <c r="AA45" s="213"/>
      <c r="AB45" s="160">
        <f t="shared" si="29"/>
        <v>0</v>
      </c>
      <c r="AC45" s="160" t="str">
        <f t="shared" si="4"/>
        <v>短期借入金返済</v>
      </c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160">
        <f t="shared" si="31"/>
        <v>0</v>
      </c>
    </row>
    <row r="46" spans="1:42" ht="15">
      <c r="A46" s="159" t="str">
        <f>資金繰り予定表!A46</f>
        <v>長期借入金返済</v>
      </c>
      <c r="B46" s="212">
        <v>1689913</v>
      </c>
      <c r="C46" s="212">
        <v>0</v>
      </c>
      <c r="D46" s="212">
        <v>4006170</v>
      </c>
      <c r="E46" s="212">
        <v>2003083</v>
      </c>
      <c r="F46" s="212">
        <v>0</v>
      </c>
      <c r="G46" s="212">
        <v>43408783</v>
      </c>
      <c r="H46" s="212">
        <v>32246230</v>
      </c>
      <c r="I46" s="212">
        <v>2242348</v>
      </c>
      <c r="J46" s="212">
        <v>3522286</v>
      </c>
      <c r="K46" s="212">
        <v>0</v>
      </c>
      <c r="L46" s="212">
        <v>0</v>
      </c>
      <c r="M46" s="212">
        <v>0</v>
      </c>
      <c r="N46" s="160">
        <f t="shared" si="19"/>
        <v>89118813</v>
      </c>
      <c r="O46" s="153" t="str">
        <f t="shared" si="2"/>
        <v>長期借入金返済</v>
      </c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160">
        <f t="shared" si="29"/>
        <v>0</v>
      </c>
      <c r="AC46" s="160" t="str">
        <f t="shared" si="4"/>
        <v>長期借入金返済</v>
      </c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160">
        <f t="shared" si="31"/>
        <v>0</v>
      </c>
    </row>
    <row r="47" spans="1:42" ht="15">
      <c r="A47" s="159" t="str">
        <f>資金繰り予定表!A47</f>
        <v>役員・関係会社へ支出</v>
      </c>
      <c r="B47" s="212">
        <v>150550</v>
      </c>
      <c r="C47" s="212">
        <v>0</v>
      </c>
      <c r="D47" s="212">
        <v>150000</v>
      </c>
      <c r="E47" s="212">
        <v>0</v>
      </c>
      <c r="F47" s="212">
        <v>0</v>
      </c>
      <c r="G47" s="212">
        <v>450900</v>
      </c>
      <c r="H47" s="212">
        <v>0</v>
      </c>
      <c r="I47" s="212">
        <v>0</v>
      </c>
      <c r="J47" s="212">
        <v>0</v>
      </c>
      <c r="K47" s="212">
        <v>0</v>
      </c>
      <c r="L47" s="212">
        <v>0</v>
      </c>
      <c r="M47" s="212">
        <v>0</v>
      </c>
      <c r="N47" s="160">
        <f t="shared" si="19"/>
        <v>751450</v>
      </c>
      <c r="O47" s="153" t="str">
        <f t="shared" si="2"/>
        <v>役員・関係会社へ支出</v>
      </c>
      <c r="P47" s="213"/>
      <c r="Q47" s="213"/>
      <c r="R47" s="213"/>
      <c r="S47" s="213"/>
      <c r="T47" s="213"/>
      <c r="U47" s="213"/>
      <c r="V47" s="213"/>
      <c r="W47" s="213"/>
      <c r="X47" s="213"/>
      <c r="Y47" s="213"/>
      <c r="Z47" s="213"/>
      <c r="AA47" s="213"/>
      <c r="AB47" s="160">
        <f t="shared" si="29"/>
        <v>0</v>
      </c>
      <c r="AC47" s="160" t="str">
        <f t="shared" si="4"/>
        <v>役員・関係会社へ支出</v>
      </c>
      <c r="AD47" s="213"/>
      <c r="AE47" s="213"/>
      <c r="AF47" s="213"/>
      <c r="AG47" s="213"/>
      <c r="AH47" s="213"/>
      <c r="AI47" s="213"/>
      <c r="AJ47" s="213"/>
      <c r="AK47" s="213"/>
      <c r="AL47" s="213"/>
      <c r="AM47" s="213"/>
      <c r="AN47" s="213"/>
      <c r="AO47" s="213"/>
      <c r="AP47" s="160">
        <f t="shared" si="31"/>
        <v>0</v>
      </c>
    </row>
    <row r="48" spans="1:42" ht="15">
      <c r="A48" s="159" t="str">
        <f>資金繰り予定表!A48</f>
        <v>支払利息・保証料</v>
      </c>
      <c r="B48" s="212">
        <v>135045</v>
      </c>
      <c r="C48" s="212">
        <v>0</v>
      </c>
      <c r="D48" s="212">
        <v>173666</v>
      </c>
      <c r="E48" s="212">
        <v>88038</v>
      </c>
      <c r="F48" s="212">
        <v>0</v>
      </c>
      <c r="G48" s="212">
        <v>1632975</v>
      </c>
      <c r="H48" s="212">
        <v>77461</v>
      </c>
      <c r="I48" s="212">
        <v>76432</v>
      </c>
      <c r="J48" s="212">
        <v>174878</v>
      </c>
      <c r="K48" s="212">
        <v>0</v>
      </c>
      <c r="L48" s="212">
        <v>0</v>
      </c>
      <c r="M48" s="212">
        <v>0</v>
      </c>
      <c r="N48" s="160">
        <f t="shared" si="19"/>
        <v>2358495</v>
      </c>
      <c r="O48" s="153" t="str">
        <f t="shared" si="2"/>
        <v>支払利息・保証料</v>
      </c>
      <c r="P48" s="213"/>
      <c r="Q48" s="213"/>
      <c r="R48" s="213"/>
      <c r="S48" s="213"/>
      <c r="T48" s="213"/>
      <c r="U48" s="213"/>
      <c r="V48" s="213"/>
      <c r="W48" s="213"/>
      <c r="X48" s="213"/>
      <c r="Y48" s="213"/>
      <c r="Z48" s="213"/>
      <c r="AA48" s="213"/>
      <c r="AB48" s="160">
        <f t="shared" si="29"/>
        <v>0</v>
      </c>
      <c r="AC48" s="160" t="str">
        <f t="shared" si="4"/>
        <v>支払利息・保証料</v>
      </c>
      <c r="AD48" s="213"/>
      <c r="AE48" s="213"/>
      <c r="AF48" s="213"/>
      <c r="AG48" s="213"/>
      <c r="AH48" s="213"/>
      <c r="AI48" s="213"/>
      <c r="AJ48" s="213"/>
      <c r="AK48" s="213"/>
      <c r="AL48" s="213"/>
      <c r="AM48" s="213"/>
      <c r="AN48" s="213"/>
      <c r="AO48" s="213"/>
      <c r="AP48" s="160">
        <f t="shared" si="31"/>
        <v>0</v>
      </c>
    </row>
    <row r="49" spans="1:42" ht="15">
      <c r="A49" s="159" t="str">
        <f>資金繰り予定表!A49</f>
        <v>その他財務支出</v>
      </c>
      <c r="B49" s="212">
        <v>0</v>
      </c>
      <c r="C49" s="212">
        <v>0</v>
      </c>
      <c r="D49" s="212">
        <v>0</v>
      </c>
      <c r="E49" s="212">
        <v>0</v>
      </c>
      <c r="F49" s="212">
        <v>0</v>
      </c>
      <c r="G49" s="212">
        <v>0</v>
      </c>
      <c r="H49" s="212">
        <v>0</v>
      </c>
      <c r="I49" s="212">
        <v>0</v>
      </c>
      <c r="J49" s="212">
        <v>0</v>
      </c>
      <c r="K49" s="212">
        <v>0</v>
      </c>
      <c r="L49" s="212">
        <v>0</v>
      </c>
      <c r="M49" s="212">
        <v>0</v>
      </c>
      <c r="N49" s="160"/>
      <c r="O49" s="153" t="str">
        <f t="shared" si="2"/>
        <v>その他財務支出</v>
      </c>
      <c r="P49" s="213"/>
      <c r="Q49" s="213"/>
      <c r="R49" s="213"/>
      <c r="S49" s="213"/>
      <c r="T49" s="213"/>
      <c r="U49" s="213"/>
      <c r="V49" s="213"/>
      <c r="W49" s="213"/>
      <c r="X49" s="213"/>
      <c r="Y49" s="213"/>
      <c r="Z49" s="213"/>
      <c r="AA49" s="213"/>
      <c r="AB49" s="160"/>
      <c r="AC49" s="160" t="str">
        <f t="shared" si="4"/>
        <v>その他財務支出</v>
      </c>
      <c r="AD49" s="213"/>
      <c r="AE49" s="213"/>
      <c r="AF49" s="213"/>
      <c r="AG49" s="213"/>
      <c r="AH49" s="213"/>
      <c r="AI49" s="213"/>
      <c r="AJ49" s="213"/>
      <c r="AK49" s="213"/>
      <c r="AL49" s="213"/>
      <c r="AM49" s="213"/>
      <c r="AN49" s="213"/>
      <c r="AO49" s="213"/>
      <c r="AP49" s="160"/>
    </row>
    <row r="50" spans="1:42" ht="15">
      <c r="A50" s="161" t="s">
        <v>56</v>
      </c>
      <c r="B50" s="173">
        <f t="shared" ref="B50:M50" si="32">SUM(B45:B48)</f>
        <v>1975508</v>
      </c>
      <c r="C50" s="173">
        <f t="shared" si="32"/>
        <v>0</v>
      </c>
      <c r="D50" s="173">
        <f t="shared" si="32"/>
        <v>4329836</v>
      </c>
      <c r="E50" s="173">
        <f t="shared" si="32"/>
        <v>2091121</v>
      </c>
      <c r="F50" s="173">
        <f t="shared" si="32"/>
        <v>0</v>
      </c>
      <c r="G50" s="173">
        <f t="shared" si="32"/>
        <v>45492658</v>
      </c>
      <c r="H50" s="173">
        <f t="shared" si="32"/>
        <v>32323691</v>
      </c>
      <c r="I50" s="173">
        <f t="shared" si="32"/>
        <v>2318780</v>
      </c>
      <c r="J50" s="173">
        <f t="shared" si="32"/>
        <v>3697164</v>
      </c>
      <c r="K50" s="173">
        <f t="shared" si="32"/>
        <v>0</v>
      </c>
      <c r="L50" s="173">
        <f t="shared" si="32"/>
        <v>0</v>
      </c>
      <c r="M50" s="173">
        <f t="shared" si="32"/>
        <v>0</v>
      </c>
      <c r="N50" s="162">
        <f t="shared" ref="N50:N52" si="33">SUM(B50:M50)</f>
        <v>92228758</v>
      </c>
      <c r="O50" s="163" t="str">
        <f t="shared" si="2"/>
        <v>⑧財務支出合計</v>
      </c>
      <c r="P50" s="173">
        <f t="shared" ref="P50:AA50" si="34">SUM(P45:P48)</f>
        <v>0</v>
      </c>
      <c r="Q50" s="173">
        <f t="shared" si="34"/>
        <v>0</v>
      </c>
      <c r="R50" s="173">
        <f t="shared" si="34"/>
        <v>0</v>
      </c>
      <c r="S50" s="173">
        <f t="shared" si="34"/>
        <v>0</v>
      </c>
      <c r="T50" s="173">
        <f t="shared" si="34"/>
        <v>0</v>
      </c>
      <c r="U50" s="173">
        <f t="shared" si="34"/>
        <v>0</v>
      </c>
      <c r="V50" s="173">
        <f t="shared" si="34"/>
        <v>0</v>
      </c>
      <c r="W50" s="173">
        <f t="shared" si="34"/>
        <v>0</v>
      </c>
      <c r="X50" s="173">
        <f t="shared" si="34"/>
        <v>0</v>
      </c>
      <c r="Y50" s="173">
        <f t="shared" si="34"/>
        <v>0</v>
      </c>
      <c r="Z50" s="173">
        <f t="shared" si="34"/>
        <v>0</v>
      </c>
      <c r="AA50" s="173">
        <f t="shared" si="34"/>
        <v>0</v>
      </c>
      <c r="AB50" s="162">
        <f t="shared" ref="AB50:AB52" si="35">SUM(P50:AA50)</f>
        <v>0</v>
      </c>
      <c r="AC50" s="162" t="str">
        <f t="shared" si="4"/>
        <v>⑧財務支出合計</v>
      </c>
      <c r="AD50" s="162">
        <f t="shared" ref="AD50:AO50" si="36">SUM(AD45:AD48)</f>
        <v>0</v>
      </c>
      <c r="AE50" s="162">
        <f t="shared" si="36"/>
        <v>0</v>
      </c>
      <c r="AF50" s="162">
        <f t="shared" si="36"/>
        <v>0</v>
      </c>
      <c r="AG50" s="162">
        <f t="shared" si="36"/>
        <v>0</v>
      </c>
      <c r="AH50" s="162">
        <f t="shared" si="36"/>
        <v>0</v>
      </c>
      <c r="AI50" s="162">
        <f t="shared" si="36"/>
        <v>0</v>
      </c>
      <c r="AJ50" s="162">
        <f t="shared" si="36"/>
        <v>0</v>
      </c>
      <c r="AK50" s="162">
        <f t="shared" si="36"/>
        <v>0</v>
      </c>
      <c r="AL50" s="162">
        <f t="shared" si="36"/>
        <v>0</v>
      </c>
      <c r="AM50" s="162">
        <f t="shared" si="36"/>
        <v>0</v>
      </c>
      <c r="AN50" s="162">
        <f t="shared" si="36"/>
        <v>0</v>
      </c>
      <c r="AO50" s="162">
        <f t="shared" si="36"/>
        <v>0</v>
      </c>
      <c r="AP50" s="162">
        <f t="shared" ref="AP50:AP52" si="37">SUM(AD50:AO50)</f>
        <v>0</v>
      </c>
    </row>
    <row r="51" spans="1:42" ht="15">
      <c r="A51" s="161" t="s">
        <v>57</v>
      </c>
      <c r="B51" s="173">
        <f t="shared" ref="B51:M51" si="38">B44-B50</f>
        <v>9159876</v>
      </c>
      <c r="C51" s="173">
        <f t="shared" si="38"/>
        <v>6823</v>
      </c>
      <c r="D51" s="173">
        <f t="shared" si="38"/>
        <v>-4327390</v>
      </c>
      <c r="E51" s="173">
        <f t="shared" si="38"/>
        <v>-2091121</v>
      </c>
      <c r="F51" s="173">
        <f t="shared" si="38"/>
        <v>0</v>
      </c>
      <c r="G51" s="173">
        <f t="shared" si="38"/>
        <v>20558346</v>
      </c>
      <c r="H51" s="173">
        <f t="shared" si="38"/>
        <v>-3456191</v>
      </c>
      <c r="I51" s="173">
        <f t="shared" si="38"/>
        <v>-2313747</v>
      </c>
      <c r="J51" s="173">
        <f t="shared" si="38"/>
        <v>-3696126</v>
      </c>
      <c r="K51" s="173">
        <f t="shared" si="38"/>
        <v>0</v>
      </c>
      <c r="L51" s="173">
        <f t="shared" si="38"/>
        <v>0</v>
      </c>
      <c r="M51" s="173">
        <f t="shared" si="38"/>
        <v>0</v>
      </c>
      <c r="N51" s="162">
        <f t="shared" si="33"/>
        <v>13840470</v>
      </c>
      <c r="O51" s="163" t="str">
        <f t="shared" si="2"/>
        <v>⑨財務収支</v>
      </c>
      <c r="P51" s="173">
        <f t="shared" ref="P51:AA51" si="39">P44-P50</f>
        <v>0</v>
      </c>
      <c r="Q51" s="173">
        <f t="shared" si="39"/>
        <v>0</v>
      </c>
      <c r="R51" s="173">
        <f t="shared" si="39"/>
        <v>0</v>
      </c>
      <c r="S51" s="173">
        <f t="shared" si="39"/>
        <v>0</v>
      </c>
      <c r="T51" s="173">
        <f t="shared" si="39"/>
        <v>0</v>
      </c>
      <c r="U51" s="173">
        <f t="shared" si="39"/>
        <v>0</v>
      </c>
      <c r="V51" s="173">
        <f t="shared" si="39"/>
        <v>0</v>
      </c>
      <c r="W51" s="173">
        <f t="shared" si="39"/>
        <v>0</v>
      </c>
      <c r="X51" s="173">
        <f t="shared" si="39"/>
        <v>0</v>
      </c>
      <c r="Y51" s="173">
        <f t="shared" si="39"/>
        <v>0</v>
      </c>
      <c r="Z51" s="173">
        <f t="shared" si="39"/>
        <v>0</v>
      </c>
      <c r="AA51" s="173">
        <f t="shared" si="39"/>
        <v>0</v>
      </c>
      <c r="AB51" s="162">
        <f t="shared" si="35"/>
        <v>0</v>
      </c>
      <c r="AC51" s="162" t="str">
        <f t="shared" si="4"/>
        <v>⑨財務収支</v>
      </c>
      <c r="AD51" s="162">
        <f t="shared" ref="AD51:AO51" si="40">AD44-AD50</f>
        <v>0</v>
      </c>
      <c r="AE51" s="162">
        <f t="shared" si="40"/>
        <v>0</v>
      </c>
      <c r="AF51" s="162">
        <f t="shared" si="40"/>
        <v>0</v>
      </c>
      <c r="AG51" s="162">
        <f t="shared" si="40"/>
        <v>0</v>
      </c>
      <c r="AH51" s="162">
        <f t="shared" si="40"/>
        <v>0</v>
      </c>
      <c r="AI51" s="162">
        <f t="shared" si="40"/>
        <v>0</v>
      </c>
      <c r="AJ51" s="162">
        <f t="shared" si="40"/>
        <v>0</v>
      </c>
      <c r="AK51" s="162">
        <f t="shared" si="40"/>
        <v>0</v>
      </c>
      <c r="AL51" s="162">
        <f t="shared" si="40"/>
        <v>0</v>
      </c>
      <c r="AM51" s="162">
        <f t="shared" si="40"/>
        <v>0</v>
      </c>
      <c r="AN51" s="162">
        <f t="shared" si="40"/>
        <v>0</v>
      </c>
      <c r="AO51" s="162">
        <f t="shared" si="40"/>
        <v>0</v>
      </c>
      <c r="AP51" s="162">
        <f t="shared" si="37"/>
        <v>0</v>
      </c>
    </row>
    <row r="52" spans="1:42" ht="15">
      <c r="A52" s="164" t="s">
        <v>58</v>
      </c>
      <c r="B52" s="174">
        <f t="shared" ref="B52:M52" si="41">B27+B38+B51</f>
        <v>4081944</v>
      </c>
      <c r="C52" s="174">
        <f t="shared" si="41"/>
        <v>2909616</v>
      </c>
      <c r="D52" s="174">
        <f t="shared" si="41"/>
        <v>-5525527</v>
      </c>
      <c r="E52" s="174">
        <f t="shared" si="41"/>
        <v>4643356</v>
      </c>
      <c r="F52" s="174">
        <f t="shared" si="41"/>
        <v>-1338466</v>
      </c>
      <c r="G52" s="174">
        <f t="shared" si="41"/>
        <v>6010484</v>
      </c>
      <c r="H52" s="174">
        <f t="shared" si="41"/>
        <v>10300145</v>
      </c>
      <c r="I52" s="174">
        <f t="shared" si="41"/>
        <v>12783032</v>
      </c>
      <c r="J52" s="174">
        <f t="shared" si="41"/>
        <v>-13039228</v>
      </c>
      <c r="K52" s="174">
        <f t="shared" si="41"/>
        <v>0</v>
      </c>
      <c r="L52" s="174">
        <f t="shared" si="41"/>
        <v>0</v>
      </c>
      <c r="M52" s="174">
        <f t="shared" si="41"/>
        <v>0</v>
      </c>
      <c r="N52" s="165">
        <f t="shared" si="33"/>
        <v>20825356</v>
      </c>
      <c r="O52" s="166" t="str">
        <f t="shared" si="2"/>
        <v>⑩総合収支</v>
      </c>
      <c r="P52" s="174">
        <f t="shared" ref="P52:AA52" si="42">P27+P38+P51</f>
        <v>0</v>
      </c>
      <c r="Q52" s="174">
        <f t="shared" si="42"/>
        <v>0</v>
      </c>
      <c r="R52" s="174">
        <f t="shared" si="42"/>
        <v>0</v>
      </c>
      <c r="S52" s="174">
        <f t="shared" si="42"/>
        <v>0</v>
      </c>
      <c r="T52" s="174">
        <f t="shared" si="42"/>
        <v>0</v>
      </c>
      <c r="U52" s="174">
        <f t="shared" si="42"/>
        <v>0</v>
      </c>
      <c r="V52" s="174">
        <f t="shared" si="42"/>
        <v>0</v>
      </c>
      <c r="W52" s="174">
        <f t="shared" si="42"/>
        <v>0</v>
      </c>
      <c r="X52" s="174">
        <f t="shared" si="42"/>
        <v>0</v>
      </c>
      <c r="Y52" s="174">
        <f t="shared" si="42"/>
        <v>0</v>
      </c>
      <c r="Z52" s="174">
        <f t="shared" si="42"/>
        <v>0</v>
      </c>
      <c r="AA52" s="174">
        <f t="shared" si="42"/>
        <v>0</v>
      </c>
      <c r="AB52" s="165">
        <f t="shared" si="35"/>
        <v>0</v>
      </c>
      <c r="AC52" s="165" t="str">
        <f t="shared" si="4"/>
        <v>⑩総合収支</v>
      </c>
      <c r="AD52" s="165">
        <f t="shared" ref="AD52:AO52" si="43">AD27+AD38+AD51</f>
        <v>0</v>
      </c>
      <c r="AE52" s="165">
        <f t="shared" si="43"/>
        <v>0</v>
      </c>
      <c r="AF52" s="165">
        <f t="shared" si="43"/>
        <v>0</v>
      </c>
      <c r="AG52" s="165">
        <f t="shared" si="43"/>
        <v>0</v>
      </c>
      <c r="AH52" s="165">
        <f t="shared" si="43"/>
        <v>0</v>
      </c>
      <c r="AI52" s="165">
        <f t="shared" si="43"/>
        <v>0</v>
      </c>
      <c r="AJ52" s="165">
        <f t="shared" si="43"/>
        <v>0</v>
      </c>
      <c r="AK52" s="165">
        <f t="shared" si="43"/>
        <v>0</v>
      </c>
      <c r="AL52" s="165">
        <f t="shared" si="43"/>
        <v>0</v>
      </c>
      <c r="AM52" s="165">
        <f t="shared" si="43"/>
        <v>0</v>
      </c>
      <c r="AN52" s="165">
        <f t="shared" si="43"/>
        <v>0</v>
      </c>
      <c r="AO52" s="165">
        <f t="shared" si="43"/>
        <v>0</v>
      </c>
      <c r="AP52" s="165">
        <f t="shared" si="37"/>
        <v>0</v>
      </c>
    </row>
    <row r="53" spans="1:42" ht="15">
      <c r="A53" s="164" t="s">
        <v>59</v>
      </c>
      <c r="B53" s="174">
        <f>B54+B52</f>
        <v>4081944</v>
      </c>
      <c r="C53" s="174">
        <f t="shared" ref="C53:M53" si="44">B53+C52</f>
        <v>6991560</v>
      </c>
      <c r="D53" s="174">
        <f t="shared" si="44"/>
        <v>1466033</v>
      </c>
      <c r="E53" s="174">
        <f t="shared" si="44"/>
        <v>6109389</v>
      </c>
      <c r="F53" s="174">
        <f t="shared" si="44"/>
        <v>4770923</v>
      </c>
      <c r="G53" s="174">
        <f t="shared" si="44"/>
        <v>10781407</v>
      </c>
      <c r="H53" s="174">
        <f t="shared" si="44"/>
        <v>21081552</v>
      </c>
      <c r="I53" s="174">
        <f t="shared" si="44"/>
        <v>33864584</v>
      </c>
      <c r="J53" s="174">
        <f t="shared" si="44"/>
        <v>20825356</v>
      </c>
      <c r="K53" s="174">
        <f t="shared" si="44"/>
        <v>20825356</v>
      </c>
      <c r="L53" s="174">
        <f t="shared" si="44"/>
        <v>20825356</v>
      </c>
      <c r="M53" s="174">
        <f t="shared" si="44"/>
        <v>20825356</v>
      </c>
      <c r="N53" s="165"/>
      <c r="O53" s="166" t="str">
        <f t="shared" si="2"/>
        <v>当月現預金残高</v>
      </c>
      <c r="P53" s="165">
        <f>M53+P52</f>
        <v>20825356</v>
      </c>
      <c r="Q53" s="165">
        <f t="shared" ref="Q53:AA53" si="45">P53+Q52</f>
        <v>20825356</v>
      </c>
      <c r="R53" s="165">
        <f t="shared" si="45"/>
        <v>20825356</v>
      </c>
      <c r="S53" s="165">
        <f t="shared" si="45"/>
        <v>20825356</v>
      </c>
      <c r="T53" s="165">
        <f t="shared" si="45"/>
        <v>20825356</v>
      </c>
      <c r="U53" s="165">
        <f t="shared" si="45"/>
        <v>20825356</v>
      </c>
      <c r="V53" s="165">
        <f t="shared" si="45"/>
        <v>20825356</v>
      </c>
      <c r="W53" s="165">
        <f t="shared" si="45"/>
        <v>20825356</v>
      </c>
      <c r="X53" s="165">
        <f t="shared" si="45"/>
        <v>20825356</v>
      </c>
      <c r="Y53" s="165">
        <f t="shared" si="45"/>
        <v>20825356</v>
      </c>
      <c r="Z53" s="165">
        <f t="shared" si="45"/>
        <v>20825356</v>
      </c>
      <c r="AA53" s="165">
        <f t="shared" si="45"/>
        <v>20825356</v>
      </c>
      <c r="AB53" s="165"/>
      <c r="AC53" s="165" t="str">
        <f t="shared" si="4"/>
        <v>当月現預金残高</v>
      </c>
      <c r="AD53" s="165">
        <f>AA53+AD52</f>
        <v>20825356</v>
      </c>
      <c r="AE53" s="165">
        <f t="shared" ref="AE53" si="46">AD53+AE52</f>
        <v>20825356</v>
      </c>
      <c r="AF53" s="165">
        <f t="shared" ref="AF53" si="47">AE53+AF52</f>
        <v>20825356</v>
      </c>
      <c r="AG53" s="165">
        <f t="shared" ref="AG53" si="48">AF53+AG52</f>
        <v>20825356</v>
      </c>
      <c r="AH53" s="165">
        <f t="shared" ref="AH53" si="49">AG53+AH52</f>
        <v>20825356</v>
      </c>
      <c r="AI53" s="165">
        <f t="shared" ref="AI53" si="50">AH53+AI52</f>
        <v>20825356</v>
      </c>
      <c r="AJ53" s="165">
        <f t="shared" ref="AJ53" si="51">AI53+AJ52</f>
        <v>20825356</v>
      </c>
      <c r="AK53" s="165">
        <f t="shared" ref="AK53" si="52">AJ53+AK52</f>
        <v>20825356</v>
      </c>
      <c r="AL53" s="165">
        <f t="shared" ref="AL53" si="53">AK53+AL52</f>
        <v>20825356</v>
      </c>
      <c r="AM53" s="165">
        <f t="shared" ref="AM53" si="54">AL53+AM52</f>
        <v>20825356</v>
      </c>
      <c r="AN53" s="165">
        <f t="shared" ref="AN53" si="55">AM53+AN52</f>
        <v>20825356</v>
      </c>
      <c r="AO53" s="165">
        <f t="shared" ref="AO53" si="56">AN53+AO52</f>
        <v>20825356</v>
      </c>
      <c r="AP53" s="165"/>
    </row>
    <row r="54" spans="1:42" ht="15">
      <c r="A54" s="159" t="s">
        <v>42</v>
      </c>
      <c r="B54" s="172">
        <f>資金繰り実績表!B42</f>
        <v>0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60"/>
      <c r="O54" s="153" t="str">
        <f t="shared" si="2"/>
        <v>期首・期末現預金残高</v>
      </c>
      <c r="P54" s="160">
        <f>M53</f>
        <v>20825356</v>
      </c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 t="str">
        <f t="shared" si="4"/>
        <v>期首・期末現預金残高</v>
      </c>
      <c r="AD54" s="160">
        <f>AA53</f>
        <v>20825356</v>
      </c>
      <c r="AE54" s="160"/>
      <c r="AF54" s="160"/>
      <c r="AG54" s="160"/>
      <c r="AH54" s="160"/>
      <c r="AI54" s="160"/>
      <c r="AJ54" s="160"/>
      <c r="AK54" s="160"/>
      <c r="AL54" s="160"/>
      <c r="AM54" s="160"/>
      <c r="AN54" s="160"/>
      <c r="AO54" s="160"/>
      <c r="AP54" s="160"/>
    </row>
    <row r="55" spans="1:42" ht="15">
      <c r="A55" s="159"/>
    </row>
    <row r="56" spans="1:42" ht="15">
      <c r="A56" s="159"/>
    </row>
    <row r="57" spans="1:42" ht="15">
      <c r="A57" s="159"/>
    </row>
    <row r="58" spans="1:42" ht="15">
      <c r="A58" s="167"/>
    </row>
    <row r="59" spans="1:42" ht="15">
      <c r="A59" s="159"/>
    </row>
    <row r="60" spans="1:42" ht="15">
      <c r="A60" s="159"/>
    </row>
    <row r="61" spans="1:42" ht="15">
      <c r="A61" s="159"/>
    </row>
    <row r="62" spans="1:42" ht="15">
      <c r="A62" s="159"/>
    </row>
    <row r="63" spans="1:42" ht="15">
      <c r="A63" s="159"/>
    </row>
    <row r="64" spans="1:42" ht="15">
      <c r="A64" s="159"/>
    </row>
    <row r="65" spans="1:15" ht="15">
      <c r="A65" s="159"/>
    </row>
    <row r="66" spans="1:15" ht="15">
      <c r="A66" s="159"/>
    </row>
    <row r="67" spans="1:15" ht="15">
      <c r="A67" s="159"/>
    </row>
    <row r="68" spans="1:15" ht="15">
      <c r="A68" s="159"/>
    </row>
    <row r="69" spans="1:15" ht="15">
      <c r="A69" s="159"/>
    </row>
    <row r="70" spans="1:15" ht="15">
      <c r="A70" s="159"/>
    </row>
    <row r="71" spans="1:15" ht="15">
      <c r="A71" s="159"/>
    </row>
    <row r="72" spans="1:15" ht="15">
      <c r="A72" s="159"/>
    </row>
    <row r="73" spans="1:15" ht="15">
      <c r="A73" s="159"/>
    </row>
    <row r="74" spans="1:15" ht="15">
      <c r="A74" s="159"/>
    </row>
    <row r="75" spans="1:15" ht="15">
      <c r="A75" s="159"/>
      <c r="O75" s="159"/>
    </row>
    <row r="76" spans="1:15" ht="15">
      <c r="A76" s="167"/>
      <c r="O76" s="167"/>
    </row>
    <row r="77" spans="1:15" ht="15">
      <c r="A77" s="159"/>
    </row>
    <row r="78" spans="1:15" ht="15">
      <c r="A78" s="159"/>
    </row>
    <row r="79" spans="1:15" ht="15">
      <c r="A79" s="159"/>
    </row>
    <row r="80" spans="1:15" ht="15">
      <c r="A80" s="159"/>
    </row>
    <row r="81" spans="1:1" ht="15">
      <c r="A81" s="159"/>
    </row>
    <row r="82" spans="1:1" ht="15">
      <c r="A82" s="159"/>
    </row>
    <row r="83" spans="1:1" ht="15">
      <c r="A83" s="159"/>
    </row>
    <row r="84" spans="1:1" ht="15">
      <c r="A84" s="159"/>
    </row>
    <row r="85" spans="1:1" ht="15">
      <c r="A85" s="159"/>
    </row>
    <row r="86" spans="1:1" ht="15">
      <c r="A86" s="159"/>
    </row>
    <row r="87" spans="1:1" ht="15">
      <c r="A87" s="159"/>
    </row>
    <row r="88" spans="1:1" ht="15">
      <c r="A88" s="159"/>
    </row>
    <row r="89" spans="1:1" ht="15">
      <c r="A89" s="159"/>
    </row>
    <row r="90" spans="1:1" ht="15">
      <c r="A90" s="159"/>
    </row>
    <row r="91" spans="1:1" ht="15">
      <c r="A91" s="159"/>
    </row>
    <row r="92" spans="1:1" ht="15">
      <c r="A92" s="159"/>
    </row>
    <row r="93" spans="1:1" ht="15">
      <c r="A93" s="159"/>
    </row>
    <row r="94" spans="1:1" ht="15">
      <c r="A94" s="159"/>
    </row>
    <row r="95" spans="1:1" ht="15">
      <c r="A95" s="159"/>
    </row>
    <row r="96" spans="1:1" ht="15">
      <c r="A96" s="159"/>
    </row>
    <row r="97" spans="1:13" ht="15">
      <c r="A97" s="159"/>
    </row>
    <row r="98" spans="1:13" ht="15">
      <c r="A98" s="159"/>
    </row>
    <row r="99" spans="1:13" ht="15">
      <c r="A99" s="159"/>
    </row>
    <row r="100" spans="1:13" ht="15">
      <c r="A100" s="159"/>
      <c r="B100" s="175" t="b">
        <v>1</v>
      </c>
      <c r="C100" s="175" t="b">
        <v>1</v>
      </c>
      <c r="D100" s="175" t="b">
        <v>1</v>
      </c>
      <c r="E100" s="175" t="b">
        <v>1</v>
      </c>
      <c r="F100" s="175" t="b">
        <v>1</v>
      </c>
      <c r="G100" s="175" t="b">
        <v>1</v>
      </c>
      <c r="H100" s="175" t="b">
        <v>1</v>
      </c>
      <c r="I100" s="175" t="b">
        <v>1</v>
      </c>
      <c r="J100" s="175" t="b">
        <v>1</v>
      </c>
      <c r="K100" s="175" t="b">
        <v>0</v>
      </c>
      <c r="L100" s="175" t="b">
        <v>0</v>
      </c>
      <c r="M100" s="175" t="b">
        <v>0</v>
      </c>
    </row>
    <row r="101" spans="1:13" ht="15">
      <c r="A101" s="159"/>
    </row>
    <row r="102" spans="1:13" ht="15">
      <c r="A102" s="159"/>
    </row>
    <row r="103" spans="1:13" ht="15">
      <c r="A103" s="159"/>
    </row>
    <row r="104" spans="1:13" ht="15">
      <c r="A104" s="159"/>
    </row>
    <row r="105" spans="1:13" ht="15">
      <c r="A105" s="159"/>
    </row>
    <row r="106" spans="1:13" ht="15">
      <c r="A106" s="159"/>
    </row>
    <row r="107" spans="1:13" ht="15">
      <c r="A107" s="159"/>
    </row>
    <row r="108" spans="1:13" ht="15">
      <c r="A108" s="159"/>
    </row>
    <row r="109" spans="1:13" ht="15">
      <c r="A109" s="159"/>
    </row>
    <row r="110" spans="1:13" ht="15">
      <c r="A110" s="159"/>
    </row>
    <row r="111" spans="1:13" ht="15">
      <c r="A111" s="159"/>
    </row>
    <row r="112" spans="1:13" ht="15">
      <c r="A112" s="159"/>
    </row>
    <row r="113" spans="1:25" ht="15">
      <c r="A113" s="159"/>
    </row>
    <row r="114" spans="1:25" ht="15">
      <c r="A114" s="159"/>
    </row>
    <row r="115" spans="1:25" ht="15">
      <c r="A115" s="159"/>
    </row>
    <row r="116" spans="1:25" ht="15">
      <c r="A116" s="159"/>
    </row>
    <row r="117" spans="1:25" ht="15">
      <c r="A117" s="159"/>
    </row>
    <row r="118" spans="1:25" ht="15">
      <c r="A118" s="159"/>
    </row>
    <row r="119" spans="1:25" ht="15">
      <c r="A119" s="159"/>
    </row>
    <row r="120" spans="1:25" ht="15">
      <c r="A120" s="159"/>
      <c r="B120" s="176">
        <f t="shared" ref="B120:M120" si="57">B2</f>
        <v>45839</v>
      </c>
      <c r="C120" s="176">
        <f t="shared" si="57"/>
        <v>45870</v>
      </c>
      <c r="D120" s="176">
        <f t="shared" si="57"/>
        <v>45901</v>
      </c>
      <c r="E120" s="176">
        <f t="shared" si="57"/>
        <v>45931</v>
      </c>
      <c r="F120" s="176">
        <f t="shared" si="57"/>
        <v>45962</v>
      </c>
      <c r="G120" s="176">
        <f t="shared" si="57"/>
        <v>45992</v>
      </c>
      <c r="H120" s="176">
        <f t="shared" si="57"/>
        <v>46023</v>
      </c>
      <c r="I120" s="176">
        <f t="shared" si="57"/>
        <v>46054</v>
      </c>
      <c r="J120" s="176">
        <f t="shared" si="57"/>
        <v>46082</v>
      </c>
      <c r="K120" s="176">
        <f t="shared" si="57"/>
        <v>46113</v>
      </c>
      <c r="L120" s="176">
        <f t="shared" si="57"/>
        <v>46143</v>
      </c>
      <c r="M120" s="176">
        <f t="shared" si="57"/>
        <v>46174</v>
      </c>
      <c r="N120" s="168">
        <f t="shared" ref="N120:Y120" si="58">P2</f>
        <v>0</v>
      </c>
      <c r="O120" s="168">
        <f t="shared" si="58"/>
        <v>0</v>
      </c>
      <c r="P120" s="168">
        <f t="shared" si="58"/>
        <v>0</v>
      </c>
      <c r="Q120" s="168">
        <f t="shared" si="58"/>
        <v>0</v>
      </c>
      <c r="R120" s="168">
        <f t="shared" si="58"/>
        <v>0</v>
      </c>
      <c r="S120" s="168">
        <f t="shared" si="58"/>
        <v>0</v>
      </c>
      <c r="T120" s="168">
        <f t="shared" si="58"/>
        <v>0</v>
      </c>
      <c r="U120" s="168">
        <f t="shared" si="58"/>
        <v>0</v>
      </c>
      <c r="V120" s="168">
        <f t="shared" si="58"/>
        <v>0</v>
      </c>
      <c r="W120" s="168">
        <f t="shared" si="58"/>
        <v>0</v>
      </c>
      <c r="X120" s="168">
        <f t="shared" si="58"/>
        <v>0</v>
      </c>
      <c r="Y120" s="168">
        <f t="shared" si="58"/>
        <v>0</v>
      </c>
    </row>
    <row r="121" spans="1:25" ht="15">
      <c r="A121" s="167" t="s">
        <v>60</v>
      </c>
      <c r="B121" s="177">
        <f t="shared" ref="B121:M121" si="59">B53</f>
        <v>4081944</v>
      </c>
      <c r="C121" s="177">
        <f t="shared" si="59"/>
        <v>6991560</v>
      </c>
      <c r="D121" s="177">
        <f t="shared" si="59"/>
        <v>1466033</v>
      </c>
      <c r="E121" s="177">
        <f t="shared" si="59"/>
        <v>6109389</v>
      </c>
      <c r="F121" s="177">
        <f t="shared" si="59"/>
        <v>4770923</v>
      </c>
      <c r="G121" s="177">
        <f t="shared" si="59"/>
        <v>10781407</v>
      </c>
      <c r="H121" s="177">
        <f t="shared" si="59"/>
        <v>21081552</v>
      </c>
      <c r="I121" s="177">
        <f t="shared" si="59"/>
        <v>33864584</v>
      </c>
      <c r="J121" s="177">
        <f t="shared" si="59"/>
        <v>20825356</v>
      </c>
      <c r="K121" s="177">
        <f t="shared" si="59"/>
        <v>20825356</v>
      </c>
      <c r="L121" s="177">
        <f t="shared" si="59"/>
        <v>20825356</v>
      </c>
      <c r="M121" s="177">
        <f t="shared" si="59"/>
        <v>20825356</v>
      </c>
      <c r="N121" s="169">
        <f t="shared" ref="N121:Y121" si="60">P53</f>
        <v>20825356</v>
      </c>
      <c r="O121" s="169">
        <f t="shared" si="60"/>
        <v>20825356</v>
      </c>
      <c r="P121" s="169">
        <f t="shared" si="60"/>
        <v>20825356</v>
      </c>
      <c r="Q121" s="169">
        <f t="shared" si="60"/>
        <v>20825356</v>
      </c>
      <c r="R121" s="169">
        <f t="shared" si="60"/>
        <v>20825356</v>
      </c>
      <c r="S121" s="169">
        <f t="shared" si="60"/>
        <v>20825356</v>
      </c>
      <c r="T121" s="169">
        <f t="shared" si="60"/>
        <v>20825356</v>
      </c>
      <c r="U121" s="169">
        <f t="shared" si="60"/>
        <v>20825356</v>
      </c>
      <c r="V121" s="169">
        <f t="shared" si="60"/>
        <v>20825356</v>
      </c>
      <c r="W121" s="169">
        <f t="shared" si="60"/>
        <v>20825356</v>
      </c>
      <c r="X121" s="169">
        <f t="shared" si="60"/>
        <v>20825356</v>
      </c>
      <c r="Y121" s="169">
        <f t="shared" si="60"/>
        <v>20825356</v>
      </c>
    </row>
    <row r="122" spans="1:25" ht="15">
      <c r="A122" s="159"/>
    </row>
    <row r="123" spans="1:25" ht="15">
      <c r="A123" s="159"/>
      <c r="B123" s="176">
        <f t="shared" ref="B123:M123" si="61">B2</f>
        <v>45839</v>
      </c>
      <c r="C123" s="176">
        <f t="shared" si="61"/>
        <v>45870</v>
      </c>
      <c r="D123" s="176">
        <f t="shared" si="61"/>
        <v>45901</v>
      </c>
      <c r="E123" s="176">
        <f t="shared" si="61"/>
        <v>45931</v>
      </c>
      <c r="F123" s="176">
        <f t="shared" si="61"/>
        <v>45962</v>
      </c>
      <c r="G123" s="176">
        <f t="shared" si="61"/>
        <v>45992</v>
      </c>
      <c r="H123" s="176">
        <f t="shared" si="61"/>
        <v>46023</v>
      </c>
      <c r="I123" s="176">
        <f t="shared" si="61"/>
        <v>46054</v>
      </c>
      <c r="J123" s="176">
        <f t="shared" si="61"/>
        <v>46082</v>
      </c>
      <c r="K123" s="176">
        <f t="shared" si="61"/>
        <v>46113</v>
      </c>
      <c r="L123" s="176">
        <f t="shared" si="61"/>
        <v>46143</v>
      </c>
      <c r="M123" s="176">
        <f t="shared" si="61"/>
        <v>46174</v>
      </c>
      <c r="N123" s="168">
        <f t="shared" ref="N123:Y123" si="62">P2</f>
        <v>0</v>
      </c>
      <c r="O123" s="168">
        <f t="shared" si="62"/>
        <v>0</v>
      </c>
      <c r="P123" s="168">
        <f t="shared" si="62"/>
        <v>0</v>
      </c>
      <c r="Q123" s="168">
        <f t="shared" si="62"/>
        <v>0</v>
      </c>
      <c r="R123" s="168">
        <f t="shared" si="62"/>
        <v>0</v>
      </c>
      <c r="S123" s="168">
        <f t="shared" si="62"/>
        <v>0</v>
      </c>
      <c r="T123" s="168">
        <f t="shared" si="62"/>
        <v>0</v>
      </c>
      <c r="U123" s="168">
        <f t="shared" si="62"/>
        <v>0</v>
      </c>
      <c r="V123" s="168">
        <f t="shared" si="62"/>
        <v>0</v>
      </c>
      <c r="W123" s="168">
        <f t="shared" si="62"/>
        <v>0</v>
      </c>
      <c r="X123" s="168">
        <f t="shared" si="62"/>
        <v>0</v>
      </c>
      <c r="Y123" s="168">
        <f t="shared" si="62"/>
        <v>0</v>
      </c>
    </row>
    <row r="124" spans="1:25" ht="15">
      <c r="A124" s="167" t="s">
        <v>61</v>
      </c>
      <c r="B124" s="177">
        <f t="shared" ref="B124:M124" si="63">B27</f>
        <v>-4446942</v>
      </c>
      <c r="C124" s="177">
        <f t="shared" si="63"/>
        <v>2902793</v>
      </c>
      <c r="D124" s="177">
        <f t="shared" si="63"/>
        <v>-1270137</v>
      </c>
      <c r="E124" s="177">
        <f t="shared" si="63"/>
        <v>6134477</v>
      </c>
      <c r="F124" s="177">
        <f t="shared" si="63"/>
        <v>-1490466</v>
      </c>
      <c r="G124" s="177">
        <f t="shared" si="63"/>
        <v>-14547862</v>
      </c>
      <c r="H124" s="177">
        <f t="shared" si="63"/>
        <v>13756336</v>
      </c>
      <c r="I124" s="177">
        <f t="shared" si="63"/>
        <v>15096779</v>
      </c>
      <c r="J124" s="177">
        <f t="shared" si="63"/>
        <v>-9343102</v>
      </c>
      <c r="K124" s="177">
        <f t="shared" si="63"/>
        <v>0</v>
      </c>
      <c r="L124" s="177">
        <f t="shared" si="63"/>
        <v>0</v>
      </c>
      <c r="M124" s="177">
        <f t="shared" si="63"/>
        <v>0</v>
      </c>
      <c r="N124" s="169">
        <f t="shared" ref="N124:Y124" si="64">P27</f>
        <v>0</v>
      </c>
      <c r="O124" s="169">
        <f t="shared" si="64"/>
        <v>0</v>
      </c>
      <c r="P124" s="169">
        <f t="shared" si="64"/>
        <v>0</v>
      </c>
      <c r="Q124" s="169">
        <f t="shared" si="64"/>
        <v>0</v>
      </c>
      <c r="R124" s="169">
        <f t="shared" si="64"/>
        <v>0</v>
      </c>
      <c r="S124" s="169">
        <f t="shared" si="64"/>
        <v>0</v>
      </c>
      <c r="T124" s="169">
        <f t="shared" si="64"/>
        <v>0</v>
      </c>
      <c r="U124" s="169">
        <f t="shared" si="64"/>
        <v>0</v>
      </c>
      <c r="V124" s="169">
        <f t="shared" si="64"/>
        <v>0</v>
      </c>
      <c r="W124" s="169">
        <f t="shared" si="64"/>
        <v>0</v>
      </c>
      <c r="X124" s="169">
        <f t="shared" si="64"/>
        <v>0</v>
      </c>
      <c r="Y124" s="169">
        <f t="shared" si="64"/>
        <v>0</v>
      </c>
    </row>
    <row r="125" spans="1:25" ht="15">
      <c r="A125" s="159"/>
    </row>
    <row r="126" spans="1:25" ht="15">
      <c r="A126" s="159"/>
    </row>
    <row r="127" spans="1:25" ht="15">
      <c r="A127" s="159"/>
    </row>
    <row r="128" spans="1:25" ht="15">
      <c r="A128" s="159"/>
    </row>
    <row r="129" spans="1:1" ht="15">
      <c r="A129" s="159"/>
    </row>
    <row r="130" spans="1:1" ht="15">
      <c r="A130" s="159"/>
    </row>
    <row r="131" spans="1:1" ht="15">
      <c r="A131" s="159"/>
    </row>
    <row r="132" spans="1:1" ht="15">
      <c r="A132" s="159"/>
    </row>
    <row r="133" spans="1:1" ht="15">
      <c r="A133" s="159"/>
    </row>
    <row r="134" spans="1:1" ht="15">
      <c r="A134" s="159"/>
    </row>
    <row r="135" spans="1:1" ht="15">
      <c r="A135" s="159"/>
    </row>
    <row r="136" spans="1:1" ht="15">
      <c r="A136" s="159"/>
    </row>
    <row r="137" spans="1:1" ht="15">
      <c r="A137" s="159"/>
    </row>
    <row r="138" spans="1:1" ht="15">
      <c r="A138" s="159"/>
    </row>
    <row r="139" spans="1:1" ht="15">
      <c r="A139" s="159"/>
    </row>
    <row r="140" spans="1:1" ht="15">
      <c r="A140" s="159"/>
    </row>
    <row r="141" spans="1:1" ht="15">
      <c r="A141" s="159"/>
    </row>
    <row r="142" spans="1:1" ht="15">
      <c r="A142" s="159"/>
    </row>
    <row r="143" spans="1:1" ht="15">
      <c r="A143" s="159"/>
    </row>
    <row r="144" spans="1:1" ht="15">
      <c r="A144" s="159"/>
    </row>
    <row r="145" spans="1:1" ht="15">
      <c r="A145" s="159"/>
    </row>
    <row r="146" spans="1:1" ht="15">
      <c r="A146" s="159"/>
    </row>
    <row r="147" spans="1:1" ht="15">
      <c r="A147" s="159"/>
    </row>
    <row r="148" spans="1:1" ht="15">
      <c r="A148" s="159"/>
    </row>
    <row r="149" spans="1:1" ht="15">
      <c r="A149" s="159"/>
    </row>
    <row r="150" spans="1:1" ht="15">
      <c r="A150" s="159"/>
    </row>
    <row r="151" spans="1:1" ht="15">
      <c r="A151" s="159"/>
    </row>
    <row r="152" spans="1:1" ht="15">
      <c r="A152" s="159"/>
    </row>
    <row r="153" spans="1:1" ht="15">
      <c r="A153" s="159"/>
    </row>
    <row r="154" spans="1:1" ht="15">
      <c r="A154" s="159"/>
    </row>
    <row r="155" spans="1:1" ht="15">
      <c r="A155" s="159"/>
    </row>
    <row r="156" spans="1:1" ht="15">
      <c r="A156" s="159"/>
    </row>
    <row r="157" spans="1:1" ht="15">
      <c r="A157" s="159"/>
    </row>
    <row r="158" spans="1:1" ht="15">
      <c r="A158" s="159"/>
    </row>
    <row r="159" spans="1:1" ht="15">
      <c r="A159" s="159"/>
    </row>
    <row r="160" spans="1:1" ht="15">
      <c r="A160" s="159"/>
    </row>
    <row r="161" spans="1:1" ht="15">
      <c r="A161" s="159"/>
    </row>
    <row r="162" spans="1:1" ht="15">
      <c r="A162" s="159"/>
    </row>
    <row r="163" spans="1:1" ht="15">
      <c r="A163" s="159"/>
    </row>
    <row r="164" spans="1:1" ht="15">
      <c r="A164" s="159"/>
    </row>
    <row r="165" spans="1:1" ht="15">
      <c r="A165" s="159"/>
    </row>
    <row r="166" spans="1:1" ht="15">
      <c r="A166" s="159"/>
    </row>
    <row r="167" spans="1:1" ht="15">
      <c r="A167" s="159"/>
    </row>
    <row r="168" spans="1:1" ht="15">
      <c r="A168" s="159"/>
    </row>
    <row r="169" spans="1:1" ht="15">
      <c r="A169" s="159"/>
    </row>
    <row r="170" spans="1:1" ht="15">
      <c r="A170" s="159"/>
    </row>
    <row r="171" spans="1:1" ht="15">
      <c r="A171" s="159"/>
    </row>
    <row r="172" spans="1:1" ht="15">
      <c r="A172" s="159"/>
    </row>
    <row r="173" spans="1:1" ht="15">
      <c r="A173" s="159"/>
    </row>
    <row r="174" spans="1:1" ht="15">
      <c r="A174" s="159"/>
    </row>
    <row r="175" spans="1:1" ht="15">
      <c r="A175" s="159"/>
    </row>
    <row r="176" spans="1:1" ht="15">
      <c r="A176" s="159"/>
    </row>
    <row r="177" spans="1:1" ht="15">
      <c r="A177" s="159"/>
    </row>
    <row r="178" spans="1:1" ht="15">
      <c r="A178" s="159"/>
    </row>
    <row r="179" spans="1:1" ht="15">
      <c r="A179" s="159"/>
    </row>
    <row r="180" spans="1:1" ht="15">
      <c r="A180" s="159"/>
    </row>
    <row r="181" spans="1:1" ht="15">
      <c r="A181" s="159"/>
    </row>
    <row r="182" spans="1:1" ht="15">
      <c r="A182" s="159"/>
    </row>
    <row r="183" spans="1:1" ht="15">
      <c r="A183" s="159"/>
    </row>
    <row r="184" spans="1:1" ht="15">
      <c r="A184" s="159"/>
    </row>
    <row r="185" spans="1:1" ht="15">
      <c r="A185" s="159"/>
    </row>
    <row r="186" spans="1:1" ht="15">
      <c r="A186" s="159"/>
    </row>
    <row r="187" spans="1:1" ht="15">
      <c r="A187" s="159"/>
    </row>
    <row r="188" spans="1:1" ht="15">
      <c r="A188" s="159"/>
    </row>
    <row r="189" spans="1:1" ht="15">
      <c r="A189" s="159"/>
    </row>
    <row r="190" spans="1:1" ht="15">
      <c r="A190" s="159"/>
    </row>
    <row r="191" spans="1:1" ht="15">
      <c r="A191" s="159"/>
    </row>
    <row r="192" spans="1:1" ht="15">
      <c r="A192" s="159"/>
    </row>
    <row r="193" spans="1:1" ht="15">
      <c r="A193" s="159"/>
    </row>
    <row r="194" spans="1:1" ht="15">
      <c r="A194" s="159"/>
    </row>
    <row r="195" spans="1:1" ht="15">
      <c r="A195" s="159"/>
    </row>
    <row r="196" spans="1:1" ht="15">
      <c r="A196" s="159"/>
    </row>
    <row r="197" spans="1:1" ht="15">
      <c r="A197" s="159"/>
    </row>
    <row r="198" spans="1:1" ht="15">
      <c r="A198" s="159"/>
    </row>
    <row r="199" spans="1:1" ht="15">
      <c r="A199" s="159"/>
    </row>
    <row r="200" spans="1:1" ht="15">
      <c r="A200" s="159"/>
    </row>
    <row r="201" spans="1:1" ht="15">
      <c r="A201" s="159"/>
    </row>
    <row r="202" spans="1:1" ht="15">
      <c r="A202" s="159"/>
    </row>
    <row r="203" spans="1:1" ht="15">
      <c r="A203" s="159"/>
    </row>
    <row r="204" spans="1:1" ht="15">
      <c r="A204" s="159"/>
    </row>
    <row r="205" spans="1:1" ht="15">
      <c r="A205" s="159"/>
    </row>
    <row r="206" spans="1:1" ht="15">
      <c r="A206" s="159"/>
    </row>
    <row r="207" spans="1:1" ht="15">
      <c r="A207" s="159"/>
    </row>
    <row r="208" spans="1:1" ht="15">
      <c r="A208" s="159"/>
    </row>
    <row r="209" spans="1:1" ht="15">
      <c r="A209" s="159"/>
    </row>
    <row r="210" spans="1:1" ht="15">
      <c r="A210" s="159"/>
    </row>
    <row r="211" spans="1:1" ht="15">
      <c r="A211" s="159"/>
    </row>
    <row r="212" spans="1:1" ht="15">
      <c r="A212" s="159"/>
    </row>
    <row r="213" spans="1:1" ht="15">
      <c r="A213" s="159"/>
    </row>
    <row r="214" spans="1:1" ht="15">
      <c r="A214" s="159"/>
    </row>
    <row r="215" spans="1:1" ht="15">
      <c r="A215" s="159"/>
    </row>
    <row r="216" spans="1:1" ht="15">
      <c r="A216" s="159"/>
    </row>
    <row r="217" spans="1:1" ht="15">
      <c r="A217" s="159"/>
    </row>
    <row r="218" spans="1:1" ht="15">
      <c r="A218" s="159"/>
    </row>
    <row r="219" spans="1:1" ht="15">
      <c r="A219" s="159"/>
    </row>
    <row r="220" spans="1:1" ht="15">
      <c r="A220" s="159"/>
    </row>
    <row r="221" spans="1:1" ht="15">
      <c r="A221" s="159"/>
    </row>
    <row r="222" spans="1:1" ht="15">
      <c r="A222" s="159"/>
    </row>
    <row r="223" spans="1:1" ht="15">
      <c r="A223" s="159"/>
    </row>
    <row r="224" spans="1:1" ht="15">
      <c r="A224" s="159"/>
    </row>
    <row r="225" spans="1:1" ht="15">
      <c r="A225" s="159"/>
    </row>
    <row r="226" spans="1:1" ht="15">
      <c r="A226" s="159"/>
    </row>
    <row r="227" spans="1:1" ht="15">
      <c r="A227" s="159"/>
    </row>
    <row r="228" spans="1:1" ht="15">
      <c r="A228" s="159"/>
    </row>
    <row r="229" spans="1:1" ht="15">
      <c r="A229" s="159"/>
    </row>
    <row r="230" spans="1:1" ht="15">
      <c r="A230" s="159"/>
    </row>
    <row r="231" spans="1:1" ht="15">
      <c r="A231" s="159"/>
    </row>
    <row r="232" spans="1:1" ht="15">
      <c r="A232" s="159"/>
    </row>
    <row r="233" spans="1:1" ht="15">
      <c r="A233" s="159"/>
    </row>
    <row r="234" spans="1:1" ht="15">
      <c r="A234" s="159"/>
    </row>
    <row r="235" spans="1:1" ht="15">
      <c r="A235" s="159"/>
    </row>
    <row r="236" spans="1:1" ht="15">
      <c r="A236" s="159"/>
    </row>
    <row r="237" spans="1:1" ht="15">
      <c r="A237" s="159"/>
    </row>
    <row r="238" spans="1:1" ht="15">
      <c r="A238" s="159"/>
    </row>
    <row r="239" spans="1:1" ht="15">
      <c r="A239" s="159"/>
    </row>
    <row r="240" spans="1:1" ht="15">
      <c r="A240" s="159"/>
    </row>
    <row r="241" spans="1:1" ht="15">
      <c r="A241" s="159"/>
    </row>
    <row r="242" spans="1:1" ht="15">
      <c r="A242" s="159"/>
    </row>
    <row r="243" spans="1:1" ht="15">
      <c r="A243" s="159"/>
    </row>
    <row r="244" spans="1:1" ht="15">
      <c r="A244" s="159"/>
    </row>
    <row r="245" spans="1:1" ht="15">
      <c r="A245" s="159"/>
    </row>
    <row r="246" spans="1:1" ht="15">
      <c r="A246" s="159"/>
    </row>
    <row r="247" spans="1:1" ht="15">
      <c r="A247" s="159"/>
    </row>
    <row r="248" spans="1:1" ht="15">
      <c r="A248" s="159"/>
    </row>
    <row r="249" spans="1:1" ht="15">
      <c r="A249" s="159"/>
    </row>
    <row r="250" spans="1:1" ht="15">
      <c r="A250" s="159"/>
    </row>
    <row r="251" spans="1:1" ht="15">
      <c r="A251" s="159"/>
    </row>
    <row r="252" spans="1:1" ht="15">
      <c r="A252" s="159"/>
    </row>
    <row r="253" spans="1:1" ht="15">
      <c r="A253" s="159"/>
    </row>
    <row r="254" spans="1:1" ht="15">
      <c r="A254" s="159"/>
    </row>
    <row r="255" spans="1:1" ht="15">
      <c r="A255" s="159"/>
    </row>
    <row r="256" spans="1:1" ht="15">
      <c r="A256" s="159"/>
    </row>
    <row r="257" spans="1:1" ht="15">
      <c r="A257" s="159"/>
    </row>
    <row r="258" spans="1:1" ht="15">
      <c r="A258" s="159"/>
    </row>
    <row r="259" spans="1:1" ht="15">
      <c r="A259" s="159"/>
    </row>
    <row r="260" spans="1:1" ht="15">
      <c r="A260" s="159"/>
    </row>
    <row r="261" spans="1:1" ht="15">
      <c r="A261" s="159"/>
    </row>
    <row r="262" spans="1:1" ht="15">
      <c r="A262" s="159"/>
    </row>
    <row r="263" spans="1:1" ht="15">
      <c r="A263" s="159"/>
    </row>
    <row r="264" spans="1:1" ht="15">
      <c r="A264" s="159"/>
    </row>
    <row r="265" spans="1:1" ht="15">
      <c r="A265" s="159"/>
    </row>
    <row r="266" spans="1:1" ht="15">
      <c r="A266" s="159"/>
    </row>
    <row r="267" spans="1:1" ht="15">
      <c r="A267" s="159"/>
    </row>
    <row r="268" spans="1:1" ht="15">
      <c r="A268" s="159"/>
    </row>
    <row r="269" spans="1:1" ht="15">
      <c r="A269" s="159"/>
    </row>
    <row r="270" spans="1:1" ht="15">
      <c r="A270" s="159"/>
    </row>
    <row r="271" spans="1:1" ht="15">
      <c r="A271" s="159"/>
    </row>
    <row r="272" spans="1:1" ht="15">
      <c r="A272" s="159"/>
    </row>
    <row r="273" spans="1:1" ht="15">
      <c r="A273" s="159"/>
    </row>
    <row r="274" spans="1:1" ht="15">
      <c r="A274" s="159"/>
    </row>
    <row r="275" spans="1:1" ht="15">
      <c r="A275" s="159"/>
    </row>
    <row r="276" spans="1:1" ht="15">
      <c r="A276" s="159"/>
    </row>
    <row r="277" spans="1:1" ht="15">
      <c r="A277" s="159"/>
    </row>
    <row r="278" spans="1:1" ht="15">
      <c r="A278" s="159"/>
    </row>
    <row r="279" spans="1:1" ht="15">
      <c r="A279" s="159"/>
    </row>
    <row r="280" spans="1:1" ht="15">
      <c r="A280" s="159"/>
    </row>
    <row r="281" spans="1:1" ht="15">
      <c r="A281" s="159"/>
    </row>
    <row r="282" spans="1:1" ht="15">
      <c r="A282" s="159"/>
    </row>
    <row r="283" spans="1:1" ht="15">
      <c r="A283" s="159"/>
    </row>
    <row r="284" spans="1:1" ht="15">
      <c r="A284" s="159"/>
    </row>
    <row r="285" spans="1:1" ht="15">
      <c r="A285" s="159"/>
    </row>
    <row r="286" spans="1:1" ht="15">
      <c r="A286" s="159"/>
    </row>
    <row r="287" spans="1:1" ht="15">
      <c r="A287" s="159"/>
    </row>
    <row r="288" spans="1:1" ht="15">
      <c r="A288" s="159"/>
    </row>
    <row r="289" spans="1:1" ht="15">
      <c r="A289" s="159"/>
    </row>
    <row r="290" spans="1:1" ht="15">
      <c r="A290" s="159"/>
    </row>
    <row r="291" spans="1:1" ht="15">
      <c r="A291" s="159"/>
    </row>
    <row r="292" spans="1:1" ht="15">
      <c r="A292" s="159"/>
    </row>
    <row r="293" spans="1:1" ht="15">
      <c r="A293" s="159"/>
    </row>
    <row r="294" spans="1:1" ht="15">
      <c r="A294" s="159"/>
    </row>
    <row r="295" spans="1:1" ht="15">
      <c r="A295" s="159"/>
    </row>
    <row r="296" spans="1:1" ht="15">
      <c r="A296" s="159"/>
    </row>
    <row r="297" spans="1:1" ht="15">
      <c r="A297" s="159"/>
    </row>
    <row r="298" spans="1:1" ht="15">
      <c r="A298" s="159"/>
    </row>
    <row r="299" spans="1:1" ht="15">
      <c r="A299" s="159"/>
    </row>
    <row r="300" spans="1:1" ht="15">
      <c r="A300" s="159"/>
    </row>
    <row r="301" spans="1:1" ht="15">
      <c r="A301" s="159"/>
    </row>
    <row r="302" spans="1:1" ht="15">
      <c r="A302" s="159"/>
    </row>
    <row r="303" spans="1:1" ht="15">
      <c r="A303" s="159"/>
    </row>
    <row r="304" spans="1:1" ht="15">
      <c r="A304" s="159"/>
    </row>
    <row r="305" spans="1:1" ht="15">
      <c r="A305" s="159"/>
    </row>
    <row r="306" spans="1:1" ht="15">
      <c r="A306" s="159"/>
    </row>
    <row r="307" spans="1:1" ht="15">
      <c r="A307" s="159"/>
    </row>
    <row r="308" spans="1:1" ht="15">
      <c r="A308" s="159"/>
    </row>
    <row r="309" spans="1:1" ht="15">
      <c r="A309" s="159"/>
    </row>
    <row r="310" spans="1:1" ht="15">
      <c r="A310" s="159"/>
    </row>
    <row r="311" spans="1:1" ht="15">
      <c r="A311" s="159"/>
    </row>
    <row r="312" spans="1:1" ht="15">
      <c r="A312" s="159"/>
    </row>
    <row r="313" spans="1:1" ht="15">
      <c r="A313" s="159"/>
    </row>
    <row r="314" spans="1:1" ht="15">
      <c r="A314" s="159"/>
    </row>
    <row r="315" spans="1:1" ht="15">
      <c r="A315" s="159"/>
    </row>
    <row r="316" spans="1:1" ht="15">
      <c r="A316" s="159"/>
    </row>
    <row r="317" spans="1:1" ht="15">
      <c r="A317" s="159"/>
    </row>
    <row r="318" spans="1:1" ht="15">
      <c r="A318" s="159"/>
    </row>
    <row r="319" spans="1:1" ht="15">
      <c r="A319" s="159"/>
    </row>
    <row r="320" spans="1:1" ht="15">
      <c r="A320" s="159"/>
    </row>
    <row r="321" spans="1:1" ht="15">
      <c r="A321" s="159"/>
    </row>
    <row r="322" spans="1:1" ht="15">
      <c r="A322" s="159"/>
    </row>
    <row r="323" spans="1:1" ht="15">
      <c r="A323" s="159"/>
    </row>
    <row r="324" spans="1:1" ht="15">
      <c r="A324" s="159"/>
    </row>
    <row r="325" spans="1:1" ht="15">
      <c r="A325" s="159"/>
    </row>
    <row r="326" spans="1:1" ht="15">
      <c r="A326" s="159"/>
    </row>
    <row r="327" spans="1:1" ht="15">
      <c r="A327" s="159"/>
    </row>
    <row r="328" spans="1:1" ht="15">
      <c r="A328" s="159"/>
    </row>
    <row r="329" spans="1:1" ht="15">
      <c r="A329" s="159"/>
    </row>
    <row r="330" spans="1:1" ht="15">
      <c r="A330" s="159"/>
    </row>
    <row r="331" spans="1:1" ht="15">
      <c r="A331" s="159"/>
    </row>
    <row r="332" spans="1:1" ht="15">
      <c r="A332" s="159"/>
    </row>
    <row r="333" spans="1:1" ht="15">
      <c r="A333" s="159"/>
    </row>
    <row r="334" spans="1:1" ht="15">
      <c r="A334" s="159"/>
    </row>
    <row r="335" spans="1:1" ht="15">
      <c r="A335" s="159"/>
    </row>
    <row r="336" spans="1:1" ht="15">
      <c r="A336" s="159"/>
    </row>
    <row r="337" spans="1:1" ht="15">
      <c r="A337" s="159"/>
    </row>
    <row r="338" spans="1:1" ht="15">
      <c r="A338" s="159"/>
    </row>
    <row r="339" spans="1:1" ht="15">
      <c r="A339" s="159"/>
    </row>
    <row r="340" spans="1:1" ht="15">
      <c r="A340" s="159"/>
    </row>
    <row r="341" spans="1:1" ht="15">
      <c r="A341" s="159"/>
    </row>
    <row r="342" spans="1:1" ht="15">
      <c r="A342" s="159"/>
    </row>
    <row r="343" spans="1:1" ht="15">
      <c r="A343" s="159"/>
    </row>
    <row r="344" spans="1:1" ht="15">
      <c r="A344" s="159"/>
    </row>
    <row r="345" spans="1:1" ht="15">
      <c r="A345" s="159"/>
    </row>
    <row r="346" spans="1:1" ht="15">
      <c r="A346" s="159"/>
    </row>
    <row r="347" spans="1:1" ht="15">
      <c r="A347" s="159"/>
    </row>
    <row r="348" spans="1:1" ht="15">
      <c r="A348" s="159"/>
    </row>
    <row r="349" spans="1:1" ht="15">
      <c r="A349" s="159"/>
    </row>
    <row r="350" spans="1:1" ht="15">
      <c r="A350" s="159"/>
    </row>
    <row r="351" spans="1:1" ht="15">
      <c r="A351" s="159"/>
    </row>
    <row r="352" spans="1:1" ht="15">
      <c r="A352" s="159"/>
    </row>
    <row r="353" spans="1:1" ht="15">
      <c r="A353" s="159"/>
    </row>
    <row r="354" spans="1:1" ht="15">
      <c r="A354" s="159"/>
    </row>
    <row r="355" spans="1:1" ht="15">
      <c r="A355" s="159"/>
    </row>
    <row r="356" spans="1:1" ht="15">
      <c r="A356" s="159"/>
    </row>
    <row r="357" spans="1:1" ht="15">
      <c r="A357" s="159"/>
    </row>
    <row r="358" spans="1:1" ht="15">
      <c r="A358" s="159"/>
    </row>
    <row r="359" spans="1:1" ht="15">
      <c r="A359" s="159"/>
    </row>
    <row r="360" spans="1:1" ht="15">
      <c r="A360" s="159"/>
    </row>
    <row r="361" spans="1:1" ht="15">
      <c r="A361" s="159"/>
    </row>
    <row r="362" spans="1:1" ht="15">
      <c r="A362" s="159"/>
    </row>
    <row r="363" spans="1:1" ht="15">
      <c r="A363" s="159"/>
    </row>
    <row r="364" spans="1:1" ht="15">
      <c r="A364" s="159"/>
    </row>
    <row r="365" spans="1:1" ht="15">
      <c r="A365" s="159"/>
    </row>
    <row r="366" spans="1:1" ht="15">
      <c r="A366" s="159"/>
    </row>
    <row r="367" spans="1:1" ht="15">
      <c r="A367" s="159"/>
    </row>
    <row r="368" spans="1:1" ht="15">
      <c r="A368" s="159"/>
    </row>
    <row r="369" spans="1:1" ht="15">
      <c r="A369" s="159"/>
    </row>
    <row r="370" spans="1:1" ht="15">
      <c r="A370" s="159"/>
    </row>
    <row r="371" spans="1:1" ht="15">
      <c r="A371" s="159"/>
    </row>
    <row r="372" spans="1:1" ht="15">
      <c r="A372" s="159"/>
    </row>
    <row r="373" spans="1:1" ht="15">
      <c r="A373" s="159"/>
    </row>
    <row r="374" spans="1:1" ht="15">
      <c r="A374" s="159"/>
    </row>
    <row r="375" spans="1:1" ht="15">
      <c r="A375" s="159"/>
    </row>
    <row r="376" spans="1:1" ht="15">
      <c r="A376" s="159"/>
    </row>
    <row r="377" spans="1:1" ht="15">
      <c r="A377" s="159"/>
    </row>
    <row r="378" spans="1:1" ht="15">
      <c r="A378" s="159"/>
    </row>
    <row r="379" spans="1:1" ht="15">
      <c r="A379" s="159"/>
    </row>
    <row r="380" spans="1:1" ht="15">
      <c r="A380" s="159"/>
    </row>
    <row r="381" spans="1:1" ht="15">
      <c r="A381" s="159"/>
    </row>
    <row r="382" spans="1:1" ht="15">
      <c r="A382" s="159"/>
    </row>
    <row r="383" spans="1:1" ht="15">
      <c r="A383" s="159"/>
    </row>
    <row r="384" spans="1:1" ht="15">
      <c r="A384" s="159"/>
    </row>
    <row r="385" spans="1:1" ht="15">
      <c r="A385" s="159"/>
    </row>
    <row r="386" spans="1:1" ht="15">
      <c r="A386" s="159"/>
    </row>
    <row r="387" spans="1:1" ht="15">
      <c r="A387" s="159"/>
    </row>
    <row r="388" spans="1:1" ht="15">
      <c r="A388" s="159"/>
    </row>
    <row r="389" spans="1:1" ht="15">
      <c r="A389" s="159"/>
    </row>
    <row r="390" spans="1:1" ht="15">
      <c r="A390" s="159"/>
    </row>
    <row r="391" spans="1:1" ht="15">
      <c r="A391" s="159"/>
    </row>
    <row r="392" spans="1:1" ht="15">
      <c r="A392" s="159"/>
    </row>
    <row r="393" spans="1:1" ht="15">
      <c r="A393" s="159"/>
    </row>
    <row r="394" spans="1:1" ht="15">
      <c r="A394" s="159"/>
    </row>
    <row r="395" spans="1:1" ht="15">
      <c r="A395" s="159"/>
    </row>
    <row r="396" spans="1:1" ht="15">
      <c r="A396" s="159"/>
    </row>
    <row r="397" spans="1:1" ht="15">
      <c r="A397" s="159"/>
    </row>
    <row r="398" spans="1:1" ht="15">
      <c r="A398" s="159"/>
    </row>
    <row r="399" spans="1:1" ht="15">
      <c r="A399" s="159"/>
    </row>
    <row r="400" spans="1:1" ht="15">
      <c r="A400" s="159"/>
    </row>
    <row r="401" spans="1:1" ht="15">
      <c r="A401" s="159"/>
    </row>
    <row r="402" spans="1:1" ht="15">
      <c r="A402" s="159"/>
    </row>
    <row r="403" spans="1:1" ht="15">
      <c r="A403" s="159"/>
    </row>
    <row r="404" spans="1:1" ht="15">
      <c r="A404" s="159"/>
    </row>
    <row r="405" spans="1:1" ht="15">
      <c r="A405" s="159"/>
    </row>
    <row r="406" spans="1:1" ht="15">
      <c r="A406" s="159"/>
    </row>
    <row r="407" spans="1:1" ht="15">
      <c r="A407" s="159"/>
    </row>
    <row r="408" spans="1:1" ht="15">
      <c r="A408" s="159"/>
    </row>
    <row r="409" spans="1:1" ht="15">
      <c r="A409" s="159"/>
    </row>
    <row r="410" spans="1:1" ht="15">
      <c r="A410" s="159"/>
    </row>
    <row r="411" spans="1:1" ht="15">
      <c r="A411" s="159"/>
    </row>
    <row r="412" spans="1:1" ht="15">
      <c r="A412" s="159"/>
    </row>
    <row r="413" spans="1:1" ht="15">
      <c r="A413" s="159"/>
    </row>
    <row r="414" spans="1:1" ht="15">
      <c r="A414" s="159"/>
    </row>
    <row r="415" spans="1:1" ht="15">
      <c r="A415" s="159"/>
    </row>
    <row r="416" spans="1:1" ht="15">
      <c r="A416" s="159"/>
    </row>
    <row r="417" spans="1:1" ht="15">
      <c r="A417" s="159"/>
    </row>
    <row r="418" spans="1:1" ht="15">
      <c r="A418" s="159"/>
    </row>
    <row r="419" spans="1:1" ht="15">
      <c r="A419" s="159"/>
    </row>
    <row r="420" spans="1:1" ht="15">
      <c r="A420" s="159"/>
    </row>
    <row r="421" spans="1:1" ht="15">
      <c r="A421" s="159"/>
    </row>
    <row r="422" spans="1:1" ht="15">
      <c r="A422" s="159"/>
    </row>
    <row r="423" spans="1:1" ht="15">
      <c r="A423" s="159"/>
    </row>
    <row r="424" spans="1:1" ht="15">
      <c r="A424" s="159"/>
    </row>
    <row r="425" spans="1:1" ht="15">
      <c r="A425" s="159"/>
    </row>
    <row r="426" spans="1:1" ht="15">
      <c r="A426" s="159"/>
    </row>
    <row r="427" spans="1:1" ht="15">
      <c r="A427" s="159"/>
    </row>
    <row r="428" spans="1:1" ht="15">
      <c r="A428" s="159"/>
    </row>
    <row r="429" spans="1:1" ht="15">
      <c r="A429" s="159"/>
    </row>
    <row r="430" spans="1:1" ht="15">
      <c r="A430" s="159"/>
    </row>
    <row r="431" spans="1:1" ht="15">
      <c r="A431" s="159"/>
    </row>
    <row r="432" spans="1:1" ht="15">
      <c r="A432" s="159"/>
    </row>
    <row r="433" spans="1:1" ht="15">
      <c r="A433" s="159"/>
    </row>
    <row r="434" spans="1:1" ht="15">
      <c r="A434" s="159"/>
    </row>
    <row r="435" spans="1:1" ht="15">
      <c r="A435" s="159"/>
    </row>
    <row r="436" spans="1:1" ht="15">
      <c r="A436" s="159"/>
    </row>
    <row r="437" spans="1:1" ht="15">
      <c r="A437" s="159"/>
    </row>
    <row r="438" spans="1:1" ht="15">
      <c r="A438" s="159"/>
    </row>
    <row r="439" spans="1:1" ht="15">
      <c r="A439" s="159"/>
    </row>
    <row r="440" spans="1:1" ht="15">
      <c r="A440" s="159"/>
    </row>
    <row r="441" spans="1:1" ht="15">
      <c r="A441" s="159"/>
    </row>
    <row r="442" spans="1:1" ht="15">
      <c r="A442" s="159"/>
    </row>
    <row r="443" spans="1:1" ht="15">
      <c r="A443" s="159"/>
    </row>
    <row r="444" spans="1:1" ht="15">
      <c r="A444" s="159"/>
    </row>
    <row r="445" spans="1:1" ht="15">
      <c r="A445" s="159"/>
    </row>
    <row r="446" spans="1:1" ht="15">
      <c r="A446" s="159"/>
    </row>
    <row r="447" spans="1:1" ht="15">
      <c r="A447" s="159"/>
    </row>
    <row r="448" spans="1:1" ht="15">
      <c r="A448" s="159"/>
    </row>
    <row r="449" spans="1:1" ht="15">
      <c r="A449" s="159"/>
    </row>
    <row r="450" spans="1:1" ht="15">
      <c r="A450" s="159"/>
    </row>
    <row r="451" spans="1:1" ht="15">
      <c r="A451" s="159"/>
    </row>
    <row r="452" spans="1:1" ht="15">
      <c r="A452" s="159"/>
    </row>
    <row r="453" spans="1:1" ht="15">
      <c r="A453" s="159"/>
    </row>
    <row r="454" spans="1:1" ht="15">
      <c r="A454" s="159"/>
    </row>
    <row r="455" spans="1:1" ht="15">
      <c r="A455" s="159"/>
    </row>
    <row r="456" spans="1:1" ht="15">
      <c r="A456" s="159"/>
    </row>
    <row r="457" spans="1:1" ht="15">
      <c r="A457" s="159"/>
    </row>
    <row r="458" spans="1:1" ht="15">
      <c r="A458" s="159"/>
    </row>
    <row r="459" spans="1:1" ht="15">
      <c r="A459" s="159"/>
    </row>
    <row r="460" spans="1:1" ht="15">
      <c r="A460" s="159"/>
    </row>
    <row r="461" spans="1:1" ht="15">
      <c r="A461" s="159"/>
    </row>
    <row r="462" spans="1:1" ht="15">
      <c r="A462" s="159"/>
    </row>
    <row r="463" spans="1:1" ht="15">
      <c r="A463" s="159"/>
    </row>
    <row r="464" spans="1:1" ht="15">
      <c r="A464" s="159"/>
    </row>
    <row r="465" spans="1:1" ht="15">
      <c r="A465" s="159"/>
    </row>
    <row r="466" spans="1:1" ht="15">
      <c r="A466" s="159"/>
    </row>
    <row r="467" spans="1:1" ht="15">
      <c r="A467" s="159"/>
    </row>
    <row r="468" spans="1:1" ht="15">
      <c r="A468" s="159"/>
    </row>
    <row r="469" spans="1:1" ht="15">
      <c r="A469" s="159"/>
    </row>
    <row r="470" spans="1:1" ht="15">
      <c r="A470" s="159"/>
    </row>
    <row r="471" spans="1:1" ht="15">
      <c r="A471" s="159"/>
    </row>
    <row r="472" spans="1:1" ht="15">
      <c r="A472" s="159"/>
    </row>
    <row r="473" spans="1:1" ht="15">
      <c r="A473" s="159"/>
    </row>
    <row r="474" spans="1:1" ht="15">
      <c r="A474" s="159"/>
    </row>
    <row r="475" spans="1:1" ht="15">
      <c r="A475" s="159"/>
    </row>
    <row r="476" spans="1:1" ht="15">
      <c r="A476" s="159"/>
    </row>
    <row r="477" spans="1:1" ht="15">
      <c r="A477" s="159"/>
    </row>
    <row r="478" spans="1:1" ht="15">
      <c r="A478" s="159"/>
    </row>
    <row r="479" spans="1:1" ht="15">
      <c r="A479" s="159"/>
    </row>
    <row r="480" spans="1:1" ht="15">
      <c r="A480" s="159"/>
    </row>
    <row r="481" spans="1:1" ht="15">
      <c r="A481" s="159"/>
    </row>
    <row r="482" spans="1:1" ht="15">
      <c r="A482" s="159"/>
    </row>
    <row r="483" spans="1:1" ht="15">
      <c r="A483" s="159"/>
    </row>
    <row r="484" spans="1:1" ht="15">
      <c r="A484" s="159"/>
    </row>
    <row r="485" spans="1:1" ht="15">
      <c r="A485" s="159"/>
    </row>
    <row r="486" spans="1:1" ht="15">
      <c r="A486" s="159"/>
    </row>
    <row r="487" spans="1:1" ht="15">
      <c r="A487" s="159"/>
    </row>
    <row r="488" spans="1:1" ht="15">
      <c r="A488" s="159"/>
    </row>
    <row r="489" spans="1:1" ht="15">
      <c r="A489" s="159"/>
    </row>
    <row r="490" spans="1:1" ht="15">
      <c r="A490" s="159"/>
    </row>
    <row r="491" spans="1:1" ht="15">
      <c r="A491" s="159"/>
    </row>
    <row r="492" spans="1:1" ht="15">
      <c r="A492" s="159"/>
    </row>
    <row r="493" spans="1:1" ht="15">
      <c r="A493" s="159"/>
    </row>
    <row r="494" spans="1:1" ht="15">
      <c r="A494" s="159"/>
    </row>
    <row r="495" spans="1:1" ht="15">
      <c r="A495" s="159"/>
    </row>
    <row r="496" spans="1:1" ht="15">
      <c r="A496" s="159"/>
    </row>
    <row r="497" spans="1:1" ht="15">
      <c r="A497" s="159"/>
    </row>
    <row r="498" spans="1:1" ht="15">
      <c r="A498" s="159"/>
    </row>
    <row r="499" spans="1:1" ht="15">
      <c r="A499" s="159"/>
    </row>
    <row r="500" spans="1:1" ht="15">
      <c r="A500" s="159"/>
    </row>
    <row r="501" spans="1:1" ht="15">
      <c r="A501" s="159"/>
    </row>
    <row r="502" spans="1:1" ht="15">
      <c r="A502" s="159"/>
    </row>
    <row r="503" spans="1:1" ht="15">
      <c r="A503" s="159"/>
    </row>
    <row r="504" spans="1:1" ht="15">
      <c r="A504" s="159"/>
    </row>
    <row r="505" spans="1:1" ht="15">
      <c r="A505" s="159"/>
    </row>
    <row r="506" spans="1:1" ht="15">
      <c r="A506" s="159"/>
    </row>
    <row r="507" spans="1:1" ht="15">
      <c r="A507" s="159"/>
    </row>
    <row r="508" spans="1:1" ht="15">
      <c r="A508" s="159"/>
    </row>
    <row r="509" spans="1:1" ht="15">
      <c r="A509" s="159"/>
    </row>
    <row r="510" spans="1:1" ht="15">
      <c r="A510" s="159"/>
    </row>
    <row r="511" spans="1:1" ht="15">
      <c r="A511" s="159"/>
    </row>
    <row r="512" spans="1:1" ht="15">
      <c r="A512" s="159"/>
    </row>
    <row r="513" spans="1:1" ht="15">
      <c r="A513" s="159"/>
    </row>
    <row r="514" spans="1:1" ht="15">
      <c r="A514" s="159"/>
    </row>
    <row r="515" spans="1:1" ht="15">
      <c r="A515" s="159"/>
    </row>
    <row r="516" spans="1:1" ht="15">
      <c r="A516" s="159"/>
    </row>
    <row r="517" spans="1:1" ht="15">
      <c r="A517" s="159"/>
    </row>
    <row r="518" spans="1:1" ht="15">
      <c r="A518" s="159"/>
    </row>
    <row r="519" spans="1:1" ht="15">
      <c r="A519" s="159"/>
    </row>
    <row r="520" spans="1:1" ht="15">
      <c r="A520" s="159"/>
    </row>
    <row r="521" spans="1:1" ht="15">
      <c r="A521" s="159"/>
    </row>
    <row r="522" spans="1:1" ht="15">
      <c r="A522" s="159"/>
    </row>
    <row r="523" spans="1:1" ht="15">
      <c r="A523" s="159"/>
    </row>
    <row r="524" spans="1:1" ht="15">
      <c r="A524" s="159"/>
    </row>
    <row r="525" spans="1:1" ht="15">
      <c r="A525" s="159"/>
    </row>
    <row r="526" spans="1:1" ht="15">
      <c r="A526" s="159"/>
    </row>
    <row r="527" spans="1:1" ht="15">
      <c r="A527" s="159"/>
    </row>
    <row r="528" spans="1:1" ht="15">
      <c r="A528" s="159"/>
    </row>
    <row r="529" spans="1:1" ht="15">
      <c r="A529" s="159"/>
    </row>
    <row r="530" spans="1:1" ht="15">
      <c r="A530" s="159"/>
    </row>
    <row r="531" spans="1:1" ht="15">
      <c r="A531" s="159"/>
    </row>
    <row r="532" spans="1:1" ht="15">
      <c r="A532" s="159"/>
    </row>
    <row r="533" spans="1:1" ht="15">
      <c r="A533" s="159"/>
    </row>
    <row r="534" spans="1:1" ht="15">
      <c r="A534" s="159"/>
    </row>
    <row r="535" spans="1:1" ht="15">
      <c r="A535" s="159"/>
    </row>
    <row r="536" spans="1:1" ht="15">
      <c r="A536" s="159"/>
    </row>
    <row r="537" spans="1:1" ht="15">
      <c r="A537" s="159"/>
    </row>
    <row r="538" spans="1:1" ht="15">
      <c r="A538" s="159"/>
    </row>
    <row r="539" spans="1:1" ht="15">
      <c r="A539" s="159"/>
    </row>
    <row r="540" spans="1:1" ht="15">
      <c r="A540" s="159"/>
    </row>
    <row r="541" spans="1:1" ht="15">
      <c r="A541" s="159"/>
    </row>
    <row r="542" spans="1:1" ht="15">
      <c r="A542" s="159"/>
    </row>
    <row r="543" spans="1:1" ht="15">
      <c r="A543" s="159"/>
    </row>
    <row r="544" spans="1:1" ht="15">
      <c r="A544" s="159"/>
    </row>
    <row r="545" spans="1:1" ht="15">
      <c r="A545" s="159"/>
    </row>
    <row r="546" spans="1:1" ht="15">
      <c r="A546" s="159"/>
    </row>
    <row r="547" spans="1:1" ht="15">
      <c r="A547" s="159"/>
    </row>
    <row r="548" spans="1:1" ht="15">
      <c r="A548" s="159"/>
    </row>
    <row r="549" spans="1:1" ht="15">
      <c r="A549" s="159"/>
    </row>
    <row r="550" spans="1:1" ht="15">
      <c r="A550" s="159"/>
    </row>
    <row r="551" spans="1:1" ht="15">
      <c r="A551" s="159"/>
    </row>
    <row r="552" spans="1:1" ht="15">
      <c r="A552" s="159"/>
    </row>
    <row r="553" spans="1:1" ht="15">
      <c r="A553" s="159"/>
    </row>
    <row r="554" spans="1:1" ht="15">
      <c r="A554" s="159"/>
    </row>
    <row r="555" spans="1:1" ht="15">
      <c r="A555" s="159"/>
    </row>
    <row r="556" spans="1:1" ht="15">
      <c r="A556" s="159"/>
    </row>
    <row r="557" spans="1:1" ht="15">
      <c r="A557" s="159"/>
    </row>
    <row r="558" spans="1:1" ht="15">
      <c r="A558" s="159"/>
    </row>
    <row r="559" spans="1:1" ht="15">
      <c r="A559" s="159"/>
    </row>
    <row r="560" spans="1:1" ht="15">
      <c r="A560" s="159"/>
    </row>
    <row r="561" spans="1:1" ht="15">
      <c r="A561" s="159"/>
    </row>
    <row r="562" spans="1:1" ht="15">
      <c r="A562" s="159"/>
    </row>
    <row r="563" spans="1:1" ht="15">
      <c r="A563" s="159"/>
    </row>
    <row r="564" spans="1:1" ht="15">
      <c r="A564" s="159"/>
    </row>
    <row r="565" spans="1:1" ht="15">
      <c r="A565" s="159"/>
    </row>
    <row r="566" spans="1:1" ht="15">
      <c r="A566" s="159"/>
    </row>
    <row r="567" spans="1:1" ht="15">
      <c r="A567" s="159"/>
    </row>
    <row r="568" spans="1:1" ht="15">
      <c r="A568" s="159"/>
    </row>
    <row r="569" spans="1:1" ht="15">
      <c r="A569" s="159"/>
    </row>
    <row r="570" spans="1:1" ht="15">
      <c r="A570" s="159"/>
    </row>
    <row r="571" spans="1:1" ht="15">
      <c r="A571" s="159"/>
    </row>
    <row r="572" spans="1:1" ht="15">
      <c r="A572" s="159"/>
    </row>
    <row r="573" spans="1:1" ht="15">
      <c r="A573" s="159"/>
    </row>
    <row r="574" spans="1:1" ht="15">
      <c r="A574" s="159"/>
    </row>
    <row r="575" spans="1:1" ht="15">
      <c r="A575" s="159"/>
    </row>
    <row r="576" spans="1:1" ht="15">
      <c r="A576" s="159"/>
    </row>
    <row r="577" spans="1:1" ht="15">
      <c r="A577" s="159"/>
    </row>
    <row r="578" spans="1:1" ht="15">
      <c r="A578" s="159"/>
    </row>
    <row r="579" spans="1:1" ht="15">
      <c r="A579" s="159"/>
    </row>
    <row r="580" spans="1:1" ht="15">
      <c r="A580" s="159"/>
    </row>
    <row r="581" spans="1:1" ht="15">
      <c r="A581" s="159"/>
    </row>
    <row r="582" spans="1:1" ht="15">
      <c r="A582" s="159"/>
    </row>
    <row r="583" spans="1:1" ht="15">
      <c r="A583" s="159"/>
    </row>
    <row r="584" spans="1:1" ht="15">
      <c r="A584" s="159"/>
    </row>
    <row r="585" spans="1:1" ht="15">
      <c r="A585" s="159"/>
    </row>
    <row r="586" spans="1:1" ht="15">
      <c r="A586" s="159"/>
    </row>
    <row r="587" spans="1:1" ht="15">
      <c r="A587" s="159"/>
    </row>
    <row r="588" spans="1:1" ht="15">
      <c r="A588" s="159"/>
    </row>
    <row r="589" spans="1:1" ht="15">
      <c r="A589" s="159"/>
    </row>
    <row r="590" spans="1:1" ht="15">
      <c r="A590" s="159"/>
    </row>
    <row r="591" spans="1:1" ht="15">
      <c r="A591" s="159"/>
    </row>
    <row r="592" spans="1:1" ht="15">
      <c r="A592" s="159"/>
    </row>
    <row r="593" spans="1:1" ht="15">
      <c r="A593" s="159"/>
    </row>
    <row r="594" spans="1:1" ht="15">
      <c r="A594" s="159"/>
    </row>
    <row r="595" spans="1:1" ht="15">
      <c r="A595" s="159"/>
    </row>
    <row r="596" spans="1:1" ht="15">
      <c r="A596" s="159"/>
    </row>
    <row r="597" spans="1:1" ht="15">
      <c r="A597" s="159"/>
    </row>
    <row r="598" spans="1:1" ht="15">
      <c r="A598" s="159"/>
    </row>
    <row r="599" spans="1:1" ht="15">
      <c r="A599" s="159"/>
    </row>
    <row r="600" spans="1:1" ht="15">
      <c r="A600" s="159"/>
    </row>
    <row r="601" spans="1:1" ht="15">
      <c r="A601" s="159"/>
    </row>
    <row r="602" spans="1:1" ht="15">
      <c r="A602" s="159"/>
    </row>
    <row r="603" spans="1:1" ht="15">
      <c r="A603" s="159"/>
    </row>
    <row r="604" spans="1:1" ht="15">
      <c r="A604" s="159"/>
    </row>
    <row r="605" spans="1:1" ht="15">
      <c r="A605" s="159"/>
    </row>
    <row r="606" spans="1:1" ht="15">
      <c r="A606" s="159"/>
    </row>
    <row r="607" spans="1:1" ht="15">
      <c r="A607" s="159"/>
    </row>
    <row r="608" spans="1:1" ht="15">
      <c r="A608" s="159"/>
    </row>
    <row r="609" spans="1:1" ht="15">
      <c r="A609" s="159"/>
    </row>
    <row r="610" spans="1:1" ht="15">
      <c r="A610" s="159"/>
    </row>
    <row r="611" spans="1:1" ht="15">
      <c r="A611" s="159"/>
    </row>
    <row r="612" spans="1:1" ht="15">
      <c r="A612" s="159"/>
    </row>
    <row r="613" spans="1:1" ht="15">
      <c r="A613" s="159"/>
    </row>
    <row r="614" spans="1:1" ht="15">
      <c r="A614" s="159"/>
    </row>
    <row r="615" spans="1:1" ht="15">
      <c r="A615" s="159"/>
    </row>
    <row r="616" spans="1:1" ht="15">
      <c r="A616" s="159"/>
    </row>
    <row r="617" spans="1:1" ht="15">
      <c r="A617" s="159"/>
    </row>
    <row r="618" spans="1:1" ht="15">
      <c r="A618" s="159"/>
    </row>
    <row r="619" spans="1:1" ht="15">
      <c r="A619" s="159"/>
    </row>
    <row r="620" spans="1:1" ht="15">
      <c r="A620" s="159"/>
    </row>
    <row r="621" spans="1:1" ht="15">
      <c r="A621" s="159"/>
    </row>
    <row r="622" spans="1:1" ht="15">
      <c r="A622" s="159"/>
    </row>
    <row r="623" spans="1:1" ht="15">
      <c r="A623" s="159"/>
    </row>
    <row r="624" spans="1:1" ht="15">
      <c r="A624" s="159"/>
    </row>
    <row r="625" spans="1:1" ht="15">
      <c r="A625" s="159"/>
    </row>
    <row r="626" spans="1:1" ht="15">
      <c r="A626" s="159"/>
    </row>
    <row r="627" spans="1:1" ht="15">
      <c r="A627" s="159"/>
    </row>
    <row r="628" spans="1:1" ht="15">
      <c r="A628" s="159"/>
    </row>
    <row r="629" spans="1:1" ht="15">
      <c r="A629" s="159"/>
    </row>
    <row r="630" spans="1:1" ht="15">
      <c r="A630" s="159"/>
    </row>
    <row r="631" spans="1:1" ht="15">
      <c r="A631" s="159"/>
    </row>
    <row r="632" spans="1:1" ht="15">
      <c r="A632" s="159"/>
    </row>
    <row r="633" spans="1:1" ht="15">
      <c r="A633" s="159"/>
    </row>
    <row r="634" spans="1:1" ht="15">
      <c r="A634" s="159"/>
    </row>
    <row r="635" spans="1:1" ht="15">
      <c r="A635" s="159"/>
    </row>
    <row r="636" spans="1:1" ht="15">
      <c r="A636" s="159"/>
    </row>
    <row r="637" spans="1:1" ht="15">
      <c r="A637" s="159"/>
    </row>
    <row r="638" spans="1:1" ht="15">
      <c r="A638" s="159"/>
    </row>
    <row r="639" spans="1:1" ht="15">
      <c r="A639" s="159"/>
    </row>
    <row r="640" spans="1:1" ht="15">
      <c r="A640" s="159"/>
    </row>
    <row r="641" spans="1:1" ht="15">
      <c r="A641" s="159"/>
    </row>
    <row r="642" spans="1:1" ht="15">
      <c r="A642" s="159"/>
    </row>
    <row r="643" spans="1:1" ht="15">
      <c r="A643" s="159"/>
    </row>
    <row r="644" spans="1:1" ht="15">
      <c r="A644" s="159"/>
    </row>
    <row r="645" spans="1:1" ht="15">
      <c r="A645" s="159"/>
    </row>
    <row r="646" spans="1:1" ht="15">
      <c r="A646" s="159"/>
    </row>
    <row r="647" spans="1:1" ht="15">
      <c r="A647" s="159"/>
    </row>
    <row r="648" spans="1:1" ht="15">
      <c r="A648" s="159"/>
    </row>
    <row r="649" spans="1:1" ht="15">
      <c r="A649" s="159"/>
    </row>
    <row r="650" spans="1:1" ht="15">
      <c r="A650" s="159"/>
    </row>
    <row r="651" spans="1:1" ht="15">
      <c r="A651" s="159"/>
    </row>
    <row r="652" spans="1:1" ht="15">
      <c r="A652" s="159"/>
    </row>
    <row r="653" spans="1:1" ht="15">
      <c r="A653" s="159"/>
    </row>
    <row r="654" spans="1:1" ht="15">
      <c r="A654" s="159"/>
    </row>
    <row r="655" spans="1:1" ht="15">
      <c r="A655" s="159"/>
    </row>
    <row r="656" spans="1:1" ht="15">
      <c r="A656" s="159"/>
    </row>
    <row r="657" spans="1:1" ht="15">
      <c r="A657" s="159"/>
    </row>
    <row r="658" spans="1:1" ht="15">
      <c r="A658" s="159"/>
    </row>
    <row r="659" spans="1:1" ht="15">
      <c r="A659" s="159"/>
    </row>
    <row r="660" spans="1:1" ht="15">
      <c r="A660" s="159"/>
    </row>
    <row r="661" spans="1:1" ht="15">
      <c r="A661" s="159"/>
    </row>
    <row r="662" spans="1:1" ht="15">
      <c r="A662" s="159"/>
    </row>
    <row r="663" spans="1:1" ht="15">
      <c r="A663" s="159"/>
    </row>
    <row r="664" spans="1:1" ht="15">
      <c r="A664" s="159"/>
    </row>
    <row r="665" spans="1:1" ht="15">
      <c r="A665" s="159"/>
    </row>
    <row r="666" spans="1:1" ht="15">
      <c r="A666" s="159"/>
    </row>
    <row r="667" spans="1:1" ht="15">
      <c r="A667" s="159"/>
    </row>
    <row r="668" spans="1:1" ht="15">
      <c r="A668" s="159"/>
    </row>
    <row r="669" spans="1:1" ht="15">
      <c r="A669" s="159"/>
    </row>
    <row r="670" spans="1:1" ht="15">
      <c r="A670" s="159"/>
    </row>
    <row r="671" spans="1:1" ht="15">
      <c r="A671" s="159"/>
    </row>
    <row r="672" spans="1:1" ht="15">
      <c r="A672" s="159"/>
    </row>
    <row r="673" spans="1:1" ht="15">
      <c r="A673" s="159"/>
    </row>
    <row r="674" spans="1:1" ht="15">
      <c r="A674" s="159"/>
    </row>
    <row r="675" spans="1:1" ht="15">
      <c r="A675" s="159"/>
    </row>
    <row r="676" spans="1:1" ht="15">
      <c r="A676" s="159"/>
    </row>
    <row r="677" spans="1:1" ht="15">
      <c r="A677" s="159"/>
    </row>
    <row r="678" spans="1:1" ht="15">
      <c r="A678" s="159"/>
    </row>
    <row r="679" spans="1:1" ht="15">
      <c r="A679" s="159"/>
    </row>
    <row r="680" spans="1:1" ht="15">
      <c r="A680" s="159"/>
    </row>
    <row r="681" spans="1:1" ht="15">
      <c r="A681" s="159"/>
    </row>
    <row r="682" spans="1:1" ht="15">
      <c r="A682" s="159"/>
    </row>
    <row r="683" spans="1:1" ht="15">
      <c r="A683" s="159"/>
    </row>
    <row r="684" spans="1:1" ht="15">
      <c r="A684" s="159"/>
    </row>
    <row r="685" spans="1:1" ht="15">
      <c r="A685" s="159"/>
    </row>
    <row r="686" spans="1:1" ht="15">
      <c r="A686" s="159"/>
    </row>
    <row r="687" spans="1:1" ht="15">
      <c r="A687" s="159"/>
    </row>
    <row r="688" spans="1:1" ht="15">
      <c r="A688" s="159"/>
    </row>
    <row r="689" spans="1:1" ht="15">
      <c r="A689" s="159"/>
    </row>
    <row r="690" spans="1:1" ht="15">
      <c r="A690" s="159"/>
    </row>
    <row r="691" spans="1:1" ht="15">
      <c r="A691" s="159"/>
    </row>
    <row r="692" spans="1:1" ht="15">
      <c r="A692" s="159"/>
    </row>
    <row r="693" spans="1:1" ht="15">
      <c r="A693" s="159"/>
    </row>
    <row r="694" spans="1:1" ht="15">
      <c r="A694" s="159"/>
    </row>
    <row r="695" spans="1:1" ht="15">
      <c r="A695" s="159"/>
    </row>
    <row r="696" spans="1:1" ht="15">
      <c r="A696" s="159"/>
    </row>
    <row r="697" spans="1:1" ht="15">
      <c r="A697" s="159"/>
    </row>
    <row r="698" spans="1:1" ht="15">
      <c r="A698" s="159"/>
    </row>
    <row r="699" spans="1:1" ht="15">
      <c r="A699" s="159"/>
    </row>
    <row r="700" spans="1:1" ht="15">
      <c r="A700" s="159"/>
    </row>
    <row r="701" spans="1:1" ht="15">
      <c r="A701" s="159"/>
    </row>
    <row r="702" spans="1:1" ht="15">
      <c r="A702" s="159"/>
    </row>
    <row r="703" spans="1:1" ht="15">
      <c r="A703" s="159"/>
    </row>
    <row r="704" spans="1:1" ht="15">
      <c r="A704" s="159"/>
    </row>
    <row r="705" spans="1:1" ht="15">
      <c r="A705" s="159"/>
    </row>
    <row r="706" spans="1:1" ht="15">
      <c r="A706" s="159"/>
    </row>
    <row r="707" spans="1:1" ht="15">
      <c r="A707" s="159"/>
    </row>
    <row r="708" spans="1:1" ht="15">
      <c r="A708" s="159"/>
    </row>
    <row r="709" spans="1:1" ht="15">
      <c r="A709" s="159"/>
    </row>
    <row r="710" spans="1:1" ht="15">
      <c r="A710" s="159"/>
    </row>
    <row r="711" spans="1:1" ht="15">
      <c r="A711" s="159"/>
    </row>
    <row r="712" spans="1:1" ht="15">
      <c r="A712" s="159"/>
    </row>
    <row r="713" spans="1:1" ht="15">
      <c r="A713" s="159"/>
    </row>
    <row r="714" spans="1:1" ht="15">
      <c r="A714" s="159"/>
    </row>
    <row r="715" spans="1:1" ht="15">
      <c r="A715" s="159"/>
    </row>
    <row r="716" spans="1:1" ht="15">
      <c r="A716" s="159"/>
    </row>
    <row r="717" spans="1:1" ht="15">
      <c r="A717" s="159"/>
    </row>
    <row r="718" spans="1:1" ht="15">
      <c r="A718" s="159"/>
    </row>
    <row r="719" spans="1:1" ht="15">
      <c r="A719" s="159"/>
    </row>
    <row r="720" spans="1:1" ht="15">
      <c r="A720" s="159"/>
    </row>
    <row r="721" spans="1:1" ht="15">
      <c r="A721" s="159"/>
    </row>
    <row r="722" spans="1:1" ht="15">
      <c r="A722" s="159"/>
    </row>
    <row r="723" spans="1:1" ht="15">
      <c r="A723" s="159"/>
    </row>
    <row r="724" spans="1:1" ht="15">
      <c r="A724" s="159"/>
    </row>
    <row r="725" spans="1:1" ht="15">
      <c r="A725" s="159"/>
    </row>
    <row r="726" spans="1:1" ht="15">
      <c r="A726" s="159"/>
    </row>
    <row r="727" spans="1:1" ht="15">
      <c r="A727" s="159"/>
    </row>
    <row r="728" spans="1:1" ht="15">
      <c r="A728" s="159"/>
    </row>
    <row r="729" spans="1:1" ht="15">
      <c r="A729" s="159"/>
    </row>
    <row r="730" spans="1:1" ht="15">
      <c r="A730" s="159"/>
    </row>
    <row r="731" spans="1:1" ht="15">
      <c r="A731" s="159"/>
    </row>
    <row r="732" spans="1:1" ht="15">
      <c r="A732" s="159"/>
    </row>
    <row r="733" spans="1:1" ht="15">
      <c r="A733" s="159"/>
    </row>
    <row r="734" spans="1:1" ht="15">
      <c r="A734" s="159"/>
    </row>
    <row r="735" spans="1:1" ht="15">
      <c r="A735" s="159"/>
    </row>
    <row r="736" spans="1:1" ht="15">
      <c r="A736" s="159"/>
    </row>
    <row r="737" spans="1:1" ht="15">
      <c r="A737" s="159"/>
    </row>
    <row r="738" spans="1:1" ht="15">
      <c r="A738" s="159"/>
    </row>
    <row r="739" spans="1:1" ht="15">
      <c r="A739" s="159"/>
    </row>
    <row r="740" spans="1:1" ht="15">
      <c r="A740" s="159"/>
    </row>
    <row r="741" spans="1:1" ht="15">
      <c r="A741" s="159"/>
    </row>
    <row r="742" spans="1:1" ht="15">
      <c r="A742" s="159"/>
    </row>
    <row r="743" spans="1:1" ht="15">
      <c r="A743" s="159"/>
    </row>
    <row r="744" spans="1:1" ht="15">
      <c r="A744" s="159"/>
    </row>
    <row r="745" spans="1:1" ht="15">
      <c r="A745" s="159"/>
    </row>
    <row r="746" spans="1:1" ht="15">
      <c r="A746" s="159"/>
    </row>
    <row r="747" spans="1:1" ht="15">
      <c r="A747" s="159"/>
    </row>
    <row r="748" spans="1:1" ht="15">
      <c r="A748" s="159"/>
    </row>
    <row r="749" spans="1:1" ht="15">
      <c r="A749" s="159"/>
    </row>
    <row r="750" spans="1:1" ht="15">
      <c r="A750" s="159"/>
    </row>
    <row r="751" spans="1:1" ht="15">
      <c r="A751" s="159"/>
    </row>
    <row r="752" spans="1:1" ht="15">
      <c r="A752" s="159"/>
    </row>
    <row r="753" spans="1:1" ht="15">
      <c r="A753" s="159"/>
    </row>
    <row r="754" spans="1:1" ht="15">
      <c r="A754" s="159"/>
    </row>
    <row r="755" spans="1:1" ht="15">
      <c r="A755" s="159"/>
    </row>
    <row r="756" spans="1:1" ht="15">
      <c r="A756" s="159"/>
    </row>
    <row r="757" spans="1:1" ht="15">
      <c r="A757" s="159"/>
    </row>
    <row r="758" spans="1:1" ht="15">
      <c r="A758" s="159"/>
    </row>
    <row r="759" spans="1:1" ht="15">
      <c r="A759" s="159"/>
    </row>
    <row r="760" spans="1:1" ht="15">
      <c r="A760" s="159"/>
    </row>
    <row r="761" spans="1:1" ht="15">
      <c r="A761" s="159"/>
    </row>
    <row r="762" spans="1:1" ht="15">
      <c r="A762" s="159"/>
    </row>
    <row r="763" spans="1:1" ht="15">
      <c r="A763" s="159"/>
    </row>
    <row r="764" spans="1:1" ht="15">
      <c r="A764" s="159"/>
    </row>
    <row r="765" spans="1:1" ht="15">
      <c r="A765" s="159"/>
    </row>
    <row r="766" spans="1:1" ht="15">
      <c r="A766" s="159"/>
    </row>
    <row r="767" spans="1:1" ht="15">
      <c r="A767" s="159"/>
    </row>
    <row r="768" spans="1:1" ht="15">
      <c r="A768" s="159"/>
    </row>
    <row r="769" spans="1:1" ht="15">
      <c r="A769" s="159"/>
    </row>
    <row r="770" spans="1:1" ht="15">
      <c r="A770" s="159"/>
    </row>
    <row r="771" spans="1:1" ht="15">
      <c r="A771" s="159"/>
    </row>
    <row r="772" spans="1:1" ht="15">
      <c r="A772" s="159"/>
    </row>
    <row r="773" spans="1:1" ht="15">
      <c r="A773" s="159"/>
    </row>
    <row r="774" spans="1:1" ht="15">
      <c r="A774" s="159"/>
    </row>
    <row r="775" spans="1:1" ht="15">
      <c r="A775" s="159"/>
    </row>
    <row r="776" spans="1:1" ht="15">
      <c r="A776" s="159"/>
    </row>
    <row r="777" spans="1:1" ht="15">
      <c r="A777" s="159"/>
    </row>
    <row r="778" spans="1:1" ht="15">
      <c r="A778" s="159"/>
    </row>
    <row r="779" spans="1:1" ht="15">
      <c r="A779" s="159"/>
    </row>
    <row r="780" spans="1:1" ht="15">
      <c r="A780" s="159"/>
    </row>
    <row r="781" spans="1:1" ht="15">
      <c r="A781" s="159"/>
    </row>
    <row r="782" spans="1:1" ht="15">
      <c r="A782" s="159"/>
    </row>
    <row r="783" spans="1:1" ht="15">
      <c r="A783" s="159"/>
    </row>
    <row r="784" spans="1:1" ht="15">
      <c r="A784" s="159"/>
    </row>
    <row r="785" spans="1:1" ht="15">
      <c r="A785" s="159"/>
    </row>
    <row r="786" spans="1:1" ht="15">
      <c r="A786" s="159"/>
    </row>
    <row r="787" spans="1:1" ht="15">
      <c r="A787" s="159"/>
    </row>
    <row r="788" spans="1:1" ht="15">
      <c r="A788" s="159"/>
    </row>
    <row r="789" spans="1:1" ht="15">
      <c r="A789" s="159"/>
    </row>
    <row r="790" spans="1:1" ht="15">
      <c r="A790" s="159"/>
    </row>
    <row r="791" spans="1:1" ht="15">
      <c r="A791" s="159"/>
    </row>
    <row r="792" spans="1:1" ht="15">
      <c r="A792" s="159"/>
    </row>
    <row r="793" spans="1:1" ht="15">
      <c r="A793" s="159"/>
    </row>
    <row r="794" spans="1:1" ht="15">
      <c r="A794" s="159"/>
    </row>
    <row r="795" spans="1:1" ht="15">
      <c r="A795" s="159"/>
    </row>
    <row r="796" spans="1:1" ht="15">
      <c r="A796" s="159"/>
    </row>
    <row r="797" spans="1:1" ht="15">
      <c r="A797" s="159"/>
    </row>
    <row r="798" spans="1:1" ht="15">
      <c r="A798" s="159"/>
    </row>
    <row r="799" spans="1:1" ht="15">
      <c r="A799" s="159"/>
    </row>
    <row r="800" spans="1:1" ht="15">
      <c r="A800" s="159"/>
    </row>
    <row r="801" spans="1:1" ht="15">
      <c r="A801" s="159"/>
    </row>
    <row r="802" spans="1:1" ht="15">
      <c r="A802" s="159"/>
    </row>
    <row r="803" spans="1:1" ht="15">
      <c r="A803" s="159"/>
    </row>
    <row r="804" spans="1:1" ht="15">
      <c r="A804" s="159"/>
    </row>
    <row r="805" spans="1:1" ht="15">
      <c r="A805" s="159"/>
    </row>
    <row r="806" spans="1:1" ht="15">
      <c r="A806" s="159"/>
    </row>
    <row r="807" spans="1:1" ht="15">
      <c r="A807" s="159"/>
    </row>
    <row r="808" spans="1:1" ht="15">
      <c r="A808" s="159"/>
    </row>
    <row r="809" spans="1:1" ht="15">
      <c r="A809" s="159"/>
    </row>
    <row r="810" spans="1:1" ht="15">
      <c r="A810" s="159"/>
    </row>
    <row r="811" spans="1:1" ht="15">
      <c r="A811" s="159"/>
    </row>
    <row r="812" spans="1:1" ht="15">
      <c r="A812" s="159"/>
    </row>
    <row r="813" spans="1:1" ht="15">
      <c r="A813" s="159"/>
    </row>
    <row r="814" spans="1:1" ht="15">
      <c r="A814" s="159"/>
    </row>
    <row r="815" spans="1:1" ht="15">
      <c r="A815" s="159"/>
    </row>
    <row r="816" spans="1:1" ht="15">
      <c r="A816" s="159"/>
    </row>
    <row r="817" spans="1:1" ht="15">
      <c r="A817" s="159"/>
    </row>
    <row r="818" spans="1:1" ht="15">
      <c r="A818" s="159"/>
    </row>
    <row r="819" spans="1:1" ht="15">
      <c r="A819" s="159"/>
    </row>
    <row r="820" spans="1:1" ht="15">
      <c r="A820" s="159"/>
    </row>
    <row r="821" spans="1:1" ht="15">
      <c r="A821" s="159"/>
    </row>
    <row r="822" spans="1:1" ht="15">
      <c r="A822" s="159"/>
    </row>
    <row r="823" spans="1:1" ht="15">
      <c r="A823" s="159"/>
    </row>
    <row r="824" spans="1:1" ht="15">
      <c r="A824" s="159"/>
    </row>
    <row r="825" spans="1:1" ht="15">
      <c r="A825" s="159"/>
    </row>
    <row r="826" spans="1:1" ht="15">
      <c r="A826" s="159"/>
    </row>
    <row r="827" spans="1:1" ht="15">
      <c r="A827" s="159"/>
    </row>
    <row r="828" spans="1:1" ht="15">
      <c r="A828" s="159"/>
    </row>
    <row r="829" spans="1:1" ht="15">
      <c r="A829" s="159"/>
    </row>
    <row r="830" spans="1:1" ht="15">
      <c r="A830" s="159"/>
    </row>
    <row r="831" spans="1:1" ht="15">
      <c r="A831" s="159"/>
    </row>
    <row r="832" spans="1:1" ht="15">
      <c r="A832" s="159"/>
    </row>
    <row r="833" spans="1:1" ht="15">
      <c r="A833" s="159"/>
    </row>
    <row r="834" spans="1:1" ht="15">
      <c r="A834" s="159"/>
    </row>
    <row r="835" spans="1:1" ht="15">
      <c r="A835" s="159"/>
    </row>
    <row r="836" spans="1:1" ht="15">
      <c r="A836" s="159"/>
    </row>
    <row r="837" spans="1:1" ht="15">
      <c r="A837" s="159"/>
    </row>
    <row r="838" spans="1:1" ht="15">
      <c r="A838" s="159"/>
    </row>
    <row r="839" spans="1:1" ht="15">
      <c r="A839" s="159"/>
    </row>
    <row r="840" spans="1:1" ht="15">
      <c r="A840" s="159"/>
    </row>
    <row r="841" spans="1:1" ht="15">
      <c r="A841" s="159"/>
    </row>
    <row r="842" spans="1:1" ht="15">
      <c r="A842" s="159"/>
    </row>
    <row r="843" spans="1:1" ht="15">
      <c r="A843" s="159"/>
    </row>
    <row r="844" spans="1:1" ht="15">
      <c r="A844" s="159"/>
    </row>
    <row r="845" spans="1:1" ht="15">
      <c r="A845" s="159"/>
    </row>
    <row r="846" spans="1:1" ht="15">
      <c r="A846" s="159"/>
    </row>
    <row r="847" spans="1:1" ht="15">
      <c r="A847" s="159"/>
    </row>
    <row r="848" spans="1:1" ht="15">
      <c r="A848" s="159"/>
    </row>
    <row r="849" spans="1:1" ht="15">
      <c r="A849" s="159"/>
    </row>
    <row r="850" spans="1:1" ht="15">
      <c r="A850" s="159"/>
    </row>
    <row r="851" spans="1:1" ht="15">
      <c r="A851" s="159"/>
    </row>
    <row r="852" spans="1:1" ht="15">
      <c r="A852" s="159"/>
    </row>
    <row r="853" spans="1:1" ht="15">
      <c r="A853" s="159"/>
    </row>
    <row r="854" spans="1:1" ht="15">
      <c r="A854" s="159"/>
    </row>
    <row r="855" spans="1:1" ht="15">
      <c r="A855" s="159"/>
    </row>
    <row r="856" spans="1:1" ht="15">
      <c r="A856" s="159"/>
    </row>
    <row r="857" spans="1:1" ht="15">
      <c r="A857" s="159"/>
    </row>
    <row r="858" spans="1:1" ht="15">
      <c r="A858" s="159"/>
    </row>
    <row r="859" spans="1:1" ht="15">
      <c r="A859" s="159"/>
    </row>
    <row r="860" spans="1:1" ht="15">
      <c r="A860" s="159"/>
    </row>
    <row r="861" spans="1:1" ht="15">
      <c r="A861" s="159"/>
    </row>
    <row r="862" spans="1:1" ht="15">
      <c r="A862" s="159"/>
    </row>
    <row r="863" spans="1:1" ht="15">
      <c r="A863" s="159"/>
    </row>
    <row r="864" spans="1:1" ht="15">
      <c r="A864" s="159"/>
    </row>
    <row r="865" spans="1:1" ht="15">
      <c r="A865" s="159"/>
    </row>
    <row r="866" spans="1:1" ht="15">
      <c r="A866" s="159"/>
    </row>
    <row r="867" spans="1:1" ht="15">
      <c r="A867" s="159"/>
    </row>
    <row r="868" spans="1:1" ht="15">
      <c r="A868" s="159"/>
    </row>
    <row r="869" spans="1:1" ht="15">
      <c r="A869" s="159"/>
    </row>
    <row r="870" spans="1:1" ht="15">
      <c r="A870" s="159"/>
    </row>
    <row r="871" spans="1:1" ht="15">
      <c r="A871" s="159"/>
    </row>
    <row r="872" spans="1:1" ht="15">
      <c r="A872" s="159"/>
    </row>
    <row r="873" spans="1:1" ht="15">
      <c r="A873" s="159"/>
    </row>
    <row r="874" spans="1:1" ht="15">
      <c r="A874" s="159"/>
    </row>
    <row r="875" spans="1:1" ht="15">
      <c r="A875" s="159"/>
    </row>
    <row r="876" spans="1:1" ht="15">
      <c r="A876" s="159"/>
    </row>
    <row r="877" spans="1:1" ht="15">
      <c r="A877" s="159"/>
    </row>
    <row r="878" spans="1:1" ht="15">
      <c r="A878" s="159"/>
    </row>
    <row r="879" spans="1:1" ht="15">
      <c r="A879" s="159"/>
    </row>
    <row r="880" spans="1:1" ht="15">
      <c r="A880" s="159"/>
    </row>
    <row r="881" spans="1:1" ht="15">
      <c r="A881" s="159"/>
    </row>
    <row r="882" spans="1:1" ht="15">
      <c r="A882" s="159"/>
    </row>
    <row r="883" spans="1:1" ht="15">
      <c r="A883" s="159"/>
    </row>
    <row r="884" spans="1:1" ht="15">
      <c r="A884" s="159"/>
    </row>
    <row r="885" spans="1:1" ht="15">
      <c r="A885" s="159"/>
    </row>
    <row r="886" spans="1:1" ht="15">
      <c r="A886" s="159"/>
    </row>
    <row r="887" spans="1:1" ht="15">
      <c r="A887" s="159"/>
    </row>
    <row r="888" spans="1:1" ht="15">
      <c r="A888" s="159"/>
    </row>
    <row r="889" spans="1:1" ht="15">
      <c r="A889" s="159"/>
    </row>
    <row r="890" spans="1:1" ht="15">
      <c r="A890" s="159"/>
    </row>
    <row r="891" spans="1:1" ht="15">
      <c r="A891" s="159"/>
    </row>
    <row r="892" spans="1:1" ht="15">
      <c r="A892" s="159"/>
    </row>
    <row r="893" spans="1:1" ht="15">
      <c r="A893" s="159"/>
    </row>
    <row r="894" spans="1:1" ht="15">
      <c r="A894" s="159"/>
    </row>
    <row r="895" spans="1:1" ht="15">
      <c r="A895" s="159"/>
    </row>
    <row r="896" spans="1:1" ht="15">
      <c r="A896" s="159"/>
    </row>
    <row r="897" spans="1:1" ht="15">
      <c r="A897" s="159"/>
    </row>
    <row r="898" spans="1:1" ht="15">
      <c r="A898" s="159"/>
    </row>
    <row r="899" spans="1:1" ht="15">
      <c r="A899" s="159"/>
    </row>
    <row r="900" spans="1:1" ht="15">
      <c r="A900" s="159"/>
    </row>
    <row r="901" spans="1:1" ht="15">
      <c r="A901" s="159"/>
    </row>
    <row r="902" spans="1:1" ht="15">
      <c r="A902" s="159"/>
    </row>
    <row r="903" spans="1:1" ht="15">
      <c r="A903" s="159"/>
    </row>
    <row r="904" spans="1:1" ht="15">
      <c r="A904" s="159"/>
    </row>
    <row r="905" spans="1:1" ht="15">
      <c r="A905" s="159"/>
    </row>
    <row r="906" spans="1:1" ht="15">
      <c r="A906" s="159"/>
    </row>
    <row r="907" spans="1:1" ht="15">
      <c r="A907" s="159"/>
    </row>
    <row r="908" spans="1:1" ht="15">
      <c r="A908" s="159"/>
    </row>
    <row r="909" spans="1:1" ht="15">
      <c r="A909" s="159"/>
    </row>
    <row r="910" spans="1:1" ht="15">
      <c r="A910" s="159"/>
    </row>
    <row r="911" spans="1:1" ht="15">
      <c r="A911" s="159"/>
    </row>
    <row r="912" spans="1:1" ht="15">
      <c r="A912" s="159"/>
    </row>
    <row r="913" spans="1:1" ht="15">
      <c r="A913" s="159"/>
    </row>
    <row r="914" spans="1:1" ht="15">
      <c r="A914" s="159"/>
    </row>
    <row r="915" spans="1:1" ht="15">
      <c r="A915" s="159"/>
    </row>
    <row r="916" spans="1:1" ht="15">
      <c r="A916" s="159"/>
    </row>
    <row r="917" spans="1:1" ht="15">
      <c r="A917" s="159"/>
    </row>
    <row r="918" spans="1:1" ht="15">
      <c r="A918" s="159"/>
    </row>
    <row r="919" spans="1:1" ht="15">
      <c r="A919" s="159"/>
    </row>
    <row r="920" spans="1:1" ht="15">
      <c r="A920" s="159"/>
    </row>
    <row r="921" spans="1:1" ht="15">
      <c r="A921" s="159"/>
    </row>
    <row r="922" spans="1:1" ht="15">
      <c r="A922" s="159"/>
    </row>
    <row r="923" spans="1:1" ht="15">
      <c r="A923" s="159"/>
    </row>
    <row r="924" spans="1:1" ht="15">
      <c r="A924" s="159"/>
    </row>
    <row r="925" spans="1:1" ht="15">
      <c r="A925" s="159"/>
    </row>
    <row r="926" spans="1:1" ht="15">
      <c r="A926" s="159"/>
    </row>
    <row r="927" spans="1:1" ht="15">
      <c r="A927" s="159"/>
    </row>
    <row r="928" spans="1:1" ht="15">
      <c r="A928" s="159"/>
    </row>
    <row r="929" spans="1:1" ht="15">
      <c r="A929" s="159"/>
    </row>
    <row r="930" spans="1:1" ht="15">
      <c r="A930" s="159"/>
    </row>
    <row r="931" spans="1:1" ht="15">
      <c r="A931" s="159"/>
    </row>
    <row r="932" spans="1:1" ht="15">
      <c r="A932" s="159"/>
    </row>
    <row r="933" spans="1:1" ht="15">
      <c r="A933" s="159"/>
    </row>
    <row r="934" spans="1:1" ht="15">
      <c r="A934" s="159"/>
    </row>
    <row r="935" spans="1:1" ht="15">
      <c r="A935" s="159"/>
    </row>
    <row r="936" spans="1:1" ht="15">
      <c r="A936" s="159"/>
    </row>
    <row r="937" spans="1:1" ht="15">
      <c r="A937" s="159"/>
    </row>
    <row r="938" spans="1:1" ht="15">
      <c r="A938" s="159"/>
    </row>
    <row r="939" spans="1:1" ht="15">
      <c r="A939" s="159"/>
    </row>
    <row r="940" spans="1:1" ht="15">
      <c r="A940" s="159"/>
    </row>
    <row r="941" spans="1:1" ht="15">
      <c r="A941" s="159"/>
    </row>
    <row r="942" spans="1:1" ht="15">
      <c r="A942" s="159"/>
    </row>
    <row r="943" spans="1:1" ht="15">
      <c r="A943" s="159"/>
    </row>
    <row r="944" spans="1:1" ht="15">
      <c r="A944" s="159"/>
    </row>
    <row r="945" spans="1:1" ht="15">
      <c r="A945" s="159"/>
    </row>
    <row r="946" spans="1:1" ht="15">
      <c r="A946" s="159"/>
    </row>
    <row r="947" spans="1:1" ht="15">
      <c r="A947" s="159"/>
    </row>
    <row r="948" spans="1:1" ht="15">
      <c r="A948" s="159"/>
    </row>
    <row r="949" spans="1:1" ht="15">
      <c r="A949" s="159"/>
    </row>
    <row r="950" spans="1:1" ht="15">
      <c r="A950" s="159"/>
    </row>
    <row r="951" spans="1:1" ht="15">
      <c r="A951" s="159"/>
    </row>
    <row r="952" spans="1:1" ht="15">
      <c r="A952" s="159"/>
    </row>
    <row r="953" spans="1:1" ht="15">
      <c r="A953" s="159"/>
    </row>
    <row r="954" spans="1:1" ht="15">
      <c r="A954" s="159"/>
    </row>
    <row r="955" spans="1:1" ht="15">
      <c r="A955" s="159"/>
    </row>
    <row r="956" spans="1:1" ht="15">
      <c r="A956" s="159"/>
    </row>
    <row r="957" spans="1:1" ht="15">
      <c r="A957" s="159"/>
    </row>
    <row r="958" spans="1:1" ht="15">
      <c r="A958" s="159"/>
    </row>
    <row r="959" spans="1:1" ht="15">
      <c r="A959" s="159"/>
    </row>
    <row r="960" spans="1:1" ht="15">
      <c r="A960" s="159"/>
    </row>
    <row r="961" spans="1:1" ht="15">
      <c r="A961" s="159"/>
    </row>
    <row r="962" spans="1:1" ht="15">
      <c r="A962" s="159"/>
    </row>
    <row r="963" spans="1:1" ht="15">
      <c r="A963" s="159"/>
    </row>
    <row r="964" spans="1:1" ht="15">
      <c r="A964" s="159"/>
    </row>
    <row r="965" spans="1:1" ht="15">
      <c r="A965" s="159"/>
    </row>
    <row r="966" spans="1:1" ht="15">
      <c r="A966" s="159"/>
    </row>
    <row r="967" spans="1:1" ht="15">
      <c r="A967" s="159"/>
    </row>
    <row r="968" spans="1:1" ht="15">
      <c r="A968" s="159"/>
    </row>
    <row r="969" spans="1:1" ht="15">
      <c r="A969" s="159"/>
    </row>
    <row r="970" spans="1:1" ht="15">
      <c r="A970" s="159"/>
    </row>
    <row r="971" spans="1:1" ht="15">
      <c r="A971" s="159"/>
    </row>
    <row r="972" spans="1:1" ht="15">
      <c r="A972" s="159"/>
    </row>
    <row r="973" spans="1:1" ht="15">
      <c r="A973" s="159"/>
    </row>
    <row r="974" spans="1:1" ht="15">
      <c r="A974" s="159"/>
    </row>
    <row r="975" spans="1:1" ht="15">
      <c r="A975" s="159"/>
    </row>
    <row r="976" spans="1:1" ht="15">
      <c r="A976" s="159"/>
    </row>
    <row r="977" spans="1:1" ht="15">
      <c r="A977" s="159"/>
    </row>
    <row r="978" spans="1:1" ht="15">
      <c r="A978" s="159"/>
    </row>
    <row r="979" spans="1:1" ht="15">
      <c r="A979" s="159"/>
    </row>
    <row r="980" spans="1:1" ht="15">
      <c r="A980" s="159"/>
    </row>
    <row r="981" spans="1:1" ht="15">
      <c r="A981" s="159"/>
    </row>
    <row r="982" spans="1:1" ht="15">
      <c r="A982" s="159"/>
    </row>
    <row r="983" spans="1:1" ht="15">
      <c r="A983" s="159"/>
    </row>
    <row r="984" spans="1:1" ht="15">
      <c r="A984" s="159"/>
    </row>
    <row r="985" spans="1:1" ht="15">
      <c r="A985" s="159"/>
    </row>
    <row r="986" spans="1:1" ht="15">
      <c r="A986" s="159"/>
    </row>
    <row r="987" spans="1:1" ht="15">
      <c r="A987" s="159"/>
    </row>
    <row r="988" spans="1:1" ht="15">
      <c r="A988" s="159"/>
    </row>
    <row r="989" spans="1:1" ht="15">
      <c r="A989" s="159"/>
    </row>
    <row r="990" spans="1:1" ht="15">
      <c r="A990" s="159"/>
    </row>
    <row r="991" spans="1:1" ht="15">
      <c r="A991" s="159"/>
    </row>
    <row r="992" spans="1:1" ht="15">
      <c r="A992" s="159"/>
    </row>
    <row r="993" spans="1:1" ht="15">
      <c r="A993" s="159"/>
    </row>
    <row r="994" spans="1:1" ht="15">
      <c r="A994" s="159"/>
    </row>
    <row r="995" spans="1:1" ht="15">
      <c r="A995" s="159"/>
    </row>
    <row r="996" spans="1:1" ht="15">
      <c r="A996" s="159"/>
    </row>
    <row r="997" spans="1:1" ht="15">
      <c r="A997" s="159"/>
    </row>
    <row r="998" spans="1:1" ht="15">
      <c r="A998" s="159"/>
    </row>
    <row r="999" spans="1:1" ht="15">
      <c r="A999" s="159"/>
    </row>
    <row r="1000" spans="1:1" ht="15">
      <c r="A1000" s="159"/>
    </row>
    <row r="1001" spans="1:1" ht="15">
      <c r="A1001" s="159"/>
    </row>
    <row r="1002" spans="1:1" ht="15">
      <c r="A1002" s="159"/>
    </row>
    <row r="1003" spans="1:1" ht="15">
      <c r="A1003" s="159"/>
    </row>
  </sheetData>
  <phoneticPr fontId="14"/>
  <printOptions horizontalCentered="1" gridLines="1"/>
  <pageMargins left="0.25" right="0.25" top="0.30156432193064059" bottom="0.26265279652023538" header="0" footer="0"/>
  <pageSetup paperSize="9" pageOrder="overThenDown" orientation="landscape" cellComments="atEnd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CopyColumn_B">
                <anchor moveWithCells="1" sizeWithCells="1">
                  <from>
                    <xdr:col>1</xdr:col>
                    <xdr:colOff>121920</xdr:colOff>
                    <xdr:row>0</xdr:row>
                    <xdr:rowOff>60960</xdr:rowOff>
                  </from>
                  <to>
                    <xdr:col>1</xdr:col>
                    <xdr:colOff>662940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CopyColumn_C">
                <anchor moveWithCells="1" sizeWithCells="1">
                  <from>
                    <xdr:col>2</xdr:col>
                    <xdr:colOff>121920</xdr:colOff>
                    <xdr:row>0</xdr:row>
                    <xdr:rowOff>60960</xdr:rowOff>
                  </from>
                  <to>
                    <xdr:col>2</xdr:col>
                    <xdr:colOff>662940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5" name="Button 15">
              <controlPr defaultSize="0" print="0" autoFill="0" autoPict="0" macro="[0]!CopyColumn_D">
                <anchor moveWithCells="1" sizeWithCells="1">
                  <from>
                    <xdr:col>3</xdr:col>
                    <xdr:colOff>121920</xdr:colOff>
                    <xdr:row>0</xdr:row>
                    <xdr:rowOff>60960</xdr:rowOff>
                  </from>
                  <to>
                    <xdr:col>3</xdr:col>
                    <xdr:colOff>662940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6" name="Button 16">
              <controlPr defaultSize="0" print="0" autoFill="0" autoPict="0" macro="[0]!CopyColumn_E">
                <anchor moveWithCells="1" sizeWithCells="1">
                  <from>
                    <xdr:col>4</xdr:col>
                    <xdr:colOff>121920</xdr:colOff>
                    <xdr:row>0</xdr:row>
                    <xdr:rowOff>60960</xdr:rowOff>
                  </from>
                  <to>
                    <xdr:col>4</xdr:col>
                    <xdr:colOff>662940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" name="Button 17">
              <controlPr defaultSize="0" print="0" autoFill="0" autoPict="0" macro="[0]!CopyColumn_F">
                <anchor moveWithCells="1" sizeWithCells="1">
                  <from>
                    <xdr:col>5</xdr:col>
                    <xdr:colOff>121920</xdr:colOff>
                    <xdr:row>0</xdr:row>
                    <xdr:rowOff>60960</xdr:rowOff>
                  </from>
                  <to>
                    <xdr:col>5</xdr:col>
                    <xdr:colOff>662940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8" name="Button 18">
              <controlPr defaultSize="0" print="0" autoFill="0" autoPict="0" macro="[0]!CopyColumn_G">
                <anchor moveWithCells="1" sizeWithCells="1">
                  <from>
                    <xdr:col>6</xdr:col>
                    <xdr:colOff>121920</xdr:colOff>
                    <xdr:row>0</xdr:row>
                    <xdr:rowOff>60960</xdr:rowOff>
                  </from>
                  <to>
                    <xdr:col>6</xdr:col>
                    <xdr:colOff>662940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9" name="Button 19">
              <controlPr defaultSize="0" print="0" autoFill="0" autoPict="0" macro="[0]!CopyColumn_H">
                <anchor moveWithCells="1" sizeWithCells="1">
                  <from>
                    <xdr:col>7</xdr:col>
                    <xdr:colOff>121920</xdr:colOff>
                    <xdr:row>0</xdr:row>
                    <xdr:rowOff>60960</xdr:rowOff>
                  </from>
                  <to>
                    <xdr:col>7</xdr:col>
                    <xdr:colOff>662940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10" name="Button 20">
              <controlPr defaultSize="0" print="0" autoFill="0" autoPict="0" macro="[0]!CopyColumn_I">
                <anchor moveWithCells="1" sizeWithCells="1">
                  <from>
                    <xdr:col>8</xdr:col>
                    <xdr:colOff>121920</xdr:colOff>
                    <xdr:row>0</xdr:row>
                    <xdr:rowOff>60960</xdr:rowOff>
                  </from>
                  <to>
                    <xdr:col>8</xdr:col>
                    <xdr:colOff>662940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11" name="Button 21">
              <controlPr defaultSize="0" print="0" autoFill="0" autoPict="0" macro="[0]!CopyColumn_J">
                <anchor moveWithCells="1" sizeWithCells="1">
                  <from>
                    <xdr:col>9</xdr:col>
                    <xdr:colOff>121920</xdr:colOff>
                    <xdr:row>0</xdr:row>
                    <xdr:rowOff>60960</xdr:rowOff>
                  </from>
                  <to>
                    <xdr:col>9</xdr:col>
                    <xdr:colOff>662940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12" name="Button 22">
              <controlPr defaultSize="0" print="0" autoFill="0" autoPict="0" macro="[0]!CopyColumn_K">
                <anchor moveWithCells="1" sizeWithCells="1">
                  <from>
                    <xdr:col>10</xdr:col>
                    <xdr:colOff>121920</xdr:colOff>
                    <xdr:row>0</xdr:row>
                    <xdr:rowOff>60960</xdr:rowOff>
                  </from>
                  <to>
                    <xdr:col>10</xdr:col>
                    <xdr:colOff>662940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13" name="Button 23">
              <controlPr defaultSize="0" print="0" autoFill="0" autoPict="0" macro="[0]!CopyColumn_L">
                <anchor moveWithCells="1" sizeWithCells="1">
                  <from>
                    <xdr:col>11</xdr:col>
                    <xdr:colOff>121920</xdr:colOff>
                    <xdr:row>0</xdr:row>
                    <xdr:rowOff>60960</xdr:rowOff>
                  </from>
                  <to>
                    <xdr:col>11</xdr:col>
                    <xdr:colOff>662940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14" name="Button 24">
              <controlPr defaultSize="0" print="0" autoFill="0" autoPict="0" macro="[0]!CopyColumn_M">
                <anchor moveWithCells="1" sizeWithCells="1">
                  <from>
                    <xdr:col>12</xdr:col>
                    <xdr:colOff>121920</xdr:colOff>
                    <xdr:row>0</xdr:row>
                    <xdr:rowOff>60960</xdr:rowOff>
                  </from>
                  <to>
                    <xdr:col>12</xdr:col>
                    <xdr:colOff>662940</xdr:colOff>
                    <xdr:row>0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  <outlinePr summaryBelow="0" summaryRight="0"/>
  </sheetPr>
  <dimension ref="A2:BA46"/>
  <sheetViews>
    <sheetView workbookViewId="0">
      <selection activeCell="I18" sqref="I18"/>
    </sheetView>
  </sheetViews>
  <sheetFormatPr defaultColWidth="12.6640625" defaultRowHeight="15.75" customHeight="1"/>
  <cols>
    <col min="1" max="1" width="5.21875" style="214" customWidth="1"/>
    <col min="2" max="2" width="5.6640625" style="214" customWidth="1"/>
    <col min="3" max="3" width="6.21875" style="214" customWidth="1"/>
    <col min="4" max="17" width="12.6640625" style="214"/>
    <col min="18" max="18" width="4.44140625" style="214" customWidth="1"/>
    <col min="19" max="19" width="5.33203125" style="214" customWidth="1"/>
    <col min="20" max="20" width="6.21875" style="214" customWidth="1"/>
    <col min="21" max="21" width="6.6640625" style="214" customWidth="1"/>
    <col min="22" max="35" width="12.6640625" style="214"/>
    <col min="36" max="39" width="3.77734375" style="214" customWidth="1"/>
    <col min="40" max="40" width="17.109375" style="214" customWidth="1"/>
    <col min="41" max="53" width="12.6640625" style="214" customWidth="1"/>
    <col min="54" max="16384" width="12.6640625" style="214"/>
  </cols>
  <sheetData>
    <row r="2" spans="1:53" ht="12">
      <c r="E2" s="215" t="s">
        <v>62</v>
      </c>
      <c r="W2" s="215" t="s">
        <v>62</v>
      </c>
      <c r="AO2" s="215" t="s">
        <v>62</v>
      </c>
    </row>
    <row r="3" spans="1:53" ht="14.4">
      <c r="A3" s="216"/>
      <c r="B3" s="217"/>
      <c r="C3" s="217"/>
      <c r="D3" s="217"/>
      <c r="E3" s="218">
        <f>'資金繰り実績予定表（詳細）'!B2</f>
        <v>45839</v>
      </c>
      <c r="F3" s="218">
        <f>'資金繰り実績予定表（詳細）'!C2</f>
        <v>45870</v>
      </c>
      <c r="G3" s="218">
        <f>'資金繰り実績予定表（詳細）'!D2</f>
        <v>45901</v>
      </c>
      <c r="H3" s="218">
        <f>'資金繰り実績予定表（詳細）'!E2</f>
        <v>45931</v>
      </c>
      <c r="I3" s="218">
        <f>'資金繰り実績予定表（詳細）'!F2</f>
        <v>45962</v>
      </c>
      <c r="J3" s="218">
        <f>'資金繰り実績予定表（詳細）'!G2</f>
        <v>45992</v>
      </c>
      <c r="K3" s="218">
        <f>'資金繰り実績予定表（詳細）'!H2</f>
        <v>46023</v>
      </c>
      <c r="L3" s="218">
        <f>'資金繰り実績予定表（詳細）'!I2</f>
        <v>46054</v>
      </c>
      <c r="M3" s="218">
        <f>'資金繰り実績予定表（詳細）'!J2</f>
        <v>46082</v>
      </c>
      <c r="N3" s="218">
        <f>'資金繰り実績予定表（詳細）'!K2</f>
        <v>46113</v>
      </c>
      <c r="O3" s="218">
        <f>'資金繰り実績予定表（詳細）'!L2</f>
        <v>46143</v>
      </c>
      <c r="P3" s="218">
        <f>'資金繰り実績予定表（詳細）'!M2</f>
        <v>46174</v>
      </c>
      <c r="Q3" s="219" t="s">
        <v>48</v>
      </c>
      <c r="S3" s="216"/>
      <c r="T3" s="217"/>
      <c r="U3" s="217"/>
      <c r="V3" s="217"/>
      <c r="W3" s="218">
        <f>'資金繰り実績予定表（詳細）'!P2</f>
        <v>0</v>
      </c>
      <c r="X3" s="218">
        <f>'資金繰り実績予定表（詳細）'!Q2</f>
        <v>0</v>
      </c>
      <c r="Y3" s="218">
        <f>'資金繰り実績予定表（詳細）'!R2</f>
        <v>0</v>
      </c>
      <c r="Z3" s="218">
        <f>'資金繰り実績予定表（詳細）'!S2</f>
        <v>0</v>
      </c>
      <c r="AA3" s="218">
        <f>'資金繰り実績予定表（詳細）'!T2</f>
        <v>0</v>
      </c>
      <c r="AB3" s="218">
        <f>'資金繰り実績予定表（詳細）'!U2</f>
        <v>0</v>
      </c>
      <c r="AC3" s="218">
        <f>'資金繰り実績予定表（詳細）'!V2</f>
        <v>0</v>
      </c>
      <c r="AD3" s="218">
        <f>'資金繰り実績予定表（詳細）'!W2</f>
        <v>0</v>
      </c>
      <c r="AE3" s="218">
        <f>'資金繰り実績予定表（詳細）'!X2</f>
        <v>0</v>
      </c>
      <c r="AF3" s="218">
        <f>'資金繰り実績予定表（詳細）'!Y2</f>
        <v>0</v>
      </c>
      <c r="AG3" s="218">
        <f>'資金繰り実績予定表（詳細）'!Z2</f>
        <v>0</v>
      </c>
      <c r="AH3" s="218">
        <f>'資金繰り実績予定表（詳細）'!AA2</f>
        <v>0</v>
      </c>
      <c r="AI3" s="219" t="s">
        <v>48</v>
      </c>
      <c r="AJ3" s="220"/>
      <c r="AK3" s="216"/>
      <c r="AL3" s="217"/>
      <c r="AM3" s="217"/>
      <c r="AN3" s="217"/>
      <c r="AO3" s="218">
        <f>'資金繰り実績予定表（詳細）'!AD2</f>
        <v>31</v>
      </c>
      <c r="AP3" s="218">
        <f>'資金繰り実績予定表（詳細）'!AE2</f>
        <v>59</v>
      </c>
      <c r="AQ3" s="218">
        <f>'資金繰り実績予定表（詳細）'!AF2</f>
        <v>88</v>
      </c>
      <c r="AR3" s="218">
        <f>'資金繰り実績予定表（詳細）'!AG2</f>
        <v>119</v>
      </c>
      <c r="AS3" s="218">
        <f>'資金繰り実績予定表（詳細）'!AH2</f>
        <v>149</v>
      </c>
      <c r="AT3" s="218">
        <f>'資金繰り実績予定表（詳細）'!AI2</f>
        <v>180</v>
      </c>
      <c r="AU3" s="218">
        <f>'資金繰り実績予定表（詳細）'!AJ2</f>
        <v>210</v>
      </c>
      <c r="AV3" s="218">
        <f>'資金繰り実績予定表（詳細）'!AK2</f>
        <v>241</v>
      </c>
      <c r="AW3" s="218">
        <f>'資金繰り実績予定表（詳細）'!AL2</f>
        <v>272</v>
      </c>
      <c r="AX3" s="218">
        <f>'資金繰り実績予定表（詳細）'!AM2</f>
        <v>302</v>
      </c>
      <c r="AY3" s="218">
        <f>'資金繰り実績予定表（詳細）'!AN2</f>
        <v>333</v>
      </c>
      <c r="AZ3" s="218">
        <f>'資金繰り実績予定表（詳細）'!AO2</f>
        <v>363</v>
      </c>
      <c r="BA3" s="219" t="s">
        <v>48</v>
      </c>
    </row>
    <row r="4" spans="1:53" ht="15" hidden="1">
      <c r="A4" s="315" t="s">
        <v>63</v>
      </c>
      <c r="B4" s="316"/>
      <c r="C4" s="316"/>
      <c r="D4" s="316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2">
        <v>0</v>
      </c>
      <c r="S4" s="315" t="s">
        <v>63</v>
      </c>
      <c r="T4" s="316"/>
      <c r="U4" s="316"/>
      <c r="V4" s="316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2">
        <v>0</v>
      </c>
      <c r="AJ4" s="223"/>
      <c r="AK4" s="315" t="s">
        <v>63</v>
      </c>
      <c r="AL4" s="316"/>
      <c r="AM4" s="316"/>
      <c r="AN4" s="316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2">
        <v>0</v>
      </c>
    </row>
    <row r="5" spans="1:53" ht="15" hidden="1">
      <c r="A5" s="308" t="s">
        <v>64</v>
      </c>
      <c r="B5" s="309"/>
      <c r="C5" s="309"/>
      <c r="D5" s="309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  <c r="Q5" s="225">
        <v>0</v>
      </c>
      <c r="S5" s="308" t="s">
        <v>64</v>
      </c>
      <c r="T5" s="309"/>
      <c r="U5" s="309"/>
      <c r="V5" s="309"/>
      <c r="W5" s="224"/>
      <c r="X5" s="224"/>
      <c r="Y5" s="224"/>
      <c r="Z5" s="224"/>
      <c r="AA5" s="224"/>
      <c r="AB5" s="224"/>
      <c r="AC5" s="224"/>
      <c r="AD5" s="224"/>
      <c r="AE5" s="224"/>
      <c r="AF5" s="224"/>
      <c r="AG5" s="224"/>
      <c r="AH5" s="224"/>
      <c r="AI5" s="225">
        <v>0</v>
      </c>
      <c r="AJ5" s="223"/>
      <c r="AK5" s="308" t="s">
        <v>64</v>
      </c>
      <c r="AL5" s="309"/>
      <c r="AM5" s="309"/>
      <c r="AN5" s="309"/>
      <c r="AO5" s="224"/>
      <c r="AP5" s="224"/>
      <c r="AQ5" s="224"/>
      <c r="AR5" s="224"/>
      <c r="AS5" s="224"/>
      <c r="AT5" s="224"/>
      <c r="AU5" s="224"/>
      <c r="AV5" s="224"/>
      <c r="AW5" s="224"/>
      <c r="AX5" s="224"/>
      <c r="AY5" s="224"/>
      <c r="AZ5" s="224"/>
      <c r="BA5" s="225">
        <v>0</v>
      </c>
    </row>
    <row r="6" spans="1:53" ht="15">
      <c r="A6" s="315" t="s">
        <v>65</v>
      </c>
      <c r="B6" s="316"/>
      <c r="C6" s="316"/>
      <c r="D6" s="316"/>
      <c r="E6" s="226">
        <f>'資金繰り実績予定表（詳細）'!B56</f>
        <v>0</v>
      </c>
      <c r="F6" s="226">
        <f t="shared" ref="F6:P6" si="0">E46</f>
        <v>4232494</v>
      </c>
      <c r="G6" s="226">
        <f t="shared" si="0"/>
        <v>7142110</v>
      </c>
      <c r="H6" s="226">
        <f t="shared" si="0"/>
        <v>1766583</v>
      </c>
      <c r="I6" s="226">
        <f t="shared" si="0"/>
        <v>6409939</v>
      </c>
      <c r="J6" s="226">
        <f t="shared" si="0"/>
        <v>5071473</v>
      </c>
      <c r="K6" s="226">
        <f t="shared" si="0"/>
        <v>11532857</v>
      </c>
      <c r="L6" s="226">
        <f t="shared" si="0"/>
        <v>21833002</v>
      </c>
      <c r="M6" s="226">
        <f t="shared" si="0"/>
        <v>34616034</v>
      </c>
      <c r="N6" s="226">
        <f t="shared" si="0"/>
        <v>21576806</v>
      </c>
      <c r="O6" s="226">
        <f t="shared" si="0"/>
        <v>21576806</v>
      </c>
      <c r="P6" s="226">
        <f t="shared" si="0"/>
        <v>21576806</v>
      </c>
      <c r="Q6" s="227"/>
      <c r="S6" s="315" t="s">
        <v>65</v>
      </c>
      <c r="T6" s="316"/>
      <c r="U6" s="316"/>
      <c r="V6" s="316"/>
      <c r="W6" s="226">
        <f>P46</f>
        <v>21576806</v>
      </c>
      <c r="X6" s="226">
        <f t="shared" ref="X6:AH6" si="1">W46</f>
        <v>21576806</v>
      </c>
      <c r="Y6" s="226">
        <f t="shared" si="1"/>
        <v>21576806</v>
      </c>
      <c r="Z6" s="226">
        <f t="shared" si="1"/>
        <v>21576806</v>
      </c>
      <c r="AA6" s="226">
        <f t="shared" si="1"/>
        <v>21576806</v>
      </c>
      <c r="AB6" s="226">
        <f t="shared" si="1"/>
        <v>21576806</v>
      </c>
      <c r="AC6" s="226">
        <f t="shared" si="1"/>
        <v>21576806</v>
      </c>
      <c r="AD6" s="226">
        <f t="shared" si="1"/>
        <v>21576806</v>
      </c>
      <c r="AE6" s="226">
        <f t="shared" si="1"/>
        <v>21576806</v>
      </c>
      <c r="AF6" s="226">
        <f t="shared" si="1"/>
        <v>21576806</v>
      </c>
      <c r="AG6" s="226">
        <f t="shared" si="1"/>
        <v>21576806</v>
      </c>
      <c r="AH6" s="226">
        <f t="shared" si="1"/>
        <v>21576806</v>
      </c>
      <c r="AI6" s="227"/>
      <c r="AJ6" s="228"/>
      <c r="AK6" s="315" t="s">
        <v>65</v>
      </c>
      <c r="AL6" s="316"/>
      <c r="AM6" s="316"/>
      <c r="AN6" s="316"/>
      <c r="AO6" s="226">
        <f>AH46</f>
        <v>21576806</v>
      </c>
      <c r="AP6" s="226">
        <f t="shared" ref="AP6:AZ6" si="2">AO46</f>
        <v>21576806</v>
      </c>
      <c r="AQ6" s="226">
        <f t="shared" si="2"/>
        <v>21576806</v>
      </c>
      <c r="AR6" s="226">
        <f t="shared" si="2"/>
        <v>21576806</v>
      </c>
      <c r="AS6" s="226">
        <f t="shared" si="2"/>
        <v>21576806</v>
      </c>
      <c r="AT6" s="226">
        <f t="shared" si="2"/>
        <v>21576806</v>
      </c>
      <c r="AU6" s="226">
        <f t="shared" si="2"/>
        <v>21576806</v>
      </c>
      <c r="AV6" s="226">
        <f t="shared" si="2"/>
        <v>21576806</v>
      </c>
      <c r="AW6" s="226">
        <f t="shared" si="2"/>
        <v>21576806</v>
      </c>
      <c r="AX6" s="226">
        <f t="shared" si="2"/>
        <v>21576806</v>
      </c>
      <c r="AY6" s="226">
        <f t="shared" si="2"/>
        <v>21576806</v>
      </c>
      <c r="AZ6" s="226">
        <f t="shared" si="2"/>
        <v>21576806</v>
      </c>
      <c r="BA6" s="227"/>
    </row>
    <row r="7" spans="1:53" ht="15">
      <c r="A7" s="229"/>
      <c r="B7" s="230"/>
      <c r="C7" s="231"/>
      <c r="D7" s="232" t="s">
        <v>66</v>
      </c>
      <c r="E7" s="233">
        <v>0</v>
      </c>
      <c r="F7" s="233"/>
      <c r="G7" s="233"/>
      <c r="H7" s="233"/>
      <c r="I7" s="233"/>
      <c r="J7" s="233"/>
      <c r="K7" s="233"/>
      <c r="L7" s="233"/>
      <c r="M7" s="233"/>
      <c r="N7" s="233"/>
      <c r="O7" s="233"/>
      <c r="P7" s="233"/>
      <c r="Q7" s="234">
        <f t="shared" ref="Q7:Q14" si="3">SUM(E7:P7)</f>
        <v>0</v>
      </c>
      <c r="R7" s="235"/>
      <c r="S7" s="236"/>
      <c r="T7" s="237"/>
      <c r="U7" s="238"/>
      <c r="V7" s="239" t="s">
        <v>66</v>
      </c>
      <c r="W7" s="233"/>
      <c r="X7" s="233"/>
      <c r="Y7" s="233"/>
      <c r="Z7" s="233"/>
      <c r="AA7" s="233"/>
      <c r="AB7" s="233"/>
      <c r="AC7" s="233"/>
      <c r="AD7" s="233"/>
      <c r="AE7" s="233"/>
      <c r="AF7" s="233"/>
      <c r="AG7" s="233"/>
      <c r="AH7" s="233"/>
      <c r="AI7" s="234">
        <f t="shared" ref="AI7:AI14" si="4">SUM(W7:AH7)</f>
        <v>0</v>
      </c>
      <c r="AJ7" s="240"/>
      <c r="AK7" s="236"/>
      <c r="AL7" s="237"/>
      <c r="AM7" s="238"/>
      <c r="AN7" s="239" t="s">
        <v>66</v>
      </c>
      <c r="AO7" s="233"/>
      <c r="AP7" s="233"/>
      <c r="AQ7" s="233"/>
      <c r="AR7" s="233"/>
      <c r="AS7" s="233"/>
      <c r="AT7" s="233"/>
      <c r="AU7" s="233"/>
      <c r="AV7" s="233"/>
      <c r="AW7" s="233"/>
      <c r="AX7" s="233"/>
      <c r="AY7" s="233"/>
      <c r="AZ7" s="233"/>
      <c r="BA7" s="234">
        <f t="shared" ref="BA7:BA14" si="5">SUM(AO7:AZ7)</f>
        <v>0</v>
      </c>
    </row>
    <row r="8" spans="1:53" ht="15">
      <c r="A8" s="229"/>
      <c r="B8" s="230"/>
      <c r="C8" s="231" t="s">
        <v>67</v>
      </c>
      <c r="D8" s="241" t="s">
        <v>68</v>
      </c>
      <c r="E8" s="242">
        <f>'資金繰り実績予定表（詳細）'!B3-E7-SUM(E9:E13)</f>
        <v>54397318</v>
      </c>
      <c r="F8" s="242">
        <f>'資金繰り実績予定表（詳細）'!C3-F7-SUM(F9:F13)</f>
        <v>36633326</v>
      </c>
      <c r="G8" s="242">
        <f>'資金繰り実績予定表（詳細）'!D3-G7-SUM(G9:G13)</f>
        <v>27663609</v>
      </c>
      <c r="H8" s="242">
        <f>'資金繰り実績予定表（詳細）'!E3-H7-SUM(H9:H13)</f>
        <v>40698359</v>
      </c>
      <c r="I8" s="242">
        <f>'資金繰り実績予定表（詳細）'!F3-I7-SUM(I9:I13)</f>
        <v>32379584</v>
      </c>
      <c r="J8" s="242">
        <f>'資金繰り実績予定表（詳細）'!G3-J7-SUM(J9:J13)</f>
        <v>25729152</v>
      </c>
      <c r="K8" s="242">
        <f>'資金繰り実績予定表（詳細）'!H3-K7-SUM(K9:K13)</f>
        <v>54558653</v>
      </c>
      <c r="L8" s="242">
        <f>'資金繰り実績予定表（詳細）'!I3-L7-SUM(L9:L13)</f>
        <v>51184381</v>
      </c>
      <c r="M8" s="242">
        <f>'資金繰り実績予定表（詳細）'!J3-M7-SUM(M9:M13)</f>
        <v>18835978</v>
      </c>
      <c r="N8" s="242">
        <f>'資金繰り実績予定表（詳細）'!K3-N7-SUM(N9:N13)</f>
        <v>0</v>
      </c>
      <c r="O8" s="242">
        <f>'資金繰り実績予定表（詳細）'!L3-O7-SUM(O9:O13)</f>
        <v>0</v>
      </c>
      <c r="P8" s="242">
        <f>'資金繰り実績予定表（詳細）'!M3-P7-SUM(P9:P13)</f>
        <v>0</v>
      </c>
      <c r="Q8" s="242">
        <f t="shared" si="3"/>
        <v>342080360</v>
      </c>
      <c r="R8" s="235"/>
      <c r="S8" s="236"/>
      <c r="T8" s="237"/>
      <c r="U8" s="238" t="s">
        <v>67</v>
      </c>
      <c r="V8" s="243" t="s">
        <v>68</v>
      </c>
      <c r="W8" s="242">
        <f>'資金繰り実績予定表（詳細）'!P3-W7-SUM(W9:W13)</f>
        <v>0</v>
      </c>
      <c r="X8" s="242">
        <f>'資金繰り実績予定表（詳細）'!Q3-X7-SUM(X9:X13)</f>
        <v>0</v>
      </c>
      <c r="Y8" s="242">
        <f>'資金繰り実績予定表（詳細）'!R3-Y7-SUM(Y9:Y13)</f>
        <v>0</v>
      </c>
      <c r="Z8" s="242">
        <f>'資金繰り実績予定表（詳細）'!S3-Z7-SUM(Z9:Z13)</f>
        <v>0</v>
      </c>
      <c r="AA8" s="242">
        <f>'資金繰り実績予定表（詳細）'!T3-AA7-SUM(AA9:AA13)</f>
        <v>0</v>
      </c>
      <c r="AB8" s="242">
        <f>'資金繰り実績予定表（詳細）'!U3-AB7-SUM(AB9:AB13)</f>
        <v>0</v>
      </c>
      <c r="AC8" s="242">
        <f>'資金繰り実績予定表（詳細）'!V3-AC7-SUM(AC9:AC13)</f>
        <v>0</v>
      </c>
      <c r="AD8" s="242">
        <f>'資金繰り実績予定表（詳細）'!W3-AD7-SUM(AD9:AD13)</f>
        <v>0</v>
      </c>
      <c r="AE8" s="242">
        <f>'資金繰り実績予定表（詳細）'!X3-AE7-SUM(AE9:AE13)</f>
        <v>0</v>
      </c>
      <c r="AF8" s="242">
        <f>'資金繰り実績予定表（詳細）'!Y3-AF7-SUM(AF9:AF13)</f>
        <v>0</v>
      </c>
      <c r="AG8" s="242">
        <f>'資金繰り実績予定表（詳細）'!Z3-AG7-SUM(AG9:AG13)</f>
        <v>0</v>
      </c>
      <c r="AH8" s="242">
        <f>'資金繰り実績予定表（詳細）'!AA3-AH7-SUM(AH9:AH13)</f>
        <v>0</v>
      </c>
      <c r="AI8" s="242">
        <f t="shared" si="4"/>
        <v>0</v>
      </c>
      <c r="AJ8" s="240"/>
      <c r="AK8" s="236"/>
      <c r="AL8" s="237"/>
      <c r="AM8" s="238" t="s">
        <v>67</v>
      </c>
      <c r="AN8" s="243" t="s">
        <v>68</v>
      </c>
      <c r="AO8" s="242">
        <f>'資金繰り実績予定表（詳細）'!AD3-AO7-SUM(AO9:AO13)</f>
        <v>0</v>
      </c>
      <c r="AP8" s="242">
        <f>'資金繰り実績予定表（詳細）'!AE3-AP7-SUM(AP9:AP13)</f>
        <v>0</v>
      </c>
      <c r="AQ8" s="242">
        <f>'資金繰り実績予定表（詳細）'!AF3-AQ7-SUM(AQ9:AQ13)</f>
        <v>0</v>
      </c>
      <c r="AR8" s="242">
        <f>'資金繰り実績予定表（詳細）'!AG3-AR7-SUM(AR9:AR13)</f>
        <v>0</v>
      </c>
      <c r="AS8" s="242">
        <f>'資金繰り実績予定表（詳細）'!AH3-AS7-SUM(AS9:AS13)</f>
        <v>0</v>
      </c>
      <c r="AT8" s="242">
        <f>'資金繰り実績予定表（詳細）'!AI3-AT7-SUM(AT9:AT13)</f>
        <v>0</v>
      </c>
      <c r="AU8" s="242">
        <f>'資金繰り実績予定表（詳細）'!AJ3-AU7-SUM(AU9:AU13)</f>
        <v>0</v>
      </c>
      <c r="AV8" s="242">
        <f>'資金繰り実績予定表（詳細）'!AK3-AV7-SUM(AV9:AV13)</f>
        <v>0</v>
      </c>
      <c r="AW8" s="242">
        <f>'資金繰り実績予定表（詳細）'!AL3-AW7-SUM(AW9:AW13)</f>
        <v>0</v>
      </c>
      <c r="AX8" s="242">
        <f>'資金繰り実績予定表（詳細）'!AM3-AX7-SUM(AX9:AX13)</f>
        <v>0</v>
      </c>
      <c r="AY8" s="242">
        <f>'資金繰り実績予定表（詳細）'!AN3-AY7-SUM(AY9:AY13)</f>
        <v>0</v>
      </c>
      <c r="AZ8" s="242">
        <f>'資金繰り実績予定表（詳細）'!AO3-AZ7-SUM(AZ9:AZ13)</f>
        <v>0</v>
      </c>
      <c r="BA8" s="242">
        <f t="shared" si="5"/>
        <v>0</v>
      </c>
    </row>
    <row r="9" spans="1:53" ht="15">
      <c r="A9" s="229"/>
      <c r="B9" s="230" t="s">
        <v>69</v>
      </c>
      <c r="C9" s="231" t="s">
        <v>70</v>
      </c>
      <c r="D9" s="244" t="s">
        <v>71</v>
      </c>
      <c r="E9" s="245"/>
      <c r="F9" s="245"/>
      <c r="G9" s="245"/>
      <c r="H9" s="246"/>
      <c r="I9" s="245"/>
      <c r="J9" s="245"/>
      <c r="K9" s="245"/>
      <c r="L9" s="245"/>
      <c r="M9" s="245"/>
      <c r="N9" s="245"/>
      <c r="O9" s="245"/>
      <c r="P9" s="245"/>
      <c r="Q9" s="247">
        <f t="shared" si="3"/>
        <v>0</v>
      </c>
      <c r="R9" s="235"/>
      <c r="S9" s="236"/>
      <c r="T9" s="237" t="s">
        <v>69</v>
      </c>
      <c r="U9" s="238" t="s">
        <v>70</v>
      </c>
      <c r="V9" s="248" t="s">
        <v>72</v>
      </c>
      <c r="W9" s="245"/>
      <c r="X9" s="245"/>
      <c r="Y9" s="245"/>
      <c r="Z9" s="246"/>
      <c r="AA9" s="245"/>
      <c r="AB9" s="245"/>
      <c r="AC9" s="245"/>
      <c r="AD9" s="245"/>
      <c r="AE9" s="245"/>
      <c r="AF9" s="245"/>
      <c r="AG9" s="245"/>
      <c r="AH9" s="245"/>
      <c r="AI9" s="242">
        <f t="shared" si="4"/>
        <v>0</v>
      </c>
      <c r="AJ9" s="240"/>
      <c r="AK9" s="236"/>
      <c r="AL9" s="237" t="s">
        <v>69</v>
      </c>
      <c r="AM9" s="238" t="s">
        <v>70</v>
      </c>
      <c r="AN9" s="248" t="s">
        <v>72</v>
      </c>
      <c r="AO9" s="245"/>
      <c r="AP9" s="245"/>
      <c r="AQ9" s="245"/>
      <c r="AR9" s="245"/>
      <c r="AS9" s="245"/>
      <c r="AT9" s="245"/>
      <c r="AU9" s="245"/>
      <c r="AV9" s="245"/>
      <c r="AW9" s="245"/>
      <c r="AX9" s="245"/>
      <c r="AY9" s="245"/>
      <c r="AZ9" s="245"/>
      <c r="BA9" s="242">
        <f t="shared" si="5"/>
        <v>0</v>
      </c>
    </row>
    <row r="10" spans="1:53" ht="15">
      <c r="A10" s="229"/>
      <c r="B10" s="230"/>
      <c r="C10" s="231" t="s">
        <v>73</v>
      </c>
      <c r="D10" s="244" t="s">
        <v>74</v>
      </c>
      <c r="E10" s="245"/>
      <c r="F10" s="245"/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2">
        <f t="shared" si="3"/>
        <v>0</v>
      </c>
      <c r="R10" s="235"/>
      <c r="S10" s="236"/>
      <c r="T10" s="237"/>
      <c r="U10" s="238" t="s">
        <v>73</v>
      </c>
      <c r="V10" s="248" t="s">
        <v>71</v>
      </c>
      <c r="W10" s="245"/>
      <c r="X10" s="245"/>
      <c r="Y10" s="245"/>
      <c r="Z10" s="245"/>
      <c r="AA10" s="245"/>
      <c r="AB10" s="245"/>
      <c r="AC10" s="245"/>
      <c r="AD10" s="245"/>
      <c r="AE10" s="245"/>
      <c r="AF10" s="245"/>
      <c r="AG10" s="245"/>
      <c r="AH10" s="245"/>
      <c r="AI10" s="242">
        <f t="shared" si="4"/>
        <v>0</v>
      </c>
      <c r="AJ10" s="240"/>
      <c r="AK10" s="236"/>
      <c r="AL10" s="237"/>
      <c r="AM10" s="238" t="s">
        <v>73</v>
      </c>
      <c r="AN10" s="248" t="s">
        <v>71</v>
      </c>
      <c r="AO10" s="245"/>
      <c r="AP10" s="245"/>
      <c r="AQ10" s="245"/>
      <c r="AR10" s="245"/>
      <c r="AS10" s="245"/>
      <c r="AT10" s="245"/>
      <c r="AU10" s="245"/>
      <c r="AV10" s="245"/>
      <c r="AW10" s="245"/>
      <c r="AX10" s="245"/>
      <c r="AY10" s="245"/>
      <c r="AZ10" s="245"/>
      <c r="BA10" s="242">
        <f t="shared" si="5"/>
        <v>0</v>
      </c>
    </row>
    <row r="11" spans="1:53" ht="15">
      <c r="A11" s="229" t="s">
        <v>75</v>
      </c>
      <c r="B11" s="230"/>
      <c r="C11" s="231" t="s">
        <v>76</v>
      </c>
      <c r="D11" s="249"/>
      <c r="E11" s="245"/>
      <c r="F11" s="245"/>
      <c r="G11" s="245"/>
      <c r="H11" s="245"/>
      <c r="I11" s="245"/>
      <c r="J11" s="245"/>
      <c r="K11" s="245"/>
      <c r="L11" s="245"/>
      <c r="M11" s="245"/>
      <c r="N11" s="245"/>
      <c r="O11" s="245"/>
      <c r="P11" s="245"/>
      <c r="Q11" s="242">
        <f t="shared" si="3"/>
        <v>0</v>
      </c>
      <c r="R11" s="235"/>
      <c r="S11" s="236" t="s">
        <v>75</v>
      </c>
      <c r="T11" s="237"/>
      <c r="U11" s="238" t="s">
        <v>76</v>
      </c>
      <c r="V11" s="248" t="s">
        <v>74</v>
      </c>
      <c r="W11" s="245"/>
      <c r="X11" s="245"/>
      <c r="Y11" s="245"/>
      <c r="Z11" s="245"/>
      <c r="AA11" s="245"/>
      <c r="AB11" s="245"/>
      <c r="AC11" s="245"/>
      <c r="AD11" s="245"/>
      <c r="AE11" s="245"/>
      <c r="AF11" s="245"/>
      <c r="AG11" s="245"/>
      <c r="AH11" s="245"/>
      <c r="AI11" s="242">
        <f t="shared" si="4"/>
        <v>0</v>
      </c>
      <c r="AJ11" s="240"/>
      <c r="AK11" s="236" t="s">
        <v>75</v>
      </c>
      <c r="AL11" s="237"/>
      <c r="AM11" s="238" t="s">
        <v>76</v>
      </c>
      <c r="AN11" s="248" t="s">
        <v>74</v>
      </c>
      <c r="AO11" s="245"/>
      <c r="AP11" s="245"/>
      <c r="AQ11" s="245"/>
      <c r="AR11" s="245"/>
      <c r="AS11" s="245"/>
      <c r="AT11" s="245"/>
      <c r="AU11" s="245"/>
      <c r="AV11" s="245"/>
      <c r="AW11" s="245"/>
      <c r="AX11" s="245"/>
      <c r="AY11" s="245"/>
      <c r="AZ11" s="245"/>
      <c r="BA11" s="242">
        <f t="shared" si="5"/>
        <v>0</v>
      </c>
    </row>
    <row r="12" spans="1:53" ht="15">
      <c r="A12" s="229"/>
      <c r="B12" s="230"/>
      <c r="C12" s="231"/>
      <c r="D12" s="250"/>
      <c r="E12" s="233"/>
      <c r="F12" s="233"/>
      <c r="G12" s="233"/>
      <c r="H12" s="233"/>
      <c r="I12" s="233"/>
      <c r="J12" s="233"/>
      <c r="K12" s="233"/>
      <c r="L12" s="233"/>
      <c r="M12" s="233"/>
      <c r="N12" s="233"/>
      <c r="O12" s="233"/>
      <c r="P12" s="233"/>
      <c r="Q12" s="234">
        <f t="shared" si="3"/>
        <v>0</v>
      </c>
      <c r="R12" s="235"/>
      <c r="S12" s="236"/>
      <c r="T12" s="237"/>
      <c r="U12" s="238"/>
      <c r="V12" s="251"/>
      <c r="W12" s="233"/>
      <c r="X12" s="233"/>
      <c r="Y12" s="233"/>
      <c r="Z12" s="233"/>
      <c r="AA12" s="233"/>
      <c r="AB12" s="233"/>
      <c r="AC12" s="233"/>
      <c r="AD12" s="233"/>
      <c r="AE12" s="233"/>
      <c r="AF12" s="233"/>
      <c r="AG12" s="233"/>
      <c r="AH12" s="233"/>
      <c r="AI12" s="234">
        <f t="shared" si="4"/>
        <v>0</v>
      </c>
      <c r="AJ12" s="240"/>
      <c r="AK12" s="236"/>
      <c r="AL12" s="237"/>
      <c r="AM12" s="238"/>
      <c r="AN12" s="251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4">
        <f t="shared" si="5"/>
        <v>0</v>
      </c>
    </row>
    <row r="13" spans="1:53" ht="15">
      <c r="A13" s="229"/>
      <c r="B13" s="230" t="s">
        <v>77</v>
      </c>
      <c r="C13" s="252"/>
      <c r="D13" s="253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5">
        <f t="shared" si="3"/>
        <v>0</v>
      </c>
      <c r="R13" s="235"/>
      <c r="S13" s="236"/>
      <c r="T13" s="237" t="s">
        <v>77</v>
      </c>
      <c r="U13" s="256"/>
      <c r="V13" s="257"/>
      <c r="W13" s="254"/>
      <c r="X13" s="254"/>
      <c r="Y13" s="254"/>
      <c r="Z13" s="254"/>
      <c r="AA13" s="254"/>
      <c r="AB13" s="254"/>
      <c r="AC13" s="254"/>
      <c r="AD13" s="254"/>
      <c r="AE13" s="254"/>
      <c r="AF13" s="254"/>
      <c r="AG13" s="254"/>
      <c r="AH13" s="254"/>
      <c r="AI13" s="255">
        <f t="shared" si="4"/>
        <v>0</v>
      </c>
      <c r="AJ13" s="240"/>
      <c r="AK13" s="236"/>
      <c r="AL13" s="237" t="s">
        <v>77</v>
      </c>
      <c r="AM13" s="256"/>
      <c r="AN13" s="257"/>
      <c r="AO13" s="254"/>
      <c r="AP13" s="254"/>
      <c r="AQ13" s="254"/>
      <c r="AR13" s="254"/>
      <c r="AS13" s="254"/>
      <c r="AT13" s="254"/>
      <c r="AU13" s="254"/>
      <c r="AV13" s="254"/>
      <c r="AW13" s="254"/>
      <c r="AX13" s="254"/>
      <c r="AY13" s="254"/>
      <c r="AZ13" s="254"/>
      <c r="BA13" s="255">
        <f t="shared" si="5"/>
        <v>0</v>
      </c>
    </row>
    <row r="14" spans="1:53" ht="15">
      <c r="A14" s="229"/>
      <c r="B14" s="230"/>
      <c r="C14" s="314" t="s">
        <v>78</v>
      </c>
      <c r="D14" s="309"/>
      <c r="E14" s="234">
        <f>'資金繰り実績予定表（詳細）'!B4</f>
        <v>169220</v>
      </c>
      <c r="F14" s="234">
        <f>'資金繰り実績予定表（詳細）'!C4</f>
        <v>488103</v>
      </c>
      <c r="G14" s="234">
        <f>'資金繰り実績予定表（詳細）'!D4</f>
        <v>341540</v>
      </c>
      <c r="H14" s="234">
        <f>'資金繰り実績予定表（詳細）'!E4</f>
        <v>283198</v>
      </c>
      <c r="I14" s="234">
        <f>'資金繰り実績予定表（詳細）'!F4</f>
        <v>394321</v>
      </c>
      <c r="J14" s="234">
        <f>'資金繰り実績予定表（詳細）'!G4</f>
        <v>2009209</v>
      </c>
      <c r="K14" s="234">
        <f>'資金繰り実績予定表（詳細）'!H4</f>
        <v>282433</v>
      </c>
      <c r="L14" s="234">
        <f>'資金繰り実績予定表（詳細）'!I4</f>
        <v>282868</v>
      </c>
      <c r="M14" s="234">
        <f>'資金繰り実績予定表（詳細）'!J4</f>
        <v>282653</v>
      </c>
      <c r="N14" s="234">
        <f>'資金繰り実績予定表（詳細）'!K4</f>
        <v>0</v>
      </c>
      <c r="O14" s="234">
        <f>'資金繰り実績予定表（詳細）'!L4</f>
        <v>0</v>
      </c>
      <c r="P14" s="234">
        <f>'資金繰り実績予定表（詳細）'!M4</f>
        <v>0</v>
      </c>
      <c r="Q14" s="234">
        <f t="shared" si="3"/>
        <v>4533545</v>
      </c>
      <c r="R14" s="235"/>
      <c r="S14" s="236"/>
      <c r="T14" s="237"/>
      <c r="U14" s="318" t="s">
        <v>78</v>
      </c>
      <c r="V14" s="309"/>
      <c r="W14" s="234">
        <f>'資金繰り実績予定表（詳細）'!P4</f>
        <v>0</v>
      </c>
      <c r="X14" s="234">
        <f>'資金繰り実績予定表（詳細）'!Q4</f>
        <v>0</v>
      </c>
      <c r="Y14" s="234">
        <f>'資金繰り実績予定表（詳細）'!R4</f>
        <v>0</v>
      </c>
      <c r="Z14" s="234">
        <f>'資金繰り実績予定表（詳細）'!S4</f>
        <v>0</v>
      </c>
      <c r="AA14" s="234">
        <f>'資金繰り実績予定表（詳細）'!T4</f>
        <v>0</v>
      </c>
      <c r="AB14" s="234">
        <f>'資金繰り実績予定表（詳細）'!U4</f>
        <v>0</v>
      </c>
      <c r="AC14" s="234">
        <f>'資金繰り実績予定表（詳細）'!V4</f>
        <v>0</v>
      </c>
      <c r="AD14" s="234">
        <f>'資金繰り実績予定表（詳細）'!W4</f>
        <v>0</v>
      </c>
      <c r="AE14" s="234">
        <f>'資金繰り実績予定表（詳細）'!X4</f>
        <v>0</v>
      </c>
      <c r="AF14" s="234">
        <f>'資金繰り実績予定表（詳細）'!Y4</f>
        <v>0</v>
      </c>
      <c r="AG14" s="234">
        <f>'資金繰り実績予定表（詳細）'!Z4</f>
        <v>0</v>
      </c>
      <c r="AH14" s="234">
        <f>'資金繰り実績予定表（詳細）'!AA4</f>
        <v>0</v>
      </c>
      <c r="AI14" s="234">
        <f t="shared" si="4"/>
        <v>0</v>
      </c>
      <c r="AJ14" s="240"/>
      <c r="AK14" s="236"/>
      <c r="AL14" s="237"/>
      <c r="AM14" s="318" t="s">
        <v>78</v>
      </c>
      <c r="AN14" s="309"/>
      <c r="AO14" s="234">
        <f>'資金繰り実績予定表（詳細）'!AD4</f>
        <v>0</v>
      </c>
      <c r="AP14" s="234">
        <f>'資金繰り実績予定表（詳細）'!AE4</f>
        <v>0</v>
      </c>
      <c r="AQ14" s="234">
        <f>'資金繰り実績予定表（詳細）'!AF4</f>
        <v>0</v>
      </c>
      <c r="AR14" s="234">
        <f>'資金繰り実績予定表（詳細）'!AG4</f>
        <v>0</v>
      </c>
      <c r="AS14" s="234">
        <f>'資金繰り実績予定表（詳細）'!AH4</f>
        <v>0</v>
      </c>
      <c r="AT14" s="234">
        <f>'資金繰り実績予定表（詳細）'!AI4</f>
        <v>0</v>
      </c>
      <c r="AU14" s="234">
        <f>'資金繰り実績予定表（詳細）'!AJ4</f>
        <v>0</v>
      </c>
      <c r="AV14" s="234">
        <f>'資金繰り実績予定表（詳細）'!AK4</f>
        <v>0</v>
      </c>
      <c r="AW14" s="234">
        <f>'資金繰り実績予定表（詳細）'!AL4</f>
        <v>0</v>
      </c>
      <c r="AX14" s="234">
        <f>'資金繰り実績予定表（詳細）'!AM4</f>
        <v>0</v>
      </c>
      <c r="AY14" s="234">
        <f>'資金繰り実績予定表（詳細）'!AN4</f>
        <v>0</v>
      </c>
      <c r="AZ14" s="234">
        <f>'資金繰り実績予定表（詳細）'!AO4</f>
        <v>0</v>
      </c>
      <c r="BA14" s="234">
        <f t="shared" si="5"/>
        <v>0</v>
      </c>
    </row>
    <row r="15" spans="1:53" ht="15">
      <c r="A15" s="229" t="s">
        <v>79</v>
      </c>
      <c r="B15" s="230"/>
      <c r="C15" s="315" t="s">
        <v>80</v>
      </c>
      <c r="D15" s="316"/>
      <c r="E15" s="226">
        <f t="shared" ref="E15:Q15" si="6">SUM(E7:E14)</f>
        <v>54566538</v>
      </c>
      <c r="F15" s="226">
        <f t="shared" si="6"/>
        <v>37121429</v>
      </c>
      <c r="G15" s="226">
        <f t="shared" si="6"/>
        <v>28005149</v>
      </c>
      <c r="H15" s="226">
        <f t="shared" si="6"/>
        <v>40981557</v>
      </c>
      <c r="I15" s="226">
        <f t="shared" si="6"/>
        <v>32773905</v>
      </c>
      <c r="J15" s="226">
        <f t="shared" si="6"/>
        <v>27738361</v>
      </c>
      <c r="K15" s="226">
        <f t="shared" si="6"/>
        <v>54841086</v>
      </c>
      <c r="L15" s="226">
        <f t="shared" si="6"/>
        <v>51467249</v>
      </c>
      <c r="M15" s="226">
        <f t="shared" si="6"/>
        <v>19118631</v>
      </c>
      <c r="N15" s="226">
        <f t="shared" si="6"/>
        <v>0</v>
      </c>
      <c r="O15" s="226">
        <f t="shared" si="6"/>
        <v>0</v>
      </c>
      <c r="P15" s="226">
        <f t="shared" si="6"/>
        <v>0</v>
      </c>
      <c r="Q15" s="226">
        <f t="shared" si="6"/>
        <v>346613905</v>
      </c>
      <c r="R15" s="235"/>
      <c r="S15" s="236" t="s">
        <v>79</v>
      </c>
      <c r="T15" s="237"/>
      <c r="U15" s="324" t="s">
        <v>80</v>
      </c>
      <c r="V15" s="316"/>
      <c r="W15" s="226">
        <f t="shared" ref="W15:AI15" si="7">SUM(W7:W14)</f>
        <v>0</v>
      </c>
      <c r="X15" s="226">
        <f t="shared" si="7"/>
        <v>0</v>
      </c>
      <c r="Y15" s="226">
        <f t="shared" si="7"/>
        <v>0</v>
      </c>
      <c r="Z15" s="226">
        <f t="shared" si="7"/>
        <v>0</v>
      </c>
      <c r="AA15" s="226">
        <f t="shared" si="7"/>
        <v>0</v>
      </c>
      <c r="AB15" s="226">
        <f t="shared" si="7"/>
        <v>0</v>
      </c>
      <c r="AC15" s="226">
        <f t="shared" si="7"/>
        <v>0</v>
      </c>
      <c r="AD15" s="226">
        <f t="shared" si="7"/>
        <v>0</v>
      </c>
      <c r="AE15" s="226">
        <f t="shared" si="7"/>
        <v>0</v>
      </c>
      <c r="AF15" s="226">
        <f t="shared" si="7"/>
        <v>0</v>
      </c>
      <c r="AG15" s="226">
        <f t="shared" si="7"/>
        <v>0</v>
      </c>
      <c r="AH15" s="226">
        <f t="shared" si="7"/>
        <v>0</v>
      </c>
      <c r="AI15" s="226">
        <f t="shared" si="7"/>
        <v>0</v>
      </c>
      <c r="AJ15" s="240"/>
      <c r="AK15" s="236" t="s">
        <v>79</v>
      </c>
      <c r="AL15" s="237"/>
      <c r="AM15" s="324" t="s">
        <v>80</v>
      </c>
      <c r="AN15" s="316"/>
      <c r="AO15" s="226">
        <f t="shared" ref="AO15:BA15" si="8">SUM(AO7:AO14)</f>
        <v>0</v>
      </c>
      <c r="AP15" s="226">
        <f t="shared" si="8"/>
        <v>0</v>
      </c>
      <c r="AQ15" s="226">
        <f t="shared" si="8"/>
        <v>0</v>
      </c>
      <c r="AR15" s="226">
        <f t="shared" si="8"/>
        <v>0</v>
      </c>
      <c r="AS15" s="226">
        <f t="shared" si="8"/>
        <v>0</v>
      </c>
      <c r="AT15" s="226">
        <f t="shared" si="8"/>
        <v>0</v>
      </c>
      <c r="AU15" s="226">
        <f t="shared" si="8"/>
        <v>0</v>
      </c>
      <c r="AV15" s="226">
        <f t="shared" si="8"/>
        <v>0</v>
      </c>
      <c r="AW15" s="226">
        <f t="shared" si="8"/>
        <v>0</v>
      </c>
      <c r="AX15" s="226">
        <f t="shared" si="8"/>
        <v>0</v>
      </c>
      <c r="AY15" s="226">
        <f t="shared" si="8"/>
        <v>0</v>
      </c>
      <c r="AZ15" s="226">
        <f t="shared" si="8"/>
        <v>0</v>
      </c>
      <c r="BA15" s="226">
        <f t="shared" si="8"/>
        <v>0</v>
      </c>
    </row>
    <row r="16" spans="1:53" ht="15">
      <c r="A16" s="229"/>
      <c r="B16" s="258"/>
      <c r="C16" s="252" t="s">
        <v>81</v>
      </c>
      <c r="D16" s="259" t="s">
        <v>82</v>
      </c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4">
        <f t="shared" ref="Q16:Q44" si="9">SUM(E16:P16)</f>
        <v>0</v>
      </c>
      <c r="R16" s="235"/>
      <c r="S16" s="236"/>
      <c r="T16" s="260"/>
      <c r="U16" s="256" t="s">
        <v>81</v>
      </c>
      <c r="V16" s="261" t="s">
        <v>82</v>
      </c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33"/>
      <c r="AI16" s="234">
        <f t="shared" ref="AI16:AI44" si="10">SUM(W16:AH16)</f>
        <v>0</v>
      </c>
      <c r="AJ16" s="240"/>
      <c r="AK16" s="236"/>
      <c r="AL16" s="260"/>
      <c r="AM16" s="256" t="s">
        <v>81</v>
      </c>
      <c r="AN16" s="261" t="s">
        <v>82</v>
      </c>
      <c r="AO16" s="233"/>
      <c r="AP16" s="233"/>
      <c r="AQ16" s="233"/>
      <c r="AR16" s="233"/>
      <c r="AS16" s="233"/>
      <c r="AT16" s="233"/>
      <c r="AU16" s="233"/>
      <c r="AV16" s="233"/>
      <c r="AW16" s="233"/>
      <c r="AX16" s="233"/>
      <c r="AY16" s="233"/>
      <c r="AZ16" s="233"/>
      <c r="BA16" s="234">
        <f t="shared" ref="BA16:BA44" si="11">SUM(AO16:AZ16)</f>
        <v>0</v>
      </c>
    </row>
    <row r="17" spans="1:53" ht="15">
      <c r="A17" s="229"/>
      <c r="B17" s="230"/>
      <c r="C17" s="252" t="s">
        <v>77</v>
      </c>
      <c r="D17" s="262" t="s">
        <v>83</v>
      </c>
      <c r="E17" s="242">
        <f>'資金繰り実績予定表（詳細）'!B6-E16-SUM(E18:E20)</f>
        <v>47765346</v>
      </c>
      <c r="F17" s="242">
        <f>'資金繰り実績予定表（詳細）'!C6-F16-SUM(F18:F20)</f>
        <v>23771476</v>
      </c>
      <c r="G17" s="242">
        <f>'資金繰り実績予定表（詳細）'!D6-G16-SUM(G18:G20)</f>
        <v>17888831</v>
      </c>
      <c r="H17" s="242">
        <f>'資金繰り実績予定表（詳細）'!E6-H16-SUM(H18:H20)</f>
        <v>23481022</v>
      </c>
      <c r="I17" s="242">
        <f>'資金繰り実績予定表（詳細）'!F6-I16-SUM(I18:I20)</f>
        <v>22792525</v>
      </c>
      <c r="J17" s="242">
        <f>'資金繰り実績予定表（詳細）'!G6-J16-SUM(J18:J20)</f>
        <v>6318533</v>
      </c>
      <c r="K17" s="242">
        <f>'資金繰り実績予定表（詳細）'!H6-K16-SUM(K18:K20)</f>
        <v>28239252</v>
      </c>
      <c r="L17" s="242">
        <f>'資金繰り実績予定表（詳細）'!I6-L16-SUM(L18:L20)</f>
        <v>23680587</v>
      </c>
      <c r="M17" s="242">
        <f>'資金繰り実績予定表（詳細）'!J6-M16-SUM(M18:M20)</f>
        <v>21000375</v>
      </c>
      <c r="N17" s="242">
        <f>'資金繰り実績予定表（詳細）'!K6-N16-SUM(N18:N20)</f>
        <v>0</v>
      </c>
      <c r="O17" s="242">
        <f>'資金繰り実績予定表（詳細）'!L6-O16-SUM(O18:O20)</f>
        <v>0</v>
      </c>
      <c r="P17" s="242">
        <f>'資金繰り実績予定表（詳細）'!M6-P16-SUM(P18:P20)</f>
        <v>0</v>
      </c>
      <c r="Q17" s="242">
        <f t="shared" si="9"/>
        <v>214937947</v>
      </c>
      <c r="R17" s="235"/>
      <c r="S17" s="236"/>
      <c r="T17" s="237"/>
      <c r="U17" s="256" t="s">
        <v>77</v>
      </c>
      <c r="V17" s="263" t="s">
        <v>84</v>
      </c>
      <c r="W17" s="242">
        <f>'資金繰り実績予定表（詳細）'!P6-W16-SUM(W18:W20)</f>
        <v>0</v>
      </c>
      <c r="X17" s="242">
        <f>'資金繰り実績予定表（詳細）'!Q6-X16-SUM(X18:X20)</f>
        <v>0</v>
      </c>
      <c r="Y17" s="242">
        <f>'資金繰り実績予定表（詳細）'!R6-Y16-SUM(Y18:Y20)</f>
        <v>0</v>
      </c>
      <c r="Z17" s="242">
        <f>'資金繰り実績予定表（詳細）'!S6-Z16-SUM(Z18:Z20)</f>
        <v>0</v>
      </c>
      <c r="AA17" s="242">
        <f>'資金繰り実績予定表（詳細）'!T6-AA16-SUM(AA18:AA20)</f>
        <v>0</v>
      </c>
      <c r="AB17" s="242">
        <f>'資金繰り実績予定表（詳細）'!U6-AB16-SUM(AB18:AB20)</f>
        <v>0</v>
      </c>
      <c r="AC17" s="242">
        <f>'資金繰り実績予定表（詳細）'!V6-AC16-SUM(AC18:AC20)</f>
        <v>0</v>
      </c>
      <c r="AD17" s="242">
        <f>'資金繰り実績予定表（詳細）'!W6-AD16-SUM(AD18:AD20)</f>
        <v>0</v>
      </c>
      <c r="AE17" s="242">
        <f>'資金繰り実績予定表（詳細）'!X6-AE16-SUM(AE18:AE20)</f>
        <v>0</v>
      </c>
      <c r="AF17" s="242">
        <f>'資金繰り実績予定表（詳細）'!Y6-AF16-SUM(AF18:AF20)</f>
        <v>0</v>
      </c>
      <c r="AG17" s="242">
        <f>'資金繰り実績予定表（詳細）'!Z6-AG16-SUM(AG18:AG20)</f>
        <v>0</v>
      </c>
      <c r="AH17" s="242">
        <f>'資金繰り実績予定表（詳細）'!AA6-AH16-SUM(AH18:AH20)</f>
        <v>0</v>
      </c>
      <c r="AI17" s="242">
        <f t="shared" si="10"/>
        <v>0</v>
      </c>
      <c r="AJ17" s="240"/>
      <c r="AK17" s="236"/>
      <c r="AL17" s="237"/>
      <c r="AM17" s="256" t="s">
        <v>77</v>
      </c>
      <c r="AN17" s="263" t="s">
        <v>84</v>
      </c>
      <c r="AO17" s="242">
        <f>'資金繰り実績予定表（詳細）'!AD6-AO16-SUM(AO18:AO20)</f>
        <v>0</v>
      </c>
      <c r="AP17" s="242">
        <f>'資金繰り実績予定表（詳細）'!AE6-AP16-SUM(AP18:AP20)</f>
        <v>0</v>
      </c>
      <c r="AQ17" s="242">
        <f>'資金繰り実績予定表（詳細）'!AF6-AQ16-SUM(AQ18:AQ20)</f>
        <v>0</v>
      </c>
      <c r="AR17" s="242">
        <f>'資金繰り実績予定表（詳細）'!AG6-AR16-SUM(AR18:AR20)</f>
        <v>0</v>
      </c>
      <c r="AS17" s="242">
        <f>'資金繰り実績予定表（詳細）'!AH6-AS16-SUM(AS18:AS20)</f>
        <v>0</v>
      </c>
      <c r="AT17" s="242">
        <f>'資金繰り実績予定表（詳細）'!AI6-AT16-SUM(AT18:AT20)</f>
        <v>0</v>
      </c>
      <c r="AU17" s="242">
        <f>'資金繰り実績予定表（詳細）'!AJ6-AU16-SUM(AU18:AU20)</f>
        <v>0</v>
      </c>
      <c r="AV17" s="242">
        <f>'資金繰り実績予定表（詳細）'!AK6-AV16-SUM(AV18:AV20)</f>
        <v>0</v>
      </c>
      <c r="AW17" s="242">
        <f>'資金繰り実績予定表（詳細）'!AL6-AW16-SUM(AW18:AW20)</f>
        <v>0</v>
      </c>
      <c r="AX17" s="242">
        <f>'資金繰り実績予定表（詳細）'!AM6-AX16-SUM(AX18:AX20)</f>
        <v>0</v>
      </c>
      <c r="AY17" s="242">
        <f>'資金繰り実績予定表（詳細）'!AN6-AY16-SUM(AY18:AY20)</f>
        <v>0</v>
      </c>
      <c r="AZ17" s="242">
        <f>'資金繰り実績予定表（詳細）'!AO6-AZ16-SUM(AZ18:AZ20)</f>
        <v>0</v>
      </c>
      <c r="BA17" s="242">
        <f t="shared" si="11"/>
        <v>0</v>
      </c>
    </row>
    <row r="18" spans="1:53" ht="15">
      <c r="A18" s="229"/>
      <c r="B18" s="230" t="s">
        <v>85</v>
      </c>
      <c r="C18" s="252" t="s">
        <v>73</v>
      </c>
      <c r="D18" s="264" t="s">
        <v>86</v>
      </c>
      <c r="E18" s="245"/>
      <c r="F18" s="245"/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2">
        <f t="shared" si="9"/>
        <v>0</v>
      </c>
      <c r="R18" s="235"/>
      <c r="S18" s="236"/>
      <c r="T18" s="237" t="s">
        <v>85</v>
      </c>
      <c r="U18" s="256" t="s">
        <v>73</v>
      </c>
      <c r="V18" s="265" t="s">
        <v>87</v>
      </c>
      <c r="W18" s="245"/>
      <c r="X18" s="245"/>
      <c r="Y18" s="245"/>
      <c r="Z18" s="245"/>
      <c r="AA18" s="245"/>
      <c r="AB18" s="245"/>
      <c r="AC18" s="245"/>
      <c r="AD18" s="245"/>
      <c r="AE18" s="245"/>
      <c r="AF18" s="245"/>
      <c r="AG18" s="245"/>
      <c r="AH18" s="245"/>
      <c r="AI18" s="242">
        <f t="shared" si="10"/>
        <v>0</v>
      </c>
      <c r="AJ18" s="240"/>
      <c r="AK18" s="236"/>
      <c r="AL18" s="237" t="s">
        <v>85</v>
      </c>
      <c r="AM18" s="256" t="s">
        <v>73</v>
      </c>
      <c r="AN18" s="265" t="s">
        <v>87</v>
      </c>
      <c r="AO18" s="245"/>
      <c r="AP18" s="245"/>
      <c r="AQ18" s="245"/>
      <c r="AR18" s="245"/>
      <c r="AS18" s="245"/>
      <c r="AT18" s="245"/>
      <c r="AU18" s="245"/>
      <c r="AV18" s="245"/>
      <c r="AW18" s="245"/>
      <c r="AX18" s="245"/>
      <c r="AY18" s="245"/>
      <c r="AZ18" s="245"/>
      <c r="BA18" s="242">
        <f t="shared" si="11"/>
        <v>0</v>
      </c>
    </row>
    <row r="19" spans="1:53" ht="15">
      <c r="A19" s="229" t="s">
        <v>69</v>
      </c>
      <c r="B19" s="230"/>
      <c r="C19" s="252" t="s">
        <v>76</v>
      </c>
      <c r="D19" s="266"/>
      <c r="E19" s="245"/>
      <c r="F19" s="245"/>
      <c r="G19" s="245"/>
      <c r="H19" s="245"/>
      <c r="I19" s="245"/>
      <c r="J19" s="245"/>
      <c r="K19" s="245"/>
      <c r="L19" s="245"/>
      <c r="M19" s="245"/>
      <c r="N19" s="245"/>
      <c r="O19" s="245"/>
      <c r="P19" s="245"/>
      <c r="Q19" s="242">
        <f t="shared" si="9"/>
        <v>0</v>
      </c>
      <c r="R19" s="235"/>
      <c r="S19" s="236" t="s">
        <v>69</v>
      </c>
      <c r="T19" s="237"/>
      <c r="U19" s="256" t="s">
        <v>76</v>
      </c>
      <c r="V19" s="265" t="s">
        <v>86</v>
      </c>
      <c r="W19" s="245"/>
      <c r="X19" s="245"/>
      <c r="Y19" s="245"/>
      <c r="Z19" s="245"/>
      <c r="AA19" s="245"/>
      <c r="AB19" s="245"/>
      <c r="AC19" s="245"/>
      <c r="AD19" s="245"/>
      <c r="AE19" s="245"/>
      <c r="AF19" s="245"/>
      <c r="AG19" s="245"/>
      <c r="AH19" s="245"/>
      <c r="AI19" s="242">
        <f t="shared" si="10"/>
        <v>0</v>
      </c>
      <c r="AJ19" s="240"/>
      <c r="AK19" s="236" t="s">
        <v>69</v>
      </c>
      <c r="AL19" s="237"/>
      <c r="AM19" s="256" t="s">
        <v>76</v>
      </c>
      <c r="AN19" s="265" t="s">
        <v>86</v>
      </c>
      <c r="AO19" s="245"/>
      <c r="AP19" s="245"/>
      <c r="AQ19" s="245"/>
      <c r="AR19" s="245"/>
      <c r="AS19" s="245"/>
      <c r="AT19" s="245"/>
      <c r="AU19" s="245"/>
      <c r="AV19" s="245"/>
      <c r="AW19" s="245"/>
      <c r="AX19" s="245"/>
      <c r="AY19" s="245"/>
      <c r="AZ19" s="245"/>
      <c r="BA19" s="242">
        <f t="shared" si="11"/>
        <v>0</v>
      </c>
    </row>
    <row r="20" spans="1:53" ht="15">
      <c r="A20" s="229"/>
      <c r="B20" s="230"/>
      <c r="C20" s="252"/>
      <c r="D20" s="267"/>
      <c r="E20" s="268"/>
      <c r="F20" s="268"/>
      <c r="G20" s="268"/>
      <c r="H20" s="268"/>
      <c r="I20" s="268"/>
      <c r="J20" s="268"/>
      <c r="K20" s="268"/>
      <c r="L20" s="268"/>
      <c r="M20" s="268"/>
      <c r="N20" s="268"/>
      <c r="O20" s="268"/>
      <c r="P20" s="268"/>
      <c r="Q20" s="269">
        <f t="shared" si="9"/>
        <v>0</v>
      </c>
      <c r="R20" s="235"/>
      <c r="S20" s="236"/>
      <c r="T20" s="237"/>
      <c r="U20" s="256"/>
      <c r="V20" s="270"/>
      <c r="W20" s="268"/>
      <c r="X20" s="268"/>
      <c r="Y20" s="268"/>
      <c r="Z20" s="268"/>
      <c r="AA20" s="268"/>
      <c r="AB20" s="268"/>
      <c r="AC20" s="268"/>
      <c r="AD20" s="268"/>
      <c r="AE20" s="268"/>
      <c r="AF20" s="268"/>
      <c r="AG20" s="268"/>
      <c r="AH20" s="268"/>
      <c r="AI20" s="269">
        <f t="shared" si="10"/>
        <v>0</v>
      </c>
      <c r="AJ20" s="240"/>
      <c r="AK20" s="236"/>
      <c r="AL20" s="237"/>
      <c r="AM20" s="256"/>
      <c r="AN20" s="270"/>
      <c r="AO20" s="268"/>
      <c r="AP20" s="268"/>
      <c r="AQ20" s="268"/>
      <c r="AR20" s="268"/>
      <c r="AS20" s="268"/>
      <c r="AT20" s="268"/>
      <c r="AU20" s="268"/>
      <c r="AV20" s="268"/>
      <c r="AW20" s="268"/>
      <c r="AX20" s="268"/>
      <c r="AY20" s="268"/>
      <c r="AZ20" s="268"/>
      <c r="BA20" s="269">
        <f t="shared" si="11"/>
        <v>0</v>
      </c>
    </row>
    <row r="21" spans="1:53" ht="15">
      <c r="A21" s="229"/>
      <c r="B21" s="230"/>
      <c r="C21" s="315" t="s">
        <v>88</v>
      </c>
      <c r="D21" s="316"/>
      <c r="E21" s="226">
        <f>'資金繰り実績予定表（詳細）'!B8</f>
        <v>1778257</v>
      </c>
      <c r="F21" s="226">
        <f>'資金繰り実績予定表（詳細）'!C8</f>
        <v>1752394</v>
      </c>
      <c r="G21" s="226">
        <f>'資金繰り実績予定表（詳細）'!D8</f>
        <v>2260053</v>
      </c>
      <c r="H21" s="226">
        <f>'資金繰り実績予定表（詳細）'!E8</f>
        <v>1756330</v>
      </c>
      <c r="I21" s="226">
        <f>'資金繰り実績予定表（詳細）'!F8</f>
        <v>1872813</v>
      </c>
      <c r="J21" s="226">
        <f>'資金繰り実績予定表（詳細）'!G8</f>
        <v>3035179</v>
      </c>
      <c r="K21" s="226">
        <f>'資金繰り実績予定表（詳細）'!H8</f>
        <v>1628672</v>
      </c>
      <c r="L21" s="226">
        <f>'資金繰り実績予定表（詳細）'!I8</f>
        <v>1671365</v>
      </c>
      <c r="M21" s="226">
        <f>'資金繰り実績予定表（詳細）'!J8</f>
        <v>1586132</v>
      </c>
      <c r="N21" s="226">
        <f>'資金繰り実績予定表（詳細）'!K8</f>
        <v>0</v>
      </c>
      <c r="O21" s="226">
        <f>'資金繰り実績予定表（詳細）'!L8</f>
        <v>0</v>
      </c>
      <c r="P21" s="226">
        <f>'資金繰り実績予定表（詳細）'!M8</f>
        <v>0</v>
      </c>
      <c r="Q21" s="226">
        <f t="shared" si="9"/>
        <v>17341195</v>
      </c>
      <c r="R21" s="235"/>
      <c r="S21" s="236"/>
      <c r="T21" s="237"/>
      <c r="U21" s="324" t="s">
        <v>88</v>
      </c>
      <c r="V21" s="316"/>
      <c r="W21" s="226">
        <f>'資金繰り実績予定表（詳細）'!P8</f>
        <v>0</v>
      </c>
      <c r="X21" s="226">
        <f>'資金繰り実績予定表（詳細）'!Q8</f>
        <v>0</v>
      </c>
      <c r="Y21" s="226">
        <f>'資金繰り実績予定表（詳細）'!R8</f>
        <v>0</v>
      </c>
      <c r="Z21" s="226">
        <f>'資金繰り実績予定表（詳細）'!S8</f>
        <v>0</v>
      </c>
      <c r="AA21" s="226">
        <f>'資金繰り実績予定表（詳細）'!T8</f>
        <v>0</v>
      </c>
      <c r="AB21" s="226">
        <f>'資金繰り実績予定表（詳細）'!U8</f>
        <v>0</v>
      </c>
      <c r="AC21" s="226">
        <f>'資金繰り実績予定表（詳細）'!V8</f>
        <v>0</v>
      </c>
      <c r="AD21" s="226">
        <f>'資金繰り実績予定表（詳細）'!W8</f>
        <v>0</v>
      </c>
      <c r="AE21" s="226">
        <f>'資金繰り実績予定表（詳細）'!X8</f>
        <v>0</v>
      </c>
      <c r="AF21" s="226">
        <f>'資金繰り実績予定表（詳細）'!Y8</f>
        <v>0</v>
      </c>
      <c r="AG21" s="226">
        <f>'資金繰り実績予定表（詳細）'!Z8</f>
        <v>0</v>
      </c>
      <c r="AH21" s="226">
        <f>'資金繰り実績予定表（詳細）'!AA8</f>
        <v>0</v>
      </c>
      <c r="AI21" s="226">
        <f t="shared" si="10"/>
        <v>0</v>
      </c>
      <c r="AJ21" s="240"/>
      <c r="AK21" s="236"/>
      <c r="AL21" s="237"/>
      <c r="AM21" s="324" t="s">
        <v>88</v>
      </c>
      <c r="AN21" s="316"/>
      <c r="AO21" s="226">
        <f>'資金繰り実績予定表（詳細）'!AD8</f>
        <v>0</v>
      </c>
      <c r="AP21" s="226">
        <f>'資金繰り実績予定表（詳細）'!AE8</f>
        <v>0</v>
      </c>
      <c r="AQ21" s="226">
        <f>'資金繰り実績予定表（詳細）'!AF8</f>
        <v>0</v>
      </c>
      <c r="AR21" s="226">
        <f>'資金繰り実績予定表（詳細）'!AG8</f>
        <v>0</v>
      </c>
      <c r="AS21" s="226">
        <f>'資金繰り実績予定表（詳細）'!AH8</f>
        <v>0</v>
      </c>
      <c r="AT21" s="226">
        <f>'資金繰り実績予定表（詳細）'!AI8</f>
        <v>0</v>
      </c>
      <c r="AU21" s="226">
        <f>'資金繰り実績予定表（詳細）'!AJ8</f>
        <v>0</v>
      </c>
      <c r="AV21" s="226">
        <f>'資金繰り実績予定表（詳細）'!AK8</f>
        <v>0</v>
      </c>
      <c r="AW21" s="226">
        <f>'資金繰り実績予定表（詳細）'!AL8</f>
        <v>0</v>
      </c>
      <c r="AX21" s="226">
        <f>'資金繰り実績予定表（詳細）'!AM8</f>
        <v>0</v>
      </c>
      <c r="AY21" s="226">
        <f>'資金繰り実績予定表（詳細）'!AN8</f>
        <v>0</v>
      </c>
      <c r="AZ21" s="226">
        <f>'資金繰り実績予定表（詳細）'!AO8</f>
        <v>0</v>
      </c>
      <c r="BA21" s="226">
        <f t="shared" si="11"/>
        <v>0</v>
      </c>
    </row>
    <row r="22" spans="1:53" ht="15">
      <c r="A22" s="229" t="s">
        <v>85</v>
      </c>
      <c r="B22" s="230" t="s">
        <v>89</v>
      </c>
      <c r="C22" s="314" t="s">
        <v>90</v>
      </c>
      <c r="D22" s="309"/>
      <c r="E22" s="226">
        <f>'資金繰り実績予定表（詳細）'!B26-'資金繰り実績予定表（詳細）'!B6-'資金繰り実績予定表（詳細）'!B8-'資金繰り実績予定表（詳細）'!B24</f>
        <v>9469877</v>
      </c>
      <c r="F22" s="226">
        <f>'資金繰り実績予定表（詳細）'!C26-'資金繰り実績予定表（詳細）'!C6-'資金繰り実績予定表（詳細）'!C8-'資金繰り実績予定表（詳細）'!C24</f>
        <v>8694766</v>
      </c>
      <c r="G22" s="226">
        <f>'資金繰り実績予定表（詳細）'!D26-'資金繰り実績予定表（詳細）'!D6-'資金繰り実績予定表（詳細）'!D8-'資金繰り実績予定表（詳細）'!D24</f>
        <v>9126402</v>
      </c>
      <c r="H22" s="226">
        <f>'資金繰り実績予定表（詳細）'!E26-'資金繰り実績予定表（詳細）'!E6-'資金繰り実績予定表（詳細）'!E8-'資金繰り実績予定表（詳細）'!E24</f>
        <v>9609728</v>
      </c>
      <c r="I22" s="226">
        <f>'資金繰り実績予定表（詳細）'!F26-'資金繰り実績予定表（詳細）'!F6-'資金繰り実績予定表（詳細）'!F8-'資金繰り実績予定表（詳細）'!F24</f>
        <v>9538633</v>
      </c>
      <c r="J22" s="226">
        <f>'資金繰り実績予定表（詳細）'!G26-'資金繰り実績予定表（詳細）'!G6-'資金繰り実績予定表（詳細）'!G8-'資金繰り実績予定表（詳細）'!G24</f>
        <v>32932511</v>
      </c>
      <c r="K22" s="226">
        <f>'資金繰り実績予定表（詳細）'!H26-'資金繰り実績予定表（詳細）'!H6-'資金繰り実績予定表（詳細）'!H8-'資金繰り実績予定表（詳細）'!H24</f>
        <v>11216826</v>
      </c>
      <c r="L22" s="226">
        <f>'資金繰り実績予定表（詳細）'!I26-'資金繰り実績予定表（詳細）'!I6-'資金繰り実績予定表（詳細）'!I8-'資金繰り実績予定表（詳細）'!I24</f>
        <v>11018518</v>
      </c>
      <c r="M22" s="226">
        <f>'資金繰り実績予定表（詳細）'!J26-'資金繰り実績予定表（詳細）'!J6-'資金繰り実績予定表（詳細）'!J8-'資金繰り実績予定表（詳細）'!J24</f>
        <v>5875226</v>
      </c>
      <c r="N22" s="226">
        <f>'資金繰り実績予定表（詳細）'!K26-'資金繰り実績予定表（詳細）'!K6-'資金繰り実績予定表（詳細）'!K8-'資金繰り実績予定表（詳細）'!K24</f>
        <v>0</v>
      </c>
      <c r="O22" s="226">
        <f>'資金繰り実績予定表（詳細）'!L26-'資金繰り実績予定表（詳細）'!L6-'資金繰り実績予定表（詳細）'!L8-'資金繰り実績予定表（詳細）'!L24</f>
        <v>0</v>
      </c>
      <c r="P22" s="226">
        <f>'資金繰り実績予定表（詳細）'!M26-'資金繰り実績予定表（詳細）'!M6-'資金繰り実績予定表（詳細）'!M8-'資金繰り実績予定表（詳細）'!M24</f>
        <v>0</v>
      </c>
      <c r="Q22" s="226">
        <f t="shared" si="9"/>
        <v>107482487</v>
      </c>
      <c r="R22" s="235"/>
      <c r="S22" s="236" t="s">
        <v>85</v>
      </c>
      <c r="T22" s="237" t="s">
        <v>89</v>
      </c>
      <c r="U22" s="318" t="s">
        <v>90</v>
      </c>
      <c r="V22" s="309"/>
      <c r="W22" s="226">
        <f>'資金繰り実績予定表（詳細）'!P26-'資金繰り実績予定表（詳細）'!P6-'資金繰り実績予定表（詳細）'!P8-'資金繰り実績予定表（詳細）'!P24</f>
        <v>0</v>
      </c>
      <c r="X22" s="226">
        <f>'資金繰り実績予定表（詳細）'!Q26-'資金繰り実績予定表（詳細）'!Q6-'資金繰り実績予定表（詳細）'!Q8-'資金繰り実績予定表（詳細）'!Q24</f>
        <v>0</v>
      </c>
      <c r="Y22" s="226">
        <f>'資金繰り実績予定表（詳細）'!R26-'資金繰り実績予定表（詳細）'!R6-'資金繰り実績予定表（詳細）'!R8-'資金繰り実績予定表（詳細）'!R24</f>
        <v>0</v>
      </c>
      <c r="Z22" s="226">
        <f>'資金繰り実績予定表（詳細）'!S26-'資金繰り実績予定表（詳細）'!S6-'資金繰り実績予定表（詳細）'!S8-'資金繰り実績予定表（詳細）'!S24</f>
        <v>0</v>
      </c>
      <c r="AA22" s="226">
        <f>'資金繰り実績予定表（詳細）'!T26-'資金繰り実績予定表（詳細）'!T6-'資金繰り実績予定表（詳細）'!T8-'資金繰り実績予定表（詳細）'!T24</f>
        <v>0</v>
      </c>
      <c r="AB22" s="226">
        <f>'資金繰り実績予定表（詳細）'!U26-'資金繰り実績予定表（詳細）'!U6-'資金繰り実績予定表（詳細）'!U8-'資金繰り実績予定表（詳細）'!U24</f>
        <v>0</v>
      </c>
      <c r="AC22" s="226">
        <f>'資金繰り実績予定表（詳細）'!V26-'資金繰り実績予定表（詳細）'!V6-'資金繰り実績予定表（詳細）'!V8-'資金繰り実績予定表（詳細）'!V24</f>
        <v>0</v>
      </c>
      <c r="AD22" s="226">
        <f>'資金繰り実績予定表（詳細）'!W26-'資金繰り実績予定表（詳細）'!W6-'資金繰り実績予定表（詳細）'!W8-'資金繰り実績予定表（詳細）'!W24</f>
        <v>0</v>
      </c>
      <c r="AE22" s="226">
        <f>'資金繰り実績予定表（詳細）'!X26-'資金繰り実績予定表（詳細）'!X6-'資金繰り実績予定表（詳細）'!X8-'資金繰り実績予定表（詳細）'!X24</f>
        <v>0</v>
      </c>
      <c r="AF22" s="226">
        <f>'資金繰り実績予定表（詳細）'!Y26-'資金繰り実績予定表（詳細）'!Y6-'資金繰り実績予定表（詳細）'!Y8-'資金繰り実績予定表（詳細）'!Y24</f>
        <v>0</v>
      </c>
      <c r="AG22" s="226">
        <f>'資金繰り実績予定表（詳細）'!Z26-'資金繰り実績予定表（詳細）'!Z6-'資金繰り実績予定表（詳細）'!Z8-'資金繰り実績予定表（詳細）'!Z24</f>
        <v>0</v>
      </c>
      <c r="AH22" s="226">
        <f>'資金繰り実績予定表（詳細）'!AA26-'資金繰り実績予定表（詳細）'!AA6-'資金繰り実績予定表（詳細）'!AA8-'資金繰り実績予定表（詳細）'!AA24</f>
        <v>0</v>
      </c>
      <c r="AI22" s="226">
        <f t="shared" si="10"/>
        <v>0</v>
      </c>
      <c r="AJ22" s="240"/>
      <c r="AK22" s="236" t="s">
        <v>85</v>
      </c>
      <c r="AL22" s="237" t="s">
        <v>89</v>
      </c>
      <c r="AM22" s="318" t="s">
        <v>90</v>
      </c>
      <c r="AN22" s="309"/>
      <c r="AO22" s="226">
        <f>'資金繰り実績予定表（詳細）'!AD26-'資金繰り実績予定表（詳細）'!AD6-'資金繰り実績予定表（詳細）'!AD8-'資金繰り実績予定表（詳細）'!AD24</f>
        <v>0</v>
      </c>
      <c r="AP22" s="226">
        <f>'資金繰り実績予定表（詳細）'!AE26-'資金繰り実績予定表（詳細）'!AE6-'資金繰り実績予定表（詳細）'!AE8-'資金繰り実績予定表（詳細）'!AE24</f>
        <v>0</v>
      </c>
      <c r="AQ22" s="226">
        <f>'資金繰り実績予定表（詳細）'!AF26-'資金繰り実績予定表（詳細）'!AF6-'資金繰り実績予定表（詳細）'!AF8-'資金繰り実績予定表（詳細）'!AF24</f>
        <v>0</v>
      </c>
      <c r="AR22" s="226">
        <f>'資金繰り実績予定表（詳細）'!AG26-'資金繰り実績予定表（詳細）'!AG6-'資金繰り実績予定表（詳細）'!AG8-'資金繰り実績予定表（詳細）'!AG24</f>
        <v>0</v>
      </c>
      <c r="AS22" s="226">
        <f>'資金繰り実績予定表（詳細）'!AH26-'資金繰り実績予定表（詳細）'!AH6-'資金繰り実績予定表（詳細）'!AH8-'資金繰り実績予定表（詳細）'!AH24</f>
        <v>0</v>
      </c>
      <c r="AT22" s="226">
        <f>'資金繰り実績予定表（詳細）'!AI26-'資金繰り実績予定表（詳細）'!AI6-'資金繰り実績予定表（詳細）'!AI8-'資金繰り実績予定表（詳細）'!AI24</f>
        <v>0</v>
      </c>
      <c r="AU22" s="226">
        <f>'資金繰り実績予定表（詳細）'!AJ26-'資金繰り実績予定表（詳細）'!AJ6-'資金繰り実績予定表（詳細）'!AJ8-'資金繰り実績予定表（詳細）'!AJ24</f>
        <v>0</v>
      </c>
      <c r="AV22" s="226">
        <f>'資金繰り実績予定表（詳細）'!AK26-'資金繰り実績予定表（詳細）'!AK6-'資金繰り実績予定表（詳細）'!AK8-'資金繰り実績予定表（詳細）'!AK24</f>
        <v>0</v>
      </c>
      <c r="AW22" s="226">
        <f>'資金繰り実績予定表（詳細）'!AL26-'資金繰り実績予定表（詳細）'!AL6-'資金繰り実績予定表（詳細）'!AL8-'資金繰り実績予定表（詳細）'!AL24</f>
        <v>0</v>
      </c>
      <c r="AX22" s="226">
        <f>'資金繰り実績予定表（詳細）'!AM26-'資金繰り実績予定表（詳細）'!AM6-'資金繰り実績予定表（詳細）'!AM8-'資金繰り実績予定表（詳細）'!AM24</f>
        <v>0</v>
      </c>
      <c r="AY22" s="226">
        <f>'資金繰り実績予定表（詳細）'!AN26-'資金繰り実績予定表（詳細）'!AN6-'資金繰り実績予定表（詳細）'!AN8-'資金繰り実績予定表（詳細）'!AN24</f>
        <v>0</v>
      </c>
      <c r="AZ22" s="226">
        <f>'資金繰り実績予定表（詳細）'!AO26-'資金繰り実績予定表（詳細）'!AO6-'資金繰り実績予定表（詳細）'!AO8-'資金繰り実績予定表（詳細）'!AO24</f>
        <v>0</v>
      </c>
      <c r="BA22" s="226">
        <f t="shared" si="11"/>
        <v>0</v>
      </c>
    </row>
    <row r="23" spans="1:53" ht="15">
      <c r="A23" s="229"/>
      <c r="B23" s="230"/>
      <c r="C23" s="315" t="s">
        <v>91</v>
      </c>
      <c r="D23" s="316"/>
      <c r="E23" s="271">
        <f>'資金繰り実績予定表（詳細）'!B48</f>
        <v>135045</v>
      </c>
      <c r="F23" s="271">
        <f>'資金繰り実績予定表（詳細）'!C48</f>
        <v>0</v>
      </c>
      <c r="G23" s="271">
        <f>'資金繰り実績予定表（詳細）'!D48</f>
        <v>173666</v>
      </c>
      <c r="H23" s="271">
        <f>'資金繰り実績予定表（詳細）'!E48</f>
        <v>88038</v>
      </c>
      <c r="I23" s="271">
        <f>'資金繰り実績予定表（詳細）'!F48</f>
        <v>0</v>
      </c>
      <c r="J23" s="271">
        <f>'資金繰り実績予定表（詳細）'!G48</f>
        <v>1632975</v>
      </c>
      <c r="K23" s="271">
        <f>'資金繰り実績予定表（詳細）'!H48</f>
        <v>77461</v>
      </c>
      <c r="L23" s="271">
        <f>'資金繰り実績予定表（詳細）'!I48</f>
        <v>76432</v>
      </c>
      <c r="M23" s="271">
        <f>'資金繰り実績予定表（詳細）'!J48</f>
        <v>174878</v>
      </c>
      <c r="N23" s="271">
        <f>'資金繰り実績予定表（詳細）'!K48</f>
        <v>0</v>
      </c>
      <c r="O23" s="271">
        <f>'資金繰り実績予定表（詳細）'!L48</f>
        <v>0</v>
      </c>
      <c r="P23" s="271">
        <f>'資金繰り実績予定表（詳細）'!M48</f>
        <v>0</v>
      </c>
      <c r="Q23" s="271">
        <f t="shared" si="9"/>
        <v>2358495</v>
      </c>
      <c r="R23" s="235"/>
      <c r="S23" s="236"/>
      <c r="T23" s="237"/>
      <c r="U23" s="324" t="s">
        <v>91</v>
      </c>
      <c r="V23" s="316"/>
      <c r="W23" s="271">
        <f>'資金繰り実績予定表（詳細）'!P48</f>
        <v>0</v>
      </c>
      <c r="X23" s="271">
        <f>'資金繰り実績予定表（詳細）'!Q48</f>
        <v>0</v>
      </c>
      <c r="Y23" s="271">
        <f>'資金繰り実績予定表（詳細）'!R48</f>
        <v>0</v>
      </c>
      <c r="Z23" s="271">
        <f>'資金繰り実績予定表（詳細）'!S48</f>
        <v>0</v>
      </c>
      <c r="AA23" s="271">
        <f>'資金繰り実績予定表（詳細）'!T48</f>
        <v>0</v>
      </c>
      <c r="AB23" s="271">
        <f>'資金繰り実績予定表（詳細）'!U48</f>
        <v>0</v>
      </c>
      <c r="AC23" s="271">
        <f>'資金繰り実績予定表（詳細）'!V48</f>
        <v>0</v>
      </c>
      <c r="AD23" s="271">
        <f>'資金繰り実績予定表（詳細）'!W48</f>
        <v>0</v>
      </c>
      <c r="AE23" s="271">
        <f>'資金繰り実績予定表（詳細）'!X48</f>
        <v>0</v>
      </c>
      <c r="AF23" s="271">
        <f>'資金繰り実績予定表（詳細）'!Y48</f>
        <v>0</v>
      </c>
      <c r="AG23" s="271">
        <f>'資金繰り実績予定表（詳細）'!Z48</f>
        <v>0</v>
      </c>
      <c r="AH23" s="271">
        <f>'資金繰り実績予定表（詳細）'!AA48</f>
        <v>0</v>
      </c>
      <c r="AI23" s="271">
        <f t="shared" si="10"/>
        <v>0</v>
      </c>
      <c r="AJ23" s="240"/>
      <c r="AK23" s="236"/>
      <c r="AL23" s="237"/>
      <c r="AM23" s="324" t="s">
        <v>91</v>
      </c>
      <c r="AN23" s="316"/>
      <c r="AO23" s="271">
        <f>'資金繰り実績予定表（詳細）'!AD48</f>
        <v>0</v>
      </c>
      <c r="AP23" s="271">
        <f>'資金繰り実績予定表（詳細）'!AE48</f>
        <v>0</v>
      </c>
      <c r="AQ23" s="271">
        <f>'資金繰り実績予定表（詳細）'!AF48</f>
        <v>0</v>
      </c>
      <c r="AR23" s="271">
        <f>'資金繰り実績予定表（詳細）'!AG48</f>
        <v>0</v>
      </c>
      <c r="AS23" s="271">
        <f>'資金繰り実績予定表（詳細）'!AH48</f>
        <v>0</v>
      </c>
      <c r="AT23" s="271">
        <f>'資金繰り実績予定表（詳細）'!AI48</f>
        <v>0</v>
      </c>
      <c r="AU23" s="271">
        <f>'資金繰り実績予定表（詳細）'!AJ48</f>
        <v>0</v>
      </c>
      <c r="AV23" s="271">
        <f>'資金繰り実績予定表（詳細）'!AK48</f>
        <v>0</v>
      </c>
      <c r="AW23" s="271">
        <f>'資金繰り実績予定表（詳細）'!AL48</f>
        <v>0</v>
      </c>
      <c r="AX23" s="271">
        <f>'資金繰り実績予定表（詳細）'!AM48</f>
        <v>0</v>
      </c>
      <c r="AY23" s="271">
        <f>'資金繰り実績予定表（詳細）'!AN48</f>
        <v>0</v>
      </c>
      <c r="AZ23" s="271">
        <f>'資金繰り実績予定表（詳細）'!AO48</f>
        <v>0</v>
      </c>
      <c r="BA23" s="271">
        <f t="shared" si="11"/>
        <v>0</v>
      </c>
    </row>
    <row r="24" spans="1:53" ht="15">
      <c r="A24" s="232"/>
      <c r="B24" s="272"/>
      <c r="C24" s="314" t="s">
        <v>92</v>
      </c>
      <c r="D24" s="309"/>
      <c r="E24" s="234">
        <f t="shared" ref="E24:P24" si="12">SUM(E16:E23)</f>
        <v>59148525</v>
      </c>
      <c r="F24" s="234">
        <f t="shared" si="12"/>
        <v>34218636</v>
      </c>
      <c r="G24" s="234">
        <f t="shared" si="12"/>
        <v>29448952</v>
      </c>
      <c r="H24" s="234">
        <f t="shared" si="12"/>
        <v>34935118</v>
      </c>
      <c r="I24" s="234">
        <f t="shared" si="12"/>
        <v>34203971</v>
      </c>
      <c r="J24" s="234">
        <f t="shared" si="12"/>
        <v>43919198</v>
      </c>
      <c r="K24" s="234">
        <f t="shared" si="12"/>
        <v>41162211</v>
      </c>
      <c r="L24" s="234">
        <f t="shared" si="12"/>
        <v>36446902</v>
      </c>
      <c r="M24" s="234">
        <f t="shared" si="12"/>
        <v>28636611</v>
      </c>
      <c r="N24" s="234">
        <f t="shared" si="12"/>
        <v>0</v>
      </c>
      <c r="O24" s="234">
        <f t="shared" si="12"/>
        <v>0</v>
      </c>
      <c r="P24" s="234">
        <f t="shared" si="12"/>
        <v>0</v>
      </c>
      <c r="Q24" s="234">
        <f t="shared" si="9"/>
        <v>342120124</v>
      </c>
      <c r="R24" s="235"/>
      <c r="S24" s="239"/>
      <c r="T24" s="273"/>
      <c r="U24" s="318" t="s">
        <v>92</v>
      </c>
      <c r="V24" s="309"/>
      <c r="W24" s="234">
        <f t="shared" ref="W24:AH24" si="13">SUM(W16:W23)</f>
        <v>0</v>
      </c>
      <c r="X24" s="234">
        <f t="shared" si="13"/>
        <v>0</v>
      </c>
      <c r="Y24" s="234">
        <f t="shared" si="13"/>
        <v>0</v>
      </c>
      <c r="Z24" s="234">
        <f t="shared" si="13"/>
        <v>0</v>
      </c>
      <c r="AA24" s="234">
        <f t="shared" si="13"/>
        <v>0</v>
      </c>
      <c r="AB24" s="234">
        <f t="shared" si="13"/>
        <v>0</v>
      </c>
      <c r="AC24" s="234">
        <f t="shared" si="13"/>
        <v>0</v>
      </c>
      <c r="AD24" s="234">
        <f t="shared" si="13"/>
        <v>0</v>
      </c>
      <c r="AE24" s="234">
        <f t="shared" si="13"/>
        <v>0</v>
      </c>
      <c r="AF24" s="234">
        <f t="shared" si="13"/>
        <v>0</v>
      </c>
      <c r="AG24" s="234">
        <f t="shared" si="13"/>
        <v>0</v>
      </c>
      <c r="AH24" s="234">
        <f t="shared" si="13"/>
        <v>0</v>
      </c>
      <c r="AI24" s="234">
        <f t="shared" si="10"/>
        <v>0</v>
      </c>
      <c r="AJ24" s="240"/>
      <c r="AK24" s="239"/>
      <c r="AL24" s="273"/>
      <c r="AM24" s="318" t="s">
        <v>92</v>
      </c>
      <c r="AN24" s="309"/>
      <c r="AO24" s="234">
        <f t="shared" ref="AO24:AZ24" si="14">SUM(AO16:AO23)</f>
        <v>0</v>
      </c>
      <c r="AP24" s="234">
        <f t="shared" si="14"/>
        <v>0</v>
      </c>
      <c r="AQ24" s="234">
        <f t="shared" si="14"/>
        <v>0</v>
      </c>
      <c r="AR24" s="234">
        <f t="shared" si="14"/>
        <v>0</v>
      </c>
      <c r="AS24" s="234">
        <f t="shared" si="14"/>
        <v>0</v>
      </c>
      <c r="AT24" s="234">
        <f t="shared" si="14"/>
        <v>0</v>
      </c>
      <c r="AU24" s="234">
        <f t="shared" si="14"/>
        <v>0</v>
      </c>
      <c r="AV24" s="234">
        <f t="shared" si="14"/>
        <v>0</v>
      </c>
      <c r="AW24" s="234">
        <f t="shared" si="14"/>
        <v>0</v>
      </c>
      <c r="AX24" s="234">
        <f t="shared" si="14"/>
        <v>0</v>
      </c>
      <c r="AY24" s="234">
        <f t="shared" si="14"/>
        <v>0</v>
      </c>
      <c r="AZ24" s="234">
        <f t="shared" si="14"/>
        <v>0</v>
      </c>
      <c r="BA24" s="234">
        <f t="shared" si="11"/>
        <v>0</v>
      </c>
    </row>
    <row r="25" spans="1:53" ht="15">
      <c r="A25" s="274"/>
      <c r="B25" s="317" t="s">
        <v>61</v>
      </c>
      <c r="C25" s="316"/>
      <c r="D25" s="316"/>
      <c r="E25" s="276">
        <f t="shared" ref="E25:P25" si="15">E15-E24</f>
        <v>-4581987</v>
      </c>
      <c r="F25" s="276">
        <f t="shared" si="15"/>
        <v>2902793</v>
      </c>
      <c r="G25" s="276">
        <f t="shared" si="15"/>
        <v>-1443803</v>
      </c>
      <c r="H25" s="276">
        <f t="shared" si="15"/>
        <v>6046439</v>
      </c>
      <c r="I25" s="276">
        <f t="shared" si="15"/>
        <v>-1430066</v>
      </c>
      <c r="J25" s="276">
        <f t="shared" si="15"/>
        <v>-16180837</v>
      </c>
      <c r="K25" s="276">
        <f t="shared" si="15"/>
        <v>13678875</v>
      </c>
      <c r="L25" s="276">
        <f t="shared" si="15"/>
        <v>15020347</v>
      </c>
      <c r="M25" s="276">
        <f t="shared" si="15"/>
        <v>-9517980</v>
      </c>
      <c r="N25" s="276">
        <f t="shared" si="15"/>
        <v>0</v>
      </c>
      <c r="O25" s="276">
        <f t="shared" si="15"/>
        <v>0</v>
      </c>
      <c r="P25" s="276">
        <f t="shared" si="15"/>
        <v>0</v>
      </c>
      <c r="Q25" s="276">
        <f t="shared" si="9"/>
        <v>4493781</v>
      </c>
      <c r="R25" s="235"/>
      <c r="S25" s="277"/>
      <c r="T25" s="317" t="s">
        <v>61</v>
      </c>
      <c r="U25" s="316"/>
      <c r="V25" s="316"/>
      <c r="W25" s="276">
        <f t="shared" ref="W25:AH25" si="16">W15-W24</f>
        <v>0</v>
      </c>
      <c r="X25" s="276">
        <f t="shared" si="16"/>
        <v>0</v>
      </c>
      <c r="Y25" s="276">
        <f t="shared" si="16"/>
        <v>0</v>
      </c>
      <c r="Z25" s="276">
        <f t="shared" si="16"/>
        <v>0</v>
      </c>
      <c r="AA25" s="276">
        <f t="shared" si="16"/>
        <v>0</v>
      </c>
      <c r="AB25" s="276">
        <f t="shared" si="16"/>
        <v>0</v>
      </c>
      <c r="AC25" s="276">
        <f t="shared" si="16"/>
        <v>0</v>
      </c>
      <c r="AD25" s="276">
        <f t="shared" si="16"/>
        <v>0</v>
      </c>
      <c r="AE25" s="276">
        <f t="shared" si="16"/>
        <v>0</v>
      </c>
      <c r="AF25" s="276">
        <f t="shared" si="16"/>
        <v>0</v>
      </c>
      <c r="AG25" s="276">
        <f t="shared" si="16"/>
        <v>0</v>
      </c>
      <c r="AH25" s="276">
        <f t="shared" si="16"/>
        <v>0</v>
      </c>
      <c r="AI25" s="276">
        <f t="shared" si="10"/>
        <v>0</v>
      </c>
      <c r="AJ25" s="278"/>
      <c r="AK25" s="277"/>
      <c r="AL25" s="317" t="s">
        <v>61</v>
      </c>
      <c r="AM25" s="316"/>
      <c r="AN25" s="316"/>
      <c r="AO25" s="276">
        <f t="shared" ref="AO25:AZ25" si="17">AO15-AO24</f>
        <v>0</v>
      </c>
      <c r="AP25" s="276">
        <f t="shared" si="17"/>
        <v>0</v>
      </c>
      <c r="AQ25" s="276">
        <f t="shared" si="17"/>
        <v>0</v>
      </c>
      <c r="AR25" s="276">
        <f t="shared" si="17"/>
        <v>0</v>
      </c>
      <c r="AS25" s="276">
        <f t="shared" si="17"/>
        <v>0</v>
      </c>
      <c r="AT25" s="276">
        <f t="shared" si="17"/>
        <v>0</v>
      </c>
      <c r="AU25" s="276">
        <f t="shared" si="17"/>
        <v>0</v>
      </c>
      <c r="AV25" s="276">
        <f t="shared" si="17"/>
        <v>0</v>
      </c>
      <c r="AW25" s="276">
        <f t="shared" si="17"/>
        <v>0</v>
      </c>
      <c r="AX25" s="276">
        <f t="shared" si="17"/>
        <v>0</v>
      </c>
      <c r="AY25" s="276">
        <f t="shared" si="17"/>
        <v>0</v>
      </c>
      <c r="AZ25" s="276">
        <f t="shared" si="17"/>
        <v>0</v>
      </c>
      <c r="BA25" s="276">
        <f t="shared" si="11"/>
        <v>0</v>
      </c>
    </row>
    <row r="26" spans="1:53" ht="15">
      <c r="A26" s="230"/>
      <c r="B26" s="231"/>
      <c r="C26" s="308" t="s">
        <v>93</v>
      </c>
      <c r="D26" s="309"/>
      <c r="E26" s="234">
        <f>'資金繰り実績予定表（詳細）'!B29</f>
        <v>0</v>
      </c>
      <c r="F26" s="234">
        <f>'資金繰り実績予定表（詳細）'!C29</f>
        <v>0</v>
      </c>
      <c r="G26" s="234">
        <f>'資金繰り実績予定表（詳細）'!D29</f>
        <v>0</v>
      </c>
      <c r="H26" s="234">
        <f>'資金繰り実績予定表（詳細）'!E29</f>
        <v>0</v>
      </c>
      <c r="I26" s="234">
        <f>'資金繰り実績予定表（詳細）'!F29</f>
        <v>0</v>
      </c>
      <c r="J26" s="234">
        <f>'資金繰り実績予定表（詳細）'!G29</f>
        <v>0</v>
      </c>
      <c r="K26" s="234">
        <f>'資金繰り実績予定表（詳細）'!H29</f>
        <v>0</v>
      </c>
      <c r="L26" s="234">
        <f>'資金繰り実績予定表（詳細）'!I29</f>
        <v>0</v>
      </c>
      <c r="M26" s="234">
        <f>'資金繰り実績予定表（詳細）'!J29</f>
        <v>0</v>
      </c>
      <c r="N26" s="234">
        <f>'資金繰り実績予定表（詳細）'!K29</f>
        <v>0</v>
      </c>
      <c r="O26" s="234">
        <f>'資金繰り実績予定表（詳細）'!L29</f>
        <v>0</v>
      </c>
      <c r="P26" s="234">
        <f>'資金繰り実績予定表（詳細）'!M29</f>
        <v>0</v>
      </c>
      <c r="Q26" s="234">
        <f t="shared" si="9"/>
        <v>0</v>
      </c>
      <c r="R26" s="235"/>
      <c r="S26" s="237"/>
      <c r="T26" s="238"/>
      <c r="U26" s="323" t="s">
        <v>93</v>
      </c>
      <c r="V26" s="309"/>
      <c r="W26" s="234">
        <f>'資金繰り実績予定表（詳細）'!P29</f>
        <v>0</v>
      </c>
      <c r="X26" s="234">
        <f>'資金繰り実績予定表（詳細）'!Q29</f>
        <v>0</v>
      </c>
      <c r="Y26" s="234">
        <f>'資金繰り実績予定表（詳細）'!R29</f>
        <v>0</v>
      </c>
      <c r="Z26" s="234">
        <f>'資金繰り実績予定表（詳細）'!S29</f>
        <v>0</v>
      </c>
      <c r="AA26" s="234">
        <f>'資金繰り実績予定表（詳細）'!T29</f>
        <v>0</v>
      </c>
      <c r="AB26" s="234">
        <f>'資金繰り実績予定表（詳細）'!U29</f>
        <v>0</v>
      </c>
      <c r="AC26" s="234">
        <f>'資金繰り実績予定表（詳細）'!V29</f>
        <v>0</v>
      </c>
      <c r="AD26" s="234">
        <f>'資金繰り実績予定表（詳細）'!W29</f>
        <v>0</v>
      </c>
      <c r="AE26" s="234">
        <f>'資金繰り実績予定表（詳細）'!X29</f>
        <v>0</v>
      </c>
      <c r="AF26" s="234">
        <f>'資金繰り実績予定表（詳細）'!Y29</f>
        <v>0</v>
      </c>
      <c r="AG26" s="234">
        <f>'資金繰り実績予定表（詳細）'!Z29</f>
        <v>0</v>
      </c>
      <c r="AH26" s="234">
        <f>'資金繰り実績予定表（詳細）'!AA29</f>
        <v>0</v>
      </c>
      <c r="AI26" s="234">
        <f t="shared" si="10"/>
        <v>0</v>
      </c>
      <c r="AJ26" s="240"/>
      <c r="AK26" s="237"/>
      <c r="AL26" s="238"/>
      <c r="AM26" s="323" t="s">
        <v>93</v>
      </c>
      <c r="AN26" s="309"/>
      <c r="AO26" s="234">
        <f>'資金繰り実績予定表（詳細）'!AD29</f>
        <v>0</v>
      </c>
      <c r="AP26" s="234">
        <f>'資金繰り実績予定表（詳細）'!AE29</f>
        <v>0</v>
      </c>
      <c r="AQ26" s="234">
        <f>'資金繰り実績予定表（詳細）'!AF29</f>
        <v>0</v>
      </c>
      <c r="AR26" s="234">
        <f>'資金繰り実績予定表（詳細）'!AG29</f>
        <v>0</v>
      </c>
      <c r="AS26" s="234">
        <f>'資金繰り実績予定表（詳細）'!AH29</f>
        <v>0</v>
      </c>
      <c r="AT26" s="234">
        <f>'資金繰り実績予定表（詳細）'!AI29</f>
        <v>0</v>
      </c>
      <c r="AU26" s="234">
        <f>'資金繰り実績予定表（詳細）'!AJ29</f>
        <v>0</v>
      </c>
      <c r="AV26" s="234">
        <f>'資金繰り実績予定表（詳細）'!AK29</f>
        <v>0</v>
      </c>
      <c r="AW26" s="234">
        <f>'資金繰り実績予定表（詳細）'!AL29</f>
        <v>0</v>
      </c>
      <c r="AX26" s="234">
        <f>'資金繰り実績予定表（詳細）'!AM29</f>
        <v>0</v>
      </c>
      <c r="AY26" s="234">
        <f>'資金繰り実績予定表（詳細）'!AN29</f>
        <v>0</v>
      </c>
      <c r="AZ26" s="234">
        <f>'資金繰り実績予定表（詳細）'!AO29</f>
        <v>0</v>
      </c>
      <c r="BA26" s="234">
        <f t="shared" si="11"/>
        <v>0</v>
      </c>
    </row>
    <row r="27" spans="1:53" ht="15">
      <c r="A27" s="230"/>
      <c r="B27" s="231" t="s">
        <v>69</v>
      </c>
      <c r="C27" s="279" t="s">
        <v>27</v>
      </c>
      <c r="D27" s="280"/>
      <c r="E27" s="269">
        <f>'資金繰り実績予定表（詳細）'!B30+'資金繰り実績予定表（詳細）'!B31</f>
        <v>0</v>
      </c>
      <c r="F27" s="269">
        <f>'資金繰り実績予定表（詳細）'!C30+'資金繰り実績予定表（詳細）'!C31</f>
        <v>0</v>
      </c>
      <c r="G27" s="269">
        <f>'資金繰り実績予定表（詳細）'!D30+'資金繰り実績予定表（詳細）'!D31</f>
        <v>72000</v>
      </c>
      <c r="H27" s="269">
        <f>'資金繰り実績予定表（詳細）'!E30+'資金繰り実績予定表（詳細）'!E31</f>
        <v>600000</v>
      </c>
      <c r="I27" s="269">
        <f>'資金繰り実績予定表（詳細）'!F30+'資金繰り実績予定表（詳細）'!F31</f>
        <v>152000</v>
      </c>
      <c r="J27" s="269">
        <f>'資金繰り実績予定表（詳細）'!G30+'資金繰り実績予定表（詳細）'!G31</f>
        <v>0</v>
      </c>
      <c r="K27" s="269">
        <f>'資金繰り実績予定表（詳細）'!H30+'資金繰り実績予定表（詳細）'!H31</f>
        <v>0</v>
      </c>
      <c r="L27" s="269">
        <f>'資金繰り実績予定表（詳細）'!I30+'資金繰り実績予定表（詳細）'!I31</f>
        <v>0</v>
      </c>
      <c r="M27" s="269">
        <f>'資金繰り実績予定表（詳細）'!J30+'資金繰り実績予定表（詳細）'!J31</f>
        <v>0</v>
      </c>
      <c r="N27" s="269">
        <f>'資金繰り実績予定表（詳細）'!K30+'資金繰り実績予定表（詳細）'!K31</f>
        <v>0</v>
      </c>
      <c r="O27" s="269">
        <f>'資金繰り実績予定表（詳細）'!L30+'資金繰り実績予定表（詳細）'!L31</f>
        <v>0</v>
      </c>
      <c r="P27" s="269">
        <f>'資金繰り実績予定表（詳細）'!M30+'資金繰り実績予定表（詳細）'!M31</f>
        <v>0</v>
      </c>
      <c r="Q27" s="269">
        <f t="shared" si="9"/>
        <v>824000</v>
      </c>
      <c r="R27" s="235"/>
      <c r="S27" s="237"/>
      <c r="T27" s="238" t="s">
        <v>69</v>
      </c>
      <c r="U27" s="281" t="s">
        <v>27</v>
      </c>
      <c r="V27" s="282"/>
      <c r="W27" s="269">
        <f>'資金繰り実績予定表（詳細）'!P30+'資金繰り実績予定表（詳細）'!P31</f>
        <v>0</v>
      </c>
      <c r="X27" s="269">
        <f>'資金繰り実績予定表（詳細）'!Q30+'資金繰り実績予定表（詳細）'!Q31</f>
        <v>0</v>
      </c>
      <c r="Y27" s="269">
        <f>'資金繰り実績予定表（詳細）'!R30+'資金繰り実績予定表（詳細）'!R31</f>
        <v>0</v>
      </c>
      <c r="Z27" s="269">
        <f>'資金繰り実績予定表（詳細）'!S30+'資金繰り実績予定表（詳細）'!S31</f>
        <v>0</v>
      </c>
      <c r="AA27" s="269">
        <f>'資金繰り実績予定表（詳細）'!T30+'資金繰り実績予定表（詳細）'!T31</f>
        <v>0</v>
      </c>
      <c r="AB27" s="269">
        <f>'資金繰り実績予定表（詳細）'!U30+'資金繰り実績予定表（詳細）'!U31</f>
        <v>0</v>
      </c>
      <c r="AC27" s="269">
        <f>'資金繰り実績予定表（詳細）'!V30+'資金繰り実績予定表（詳細）'!V31</f>
        <v>0</v>
      </c>
      <c r="AD27" s="269">
        <f>'資金繰り実績予定表（詳細）'!W30+'資金繰り実績予定表（詳細）'!W31</f>
        <v>0</v>
      </c>
      <c r="AE27" s="269">
        <f>'資金繰り実績予定表（詳細）'!X30+'資金繰り実績予定表（詳細）'!X31</f>
        <v>0</v>
      </c>
      <c r="AF27" s="269">
        <f>'資金繰り実績予定表（詳細）'!Y30+'資金繰り実績予定表（詳細）'!Y31</f>
        <v>0</v>
      </c>
      <c r="AG27" s="269">
        <f>'資金繰り実績予定表（詳細）'!Z30+'資金繰り実績予定表（詳細）'!Z31</f>
        <v>0</v>
      </c>
      <c r="AH27" s="269">
        <f>'資金繰り実績予定表（詳細）'!AA30+'資金繰り実績予定表（詳細）'!AA31</f>
        <v>0</v>
      </c>
      <c r="AI27" s="269">
        <f t="shared" si="10"/>
        <v>0</v>
      </c>
      <c r="AJ27" s="240"/>
      <c r="AK27" s="237"/>
      <c r="AL27" s="238" t="s">
        <v>69</v>
      </c>
      <c r="AM27" s="281" t="s">
        <v>27</v>
      </c>
      <c r="AN27" s="282"/>
      <c r="AO27" s="269">
        <f>'資金繰り実績予定表（詳細）'!AD30+'資金繰り実績予定表（詳細）'!AD31</f>
        <v>0</v>
      </c>
      <c r="AP27" s="269">
        <f>'資金繰り実績予定表（詳細）'!AE30+'資金繰り実績予定表（詳細）'!AE31</f>
        <v>0</v>
      </c>
      <c r="AQ27" s="269">
        <f>'資金繰り実績予定表（詳細）'!AF30+'資金繰り実績予定表（詳細）'!AF31</f>
        <v>0</v>
      </c>
      <c r="AR27" s="269">
        <f>'資金繰り実績予定表（詳細）'!AG30+'資金繰り実績予定表（詳細）'!AG31</f>
        <v>0</v>
      </c>
      <c r="AS27" s="269">
        <f>'資金繰り実績予定表（詳細）'!AH30+'資金繰り実績予定表（詳細）'!AH31</f>
        <v>0</v>
      </c>
      <c r="AT27" s="269">
        <f>'資金繰り実績予定表（詳細）'!AI30+'資金繰り実績予定表（詳細）'!AI31</f>
        <v>0</v>
      </c>
      <c r="AU27" s="269">
        <f>'資金繰り実績予定表（詳細）'!AJ30+'資金繰り実績予定表（詳細）'!AJ31</f>
        <v>0</v>
      </c>
      <c r="AV27" s="269">
        <f>'資金繰り実績予定表（詳細）'!AK30+'資金繰り実績予定表（詳細）'!AK31</f>
        <v>0</v>
      </c>
      <c r="AW27" s="269">
        <f>'資金繰り実績予定表（詳細）'!AL30+'資金繰り実績予定表（詳細）'!AL31</f>
        <v>0</v>
      </c>
      <c r="AX27" s="269">
        <f>'資金繰り実績予定表（詳細）'!AM30+'資金繰り実績予定表（詳細）'!AM31</f>
        <v>0</v>
      </c>
      <c r="AY27" s="269">
        <f>'資金繰り実績予定表（詳細）'!AN30+'資金繰り実績予定表（詳細）'!AN31</f>
        <v>0</v>
      </c>
      <c r="AZ27" s="269">
        <f>'資金繰り実績予定表（詳細）'!AO30+'資金繰り実績予定表（詳細）'!AO31</f>
        <v>0</v>
      </c>
      <c r="BA27" s="269">
        <f t="shared" si="11"/>
        <v>0</v>
      </c>
    </row>
    <row r="28" spans="1:53" ht="15">
      <c r="A28" s="230" t="s">
        <v>75</v>
      </c>
      <c r="B28" s="283" t="s">
        <v>77</v>
      </c>
      <c r="C28" s="315" t="s">
        <v>80</v>
      </c>
      <c r="D28" s="316"/>
      <c r="E28" s="226">
        <f t="shared" ref="E28:P28" si="18">SUM(E26:E27)</f>
        <v>0</v>
      </c>
      <c r="F28" s="226">
        <f t="shared" si="18"/>
        <v>0</v>
      </c>
      <c r="G28" s="226">
        <f t="shared" si="18"/>
        <v>72000</v>
      </c>
      <c r="H28" s="226">
        <f t="shared" si="18"/>
        <v>600000</v>
      </c>
      <c r="I28" s="226">
        <f t="shared" si="18"/>
        <v>152000</v>
      </c>
      <c r="J28" s="226">
        <f t="shared" si="18"/>
        <v>0</v>
      </c>
      <c r="K28" s="226">
        <f t="shared" si="18"/>
        <v>0</v>
      </c>
      <c r="L28" s="226">
        <f t="shared" si="18"/>
        <v>0</v>
      </c>
      <c r="M28" s="226">
        <f t="shared" si="18"/>
        <v>0</v>
      </c>
      <c r="N28" s="226">
        <f t="shared" si="18"/>
        <v>0</v>
      </c>
      <c r="O28" s="226">
        <f t="shared" si="18"/>
        <v>0</v>
      </c>
      <c r="P28" s="226">
        <f t="shared" si="18"/>
        <v>0</v>
      </c>
      <c r="Q28" s="226">
        <f t="shared" si="9"/>
        <v>824000</v>
      </c>
      <c r="R28" s="235"/>
      <c r="S28" s="237" t="s">
        <v>75</v>
      </c>
      <c r="T28" s="284" t="s">
        <v>77</v>
      </c>
      <c r="U28" s="324" t="s">
        <v>80</v>
      </c>
      <c r="V28" s="316"/>
      <c r="W28" s="226">
        <f t="shared" ref="W28:AH28" si="19">SUM(W26:W27)</f>
        <v>0</v>
      </c>
      <c r="X28" s="226">
        <f t="shared" si="19"/>
        <v>0</v>
      </c>
      <c r="Y28" s="226">
        <f t="shared" si="19"/>
        <v>0</v>
      </c>
      <c r="Z28" s="226">
        <f t="shared" si="19"/>
        <v>0</v>
      </c>
      <c r="AA28" s="226">
        <f t="shared" si="19"/>
        <v>0</v>
      </c>
      <c r="AB28" s="226">
        <f t="shared" si="19"/>
        <v>0</v>
      </c>
      <c r="AC28" s="226">
        <f t="shared" si="19"/>
        <v>0</v>
      </c>
      <c r="AD28" s="226">
        <f t="shared" si="19"/>
        <v>0</v>
      </c>
      <c r="AE28" s="226">
        <f t="shared" si="19"/>
        <v>0</v>
      </c>
      <c r="AF28" s="226">
        <f t="shared" si="19"/>
        <v>0</v>
      </c>
      <c r="AG28" s="226">
        <f t="shared" si="19"/>
        <v>0</v>
      </c>
      <c r="AH28" s="226">
        <f t="shared" si="19"/>
        <v>0</v>
      </c>
      <c r="AI28" s="226">
        <f t="shared" si="10"/>
        <v>0</v>
      </c>
      <c r="AJ28" s="240"/>
      <c r="AK28" s="237" t="s">
        <v>75</v>
      </c>
      <c r="AL28" s="284" t="s">
        <v>77</v>
      </c>
      <c r="AM28" s="324" t="s">
        <v>80</v>
      </c>
      <c r="AN28" s="316"/>
      <c r="AO28" s="226">
        <f t="shared" ref="AO28:AZ28" si="20">SUM(AO26:AO27)</f>
        <v>0</v>
      </c>
      <c r="AP28" s="226">
        <f t="shared" si="20"/>
        <v>0</v>
      </c>
      <c r="AQ28" s="226">
        <f t="shared" si="20"/>
        <v>0</v>
      </c>
      <c r="AR28" s="226">
        <f t="shared" si="20"/>
        <v>0</v>
      </c>
      <c r="AS28" s="226">
        <f t="shared" si="20"/>
        <v>0</v>
      </c>
      <c r="AT28" s="226">
        <f t="shared" si="20"/>
        <v>0</v>
      </c>
      <c r="AU28" s="226">
        <f t="shared" si="20"/>
        <v>0</v>
      </c>
      <c r="AV28" s="226">
        <f t="shared" si="20"/>
        <v>0</v>
      </c>
      <c r="AW28" s="226">
        <f t="shared" si="20"/>
        <v>0</v>
      </c>
      <c r="AX28" s="226">
        <f t="shared" si="20"/>
        <v>0</v>
      </c>
      <c r="AY28" s="226">
        <f t="shared" si="20"/>
        <v>0</v>
      </c>
      <c r="AZ28" s="226">
        <f t="shared" si="20"/>
        <v>0</v>
      </c>
      <c r="BA28" s="226">
        <f t="shared" si="11"/>
        <v>0</v>
      </c>
    </row>
    <row r="29" spans="1:53" ht="15">
      <c r="A29" s="230" t="s">
        <v>79</v>
      </c>
      <c r="B29" s="231"/>
      <c r="C29" s="308" t="s">
        <v>94</v>
      </c>
      <c r="D29" s="309"/>
      <c r="E29" s="285">
        <f>'資金繰り実績予定表（詳細）'!B24+'資金繰り実績予定表（詳細）'!B35</f>
        <v>0</v>
      </c>
      <c r="F29" s="285">
        <f>'資金繰り実績予定表（詳細）'!C24+'資金繰り実績予定表（詳細）'!C35</f>
        <v>0</v>
      </c>
      <c r="G29" s="285">
        <f>'資金繰り実績予定表（詳細）'!D24+'資金繰り実績予定表（詳細）'!D35</f>
        <v>0</v>
      </c>
      <c r="H29" s="285">
        <f>'資金繰り実績予定表（詳細）'!E24+'資金繰り実績予定表（詳細）'!E35</f>
        <v>0</v>
      </c>
      <c r="I29" s="285">
        <f>'資金繰り実績予定表（詳細）'!F24+'資金繰り実績予定表（詳細）'!F35</f>
        <v>60400</v>
      </c>
      <c r="J29" s="285">
        <f>'資金繰り実績予定表（詳細）'!G24+'資金繰り実績予定表（詳細）'!G35</f>
        <v>0</v>
      </c>
      <c r="K29" s="285">
        <f>'資金繰り実績予定表（詳細）'!H24+'資金繰り実績予定表（詳細）'!H35</f>
        <v>0</v>
      </c>
      <c r="L29" s="285">
        <f>'資金繰り実績予定表（詳細）'!I24+'資金繰り実績予定表（詳細）'!I35</f>
        <v>0</v>
      </c>
      <c r="M29" s="285">
        <f>'資金繰り実績予定表（詳細）'!J24+'資金繰り実績予定表（詳細）'!J35</f>
        <v>0</v>
      </c>
      <c r="N29" s="285">
        <f>'資金繰り実績予定表（詳細）'!K24+'資金繰り実績予定表（詳細）'!K35</f>
        <v>0</v>
      </c>
      <c r="O29" s="285">
        <f>'資金繰り実績予定表（詳細）'!L24+'資金繰り実績予定表（詳細）'!L35</f>
        <v>0</v>
      </c>
      <c r="P29" s="285">
        <f>'資金繰り実績予定表（詳細）'!M24+'資金繰り実績予定表（詳細）'!M35</f>
        <v>0</v>
      </c>
      <c r="Q29" s="285">
        <f t="shared" si="9"/>
        <v>60400</v>
      </c>
      <c r="R29" s="235"/>
      <c r="S29" s="237" t="s">
        <v>79</v>
      </c>
      <c r="T29" s="238"/>
      <c r="U29" s="323" t="s">
        <v>94</v>
      </c>
      <c r="V29" s="309"/>
      <c r="W29" s="285">
        <f>'資金繰り実績予定表（詳細）'!P24+'資金繰り実績予定表（詳細）'!P35</f>
        <v>0</v>
      </c>
      <c r="X29" s="285">
        <f>'資金繰り実績予定表（詳細）'!Q24+'資金繰り実績予定表（詳細）'!Q35</f>
        <v>0</v>
      </c>
      <c r="Y29" s="285">
        <f>'資金繰り実績予定表（詳細）'!R24+'資金繰り実績予定表（詳細）'!R35</f>
        <v>0</v>
      </c>
      <c r="Z29" s="285">
        <f>'資金繰り実績予定表（詳細）'!S24+'資金繰り実績予定表（詳細）'!S35</f>
        <v>0</v>
      </c>
      <c r="AA29" s="285">
        <f>'資金繰り実績予定表（詳細）'!T24+'資金繰り実績予定表（詳細）'!T35</f>
        <v>0</v>
      </c>
      <c r="AB29" s="285">
        <f>'資金繰り実績予定表（詳細）'!U24+'資金繰り実績予定表（詳細）'!U35</f>
        <v>0</v>
      </c>
      <c r="AC29" s="285">
        <f>'資金繰り実績予定表（詳細）'!V24+'資金繰り実績予定表（詳細）'!V35</f>
        <v>0</v>
      </c>
      <c r="AD29" s="285">
        <f>'資金繰り実績予定表（詳細）'!W24+'資金繰り実績予定表（詳細）'!W35</f>
        <v>0</v>
      </c>
      <c r="AE29" s="285">
        <f>'資金繰り実績予定表（詳細）'!X24+'資金繰り実績予定表（詳細）'!X35</f>
        <v>0</v>
      </c>
      <c r="AF29" s="285">
        <f>'資金繰り実績予定表（詳細）'!Y24+'資金繰り実績予定表（詳細）'!Y35</f>
        <v>0</v>
      </c>
      <c r="AG29" s="285">
        <f>'資金繰り実績予定表（詳細）'!Z24+'資金繰り実績予定表（詳細）'!Z35</f>
        <v>0</v>
      </c>
      <c r="AH29" s="285">
        <f>'資金繰り実績予定表（詳細）'!AA24+'資金繰り実績予定表（詳細）'!AA35</f>
        <v>0</v>
      </c>
      <c r="AI29" s="285">
        <f t="shared" si="10"/>
        <v>0</v>
      </c>
      <c r="AJ29" s="240"/>
      <c r="AK29" s="237" t="s">
        <v>79</v>
      </c>
      <c r="AL29" s="238"/>
      <c r="AM29" s="323" t="s">
        <v>94</v>
      </c>
      <c r="AN29" s="309"/>
      <c r="AO29" s="285">
        <f>'資金繰り実績予定表（詳細）'!AD24+'資金繰り実績予定表（詳細）'!AD35</f>
        <v>0</v>
      </c>
      <c r="AP29" s="285">
        <f>'資金繰り実績予定表（詳細）'!AE24+'資金繰り実績予定表（詳細）'!AE35</f>
        <v>0</v>
      </c>
      <c r="AQ29" s="285">
        <f>'資金繰り実績予定表（詳細）'!AF24+'資金繰り実績予定表（詳細）'!AF35</f>
        <v>0</v>
      </c>
      <c r="AR29" s="285">
        <f>'資金繰り実績予定表（詳細）'!AG24+'資金繰り実績予定表（詳細）'!AG35</f>
        <v>0</v>
      </c>
      <c r="AS29" s="285">
        <f>'資金繰り実績予定表（詳細）'!AH24+'資金繰り実績予定表（詳細）'!AH35</f>
        <v>0</v>
      </c>
      <c r="AT29" s="285">
        <f>'資金繰り実績予定表（詳細）'!AI24+'資金繰り実績予定表（詳細）'!AI35</f>
        <v>0</v>
      </c>
      <c r="AU29" s="285">
        <f>'資金繰り実績予定表（詳細）'!AJ24+'資金繰り実績予定表（詳細）'!AJ35</f>
        <v>0</v>
      </c>
      <c r="AV29" s="285">
        <f>'資金繰り実績予定表（詳細）'!AK24+'資金繰り実績予定表（詳細）'!AK35</f>
        <v>0</v>
      </c>
      <c r="AW29" s="285">
        <f>'資金繰り実績予定表（詳細）'!AL24+'資金繰り実績予定表（詳細）'!AL35</f>
        <v>0</v>
      </c>
      <c r="AX29" s="285">
        <f>'資金繰り実績予定表（詳細）'!AM24+'資金繰り実績予定表（詳細）'!AM35</f>
        <v>0</v>
      </c>
      <c r="AY29" s="285">
        <f>'資金繰り実績予定表（詳細）'!AN24+'資金繰り実績予定表（詳細）'!AN35</f>
        <v>0</v>
      </c>
      <c r="AZ29" s="285">
        <f>'資金繰り実績予定表（詳細）'!AO24+'資金繰り実績予定表（詳細）'!AO35</f>
        <v>0</v>
      </c>
      <c r="BA29" s="285">
        <f t="shared" si="11"/>
        <v>0</v>
      </c>
    </row>
    <row r="30" spans="1:53" ht="15">
      <c r="A30" s="230" t="s">
        <v>95</v>
      </c>
      <c r="B30" s="231" t="s">
        <v>85</v>
      </c>
      <c r="C30" s="310" t="s">
        <v>96</v>
      </c>
      <c r="D30" s="311"/>
      <c r="E30" s="234">
        <f>'資金繰り実績予定表（詳細）'!B34</f>
        <v>0</v>
      </c>
      <c r="F30" s="234">
        <f>'資金繰り実績予定表（詳細）'!C34</f>
        <v>0</v>
      </c>
      <c r="G30" s="234">
        <f>'資金繰り実績予定表（詳細）'!D34</f>
        <v>0</v>
      </c>
      <c r="H30" s="234">
        <f>'資金繰り実績予定表（詳細）'!E34</f>
        <v>0</v>
      </c>
      <c r="I30" s="234">
        <f>'資金繰り実績予定表（詳細）'!F34</f>
        <v>0</v>
      </c>
      <c r="J30" s="234">
        <f>'資金繰り実績予定表（詳細）'!G34</f>
        <v>0</v>
      </c>
      <c r="K30" s="234">
        <f>'資金繰り実績予定表（詳細）'!H34</f>
        <v>0</v>
      </c>
      <c r="L30" s="234">
        <f>'資金繰り実績予定表（詳細）'!I34</f>
        <v>0</v>
      </c>
      <c r="M30" s="234">
        <f>'資金繰り実績予定表（詳細）'!J34</f>
        <v>0</v>
      </c>
      <c r="N30" s="234">
        <f>'資金繰り実績予定表（詳細）'!K34</f>
        <v>0</v>
      </c>
      <c r="O30" s="234">
        <f>'資金繰り実績予定表（詳細）'!L34</f>
        <v>0</v>
      </c>
      <c r="P30" s="234">
        <f>'資金繰り実績予定表（詳細）'!M34</f>
        <v>0</v>
      </c>
      <c r="Q30" s="242">
        <f t="shared" si="9"/>
        <v>0</v>
      </c>
      <c r="R30" s="235"/>
      <c r="S30" s="237" t="s">
        <v>95</v>
      </c>
      <c r="T30" s="238" t="s">
        <v>85</v>
      </c>
      <c r="U30" s="325" t="s">
        <v>96</v>
      </c>
      <c r="V30" s="311"/>
      <c r="W30" s="234">
        <f>'資金繰り実績予定表（詳細）'!P34</f>
        <v>0</v>
      </c>
      <c r="X30" s="234">
        <f>'資金繰り実績予定表（詳細）'!Q34</f>
        <v>0</v>
      </c>
      <c r="Y30" s="234">
        <f>'資金繰り実績予定表（詳細）'!R34</f>
        <v>0</v>
      </c>
      <c r="Z30" s="234">
        <f>'資金繰り実績予定表（詳細）'!S34</f>
        <v>0</v>
      </c>
      <c r="AA30" s="234">
        <f>'資金繰り実績予定表（詳細）'!T34</f>
        <v>0</v>
      </c>
      <c r="AB30" s="234">
        <f>'資金繰り実績予定表（詳細）'!U34</f>
        <v>0</v>
      </c>
      <c r="AC30" s="234">
        <f>'資金繰り実績予定表（詳細）'!V34</f>
        <v>0</v>
      </c>
      <c r="AD30" s="234">
        <f>'資金繰り実績予定表（詳細）'!W34</f>
        <v>0</v>
      </c>
      <c r="AE30" s="234">
        <f>'資金繰り実績予定表（詳細）'!X34</f>
        <v>0</v>
      </c>
      <c r="AF30" s="234">
        <f>'資金繰り実績予定表（詳細）'!Y34</f>
        <v>0</v>
      </c>
      <c r="AG30" s="234">
        <f>'資金繰り実績予定表（詳細）'!Z34</f>
        <v>0</v>
      </c>
      <c r="AH30" s="234">
        <f>'資金繰り実績予定表（詳細）'!AA34</f>
        <v>0</v>
      </c>
      <c r="AI30" s="242">
        <f t="shared" si="10"/>
        <v>0</v>
      </c>
      <c r="AJ30" s="240"/>
      <c r="AK30" s="237" t="s">
        <v>95</v>
      </c>
      <c r="AL30" s="238" t="s">
        <v>85</v>
      </c>
      <c r="AM30" s="325" t="s">
        <v>96</v>
      </c>
      <c r="AN30" s="311"/>
      <c r="AO30" s="234">
        <f>'資金繰り実績予定表（詳細）'!AD34</f>
        <v>0</v>
      </c>
      <c r="AP30" s="234">
        <f>'資金繰り実績予定表（詳細）'!AE34</f>
        <v>0</v>
      </c>
      <c r="AQ30" s="234">
        <f>'資金繰り実績予定表（詳細）'!AF34</f>
        <v>0</v>
      </c>
      <c r="AR30" s="234">
        <f>'資金繰り実績予定表（詳細）'!AG34</f>
        <v>0</v>
      </c>
      <c r="AS30" s="234">
        <f>'資金繰り実績予定表（詳細）'!AH34</f>
        <v>0</v>
      </c>
      <c r="AT30" s="234">
        <f>'資金繰り実績予定表（詳細）'!AI34</f>
        <v>0</v>
      </c>
      <c r="AU30" s="234">
        <f>'資金繰り実績予定表（詳細）'!AJ34</f>
        <v>0</v>
      </c>
      <c r="AV30" s="234">
        <f>'資金繰り実績予定表（詳細）'!AK34</f>
        <v>0</v>
      </c>
      <c r="AW30" s="234">
        <f>'資金繰り実績予定表（詳細）'!AL34</f>
        <v>0</v>
      </c>
      <c r="AX30" s="234">
        <f>'資金繰り実績予定表（詳細）'!AM34</f>
        <v>0</v>
      </c>
      <c r="AY30" s="234">
        <f>'資金繰り実績予定表（詳細）'!AN34</f>
        <v>0</v>
      </c>
      <c r="AZ30" s="234">
        <f>'資金繰り実績予定表（詳細）'!AO34</f>
        <v>0</v>
      </c>
      <c r="BA30" s="242">
        <f t="shared" si="11"/>
        <v>0</v>
      </c>
    </row>
    <row r="31" spans="1:53" ht="15">
      <c r="A31" s="230" t="s">
        <v>69</v>
      </c>
      <c r="B31" s="231"/>
      <c r="C31" s="312"/>
      <c r="D31" s="311"/>
      <c r="E31" s="245"/>
      <c r="F31" s="245"/>
      <c r="G31" s="245"/>
      <c r="H31" s="245"/>
      <c r="I31" s="245"/>
      <c r="J31" s="245"/>
      <c r="K31" s="245"/>
      <c r="L31" s="245"/>
      <c r="M31" s="245"/>
      <c r="N31" s="245"/>
      <c r="O31" s="245"/>
      <c r="P31" s="245"/>
      <c r="Q31" s="242">
        <f t="shared" si="9"/>
        <v>0</v>
      </c>
      <c r="R31" s="235"/>
      <c r="S31" s="237" t="s">
        <v>69</v>
      </c>
      <c r="T31" s="238"/>
      <c r="U31" s="326"/>
      <c r="V31" s="311"/>
      <c r="W31" s="245"/>
      <c r="X31" s="245"/>
      <c r="Y31" s="245"/>
      <c r="Z31" s="245"/>
      <c r="AA31" s="245"/>
      <c r="AB31" s="245"/>
      <c r="AC31" s="245"/>
      <c r="AD31" s="245"/>
      <c r="AE31" s="245"/>
      <c r="AF31" s="245"/>
      <c r="AG31" s="245"/>
      <c r="AH31" s="245"/>
      <c r="AI31" s="242">
        <f t="shared" si="10"/>
        <v>0</v>
      </c>
      <c r="AJ31" s="240"/>
      <c r="AK31" s="237" t="s">
        <v>69</v>
      </c>
      <c r="AL31" s="238"/>
      <c r="AM31" s="326"/>
      <c r="AN31" s="311"/>
      <c r="AO31" s="245"/>
      <c r="AP31" s="245"/>
      <c r="AQ31" s="245"/>
      <c r="AR31" s="245"/>
      <c r="AS31" s="245"/>
      <c r="AT31" s="245"/>
      <c r="AU31" s="245"/>
      <c r="AV31" s="245"/>
      <c r="AW31" s="245"/>
      <c r="AX31" s="245"/>
      <c r="AY31" s="245"/>
      <c r="AZ31" s="245"/>
      <c r="BA31" s="242">
        <f t="shared" si="11"/>
        <v>0</v>
      </c>
    </row>
    <row r="32" spans="1:53" ht="15">
      <c r="A32" s="230" t="s">
        <v>85</v>
      </c>
      <c r="B32" s="231" t="s">
        <v>89</v>
      </c>
      <c r="C32" s="313" t="s">
        <v>31</v>
      </c>
      <c r="D32" s="311"/>
      <c r="E32" s="234">
        <f>'資金繰り実績予定表（詳細）'!B37-'資金繰り実績予定表（詳細）'!B34-'資金繰り実績予定表（詳細）'!B35</f>
        <v>630990</v>
      </c>
      <c r="F32" s="234">
        <f>'資金繰り実績予定表（詳細）'!C37-'資金繰り実績予定表（詳細）'!C34-'資金繰り実績予定表（詳細）'!C35</f>
        <v>0</v>
      </c>
      <c r="G32" s="234">
        <f>'資金繰り実績予定表（詳細）'!D37-'資金繰り実績予定表（詳細）'!D34-'資金繰り実績予定表（詳細）'!D35</f>
        <v>0</v>
      </c>
      <c r="H32" s="234">
        <f>'資金繰り実績予定表（詳細）'!E37-'資金繰り実績予定表（詳細）'!E34-'資金繰り実績予定表（詳細）'!E35</f>
        <v>0</v>
      </c>
      <c r="I32" s="234">
        <f>'資金繰り実績予定表（詳細）'!F37-'資金繰り実績予定表（詳細）'!F34-'資金繰り実績予定表（詳細）'!F35</f>
        <v>0</v>
      </c>
      <c r="J32" s="234">
        <f>'資金繰り実績予定表（詳細）'!G37-'資金繰り実績予定表（詳細）'!G34-'資金繰り実績予定表（詳細）'!G35</f>
        <v>0</v>
      </c>
      <c r="K32" s="234">
        <f>'資金繰り実績予定表（詳細）'!H37-'資金繰り実績予定表（詳細）'!H34-'資金繰り実績予定表（詳細）'!H35</f>
        <v>0</v>
      </c>
      <c r="L32" s="234">
        <f>'資金繰り実績予定表（詳細）'!I37-'資金繰り実績予定表（詳細）'!I34-'資金繰り実績予定表（詳細）'!I35</f>
        <v>0</v>
      </c>
      <c r="M32" s="234">
        <f>'資金繰り実績予定表（詳細）'!J37-'資金繰り実績予定表（詳細）'!J34-'資金繰り実績予定表（詳細）'!J35</f>
        <v>0</v>
      </c>
      <c r="N32" s="234">
        <f>'資金繰り実績予定表（詳細）'!K37-'資金繰り実績予定表（詳細）'!K34-'資金繰り実績予定表（詳細）'!K35</f>
        <v>0</v>
      </c>
      <c r="O32" s="234">
        <f>'資金繰り実績予定表（詳細）'!L37-'資金繰り実績予定表（詳細）'!L34-'資金繰り実績予定表（詳細）'!L35</f>
        <v>0</v>
      </c>
      <c r="P32" s="234">
        <f>'資金繰り実績予定表（詳細）'!M37-'資金繰り実績予定表（詳細）'!M34-'資金繰り実績予定表（詳細）'!M35</f>
        <v>0</v>
      </c>
      <c r="Q32" s="234">
        <f t="shared" si="9"/>
        <v>630990</v>
      </c>
      <c r="R32" s="235"/>
      <c r="S32" s="237" t="s">
        <v>85</v>
      </c>
      <c r="T32" s="238" t="s">
        <v>89</v>
      </c>
      <c r="U32" s="329" t="s">
        <v>31</v>
      </c>
      <c r="V32" s="311"/>
      <c r="W32" s="234">
        <f>'資金繰り実績予定表（詳細）'!P37-'資金繰り実績予定表（詳細）'!P34-'資金繰り実績予定表（詳細）'!P35</f>
        <v>0</v>
      </c>
      <c r="X32" s="234">
        <f>'資金繰り実績予定表（詳細）'!Q37-'資金繰り実績予定表（詳細）'!Q34-'資金繰り実績予定表（詳細）'!Q35</f>
        <v>0</v>
      </c>
      <c r="Y32" s="234">
        <f>'資金繰り実績予定表（詳細）'!R37-'資金繰り実績予定表（詳細）'!R34-'資金繰り実績予定表（詳細）'!R35</f>
        <v>0</v>
      </c>
      <c r="Z32" s="234">
        <f>'資金繰り実績予定表（詳細）'!S37-'資金繰り実績予定表（詳細）'!S34-'資金繰り実績予定表（詳細）'!S35</f>
        <v>0</v>
      </c>
      <c r="AA32" s="234">
        <f>'資金繰り実績予定表（詳細）'!T37-'資金繰り実績予定表（詳細）'!T34-'資金繰り実績予定表（詳細）'!T35</f>
        <v>0</v>
      </c>
      <c r="AB32" s="234">
        <f>'資金繰り実績予定表（詳細）'!U37-'資金繰り実績予定表（詳細）'!U34-'資金繰り実績予定表（詳細）'!U35</f>
        <v>0</v>
      </c>
      <c r="AC32" s="234">
        <f>'資金繰り実績予定表（詳細）'!V37-'資金繰り実績予定表（詳細）'!V34-'資金繰り実績予定表（詳細）'!V35</f>
        <v>0</v>
      </c>
      <c r="AD32" s="234">
        <f>'資金繰り実績予定表（詳細）'!W37-'資金繰り実績予定表（詳細）'!W34-'資金繰り実績予定表（詳細）'!W35</f>
        <v>0</v>
      </c>
      <c r="AE32" s="234">
        <f>'資金繰り実績予定表（詳細）'!X37-'資金繰り実績予定表（詳細）'!X34-'資金繰り実績予定表（詳細）'!X35</f>
        <v>0</v>
      </c>
      <c r="AF32" s="234">
        <f>'資金繰り実績予定表（詳細）'!Y37-'資金繰り実績予定表（詳細）'!Y34-'資金繰り実績予定表（詳細）'!Y35</f>
        <v>0</v>
      </c>
      <c r="AG32" s="234">
        <f>'資金繰り実績予定表（詳細）'!Z37-'資金繰り実績予定表（詳細）'!Z34-'資金繰り実績予定表（詳細）'!Z35</f>
        <v>0</v>
      </c>
      <c r="AH32" s="234">
        <f>'資金繰り実績予定表（詳細）'!AA37-'資金繰り実績予定表（詳細）'!AA34-'資金繰り実績予定表（詳細）'!AA35</f>
        <v>0</v>
      </c>
      <c r="AI32" s="234">
        <f t="shared" si="10"/>
        <v>0</v>
      </c>
      <c r="AJ32" s="240"/>
      <c r="AK32" s="237" t="s">
        <v>85</v>
      </c>
      <c r="AL32" s="238" t="s">
        <v>89</v>
      </c>
      <c r="AM32" s="329" t="s">
        <v>31</v>
      </c>
      <c r="AN32" s="311"/>
      <c r="AO32" s="234">
        <f>'資金繰り実績予定表（詳細）'!AD37-'資金繰り実績予定表（詳細）'!AD34-'資金繰り実績予定表（詳細）'!AD35</f>
        <v>0</v>
      </c>
      <c r="AP32" s="234">
        <f>'資金繰り実績予定表（詳細）'!AE37-'資金繰り実績予定表（詳細）'!AE34-'資金繰り実績予定表（詳細）'!AE35</f>
        <v>0</v>
      </c>
      <c r="AQ32" s="234">
        <f>'資金繰り実績予定表（詳細）'!AF37-'資金繰り実績予定表（詳細）'!AF34-'資金繰り実績予定表（詳細）'!AF35</f>
        <v>0</v>
      </c>
      <c r="AR32" s="234">
        <f>'資金繰り実績予定表（詳細）'!AG37-'資金繰り実績予定表（詳細）'!AG34-'資金繰り実績予定表（詳細）'!AG35</f>
        <v>0</v>
      </c>
      <c r="AS32" s="234">
        <f>'資金繰り実績予定表（詳細）'!AH37-'資金繰り実績予定表（詳細）'!AH34-'資金繰り実績予定表（詳細）'!AH35</f>
        <v>0</v>
      </c>
      <c r="AT32" s="234">
        <f>'資金繰り実績予定表（詳細）'!AI37-'資金繰り実績予定表（詳細）'!AI34-'資金繰り実績予定表（詳細）'!AI35</f>
        <v>0</v>
      </c>
      <c r="AU32" s="234">
        <f>'資金繰り実績予定表（詳細）'!AJ37-'資金繰り実績予定表（詳細）'!AJ34-'資金繰り実績予定表（詳細）'!AJ35</f>
        <v>0</v>
      </c>
      <c r="AV32" s="234">
        <f>'資金繰り実績予定表（詳細）'!AK37-'資金繰り実績予定表（詳細）'!AK34-'資金繰り実績予定表（詳細）'!AK35</f>
        <v>0</v>
      </c>
      <c r="AW32" s="234">
        <f>'資金繰り実績予定表（詳細）'!AL37-'資金繰り実績予定表（詳細）'!AL34-'資金繰り実績予定表（詳細）'!AL35</f>
        <v>0</v>
      </c>
      <c r="AX32" s="234">
        <f>'資金繰り実績予定表（詳細）'!AM37-'資金繰り実績予定表（詳細）'!AM34-'資金繰り実績予定表（詳細）'!AM35</f>
        <v>0</v>
      </c>
      <c r="AY32" s="234">
        <f>'資金繰り実績予定表（詳細）'!AN37-'資金繰り実績予定表（詳細）'!AN34-'資金繰り実績予定表（詳細）'!AN35</f>
        <v>0</v>
      </c>
      <c r="AZ32" s="234">
        <f>'資金繰り実績予定表（詳細）'!AO37-'資金繰り実績予定表（詳細）'!AO34-'資金繰り実績予定表（詳細）'!AO35</f>
        <v>0</v>
      </c>
      <c r="BA32" s="234">
        <f t="shared" si="11"/>
        <v>0</v>
      </c>
    </row>
    <row r="33" spans="1:53" ht="15">
      <c r="A33" s="230"/>
      <c r="B33" s="231"/>
      <c r="C33" s="308" t="s">
        <v>92</v>
      </c>
      <c r="D33" s="309"/>
      <c r="E33" s="226">
        <f t="shared" ref="E33:P33" si="21">SUM(E29:E32)</f>
        <v>630990</v>
      </c>
      <c r="F33" s="226">
        <f t="shared" si="21"/>
        <v>0</v>
      </c>
      <c r="G33" s="226">
        <f t="shared" si="21"/>
        <v>0</v>
      </c>
      <c r="H33" s="226">
        <f t="shared" si="21"/>
        <v>0</v>
      </c>
      <c r="I33" s="226">
        <f t="shared" si="21"/>
        <v>60400</v>
      </c>
      <c r="J33" s="226">
        <f t="shared" si="21"/>
        <v>0</v>
      </c>
      <c r="K33" s="226">
        <f t="shared" si="21"/>
        <v>0</v>
      </c>
      <c r="L33" s="226">
        <f t="shared" si="21"/>
        <v>0</v>
      </c>
      <c r="M33" s="226">
        <f t="shared" si="21"/>
        <v>0</v>
      </c>
      <c r="N33" s="226">
        <f t="shared" si="21"/>
        <v>0</v>
      </c>
      <c r="O33" s="226">
        <f t="shared" si="21"/>
        <v>0</v>
      </c>
      <c r="P33" s="226">
        <f t="shared" si="21"/>
        <v>0</v>
      </c>
      <c r="Q33" s="226">
        <f t="shared" si="9"/>
        <v>691390</v>
      </c>
      <c r="R33" s="235"/>
      <c r="S33" s="237"/>
      <c r="T33" s="238"/>
      <c r="U33" s="323" t="s">
        <v>92</v>
      </c>
      <c r="V33" s="309"/>
      <c r="W33" s="226">
        <f t="shared" ref="W33:AH33" si="22">SUM(W29:W32)</f>
        <v>0</v>
      </c>
      <c r="X33" s="226">
        <f t="shared" si="22"/>
        <v>0</v>
      </c>
      <c r="Y33" s="226">
        <f t="shared" si="22"/>
        <v>0</v>
      </c>
      <c r="Z33" s="226">
        <f t="shared" si="22"/>
        <v>0</v>
      </c>
      <c r="AA33" s="226">
        <f t="shared" si="22"/>
        <v>0</v>
      </c>
      <c r="AB33" s="226">
        <f t="shared" si="22"/>
        <v>0</v>
      </c>
      <c r="AC33" s="226">
        <f t="shared" si="22"/>
        <v>0</v>
      </c>
      <c r="AD33" s="226">
        <f t="shared" si="22"/>
        <v>0</v>
      </c>
      <c r="AE33" s="226">
        <f t="shared" si="22"/>
        <v>0</v>
      </c>
      <c r="AF33" s="226">
        <f t="shared" si="22"/>
        <v>0</v>
      </c>
      <c r="AG33" s="226">
        <f t="shared" si="22"/>
        <v>0</v>
      </c>
      <c r="AH33" s="226">
        <f t="shared" si="22"/>
        <v>0</v>
      </c>
      <c r="AI33" s="226">
        <f t="shared" si="10"/>
        <v>0</v>
      </c>
      <c r="AJ33" s="240"/>
      <c r="AK33" s="237"/>
      <c r="AL33" s="238"/>
      <c r="AM33" s="323" t="s">
        <v>92</v>
      </c>
      <c r="AN33" s="309"/>
      <c r="AO33" s="226">
        <f t="shared" ref="AO33:AZ33" si="23">SUM(AO29:AO32)</f>
        <v>0</v>
      </c>
      <c r="AP33" s="226">
        <f t="shared" si="23"/>
        <v>0</v>
      </c>
      <c r="AQ33" s="226">
        <f t="shared" si="23"/>
        <v>0</v>
      </c>
      <c r="AR33" s="226">
        <f t="shared" si="23"/>
        <v>0</v>
      </c>
      <c r="AS33" s="226">
        <f t="shared" si="23"/>
        <v>0</v>
      </c>
      <c r="AT33" s="226">
        <f t="shared" si="23"/>
        <v>0</v>
      </c>
      <c r="AU33" s="226">
        <f t="shared" si="23"/>
        <v>0</v>
      </c>
      <c r="AV33" s="226">
        <f t="shared" si="23"/>
        <v>0</v>
      </c>
      <c r="AW33" s="226">
        <f t="shared" si="23"/>
        <v>0</v>
      </c>
      <c r="AX33" s="226">
        <f t="shared" si="23"/>
        <v>0</v>
      </c>
      <c r="AY33" s="226">
        <f t="shared" si="23"/>
        <v>0</v>
      </c>
      <c r="AZ33" s="226">
        <f t="shared" si="23"/>
        <v>0</v>
      </c>
      <c r="BA33" s="226">
        <f t="shared" si="11"/>
        <v>0</v>
      </c>
    </row>
    <row r="34" spans="1:53" ht="15">
      <c r="A34" s="272"/>
      <c r="B34" s="322" t="s">
        <v>97</v>
      </c>
      <c r="C34" s="316"/>
      <c r="D34" s="316"/>
      <c r="E34" s="287">
        <f t="shared" ref="E34:P34" si="24">E28-E33</f>
        <v>-630990</v>
      </c>
      <c r="F34" s="287">
        <f t="shared" si="24"/>
        <v>0</v>
      </c>
      <c r="G34" s="287">
        <f t="shared" si="24"/>
        <v>72000</v>
      </c>
      <c r="H34" s="287">
        <f t="shared" si="24"/>
        <v>600000</v>
      </c>
      <c r="I34" s="287">
        <f t="shared" si="24"/>
        <v>91600</v>
      </c>
      <c r="J34" s="287">
        <f t="shared" si="24"/>
        <v>0</v>
      </c>
      <c r="K34" s="287">
        <f t="shared" si="24"/>
        <v>0</v>
      </c>
      <c r="L34" s="287">
        <f t="shared" si="24"/>
        <v>0</v>
      </c>
      <c r="M34" s="287">
        <f t="shared" si="24"/>
        <v>0</v>
      </c>
      <c r="N34" s="287">
        <f t="shared" si="24"/>
        <v>0</v>
      </c>
      <c r="O34" s="287">
        <f t="shared" si="24"/>
        <v>0</v>
      </c>
      <c r="P34" s="287">
        <f t="shared" si="24"/>
        <v>0</v>
      </c>
      <c r="Q34" s="287">
        <f t="shared" si="9"/>
        <v>132610</v>
      </c>
      <c r="R34" s="235"/>
      <c r="S34" s="273"/>
      <c r="T34" s="322" t="s">
        <v>97</v>
      </c>
      <c r="U34" s="316"/>
      <c r="V34" s="316"/>
      <c r="W34" s="287">
        <f t="shared" ref="W34:AH34" si="25">W28-W33</f>
        <v>0</v>
      </c>
      <c r="X34" s="287">
        <f t="shared" si="25"/>
        <v>0</v>
      </c>
      <c r="Y34" s="287">
        <f t="shared" si="25"/>
        <v>0</v>
      </c>
      <c r="Z34" s="287">
        <f t="shared" si="25"/>
        <v>0</v>
      </c>
      <c r="AA34" s="287">
        <f t="shared" si="25"/>
        <v>0</v>
      </c>
      <c r="AB34" s="287">
        <f t="shared" si="25"/>
        <v>0</v>
      </c>
      <c r="AC34" s="287">
        <f t="shared" si="25"/>
        <v>0</v>
      </c>
      <c r="AD34" s="287">
        <f t="shared" si="25"/>
        <v>0</v>
      </c>
      <c r="AE34" s="287">
        <f t="shared" si="25"/>
        <v>0</v>
      </c>
      <c r="AF34" s="287">
        <f t="shared" si="25"/>
        <v>0</v>
      </c>
      <c r="AG34" s="287">
        <f t="shared" si="25"/>
        <v>0</v>
      </c>
      <c r="AH34" s="287">
        <f t="shared" si="25"/>
        <v>0</v>
      </c>
      <c r="AI34" s="287">
        <f t="shared" si="10"/>
        <v>0</v>
      </c>
      <c r="AJ34" s="278"/>
      <c r="AK34" s="273"/>
      <c r="AL34" s="322" t="s">
        <v>97</v>
      </c>
      <c r="AM34" s="316"/>
      <c r="AN34" s="316"/>
      <c r="AO34" s="287">
        <f t="shared" ref="AO34:AZ34" si="26">AO28-AO33</f>
        <v>0</v>
      </c>
      <c r="AP34" s="287">
        <f t="shared" si="26"/>
        <v>0</v>
      </c>
      <c r="AQ34" s="287">
        <f t="shared" si="26"/>
        <v>0</v>
      </c>
      <c r="AR34" s="287">
        <f t="shared" si="26"/>
        <v>0</v>
      </c>
      <c r="AS34" s="287">
        <f t="shared" si="26"/>
        <v>0</v>
      </c>
      <c r="AT34" s="287">
        <f t="shared" si="26"/>
        <v>0</v>
      </c>
      <c r="AU34" s="287">
        <f t="shared" si="26"/>
        <v>0</v>
      </c>
      <c r="AV34" s="287">
        <f t="shared" si="26"/>
        <v>0</v>
      </c>
      <c r="AW34" s="287">
        <f t="shared" si="26"/>
        <v>0</v>
      </c>
      <c r="AX34" s="287">
        <f t="shared" si="26"/>
        <v>0</v>
      </c>
      <c r="AY34" s="287">
        <f t="shared" si="26"/>
        <v>0</v>
      </c>
      <c r="AZ34" s="287">
        <f t="shared" si="26"/>
        <v>0</v>
      </c>
      <c r="BA34" s="287">
        <f t="shared" si="11"/>
        <v>0</v>
      </c>
    </row>
    <row r="35" spans="1:53" ht="15">
      <c r="A35" s="258"/>
      <c r="B35" s="252"/>
      <c r="C35" s="314" t="s">
        <v>98</v>
      </c>
      <c r="D35" s="309"/>
      <c r="E35" s="288">
        <f>'資金繰り実績予定表（詳細）'!B40</f>
        <v>0</v>
      </c>
      <c r="F35" s="288">
        <f>'資金繰り実績予定表（詳細）'!C40</f>
        <v>0</v>
      </c>
      <c r="G35" s="288">
        <f>'資金繰り実績予定表（詳細）'!D40</f>
        <v>0</v>
      </c>
      <c r="H35" s="288">
        <f>'資金繰り実績予定表（詳細）'!E40</f>
        <v>0</v>
      </c>
      <c r="I35" s="288">
        <f>'資金繰り実績予定表（詳細）'!F40</f>
        <v>0</v>
      </c>
      <c r="J35" s="288">
        <f>'資金繰り実績予定表（詳細）'!G40</f>
        <v>66051004</v>
      </c>
      <c r="K35" s="288">
        <f>'資金繰り実績予定表（詳細）'!H40</f>
        <v>28867500</v>
      </c>
      <c r="L35" s="288">
        <f>'資金繰り実績予定表（詳細）'!I40</f>
        <v>0</v>
      </c>
      <c r="M35" s="288">
        <f>'資金繰り実績予定表（詳細）'!J40</f>
        <v>0</v>
      </c>
      <c r="N35" s="288">
        <f>'資金繰り実績予定表（詳細）'!K40</f>
        <v>0</v>
      </c>
      <c r="O35" s="288">
        <f>'資金繰り実績予定表（詳細）'!L40</f>
        <v>0</v>
      </c>
      <c r="P35" s="288">
        <f>'資金繰り実績予定表（詳細）'!M40</f>
        <v>0</v>
      </c>
      <c r="Q35" s="288">
        <f t="shared" si="9"/>
        <v>94918504</v>
      </c>
      <c r="R35" s="235"/>
      <c r="S35" s="260"/>
      <c r="T35" s="256"/>
      <c r="U35" s="318" t="s">
        <v>98</v>
      </c>
      <c r="V35" s="309"/>
      <c r="W35" s="288">
        <f>'資金繰り実績予定表（詳細）'!P40</f>
        <v>0</v>
      </c>
      <c r="X35" s="288">
        <f>'資金繰り実績予定表（詳細）'!Q40</f>
        <v>0</v>
      </c>
      <c r="Y35" s="288">
        <f>'資金繰り実績予定表（詳細）'!R40</f>
        <v>0</v>
      </c>
      <c r="Z35" s="288">
        <f>'資金繰り実績予定表（詳細）'!S40</f>
        <v>0</v>
      </c>
      <c r="AA35" s="288">
        <f>'資金繰り実績予定表（詳細）'!T40</f>
        <v>0</v>
      </c>
      <c r="AB35" s="288">
        <f>'資金繰り実績予定表（詳細）'!U40</f>
        <v>0</v>
      </c>
      <c r="AC35" s="288">
        <f>'資金繰り実績予定表（詳細）'!V40</f>
        <v>0</v>
      </c>
      <c r="AD35" s="288">
        <f>'資金繰り実績予定表（詳細）'!W40</f>
        <v>0</v>
      </c>
      <c r="AE35" s="288">
        <f>'資金繰り実績予定表（詳細）'!X40</f>
        <v>0</v>
      </c>
      <c r="AF35" s="288">
        <f>'資金繰り実績予定表（詳細）'!Y40</f>
        <v>0</v>
      </c>
      <c r="AG35" s="288">
        <f>'資金繰り実績予定表（詳細）'!Z40</f>
        <v>0</v>
      </c>
      <c r="AH35" s="288">
        <f>'資金繰り実績予定表（詳細）'!AA40</f>
        <v>0</v>
      </c>
      <c r="AI35" s="288">
        <f t="shared" si="10"/>
        <v>0</v>
      </c>
      <c r="AJ35" s="240"/>
      <c r="AK35" s="260"/>
      <c r="AL35" s="256"/>
      <c r="AM35" s="318" t="s">
        <v>98</v>
      </c>
      <c r="AN35" s="309"/>
      <c r="AO35" s="288">
        <f>'資金繰り実績予定表（詳細）'!AD40</f>
        <v>0</v>
      </c>
      <c r="AP35" s="288">
        <f>'資金繰り実績予定表（詳細）'!AE40</f>
        <v>0</v>
      </c>
      <c r="AQ35" s="288">
        <f>'資金繰り実績予定表（詳細）'!AF40</f>
        <v>0</v>
      </c>
      <c r="AR35" s="288">
        <f>'資金繰り実績予定表（詳細）'!AG40</f>
        <v>0</v>
      </c>
      <c r="AS35" s="288">
        <f>'資金繰り実績予定表（詳細）'!AH40</f>
        <v>0</v>
      </c>
      <c r="AT35" s="288">
        <f>'資金繰り実績予定表（詳細）'!AI40</f>
        <v>0</v>
      </c>
      <c r="AU35" s="288">
        <f>'資金繰り実績予定表（詳細）'!AJ40</f>
        <v>0</v>
      </c>
      <c r="AV35" s="288">
        <f>'資金繰り実績予定表（詳細）'!AK40</f>
        <v>0</v>
      </c>
      <c r="AW35" s="288">
        <f>'資金繰り実績予定表（詳細）'!AL40</f>
        <v>0</v>
      </c>
      <c r="AX35" s="288">
        <f>'資金繰り実績予定表（詳細）'!AM40</f>
        <v>0</v>
      </c>
      <c r="AY35" s="288">
        <f>'資金繰り実績予定表（詳細）'!AN40</f>
        <v>0</v>
      </c>
      <c r="AZ35" s="288">
        <f>'資金繰り実績予定表（詳細）'!AO40</f>
        <v>0</v>
      </c>
      <c r="BA35" s="288">
        <f t="shared" si="11"/>
        <v>0</v>
      </c>
    </row>
    <row r="36" spans="1:53" ht="15">
      <c r="A36" s="230" t="s">
        <v>99</v>
      </c>
      <c r="B36" s="252" t="s">
        <v>69</v>
      </c>
      <c r="C36" s="319" t="s">
        <v>100</v>
      </c>
      <c r="D36" s="311"/>
      <c r="E36" s="242">
        <f>'資金繰り実績予定表（詳細）'!B39</f>
        <v>0</v>
      </c>
      <c r="F36" s="242">
        <f>'資金繰り実績予定表（詳細）'!C39</f>
        <v>0</v>
      </c>
      <c r="G36" s="242">
        <f>'資金繰り実績予定表（詳細）'!D39</f>
        <v>0</v>
      </c>
      <c r="H36" s="242">
        <f>'資金繰り実績予定表（詳細）'!E39</f>
        <v>0</v>
      </c>
      <c r="I36" s="242">
        <f>'資金繰り実績予定表（詳細）'!F39</f>
        <v>0</v>
      </c>
      <c r="J36" s="242">
        <f>'資金繰り実績予定表（詳細）'!G39</f>
        <v>0</v>
      </c>
      <c r="K36" s="242">
        <f>'資金繰り実績予定表（詳細）'!H39</f>
        <v>0</v>
      </c>
      <c r="L36" s="242">
        <f>'資金繰り実績予定表（詳細）'!I39</f>
        <v>0</v>
      </c>
      <c r="M36" s="242">
        <f>'資金繰り実績予定表（詳細）'!J39</f>
        <v>0</v>
      </c>
      <c r="N36" s="242">
        <f>'資金繰り実績予定表（詳細）'!K39</f>
        <v>0</v>
      </c>
      <c r="O36" s="242">
        <f>'資金繰り実績予定表（詳細）'!L39</f>
        <v>0</v>
      </c>
      <c r="P36" s="242">
        <f>'資金繰り実績予定表（詳細）'!M39</f>
        <v>0</v>
      </c>
      <c r="Q36" s="242">
        <f t="shared" si="9"/>
        <v>0</v>
      </c>
      <c r="R36" s="235"/>
      <c r="S36" s="237" t="s">
        <v>99</v>
      </c>
      <c r="T36" s="256" t="s">
        <v>69</v>
      </c>
      <c r="U36" s="327" t="s">
        <v>100</v>
      </c>
      <c r="V36" s="311"/>
      <c r="W36" s="242">
        <f>'資金繰り実績予定表（詳細）'!P39</f>
        <v>0</v>
      </c>
      <c r="X36" s="242">
        <f>'資金繰り実績予定表（詳細）'!Q39</f>
        <v>0</v>
      </c>
      <c r="Y36" s="242">
        <f>'資金繰り実績予定表（詳細）'!R39</f>
        <v>0</v>
      </c>
      <c r="Z36" s="242">
        <f>'資金繰り実績予定表（詳細）'!S39</f>
        <v>0</v>
      </c>
      <c r="AA36" s="242">
        <f>'資金繰り実績予定表（詳細）'!T39</f>
        <v>0</v>
      </c>
      <c r="AB36" s="242">
        <f>'資金繰り実績予定表（詳細）'!U39</f>
        <v>0</v>
      </c>
      <c r="AC36" s="242">
        <f>'資金繰り実績予定表（詳細）'!V39</f>
        <v>0</v>
      </c>
      <c r="AD36" s="242">
        <f>'資金繰り実績予定表（詳細）'!W39</f>
        <v>0</v>
      </c>
      <c r="AE36" s="242">
        <f>'資金繰り実績予定表（詳細）'!X39</f>
        <v>0</v>
      </c>
      <c r="AF36" s="242">
        <f>'資金繰り実績予定表（詳細）'!Y39</f>
        <v>0</v>
      </c>
      <c r="AG36" s="242">
        <f>'資金繰り実績予定表（詳細）'!Z39</f>
        <v>0</v>
      </c>
      <c r="AH36" s="242">
        <f>'資金繰り実績予定表（詳細）'!AA39</f>
        <v>0</v>
      </c>
      <c r="AI36" s="242">
        <f t="shared" si="10"/>
        <v>0</v>
      </c>
      <c r="AJ36" s="240"/>
      <c r="AK36" s="237" t="s">
        <v>99</v>
      </c>
      <c r="AL36" s="256" t="s">
        <v>69</v>
      </c>
      <c r="AM36" s="327" t="s">
        <v>100</v>
      </c>
      <c r="AN36" s="311"/>
      <c r="AO36" s="242">
        <f>'資金繰り実績予定表（詳細）'!AD39</f>
        <v>0</v>
      </c>
      <c r="AP36" s="242">
        <f>'資金繰り実績予定表（詳細）'!AE39</f>
        <v>0</v>
      </c>
      <c r="AQ36" s="242">
        <f>'資金繰り実績予定表（詳細）'!AF39</f>
        <v>0</v>
      </c>
      <c r="AR36" s="242">
        <f>'資金繰り実績予定表（詳細）'!AG39</f>
        <v>0</v>
      </c>
      <c r="AS36" s="242">
        <f>'資金繰り実績予定表（詳細）'!AH39</f>
        <v>0</v>
      </c>
      <c r="AT36" s="242">
        <f>'資金繰り実績予定表（詳細）'!AI39</f>
        <v>0</v>
      </c>
      <c r="AU36" s="242">
        <f>'資金繰り実績予定表（詳細）'!AJ39</f>
        <v>0</v>
      </c>
      <c r="AV36" s="242">
        <f>'資金繰り実績予定表（詳細）'!AK39</f>
        <v>0</v>
      </c>
      <c r="AW36" s="242">
        <f>'資金繰り実績予定表（詳細）'!AL39</f>
        <v>0</v>
      </c>
      <c r="AX36" s="242">
        <f>'資金繰り実績予定表（詳細）'!AM39</f>
        <v>0</v>
      </c>
      <c r="AY36" s="242">
        <f>'資金繰り実績予定表（詳細）'!AN39</f>
        <v>0</v>
      </c>
      <c r="AZ36" s="242">
        <f>'資金繰り実績予定表（詳細）'!AO39</f>
        <v>0</v>
      </c>
      <c r="BA36" s="242">
        <f t="shared" si="11"/>
        <v>0</v>
      </c>
    </row>
    <row r="37" spans="1:53" ht="15">
      <c r="A37" s="230"/>
      <c r="B37" s="252" t="s">
        <v>77</v>
      </c>
      <c r="C37" s="319" t="s">
        <v>101</v>
      </c>
      <c r="D37" s="311"/>
      <c r="E37" s="242">
        <f>'資金繰り実績予定表（詳細）'!B28</f>
        <v>0</v>
      </c>
      <c r="F37" s="242">
        <f>'資金繰り実績予定表（詳細）'!C28</f>
        <v>0</v>
      </c>
      <c r="G37" s="242">
        <f>'資金繰り実績予定表（詳細）'!D28</f>
        <v>0</v>
      </c>
      <c r="H37" s="242">
        <f>'資金繰り実績予定表（詳細）'!E28</f>
        <v>0</v>
      </c>
      <c r="I37" s="242">
        <f>'資金繰り実績予定表（詳細）'!F28</f>
        <v>0</v>
      </c>
      <c r="J37" s="242">
        <f>'資金繰り実績予定表（詳細）'!G28</f>
        <v>0</v>
      </c>
      <c r="K37" s="242">
        <f>'資金繰り実績予定表（詳細）'!H28</f>
        <v>0</v>
      </c>
      <c r="L37" s="242">
        <f>'資金繰り実績予定表（詳細）'!I28</f>
        <v>0</v>
      </c>
      <c r="M37" s="242">
        <f>'資金繰り実績予定表（詳細）'!J28</f>
        <v>0</v>
      </c>
      <c r="N37" s="242">
        <f>'資金繰り実績予定表（詳細）'!K28</f>
        <v>0</v>
      </c>
      <c r="O37" s="242">
        <f>'資金繰り実績予定表（詳細）'!L28</f>
        <v>0</v>
      </c>
      <c r="P37" s="242">
        <f>'資金繰り実績予定表（詳細）'!M28</f>
        <v>0</v>
      </c>
      <c r="Q37" s="242">
        <f t="shared" si="9"/>
        <v>0</v>
      </c>
      <c r="R37" s="235"/>
      <c r="S37" s="237"/>
      <c r="T37" s="256" t="s">
        <v>77</v>
      </c>
      <c r="U37" s="327" t="s">
        <v>101</v>
      </c>
      <c r="V37" s="311"/>
      <c r="W37" s="242">
        <f>'資金繰り実績予定表（詳細）'!P28</f>
        <v>0</v>
      </c>
      <c r="X37" s="242">
        <f>'資金繰り実績予定表（詳細）'!Q28</f>
        <v>0</v>
      </c>
      <c r="Y37" s="242">
        <f>'資金繰り実績予定表（詳細）'!R28</f>
        <v>0</v>
      </c>
      <c r="Z37" s="242">
        <f>'資金繰り実績予定表（詳細）'!S28</f>
        <v>0</v>
      </c>
      <c r="AA37" s="242">
        <f>'資金繰り実績予定表（詳細）'!T28</f>
        <v>0</v>
      </c>
      <c r="AB37" s="242">
        <f>'資金繰り実績予定表（詳細）'!U28</f>
        <v>0</v>
      </c>
      <c r="AC37" s="242">
        <f>'資金繰り実績予定表（詳細）'!V28</f>
        <v>0</v>
      </c>
      <c r="AD37" s="242">
        <f>'資金繰り実績予定表（詳細）'!W28</f>
        <v>0</v>
      </c>
      <c r="AE37" s="242">
        <f>'資金繰り実績予定表（詳細）'!X28</f>
        <v>0</v>
      </c>
      <c r="AF37" s="242">
        <f>'資金繰り実績予定表（詳細）'!Y28</f>
        <v>0</v>
      </c>
      <c r="AG37" s="242">
        <f>'資金繰り実績予定表（詳細）'!Z28</f>
        <v>0</v>
      </c>
      <c r="AH37" s="242">
        <f>'資金繰り実績予定表（詳細）'!AA28</f>
        <v>0</v>
      </c>
      <c r="AI37" s="242">
        <f t="shared" si="10"/>
        <v>0</v>
      </c>
      <c r="AJ37" s="240"/>
      <c r="AK37" s="237"/>
      <c r="AL37" s="256" t="s">
        <v>77</v>
      </c>
      <c r="AM37" s="327" t="s">
        <v>101</v>
      </c>
      <c r="AN37" s="311"/>
      <c r="AO37" s="242">
        <f>'資金繰り実績予定表（詳細）'!AD28</f>
        <v>0</v>
      </c>
      <c r="AP37" s="242">
        <f>'資金繰り実績予定表（詳細）'!AE28</f>
        <v>0</v>
      </c>
      <c r="AQ37" s="242">
        <f>'資金繰り実績予定表（詳細）'!AF28</f>
        <v>0</v>
      </c>
      <c r="AR37" s="242">
        <f>'資金繰り実績予定表（詳細）'!AG28</f>
        <v>0</v>
      </c>
      <c r="AS37" s="242">
        <f>'資金繰り実績予定表（詳細）'!AH28</f>
        <v>0</v>
      </c>
      <c r="AT37" s="242">
        <f>'資金繰り実績予定表（詳細）'!AI28</f>
        <v>0</v>
      </c>
      <c r="AU37" s="242">
        <f>'資金繰り実績予定表（詳細）'!AJ28</f>
        <v>0</v>
      </c>
      <c r="AV37" s="242">
        <f>'資金繰り実績予定表（詳細）'!AK28</f>
        <v>0</v>
      </c>
      <c r="AW37" s="242">
        <f>'資金繰り実績予定表（詳細）'!AL28</f>
        <v>0</v>
      </c>
      <c r="AX37" s="242">
        <f>'資金繰り実績予定表（詳細）'!AM28</f>
        <v>0</v>
      </c>
      <c r="AY37" s="242">
        <f>'資金繰り実績予定表（詳細）'!AN28</f>
        <v>0</v>
      </c>
      <c r="AZ37" s="242">
        <f>'資金繰り実績予定表（詳細）'!AO28</f>
        <v>0</v>
      </c>
      <c r="BA37" s="242">
        <f t="shared" si="11"/>
        <v>0</v>
      </c>
    </row>
    <row r="38" spans="1:53" ht="15">
      <c r="A38" s="230" t="s">
        <v>102</v>
      </c>
      <c r="B38" s="252"/>
      <c r="C38" s="320" t="s">
        <v>36</v>
      </c>
      <c r="D38" s="321"/>
      <c r="E38" s="289">
        <f>'資金繰り実績予定表（詳細）'!B42+'資金繰り実績予定表（詳細）'!B41+'資金繰り実績予定表（詳細）'!B43</f>
        <v>11135384</v>
      </c>
      <c r="F38" s="289">
        <f>'資金繰り実績予定表（詳細）'!C42+'資金繰り実績予定表（詳細）'!C41+'資金繰り実績予定表（詳細）'!C43</f>
        <v>6823</v>
      </c>
      <c r="G38" s="289">
        <f>'資金繰り実績予定表（詳細）'!D42+'資金繰り実績予定表（詳細）'!D41+'資金繰り実績予定表（詳細）'!D43</f>
        <v>2446</v>
      </c>
      <c r="H38" s="289">
        <f>'資金繰り実績予定表（詳細）'!E42+'資金繰り実績予定表（詳細）'!E41+'資金繰り実績予定表（詳細）'!E43</f>
        <v>0</v>
      </c>
      <c r="I38" s="289">
        <f>'資金繰り実績予定表（詳細）'!F42+'資金繰り実績予定表（詳細）'!F41+'資金繰り実績予定表（詳細）'!F43</f>
        <v>0</v>
      </c>
      <c r="J38" s="289">
        <f>'資金繰り実績予定表（詳細）'!G42+'資金繰り実績予定表（詳細）'!G41+'資金繰り実績予定表（詳細）'!G43</f>
        <v>0</v>
      </c>
      <c r="K38" s="289">
        <f>'資金繰り実績予定表（詳細）'!H42+'資金繰り実績予定表（詳細）'!H41+'資金繰り実績予定表（詳細）'!H43</f>
        <v>0</v>
      </c>
      <c r="L38" s="289">
        <f>'資金繰り実績予定表（詳細）'!I42+'資金繰り実績予定表（詳細）'!I41+'資金繰り実績予定表（詳細）'!I43</f>
        <v>5033</v>
      </c>
      <c r="M38" s="289">
        <f>'資金繰り実績予定表（詳細）'!J42+'資金繰り実績予定表（詳細）'!J41+'資金繰り実績予定表（詳細）'!J43</f>
        <v>1038</v>
      </c>
      <c r="N38" s="289">
        <f>'資金繰り実績予定表（詳細）'!K42+'資金繰り実績予定表（詳細）'!K41+'資金繰り実績予定表（詳細）'!K43</f>
        <v>0</v>
      </c>
      <c r="O38" s="289">
        <f>'資金繰り実績予定表（詳細）'!L42+'資金繰り実績予定表（詳細）'!L41+'資金繰り実績予定表（詳細）'!L43</f>
        <v>0</v>
      </c>
      <c r="P38" s="289">
        <f>'資金繰り実績予定表（詳細）'!M42+'資金繰り実績予定表（詳細）'!M41+'資金繰り実績予定表（詳細）'!M43</f>
        <v>0</v>
      </c>
      <c r="Q38" s="271">
        <f t="shared" si="9"/>
        <v>11150724</v>
      </c>
      <c r="R38" s="235"/>
      <c r="S38" s="237" t="s">
        <v>102</v>
      </c>
      <c r="T38" s="256"/>
      <c r="U38" s="320" t="s">
        <v>36</v>
      </c>
      <c r="V38" s="321"/>
      <c r="W38" s="289">
        <f>'資金繰り実績予定表（詳細）'!P42+'資金繰り実績予定表（詳細）'!P41+'資金繰り実績予定表（詳細）'!P43</f>
        <v>0</v>
      </c>
      <c r="X38" s="289">
        <f>'資金繰り実績予定表（詳細）'!Q42+'資金繰り実績予定表（詳細）'!Q41+'資金繰り実績予定表（詳細）'!Q43</f>
        <v>0</v>
      </c>
      <c r="Y38" s="289">
        <f>'資金繰り実績予定表（詳細）'!R42+'資金繰り実績予定表（詳細）'!R41+'資金繰り実績予定表（詳細）'!R43</f>
        <v>0</v>
      </c>
      <c r="Z38" s="289">
        <f>'資金繰り実績予定表（詳細）'!S42+'資金繰り実績予定表（詳細）'!S41+'資金繰り実績予定表（詳細）'!S43</f>
        <v>0</v>
      </c>
      <c r="AA38" s="289">
        <f>'資金繰り実績予定表（詳細）'!T42+'資金繰り実績予定表（詳細）'!T41+'資金繰り実績予定表（詳細）'!T43</f>
        <v>0</v>
      </c>
      <c r="AB38" s="289">
        <f>'資金繰り実績予定表（詳細）'!U42+'資金繰り実績予定表（詳細）'!U41+'資金繰り実績予定表（詳細）'!U43</f>
        <v>0</v>
      </c>
      <c r="AC38" s="289">
        <f>'資金繰り実績予定表（詳細）'!V42+'資金繰り実績予定表（詳細）'!V41+'資金繰り実績予定表（詳細）'!V43</f>
        <v>0</v>
      </c>
      <c r="AD38" s="289">
        <f>'資金繰り実績予定表（詳細）'!W42+'資金繰り実績予定表（詳細）'!W41+'資金繰り実績予定表（詳細）'!W43</f>
        <v>0</v>
      </c>
      <c r="AE38" s="289">
        <f>'資金繰り実績予定表（詳細）'!X42+'資金繰り実績予定表（詳細）'!X41+'資金繰り実績予定表（詳細）'!X43</f>
        <v>0</v>
      </c>
      <c r="AF38" s="289">
        <f>'資金繰り実績予定表（詳細）'!Y42+'資金繰り実績予定表（詳細）'!Y41+'資金繰り実績予定表（詳細）'!Y43</f>
        <v>0</v>
      </c>
      <c r="AG38" s="289">
        <f>'資金繰り実績予定表（詳細）'!Z42+'資金繰り実績予定表（詳細）'!Z41+'資金繰り実績予定表（詳細）'!Z43</f>
        <v>0</v>
      </c>
      <c r="AH38" s="289">
        <f>'資金繰り実績予定表（詳細）'!AA42+'資金繰り実績予定表（詳細）'!AA41+'資金繰り実績予定表（詳細）'!AA43</f>
        <v>0</v>
      </c>
      <c r="AI38" s="271">
        <f t="shared" si="10"/>
        <v>0</v>
      </c>
      <c r="AJ38" s="240"/>
      <c r="AK38" s="237" t="s">
        <v>102</v>
      </c>
      <c r="AL38" s="256"/>
      <c r="AM38" s="320" t="s">
        <v>36</v>
      </c>
      <c r="AN38" s="321"/>
      <c r="AO38" s="289">
        <f>'資金繰り実績予定表（詳細）'!AD42+'資金繰り実績予定表（詳細）'!AD41+'資金繰り実績予定表（詳細）'!AD43</f>
        <v>0</v>
      </c>
      <c r="AP38" s="289">
        <f>'資金繰り実績予定表（詳細）'!AE42+'資金繰り実績予定表（詳細）'!AE41+'資金繰り実績予定表（詳細）'!AE43</f>
        <v>0</v>
      </c>
      <c r="AQ38" s="289">
        <f>'資金繰り実績予定表（詳細）'!AF42+'資金繰り実績予定表（詳細）'!AF41+'資金繰り実績予定表（詳細）'!AF43</f>
        <v>0</v>
      </c>
      <c r="AR38" s="289">
        <f>'資金繰り実績予定表（詳細）'!AG42+'資金繰り実績予定表（詳細）'!AG41+'資金繰り実績予定表（詳細）'!AG43</f>
        <v>0</v>
      </c>
      <c r="AS38" s="289">
        <f>'資金繰り実績予定表（詳細）'!AH42+'資金繰り実績予定表（詳細）'!AH41+'資金繰り実績予定表（詳細）'!AH43</f>
        <v>0</v>
      </c>
      <c r="AT38" s="289">
        <f>'資金繰り実績予定表（詳細）'!AI42+'資金繰り実績予定表（詳細）'!AI41+'資金繰り実績予定表（詳細）'!AI43</f>
        <v>0</v>
      </c>
      <c r="AU38" s="289">
        <f>'資金繰り実績予定表（詳細）'!AJ42+'資金繰り実績予定表（詳細）'!AJ41+'資金繰り実績予定表（詳細）'!AJ43</f>
        <v>0</v>
      </c>
      <c r="AV38" s="289">
        <f>'資金繰り実績予定表（詳細）'!AK42+'資金繰り実績予定表（詳細）'!AK41+'資金繰り実績予定表（詳細）'!AK43</f>
        <v>0</v>
      </c>
      <c r="AW38" s="289">
        <f>'資金繰り実績予定表（詳細）'!AL42+'資金繰り実績予定表（詳細）'!AL41+'資金繰り実績予定表（詳細）'!AL43</f>
        <v>0</v>
      </c>
      <c r="AX38" s="289">
        <f>'資金繰り実績予定表（詳細）'!AM42+'資金繰り実績予定表（詳細）'!AM41+'資金繰り実績予定表（詳細）'!AM43</f>
        <v>0</v>
      </c>
      <c r="AY38" s="289">
        <f>'資金繰り実績予定表（詳細）'!AN42+'資金繰り実績予定表（詳細）'!AN41+'資金繰り実績予定表（詳細）'!AN43</f>
        <v>0</v>
      </c>
      <c r="AZ38" s="289">
        <f>'資金繰り実績予定表（詳細）'!AO42+'資金繰り実績予定表（詳細）'!AO41+'資金繰り実績予定表（詳細）'!AO43</f>
        <v>0</v>
      </c>
      <c r="BA38" s="271">
        <f t="shared" si="11"/>
        <v>0</v>
      </c>
    </row>
    <row r="39" spans="1:53" ht="15">
      <c r="A39" s="230"/>
      <c r="B39" s="252"/>
      <c r="C39" s="315" t="s">
        <v>80</v>
      </c>
      <c r="D39" s="316"/>
      <c r="E39" s="226">
        <f t="shared" ref="E39:P39" si="27">SUM(E35:E38)</f>
        <v>11135384</v>
      </c>
      <c r="F39" s="226">
        <f t="shared" si="27"/>
        <v>6823</v>
      </c>
      <c r="G39" s="226">
        <f t="shared" si="27"/>
        <v>2446</v>
      </c>
      <c r="H39" s="226">
        <f t="shared" si="27"/>
        <v>0</v>
      </c>
      <c r="I39" s="226">
        <f t="shared" si="27"/>
        <v>0</v>
      </c>
      <c r="J39" s="226">
        <f t="shared" si="27"/>
        <v>66051004</v>
      </c>
      <c r="K39" s="226">
        <f t="shared" si="27"/>
        <v>28867500</v>
      </c>
      <c r="L39" s="226">
        <f t="shared" si="27"/>
        <v>5033</v>
      </c>
      <c r="M39" s="226">
        <f t="shared" si="27"/>
        <v>1038</v>
      </c>
      <c r="N39" s="226">
        <f t="shared" si="27"/>
        <v>0</v>
      </c>
      <c r="O39" s="226">
        <f t="shared" si="27"/>
        <v>0</v>
      </c>
      <c r="P39" s="226">
        <f t="shared" si="27"/>
        <v>0</v>
      </c>
      <c r="Q39" s="226">
        <f t="shared" si="9"/>
        <v>106069228</v>
      </c>
      <c r="R39" s="235"/>
      <c r="S39" s="237"/>
      <c r="T39" s="256"/>
      <c r="U39" s="324" t="s">
        <v>80</v>
      </c>
      <c r="V39" s="316"/>
      <c r="W39" s="226">
        <f t="shared" ref="W39:AH39" si="28">SUM(W35:W38)</f>
        <v>0</v>
      </c>
      <c r="X39" s="226">
        <f t="shared" si="28"/>
        <v>0</v>
      </c>
      <c r="Y39" s="226">
        <f t="shared" si="28"/>
        <v>0</v>
      </c>
      <c r="Z39" s="226">
        <f t="shared" si="28"/>
        <v>0</v>
      </c>
      <c r="AA39" s="226">
        <f t="shared" si="28"/>
        <v>0</v>
      </c>
      <c r="AB39" s="226">
        <f t="shared" si="28"/>
        <v>0</v>
      </c>
      <c r="AC39" s="226">
        <f t="shared" si="28"/>
        <v>0</v>
      </c>
      <c r="AD39" s="226">
        <f t="shared" si="28"/>
        <v>0</v>
      </c>
      <c r="AE39" s="226">
        <f t="shared" si="28"/>
        <v>0</v>
      </c>
      <c r="AF39" s="226">
        <f t="shared" si="28"/>
        <v>0</v>
      </c>
      <c r="AG39" s="226">
        <f t="shared" si="28"/>
        <v>0</v>
      </c>
      <c r="AH39" s="226">
        <f t="shared" si="28"/>
        <v>0</v>
      </c>
      <c r="AI39" s="226">
        <f t="shared" si="10"/>
        <v>0</v>
      </c>
      <c r="AJ39" s="240"/>
      <c r="AK39" s="237"/>
      <c r="AL39" s="256"/>
      <c r="AM39" s="324" t="s">
        <v>80</v>
      </c>
      <c r="AN39" s="316"/>
      <c r="AO39" s="226">
        <f t="shared" ref="AO39:AZ39" si="29">SUM(AO35:AO38)</f>
        <v>0</v>
      </c>
      <c r="AP39" s="226">
        <f t="shared" si="29"/>
        <v>0</v>
      </c>
      <c r="AQ39" s="226">
        <f t="shared" si="29"/>
        <v>0</v>
      </c>
      <c r="AR39" s="226">
        <f t="shared" si="29"/>
        <v>0</v>
      </c>
      <c r="AS39" s="226">
        <f t="shared" si="29"/>
        <v>0</v>
      </c>
      <c r="AT39" s="226">
        <f t="shared" si="29"/>
        <v>0</v>
      </c>
      <c r="AU39" s="226">
        <f t="shared" si="29"/>
        <v>0</v>
      </c>
      <c r="AV39" s="226">
        <f t="shared" si="29"/>
        <v>0</v>
      </c>
      <c r="AW39" s="226">
        <f t="shared" si="29"/>
        <v>0</v>
      </c>
      <c r="AX39" s="226">
        <f t="shared" si="29"/>
        <v>0</v>
      </c>
      <c r="AY39" s="226">
        <f t="shared" si="29"/>
        <v>0</v>
      </c>
      <c r="AZ39" s="226">
        <f t="shared" si="29"/>
        <v>0</v>
      </c>
      <c r="BA39" s="226">
        <f t="shared" si="11"/>
        <v>0</v>
      </c>
    </row>
    <row r="40" spans="1:53" ht="15">
      <c r="A40" s="230" t="s">
        <v>69</v>
      </c>
      <c r="B40" s="290"/>
      <c r="C40" s="314" t="s">
        <v>38</v>
      </c>
      <c r="D40" s="309"/>
      <c r="E40" s="234">
        <f>'資金繰り実績予定表（詳細）'!B46</f>
        <v>1689913</v>
      </c>
      <c r="F40" s="234">
        <f>'資金繰り実績予定表（詳細）'!C46</f>
        <v>0</v>
      </c>
      <c r="G40" s="234">
        <f>'資金繰り実績予定表（詳細）'!D46</f>
        <v>4006170</v>
      </c>
      <c r="H40" s="234">
        <f>'資金繰り実績予定表（詳細）'!E46</f>
        <v>2003083</v>
      </c>
      <c r="I40" s="234">
        <f>'資金繰り実績予定表（詳細）'!F46</f>
        <v>0</v>
      </c>
      <c r="J40" s="234">
        <f>'資金繰り実績予定表（詳細）'!G46</f>
        <v>43408783</v>
      </c>
      <c r="K40" s="234">
        <f>'資金繰り実績予定表（詳細）'!H46</f>
        <v>32246230</v>
      </c>
      <c r="L40" s="234">
        <f>'資金繰り実績予定表（詳細）'!I46</f>
        <v>2242348</v>
      </c>
      <c r="M40" s="234">
        <f>'資金繰り実績予定表（詳細）'!J46</f>
        <v>3522286</v>
      </c>
      <c r="N40" s="234">
        <f>'資金繰り実績予定表（詳細）'!K46</f>
        <v>0</v>
      </c>
      <c r="O40" s="234">
        <f>'資金繰り実績予定表（詳細）'!L46</f>
        <v>0</v>
      </c>
      <c r="P40" s="234">
        <f>'資金繰り実績予定表（詳細）'!M46</f>
        <v>0</v>
      </c>
      <c r="Q40" s="234">
        <f t="shared" si="9"/>
        <v>89118813</v>
      </c>
      <c r="R40" s="235"/>
      <c r="S40" s="237" t="s">
        <v>69</v>
      </c>
      <c r="T40" s="291"/>
      <c r="U40" s="318" t="s">
        <v>38</v>
      </c>
      <c r="V40" s="309"/>
      <c r="W40" s="234">
        <f>'資金繰り実績予定表（詳細）'!P46</f>
        <v>0</v>
      </c>
      <c r="X40" s="234">
        <f>'資金繰り実績予定表（詳細）'!Q46</f>
        <v>0</v>
      </c>
      <c r="Y40" s="234">
        <f>'資金繰り実績予定表（詳細）'!R46</f>
        <v>0</v>
      </c>
      <c r="Z40" s="234">
        <f>'資金繰り実績予定表（詳細）'!S46</f>
        <v>0</v>
      </c>
      <c r="AA40" s="234">
        <f>'資金繰り実績予定表（詳細）'!T46</f>
        <v>0</v>
      </c>
      <c r="AB40" s="234">
        <f>'資金繰り実績予定表（詳細）'!U46</f>
        <v>0</v>
      </c>
      <c r="AC40" s="234">
        <f>'資金繰り実績予定表（詳細）'!V46</f>
        <v>0</v>
      </c>
      <c r="AD40" s="234">
        <f>'資金繰り実績予定表（詳細）'!W46</f>
        <v>0</v>
      </c>
      <c r="AE40" s="234">
        <f>'資金繰り実績予定表（詳細）'!X46</f>
        <v>0</v>
      </c>
      <c r="AF40" s="234">
        <f>'資金繰り実績予定表（詳細）'!Y46</f>
        <v>0</v>
      </c>
      <c r="AG40" s="234">
        <f>'資金繰り実績予定表（詳細）'!Z46</f>
        <v>0</v>
      </c>
      <c r="AH40" s="234">
        <f>'資金繰り実績予定表（詳細）'!AA46</f>
        <v>0</v>
      </c>
      <c r="AI40" s="234">
        <f t="shared" si="10"/>
        <v>0</v>
      </c>
      <c r="AJ40" s="240"/>
      <c r="AK40" s="237" t="s">
        <v>69</v>
      </c>
      <c r="AL40" s="291"/>
      <c r="AM40" s="318" t="s">
        <v>38</v>
      </c>
      <c r="AN40" s="309"/>
      <c r="AO40" s="234">
        <f>'資金繰り実績予定表（詳細）'!AD46</f>
        <v>0</v>
      </c>
      <c r="AP40" s="234">
        <f>'資金繰り実績予定表（詳細）'!AE46</f>
        <v>0</v>
      </c>
      <c r="AQ40" s="234">
        <f>'資金繰り実績予定表（詳細）'!AF46</f>
        <v>0</v>
      </c>
      <c r="AR40" s="234">
        <f>'資金繰り実績予定表（詳細）'!AG46</f>
        <v>0</v>
      </c>
      <c r="AS40" s="234">
        <f>'資金繰り実績予定表（詳細）'!AH46</f>
        <v>0</v>
      </c>
      <c r="AT40" s="234">
        <f>'資金繰り実績予定表（詳細）'!AI46</f>
        <v>0</v>
      </c>
      <c r="AU40" s="234">
        <f>'資金繰り実績予定表（詳細）'!AJ46</f>
        <v>0</v>
      </c>
      <c r="AV40" s="234">
        <f>'資金繰り実績予定表（詳細）'!AK46</f>
        <v>0</v>
      </c>
      <c r="AW40" s="234">
        <f>'資金繰り実績予定表（詳細）'!AL46</f>
        <v>0</v>
      </c>
      <c r="AX40" s="234">
        <f>'資金繰り実績予定表（詳細）'!AM46</f>
        <v>0</v>
      </c>
      <c r="AY40" s="234">
        <f>'資金繰り実績予定表（詳細）'!AN46</f>
        <v>0</v>
      </c>
      <c r="AZ40" s="234">
        <f>'資金繰り実績予定表（詳細）'!AO46</f>
        <v>0</v>
      </c>
      <c r="BA40" s="234">
        <f t="shared" si="11"/>
        <v>0</v>
      </c>
    </row>
    <row r="41" spans="1:53" ht="15">
      <c r="A41" s="230"/>
      <c r="B41" s="252" t="s">
        <v>85</v>
      </c>
      <c r="C41" s="319" t="s">
        <v>37</v>
      </c>
      <c r="D41" s="311"/>
      <c r="E41" s="242">
        <f>'資金繰り実績予定表（詳細）'!B45</f>
        <v>0</v>
      </c>
      <c r="F41" s="242">
        <f>'資金繰り実績予定表（詳細）'!C45</f>
        <v>0</v>
      </c>
      <c r="G41" s="242">
        <f>'資金繰り実績予定表（詳細）'!D45</f>
        <v>0</v>
      </c>
      <c r="H41" s="242">
        <f>'資金繰り実績予定表（詳細）'!E45</f>
        <v>0</v>
      </c>
      <c r="I41" s="242">
        <f>'資金繰り実績予定表（詳細）'!F45</f>
        <v>0</v>
      </c>
      <c r="J41" s="242">
        <f>'資金繰り実績予定表（詳細）'!G45</f>
        <v>0</v>
      </c>
      <c r="K41" s="242">
        <f>'資金繰り実績予定表（詳細）'!H45</f>
        <v>0</v>
      </c>
      <c r="L41" s="242">
        <f>'資金繰り実績予定表（詳細）'!I45</f>
        <v>0</v>
      </c>
      <c r="M41" s="242">
        <f>'資金繰り実績予定表（詳細）'!J45</f>
        <v>0</v>
      </c>
      <c r="N41" s="242">
        <f>'資金繰り実績予定表（詳細）'!K45</f>
        <v>0</v>
      </c>
      <c r="O41" s="242">
        <f>'資金繰り実績予定表（詳細）'!L45</f>
        <v>0</v>
      </c>
      <c r="P41" s="242">
        <f>'資金繰り実績予定表（詳細）'!M45</f>
        <v>0</v>
      </c>
      <c r="Q41" s="242">
        <f t="shared" si="9"/>
        <v>0</v>
      </c>
      <c r="R41" s="235"/>
      <c r="S41" s="237"/>
      <c r="T41" s="256" t="s">
        <v>85</v>
      </c>
      <c r="U41" s="327" t="s">
        <v>37</v>
      </c>
      <c r="V41" s="311"/>
      <c r="W41" s="242">
        <f>'資金繰り実績予定表（詳細）'!P45</f>
        <v>0</v>
      </c>
      <c r="X41" s="242">
        <f>'資金繰り実績予定表（詳細）'!Q45</f>
        <v>0</v>
      </c>
      <c r="Y41" s="242">
        <f>'資金繰り実績予定表（詳細）'!R45</f>
        <v>0</v>
      </c>
      <c r="Z41" s="242">
        <f>'資金繰り実績予定表（詳細）'!S45</f>
        <v>0</v>
      </c>
      <c r="AA41" s="242">
        <f>'資金繰り実績予定表（詳細）'!T45</f>
        <v>0</v>
      </c>
      <c r="AB41" s="242">
        <f>'資金繰り実績予定表（詳細）'!U45</f>
        <v>0</v>
      </c>
      <c r="AC41" s="242">
        <f>'資金繰り実績予定表（詳細）'!V45</f>
        <v>0</v>
      </c>
      <c r="AD41" s="242">
        <f>'資金繰り実績予定表（詳細）'!W45</f>
        <v>0</v>
      </c>
      <c r="AE41" s="242">
        <f>'資金繰り実績予定表（詳細）'!X45</f>
        <v>0</v>
      </c>
      <c r="AF41" s="242">
        <f>'資金繰り実績予定表（詳細）'!Y45</f>
        <v>0</v>
      </c>
      <c r="AG41" s="242">
        <f>'資金繰り実績予定表（詳細）'!Z45</f>
        <v>0</v>
      </c>
      <c r="AH41" s="242">
        <f>'資金繰り実績予定表（詳細）'!AA45</f>
        <v>0</v>
      </c>
      <c r="AI41" s="242">
        <f t="shared" si="10"/>
        <v>0</v>
      </c>
      <c r="AJ41" s="240"/>
      <c r="AK41" s="237"/>
      <c r="AL41" s="256" t="s">
        <v>85</v>
      </c>
      <c r="AM41" s="327" t="s">
        <v>37</v>
      </c>
      <c r="AN41" s="311"/>
      <c r="AO41" s="242">
        <f>'資金繰り実績予定表（詳細）'!AD45</f>
        <v>0</v>
      </c>
      <c r="AP41" s="242">
        <f>'資金繰り実績予定表（詳細）'!AE45</f>
        <v>0</v>
      </c>
      <c r="AQ41" s="242">
        <f>'資金繰り実績予定表（詳細）'!AF45</f>
        <v>0</v>
      </c>
      <c r="AR41" s="242">
        <f>'資金繰り実績予定表（詳細）'!AG45</f>
        <v>0</v>
      </c>
      <c r="AS41" s="242">
        <f>'資金繰り実績予定表（詳細）'!AH45</f>
        <v>0</v>
      </c>
      <c r="AT41" s="242">
        <f>'資金繰り実績予定表（詳細）'!AI45</f>
        <v>0</v>
      </c>
      <c r="AU41" s="242">
        <f>'資金繰り実績予定表（詳細）'!AJ45</f>
        <v>0</v>
      </c>
      <c r="AV41" s="242">
        <f>'資金繰り実績予定表（詳細）'!AK45</f>
        <v>0</v>
      </c>
      <c r="AW41" s="242">
        <f>'資金繰り実績予定表（詳細）'!AL45</f>
        <v>0</v>
      </c>
      <c r="AX41" s="242">
        <f>'資金繰り実績予定表（詳細）'!AM45</f>
        <v>0</v>
      </c>
      <c r="AY41" s="242">
        <f>'資金繰り実績予定表（詳細）'!AN45</f>
        <v>0</v>
      </c>
      <c r="AZ41" s="242">
        <f>'資金繰り実績予定表（詳細）'!AO45</f>
        <v>0</v>
      </c>
      <c r="BA41" s="242">
        <f t="shared" si="11"/>
        <v>0</v>
      </c>
    </row>
    <row r="42" spans="1:53" ht="15">
      <c r="A42" s="230" t="s">
        <v>85</v>
      </c>
      <c r="B42" s="252" t="s">
        <v>89</v>
      </c>
      <c r="C42" s="320" t="s">
        <v>103</v>
      </c>
      <c r="D42" s="321"/>
      <c r="E42" s="271">
        <f>'資金繰り実績予定表（詳細）'!B33</f>
        <v>0</v>
      </c>
      <c r="F42" s="271">
        <f>'資金繰り実績予定表（詳細）'!C33</f>
        <v>0</v>
      </c>
      <c r="G42" s="271">
        <f>'資金繰り実績予定表（詳細）'!D33</f>
        <v>0</v>
      </c>
      <c r="H42" s="271">
        <f>'資金繰り実績予定表（詳細）'!E33</f>
        <v>0</v>
      </c>
      <c r="I42" s="271">
        <f>'資金繰り実績予定表（詳細）'!F33</f>
        <v>0</v>
      </c>
      <c r="J42" s="271">
        <f>'資金繰り実績予定表（詳細）'!G33</f>
        <v>0</v>
      </c>
      <c r="K42" s="271">
        <f>'資金繰り実績予定表（詳細）'!H33</f>
        <v>0</v>
      </c>
      <c r="L42" s="271">
        <f>'資金繰り実績予定表（詳細）'!I33</f>
        <v>0</v>
      </c>
      <c r="M42" s="271">
        <f>'資金繰り実績予定表（詳細）'!J33</f>
        <v>0</v>
      </c>
      <c r="N42" s="271">
        <f>'資金繰り実績予定表（詳細）'!K33</f>
        <v>0</v>
      </c>
      <c r="O42" s="271">
        <f>'資金繰り実績予定表（詳細）'!L33</f>
        <v>0</v>
      </c>
      <c r="P42" s="271">
        <f>'資金繰り実績予定表（詳細）'!M33</f>
        <v>0</v>
      </c>
      <c r="Q42" s="271">
        <f t="shared" si="9"/>
        <v>0</v>
      </c>
      <c r="R42" s="235"/>
      <c r="S42" s="237" t="s">
        <v>85</v>
      </c>
      <c r="T42" s="256" t="s">
        <v>89</v>
      </c>
      <c r="U42" s="328" t="s">
        <v>103</v>
      </c>
      <c r="V42" s="321"/>
      <c r="W42" s="271">
        <f>'資金繰り実績予定表（詳細）'!P33</f>
        <v>0</v>
      </c>
      <c r="X42" s="271">
        <f>'資金繰り実績予定表（詳細）'!Q33</f>
        <v>0</v>
      </c>
      <c r="Y42" s="271">
        <f>'資金繰り実績予定表（詳細）'!R33</f>
        <v>0</v>
      </c>
      <c r="Z42" s="271">
        <f>'資金繰り実績予定表（詳細）'!S33</f>
        <v>0</v>
      </c>
      <c r="AA42" s="271">
        <f>'資金繰り実績予定表（詳細）'!T33</f>
        <v>0</v>
      </c>
      <c r="AB42" s="271">
        <f>'資金繰り実績予定表（詳細）'!U33</f>
        <v>0</v>
      </c>
      <c r="AC42" s="271">
        <f>'資金繰り実績予定表（詳細）'!V33</f>
        <v>0</v>
      </c>
      <c r="AD42" s="271">
        <f>'資金繰り実績予定表（詳細）'!W33</f>
        <v>0</v>
      </c>
      <c r="AE42" s="271">
        <f>'資金繰り実績予定表（詳細）'!X33</f>
        <v>0</v>
      </c>
      <c r="AF42" s="271">
        <f>'資金繰り実績予定表（詳細）'!Y33</f>
        <v>0</v>
      </c>
      <c r="AG42" s="271">
        <f>'資金繰り実績予定表（詳細）'!Z33</f>
        <v>0</v>
      </c>
      <c r="AH42" s="271">
        <f>'資金繰り実績予定表（詳細）'!AA33</f>
        <v>0</v>
      </c>
      <c r="AI42" s="271">
        <f t="shared" si="10"/>
        <v>0</v>
      </c>
      <c r="AJ42" s="240"/>
      <c r="AK42" s="237" t="s">
        <v>85</v>
      </c>
      <c r="AL42" s="256" t="s">
        <v>89</v>
      </c>
      <c r="AM42" s="328" t="s">
        <v>103</v>
      </c>
      <c r="AN42" s="321"/>
      <c r="AO42" s="271">
        <f>'資金繰り実績予定表（詳細）'!AD33</f>
        <v>0</v>
      </c>
      <c r="AP42" s="271">
        <f>'資金繰り実績予定表（詳細）'!AE33</f>
        <v>0</v>
      </c>
      <c r="AQ42" s="271">
        <f>'資金繰り実績予定表（詳細）'!AF33</f>
        <v>0</v>
      </c>
      <c r="AR42" s="271">
        <f>'資金繰り実績予定表（詳細）'!AG33</f>
        <v>0</v>
      </c>
      <c r="AS42" s="271">
        <f>'資金繰り実績予定表（詳細）'!AH33</f>
        <v>0</v>
      </c>
      <c r="AT42" s="271">
        <f>'資金繰り実績予定表（詳細）'!AI33</f>
        <v>0</v>
      </c>
      <c r="AU42" s="271">
        <f>'資金繰り実績予定表（詳細）'!AJ33</f>
        <v>0</v>
      </c>
      <c r="AV42" s="271">
        <f>'資金繰り実績予定表（詳細）'!AK33</f>
        <v>0</v>
      </c>
      <c r="AW42" s="271">
        <f>'資金繰り実績予定表（詳細）'!AL33</f>
        <v>0</v>
      </c>
      <c r="AX42" s="271">
        <f>'資金繰り実績予定表（詳細）'!AM33</f>
        <v>0</v>
      </c>
      <c r="AY42" s="271">
        <f>'資金繰り実績予定表（詳細）'!AN33</f>
        <v>0</v>
      </c>
      <c r="AZ42" s="271">
        <f>'資金繰り実績予定表（詳細）'!AO33</f>
        <v>0</v>
      </c>
      <c r="BA42" s="271">
        <f t="shared" si="11"/>
        <v>0</v>
      </c>
    </row>
    <row r="43" spans="1:53" ht="15">
      <c r="A43" s="230"/>
      <c r="B43" s="252"/>
      <c r="C43" s="314" t="s">
        <v>92</v>
      </c>
      <c r="D43" s="309"/>
      <c r="E43" s="271">
        <f t="shared" ref="E43:P43" si="30">SUM(E40:E42)</f>
        <v>1689913</v>
      </c>
      <c r="F43" s="271">
        <f t="shared" si="30"/>
        <v>0</v>
      </c>
      <c r="G43" s="271">
        <f t="shared" si="30"/>
        <v>4006170</v>
      </c>
      <c r="H43" s="271">
        <f t="shared" si="30"/>
        <v>2003083</v>
      </c>
      <c r="I43" s="271">
        <f t="shared" si="30"/>
        <v>0</v>
      </c>
      <c r="J43" s="271">
        <f t="shared" si="30"/>
        <v>43408783</v>
      </c>
      <c r="K43" s="271">
        <f t="shared" si="30"/>
        <v>32246230</v>
      </c>
      <c r="L43" s="271">
        <f t="shared" si="30"/>
        <v>2242348</v>
      </c>
      <c r="M43" s="271">
        <f t="shared" si="30"/>
        <v>3522286</v>
      </c>
      <c r="N43" s="271">
        <f t="shared" si="30"/>
        <v>0</v>
      </c>
      <c r="O43" s="271">
        <f t="shared" si="30"/>
        <v>0</v>
      </c>
      <c r="P43" s="271">
        <f t="shared" si="30"/>
        <v>0</v>
      </c>
      <c r="Q43" s="271">
        <f t="shared" si="9"/>
        <v>89118813</v>
      </c>
      <c r="R43" s="235"/>
      <c r="S43" s="237"/>
      <c r="T43" s="256"/>
      <c r="U43" s="318" t="s">
        <v>92</v>
      </c>
      <c r="V43" s="309"/>
      <c r="W43" s="271">
        <f t="shared" ref="W43:AH43" si="31">SUM(W40:W42)</f>
        <v>0</v>
      </c>
      <c r="X43" s="271">
        <f t="shared" si="31"/>
        <v>0</v>
      </c>
      <c r="Y43" s="271">
        <f t="shared" si="31"/>
        <v>0</v>
      </c>
      <c r="Z43" s="271">
        <f t="shared" si="31"/>
        <v>0</v>
      </c>
      <c r="AA43" s="271">
        <f t="shared" si="31"/>
        <v>0</v>
      </c>
      <c r="AB43" s="271">
        <f t="shared" si="31"/>
        <v>0</v>
      </c>
      <c r="AC43" s="271">
        <f t="shared" si="31"/>
        <v>0</v>
      </c>
      <c r="AD43" s="271">
        <f t="shared" si="31"/>
        <v>0</v>
      </c>
      <c r="AE43" s="271">
        <f t="shared" si="31"/>
        <v>0</v>
      </c>
      <c r="AF43" s="271">
        <f t="shared" si="31"/>
        <v>0</v>
      </c>
      <c r="AG43" s="271">
        <f t="shared" si="31"/>
        <v>0</v>
      </c>
      <c r="AH43" s="271">
        <f t="shared" si="31"/>
        <v>0</v>
      </c>
      <c r="AI43" s="271">
        <f t="shared" si="10"/>
        <v>0</v>
      </c>
      <c r="AJ43" s="240"/>
      <c r="AK43" s="237"/>
      <c r="AL43" s="256"/>
      <c r="AM43" s="318" t="s">
        <v>92</v>
      </c>
      <c r="AN43" s="309"/>
      <c r="AO43" s="271">
        <f t="shared" ref="AO43:AZ43" si="32">SUM(AO40:AO42)</f>
        <v>0</v>
      </c>
      <c r="AP43" s="271">
        <f t="shared" si="32"/>
        <v>0</v>
      </c>
      <c r="AQ43" s="271">
        <f t="shared" si="32"/>
        <v>0</v>
      </c>
      <c r="AR43" s="271">
        <f t="shared" si="32"/>
        <v>0</v>
      </c>
      <c r="AS43" s="271">
        <f t="shared" si="32"/>
        <v>0</v>
      </c>
      <c r="AT43" s="271">
        <f t="shared" si="32"/>
        <v>0</v>
      </c>
      <c r="AU43" s="271">
        <f t="shared" si="32"/>
        <v>0</v>
      </c>
      <c r="AV43" s="271">
        <f t="shared" si="32"/>
        <v>0</v>
      </c>
      <c r="AW43" s="271">
        <f t="shared" si="32"/>
        <v>0</v>
      </c>
      <c r="AX43" s="271">
        <f t="shared" si="32"/>
        <v>0</v>
      </c>
      <c r="AY43" s="271">
        <f t="shared" si="32"/>
        <v>0</v>
      </c>
      <c r="AZ43" s="271">
        <f t="shared" si="32"/>
        <v>0</v>
      </c>
      <c r="BA43" s="271">
        <f t="shared" si="11"/>
        <v>0</v>
      </c>
    </row>
    <row r="44" spans="1:53" ht="15">
      <c r="A44" s="272"/>
      <c r="B44" s="322" t="s">
        <v>104</v>
      </c>
      <c r="C44" s="316"/>
      <c r="D44" s="316"/>
      <c r="E44" s="292">
        <f t="shared" ref="E44:P44" si="33">E39-E43</f>
        <v>9445471</v>
      </c>
      <c r="F44" s="292">
        <f t="shared" si="33"/>
        <v>6823</v>
      </c>
      <c r="G44" s="292">
        <f t="shared" si="33"/>
        <v>-4003724</v>
      </c>
      <c r="H44" s="292">
        <f t="shared" si="33"/>
        <v>-2003083</v>
      </c>
      <c r="I44" s="292">
        <f t="shared" si="33"/>
        <v>0</v>
      </c>
      <c r="J44" s="292">
        <f t="shared" si="33"/>
        <v>22642221</v>
      </c>
      <c r="K44" s="292">
        <f t="shared" si="33"/>
        <v>-3378730</v>
      </c>
      <c r="L44" s="292">
        <f t="shared" si="33"/>
        <v>-2237315</v>
      </c>
      <c r="M44" s="292">
        <f t="shared" si="33"/>
        <v>-3521248</v>
      </c>
      <c r="N44" s="292">
        <f t="shared" si="33"/>
        <v>0</v>
      </c>
      <c r="O44" s="292">
        <f t="shared" si="33"/>
        <v>0</v>
      </c>
      <c r="P44" s="292">
        <f t="shared" si="33"/>
        <v>0</v>
      </c>
      <c r="Q44" s="276">
        <f t="shared" si="9"/>
        <v>16950415</v>
      </c>
      <c r="R44" s="235"/>
      <c r="S44" s="273"/>
      <c r="T44" s="322" t="s">
        <v>104</v>
      </c>
      <c r="U44" s="316"/>
      <c r="V44" s="316"/>
      <c r="W44" s="292">
        <f t="shared" ref="W44:AH44" si="34">W39-W43</f>
        <v>0</v>
      </c>
      <c r="X44" s="292">
        <f t="shared" si="34"/>
        <v>0</v>
      </c>
      <c r="Y44" s="292">
        <f t="shared" si="34"/>
        <v>0</v>
      </c>
      <c r="Z44" s="292">
        <f t="shared" si="34"/>
        <v>0</v>
      </c>
      <c r="AA44" s="292">
        <f t="shared" si="34"/>
        <v>0</v>
      </c>
      <c r="AB44" s="292">
        <f t="shared" si="34"/>
        <v>0</v>
      </c>
      <c r="AC44" s="292">
        <f t="shared" si="34"/>
        <v>0</v>
      </c>
      <c r="AD44" s="292">
        <f t="shared" si="34"/>
        <v>0</v>
      </c>
      <c r="AE44" s="292">
        <f t="shared" si="34"/>
        <v>0</v>
      </c>
      <c r="AF44" s="292">
        <f t="shared" si="34"/>
        <v>0</v>
      </c>
      <c r="AG44" s="292">
        <f t="shared" si="34"/>
        <v>0</v>
      </c>
      <c r="AH44" s="292">
        <f t="shared" si="34"/>
        <v>0</v>
      </c>
      <c r="AI44" s="276">
        <f t="shared" si="10"/>
        <v>0</v>
      </c>
      <c r="AJ44" s="278"/>
      <c r="AK44" s="273"/>
      <c r="AL44" s="322" t="s">
        <v>104</v>
      </c>
      <c r="AM44" s="316"/>
      <c r="AN44" s="316"/>
      <c r="AO44" s="292">
        <f t="shared" ref="AO44:AZ44" si="35">AO39-AO43</f>
        <v>0</v>
      </c>
      <c r="AP44" s="292">
        <f t="shared" si="35"/>
        <v>0</v>
      </c>
      <c r="AQ44" s="292">
        <f t="shared" si="35"/>
        <v>0</v>
      </c>
      <c r="AR44" s="292">
        <f t="shared" si="35"/>
        <v>0</v>
      </c>
      <c r="AS44" s="292">
        <f t="shared" si="35"/>
        <v>0</v>
      </c>
      <c r="AT44" s="292">
        <f t="shared" si="35"/>
        <v>0</v>
      </c>
      <c r="AU44" s="292">
        <f t="shared" si="35"/>
        <v>0</v>
      </c>
      <c r="AV44" s="292">
        <f t="shared" si="35"/>
        <v>0</v>
      </c>
      <c r="AW44" s="292">
        <f t="shared" si="35"/>
        <v>0</v>
      </c>
      <c r="AX44" s="292">
        <f t="shared" si="35"/>
        <v>0</v>
      </c>
      <c r="AY44" s="292">
        <f t="shared" si="35"/>
        <v>0</v>
      </c>
      <c r="AZ44" s="292">
        <f t="shared" si="35"/>
        <v>0</v>
      </c>
      <c r="BA44" s="276">
        <f t="shared" si="11"/>
        <v>0</v>
      </c>
    </row>
    <row r="45" spans="1:53" ht="15">
      <c r="A45" s="275"/>
      <c r="B45" s="286" t="s">
        <v>105</v>
      </c>
      <c r="C45" s="286"/>
      <c r="D45" s="293"/>
      <c r="E45" s="287">
        <f t="shared" ref="E45:Q45" si="36">E25+E34+E44</f>
        <v>4232494</v>
      </c>
      <c r="F45" s="287">
        <f t="shared" si="36"/>
        <v>2909616</v>
      </c>
      <c r="G45" s="287">
        <f t="shared" si="36"/>
        <v>-5375527</v>
      </c>
      <c r="H45" s="287">
        <f t="shared" si="36"/>
        <v>4643356</v>
      </c>
      <c r="I45" s="287">
        <f t="shared" si="36"/>
        <v>-1338466</v>
      </c>
      <c r="J45" s="287">
        <f t="shared" si="36"/>
        <v>6461384</v>
      </c>
      <c r="K45" s="287">
        <f t="shared" si="36"/>
        <v>10300145</v>
      </c>
      <c r="L45" s="287">
        <f t="shared" si="36"/>
        <v>12783032</v>
      </c>
      <c r="M45" s="287">
        <f t="shared" si="36"/>
        <v>-13039228</v>
      </c>
      <c r="N45" s="287">
        <f t="shared" si="36"/>
        <v>0</v>
      </c>
      <c r="O45" s="287">
        <f t="shared" si="36"/>
        <v>0</v>
      </c>
      <c r="P45" s="287">
        <f t="shared" si="36"/>
        <v>0</v>
      </c>
      <c r="Q45" s="287">
        <f t="shared" si="36"/>
        <v>21576806</v>
      </c>
      <c r="R45" s="235"/>
      <c r="S45" s="239"/>
      <c r="T45" s="286" t="s">
        <v>105</v>
      </c>
      <c r="U45" s="286"/>
      <c r="V45" s="293"/>
      <c r="W45" s="287">
        <f t="shared" ref="W45:AI45" si="37">W25+W34+W44</f>
        <v>0</v>
      </c>
      <c r="X45" s="287">
        <f t="shared" si="37"/>
        <v>0</v>
      </c>
      <c r="Y45" s="287">
        <f t="shared" si="37"/>
        <v>0</v>
      </c>
      <c r="Z45" s="287">
        <f t="shared" si="37"/>
        <v>0</v>
      </c>
      <c r="AA45" s="287">
        <f t="shared" si="37"/>
        <v>0</v>
      </c>
      <c r="AB45" s="287">
        <f t="shared" si="37"/>
        <v>0</v>
      </c>
      <c r="AC45" s="287">
        <f t="shared" si="37"/>
        <v>0</v>
      </c>
      <c r="AD45" s="287">
        <f t="shared" si="37"/>
        <v>0</v>
      </c>
      <c r="AE45" s="287">
        <f t="shared" si="37"/>
        <v>0</v>
      </c>
      <c r="AF45" s="287">
        <f t="shared" si="37"/>
        <v>0</v>
      </c>
      <c r="AG45" s="287">
        <f t="shared" si="37"/>
        <v>0</v>
      </c>
      <c r="AH45" s="287">
        <f t="shared" si="37"/>
        <v>0</v>
      </c>
      <c r="AI45" s="287">
        <f t="shared" si="37"/>
        <v>0</v>
      </c>
      <c r="AJ45" s="278"/>
      <c r="AK45" s="239"/>
      <c r="AL45" s="286" t="s">
        <v>105</v>
      </c>
      <c r="AM45" s="286"/>
      <c r="AN45" s="293"/>
      <c r="AO45" s="287">
        <f t="shared" ref="AO45:BA45" si="38">AO25+AO34+AO44</f>
        <v>0</v>
      </c>
      <c r="AP45" s="287">
        <f t="shared" si="38"/>
        <v>0</v>
      </c>
      <c r="AQ45" s="287">
        <f t="shared" si="38"/>
        <v>0</v>
      </c>
      <c r="AR45" s="287">
        <f t="shared" si="38"/>
        <v>0</v>
      </c>
      <c r="AS45" s="287">
        <f t="shared" si="38"/>
        <v>0</v>
      </c>
      <c r="AT45" s="287">
        <f t="shared" si="38"/>
        <v>0</v>
      </c>
      <c r="AU45" s="287">
        <f t="shared" si="38"/>
        <v>0</v>
      </c>
      <c r="AV45" s="287">
        <f t="shared" si="38"/>
        <v>0</v>
      </c>
      <c r="AW45" s="287">
        <f t="shared" si="38"/>
        <v>0</v>
      </c>
      <c r="AX45" s="287">
        <f t="shared" si="38"/>
        <v>0</v>
      </c>
      <c r="AY45" s="287">
        <f t="shared" si="38"/>
        <v>0</v>
      </c>
      <c r="AZ45" s="287">
        <f t="shared" si="38"/>
        <v>0</v>
      </c>
      <c r="BA45" s="287">
        <f t="shared" si="38"/>
        <v>0</v>
      </c>
    </row>
    <row r="46" spans="1:53" ht="15">
      <c r="A46" s="317" t="s">
        <v>106</v>
      </c>
      <c r="B46" s="316"/>
      <c r="C46" s="316"/>
      <c r="D46" s="316"/>
      <c r="E46" s="294">
        <f>E6+E25+E34+E44</f>
        <v>4232494</v>
      </c>
      <c r="F46" s="294">
        <f t="shared" ref="F46:P46" si="39">E46+F45</f>
        <v>7142110</v>
      </c>
      <c r="G46" s="294">
        <f t="shared" si="39"/>
        <v>1766583</v>
      </c>
      <c r="H46" s="294">
        <f t="shared" si="39"/>
        <v>6409939</v>
      </c>
      <c r="I46" s="294">
        <f t="shared" si="39"/>
        <v>5071473</v>
      </c>
      <c r="J46" s="294">
        <f t="shared" si="39"/>
        <v>11532857</v>
      </c>
      <c r="K46" s="294">
        <f t="shared" si="39"/>
        <v>21833002</v>
      </c>
      <c r="L46" s="294">
        <f t="shared" si="39"/>
        <v>34616034</v>
      </c>
      <c r="M46" s="294">
        <f t="shared" si="39"/>
        <v>21576806</v>
      </c>
      <c r="N46" s="294">
        <f t="shared" si="39"/>
        <v>21576806</v>
      </c>
      <c r="O46" s="294">
        <f t="shared" si="39"/>
        <v>21576806</v>
      </c>
      <c r="P46" s="294">
        <f t="shared" si="39"/>
        <v>21576806</v>
      </c>
      <c r="Q46" s="295"/>
      <c r="R46" s="235"/>
      <c r="S46" s="324" t="s">
        <v>106</v>
      </c>
      <c r="T46" s="316"/>
      <c r="U46" s="316"/>
      <c r="V46" s="316"/>
      <c r="W46" s="296">
        <f>W6+W45</f>
        <v>21576806</v>
      </c>
      <c r="X46" s="296">
        <f t="shared" ref="X46:AH46" si="40">W46+X45</f>
        <v>21576806</v>
      </c>
      <c r="Y46" s="296">
        <f t="shared" si="40"/>
        <v>21576806</v>
      </c>
      <c r="Z46" s="296">
        <f t="shared" si="40"/>
        <v>21576806</v>
      </c>
      <c r="AA46" s="296">
        <f t="shared" si="40"/>
        <v>21576806</v>
      </c>
      <c r="AB46" s="296">
        <f t="shared" si="40"/>
        <v>21576806</v>
      </c>
      <c r="AC46" s="296">
        <f t="shared" si="40"/>
        <v>21576806</v>
      </c>
      <c r="AD46" s="296">
        <f t="shared" si="40"/>
        <v>21576806</v>
      </c>
      <c r="AE46" s="296">
        <f t="shared" si="40"/>
        <v>21576806</v>
      </c>
      <c r="AF46" s="296">
        <f t="shared" si="40"/>
        <v>21576806</v>
      </c>
      <c r="AG46" s="296">
        <f t="shared" si="40"/>
        <v>21576806</v>
      </c>
      <c r="AH46" s="296">
        <f t="shared" si="40"/>
        <v>21576806</v>
      </c>
      <c r="AI46" s="297"/>
      <c r="AJ46" s="298"/>
      <c r="AK46" s="324" t="s">
        <v>106</v>
      </c>
      <c r="AL46" s="316"/>
      <c r="AM46" s="316"/>
      <c r="AN46" s="316"/>
      <c r="AO46" s="296">
        <f>AO6+AO45</f>
        <v>21576806</v>
      </c>
      <c r="AP46" s="296">
        <f t="shared" ref="AP46:AZ46" si="41">AO46+AP45</f>
        <v>21576806</v>
      </c>
      <c r="AQ46" s="296">
        <f t="shared" si="41"/>
        <v>21576806</v>
      </c>
      <c r="AR46" s="296">
        <f t="shared" si="41"/>
        <v>21576806</v>
      </c>
      <c r="AS46" s="296">
        <f t="shared" si="41"/>
        <v>21576806</v>
      </c>
      <c r="AT46" s="296">
        <f t="shared" si="41"/>
        <v>21576806</v>
      </c>
      <c r="AU46" s="296">
        <f t="shared" si="41"/>
        <v>21576806</v>
      </c>
      <c r="AV46" s="296">
        <f t="shared" si="41"/>
        <v>21576806</v>
      </c>
      <c r="AW46" s="296">
        <f t="shared" si="41"/>
        <v>21576806</v>
      </c>
      <c r="AX46" s="296">
        <f t="shared" si="41"/>
        <v>21576806</v>
      </c>
      <c r="AY46" s="296">
        <f t="shared" si="41"/>
        <v>21576806</v>
      </c>
      <c r="AZ46" s="296">
        <f t="shared" si="41"/>
        <v>21576806</v>
      </c>
      <c r="BA46" s="297"/>
    </row>
  </sheetData>
  <mergeCells count="87">
    <mergeCell ref="U35:V35"/>
    <mergeCell ref="U43:V43"/>
    <mergeCell ref="T44:V44"/>
    <mergeCell ref="S46:V46"/>
    <mergeCell ref="AK46:AN46"/>
    <mergeCell ref="U36:V36"/>
    <mergeCell ref="U37:V37"/>
    <mergeCell ref="U38:V38"/>
    <mergeCell ref="U39:V39"/>
    <mergeCell ref="U40:V40"/>
    <mergeCell ref="U41:V41"/>
    <mergeCell ref="U42:V42"/>
    <mergeCell ref="AL44:AN44"/>
    <mergeCell ref="AM36:AN36"/>
    <mergeCell ref="AM37:AN37"/>
    <mergeCell ref="AM38:AN38"/>
    <mergeCell ref="U30:V30"/>
    <mergeCell ref="U31:V31"/>
    <mergeCell ref="U32:V32"/>
    <mergeCell ref="U33:V33"/>
    <mergeCell ref="T34:V34"/>
    <mergeCell ref="U24:V24"/>
    <mergeCell ref="T25:V25"/>
    <mergeCell ref="U26:V26"/>
    <mergeCell ref="U28:V28"/>
    <mergeCell ref="U29:V29"/>
    <mergeCell ref="C21:D21"/>
    <mergeCell ref="AM22:AN22"/>
    <mergeCell ref="U21:V21"/>
    <mergeCell ref="U22:V22"/>
    <mergeCell ref="U23:V23"/>
    <mergeCell ref="AM21:AN21"/>
    <mergeCell ref="AM23:AN23"/>
    <mergeCell ref="C14:D14"/>
    <mergeCell ref="U14:V14"/>
    <mergeCell ref="AM14:AN14"/>
    <mergeCell ref="C15:D15"/>
    <mergeCell ref="U15:V15"/>
    <mergeCell ref="AM15:AN15"/>
    <mergeCell ref="AK5:AN5"/>
    <mergeCell ref="AK6:AN6"/>
    <mergeCell ref="A4:D4"/>
    <mergeCell ref="S4:V4"/>
    <mergeCell ref="AK4:AN4"/>
    <mergeCell ref="A5:D5"/>
    <mergeCell ref="S5:V5"/>
    <mergeCell ref="A6:D6"/>
    <mergeCell ref="S6:V6"/>
    <mergeCell ref="AM43:AN43"/>
    <mergeCell ref="AM26:AN26"/>
    <mergeCell ref="AM28:AN28"/>
    <mergeCell ref="AM29:AN29"/>
    <mergeCell ref="AM30:AN30"/>
    <mergeCell ref="AM31:AN31"/>
    <mergeCell ref="AM39:AN39"/>
    <mergeCell ref="AM40:AN40"/>
    <mergeCell ref="AM41:AN41"/>
    <mergeCell ref="AM42:AN42"/>
    <mergeCell ref="AM32:AN32"/>
    <mergeCell ref="AM33:AN33"/>
    <mergeCell ref="AL34:AN34"/>
    <mergeCell ref="AM35:AN35"/>
    <mergeCell ref="AM24:AN24"/>
    <mergeCell ref="AL25:AN25"/>
    <mergeCell ref="A46:D46"/>
    <mergeCell ref="C37:D37"/>
    <mergeCell ref="C38:D38"/>
    <mergeCell ref="C39:D39"/>
    <mergeCell ref="C40:D40"/>
    <mergeCell ref="C41:D41"/>
    <mergeCell ref="C42:D42"/>
    <mergeCell ref="C43:D43"/>
    <mergeCell ref="C33:D33"/>
    <mergeCell ref="B34:D34"/>
    <mergeCell ref="C35:D35"/>
    <mergeCell ref="C36:D36"/>
    <mergeCell ref="B44:D44"/>
    <mergeCell ref="C28:D28"/>
    <mergeCell ref="C29:D29"/>
    <mergeCell ref="C30:D30"/>
    <mergeCell ref="C31:D31"/>
    <mergeCell ref="C32:D32"/>
    <mergeCell ref="C22:D22"/>
    <mergeCell ref="C23:D23"/>
    <mergeCell ref="C24:D24"/>
    <mergeCell ref="B25:D25"/>
    <mergeCell ref="C26:D26"/>
  </mergeCells>
  <phoneticPr fontId="1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  <pageSetUpPr fitToPage="1"/>
  </sheetPr>
  <dimension ref="A1:AP55"/>
  <sheetViews>
    <sheetView zoomScale="90" zoomScaleNormal="90" workbookViewId="0">
      <selection activeCell="L18" sqref="L18"/>
    </sheetView>
  </sheetViews>
  <sheetFormatPr defaultColWidth="12.6640625" defaultRowHeight="15.75" customHeight="1"/>
  <cols>
    <col min="1" max="1" width="27.5546875" style="175" customWidth="1"/>
    <col min="2" max="42" width="12.77734375" style="154" customWidth="1"/>
    <col min="43" max="16384" width="12.6640625" style="154"/>
  </cols>
  <sheetData>
    <row r="1" spans="1:42" ht="22.5" customHeight="1">
      <c r="A1" s="178" t="s">
        <v>62</v>
      </c>
      <c r="O1" s="179" t="s">
        <v>62</v>
      </c>
      <c r="AC1" s="153" t="s">
        <v>62</v>
      </c>
    </row>
    <row r="2" spans="1:42" ht="15">
      <c r="A2" s="180"/>
      <c r="B2" s="181">
        <f>入出金予定表!C1</f>
        <v>45839</v>
      </c>
      <c r="C2" s="181">
        <f>入出金予定表!D1</f>
        <v>45870</v>
      </c>
      <c r="D2" s="181">
        <f>入出金予定表!E1</f>
        <v>45901</v>
      </c>
      <c r="E2" s="181">
        <f>入出金予定表!F1</f>
        <v>45931</v>
      </c>
      <c r="F2" s="181">
        <f>入出金予定表!G1</f>
        <v>45962</v>
      </c>
      <c r="G2" s="181">
        <f>入出金予定表!H1</f>
        <v>45992</v>
      </c>
      <c r="H2" s="181">
        <f>入出金予定表!I1</f>
        <v>46023</v>
      </c>
      <c r="I2" s="181">
        <f>入出金予定表!J1</f>
        <v>46054</v>
      </c>
      <c r="J2" s="181">
        <f>入出金予定表!K1</f>
        <v>46082</v>
      </c>
      <c r="K2" s="181">
        <f>入出金予定表!L1</f>
        <v>46113</v>
      </c>
      <c r="L2" s="181">
        <f>入出金予定表!M1</f>
        <v>46143</v>
      </c>
      <c r="M2" s="181">
        <f>入出金予定表!N1</f>
        <v>46174</v>
      </c>
      <c r="N2" s="182" t="s">
        <v>48</v>
      </c>
      <c r="O2" s="163"/>
      <c r="P2" s="181">
        <f>入出金予定表!O1</f>
        <v>0</v>
      </c>
      <c r="Q2" s="181">
        <f>入出金予定表!P1</f>
        <v>0</v>
      </c>
      <c r="R2" s="181">
        <f>入出金予定表!Q1</f>
        <v>0</v>
      </c>
      <c r="S2" s="181">
        <f>入出金予定表!R1</f>
        <v>0</v>
      </c>
      <c r="T2" s="181">
        <f>入出金予定表!S1</f>
        <v>0</v>
      </c>
      <c r="U2" s="181">
        <f>入出金予定表!T1</f>
        <v>0</v>
      </c>
      <c r="V2" s="181">
        <f>入出金予定表!U1</f>
        <v>0</v>
      </c>
      <c r="W2" s="181">
        <f>入出金予定表!V1</f>
        <v>0</v>
      </c>
      <c r="X2" s="181">
        <f>入出金予定表!W1</f>
        <v>0</v>
      </c>
      <c r="Y2" s="181">
        <f>入出金予定表!X1</f>
        <v>0</v>
      </c>
      <c r="Z2" s="181">
        <f>入出金予定表!Y1</f>
        <v>0</v>
      </c>
      <c r="AA2" s="181">
        <f>入出金予定表!Z1</f>
        <v>0</v>
      </c>
      <c r="AB2" s="182" t="s">
        <v>48</v>
      </c>
      <c r="AC2" s="182"/>
      <c r="AD2" s="183">
        <f>入出金予定表!AA1</f>
        <v>0</v>
      </c>
      <c r="AE2" s="183">
        <f>入出金予定表!AB1</f>
        <v>0</v>
      </c>
      <c r="AF2" s="183">
        <f>入出金予定表!AC1</f>
        <v>0</v>
      </c>
      <c r="AG2" s="183">
        <f>入出金予定表!AD1</f>
        <v>0</v>
      </c>
      <c r="AH2" s="183">
        <f>入出金予定表!AE1</f>
        <v>0</v>
      </c>
      <c r="AI2" s="183">
        <f>入出金予定表!AF1</f>
        <v>0</v>
      </c>
      <c r="AJ2" s="183">
        <f>入出金予定表!AG1</f>
        <v>0</v>
      </c>
      <c r="AK2" s="183">
        <f>入出金予定表!AH1</f>
        <v>0</v>
      </c>
      <c r="AL2" s="183">
        <f>入出金予定表!AI1</f>
        <v>0</v>
      </c>
      <c r="AM2" s="183">
        <f>入出金予定表!AJ1</f>
        <v>0</v>
      </c>
      <c r="AN2" s="183">
        <f>入出金予定表!AK1</f>
        <v>0</v>
      </c>
      <c r="AO2" s="183">
        <f>入出金予定表!AL1</f>
        <v>0</v>
      </c>
      <c r="AP2" s="182" t="s">
        <v>48</v>
      </c>
    </row>
    <row r="3" spans="1:42" ht="15">
      <c r="A3" s="170" t="str">
        <f>資金繰り実績表!A2</f>
        <v>売上入金</v>
      </c>
      <c r="B3" s="160">
        <f>SUMIF(入出金予定表!$A$2:$A$2000,"売上入金",入出金予定表!C$2:C$2000)</f>
        <v>54397318</v>
      </c>
      <c r="C3" s="160">
        <f>SUMIF(入出金予定表!$A$2:$A$2000,"売上入金",入出金予定表!D$2:D$2000)</f>
        <v>36633326</v>
      </c>
      <c r="D3" s="160">
        <f>SUMIF(入出金予定表!$A$2:$A$2000,"売上入金",入出金予定表!E$2:E$2000)</f>
        <v>27663609</v>
      </c>
      <c r="E3" s="160">
        <f>SUMIF(入出金予定表!$A$2:$A$2000,"売上入金",入出金予定表!F$2:F$2000)</f>
        <v>40698359</v>
      </c>
      <c r="F3" s="160">
        <f>SUMIF(入出金予定表!$A$2:$A$2000,"売上入金",入出金予定表!G$2:G$2000)</f>
        <v>32379584</v>
      </c>
      <c r="G3" s="160">
        <f>SUMIF(入出金予定表!$A$2:$A$2000,"売上入金",入出金予定表!H$2:H$2000)</f>
        <v>25729152</v>
      </c>
      <c r="H3" s="160">
        <f>SUMIF(入出金予定表!$A$2:$A$2000,"売上入金",入出金予定表!I$2:I$2000)</f>
        <v>54558653</v>
      </c>
      <c r="I3" s="160">
        <f>SUMIF(入出金予定表!$A$2:$A$2000,"売上入金",入出金予定表!J$2:J$2000)</f>
        <v>51184381</v>
      </c>
      <c r="J3" s="160">
        <f>SUMIF(入出金予定表!$A$2:$A$2000,"売上入金",入出金予定表!K$2:K$2000)</f>
        <v>18835978</v>
      </c>
      <c r="K3" s="160">
        <f>SUMIF(入出金予定表!$A$2:$A$2000,"売上入金",入出金予定表!L$2:L$2000)</f>
        <v>0</v>
      </c>
      <c r="L3" s="160">
        <f>SUMIF(入出金予定表!$A$2:$A$2000,"売上入金",入出金予定表!M$2:M$2000)</f>
        <v>0</v>
      </c>
      <c r="M3" s="160">
        <f>SUMIF(入出金予定表!$A$2:$A$2000,"売上入金",入出金予定表!N$2:N$2000)</f>
        <v>0</v>
      </c>
      <c r="N3" s="160">
        <f t="shared" ref="N3:N36" si="0">SUM(B3:M3)</f>
        <v>342080360</v>
      </c>
      <c r="O3" s="153" t="str">
        <f t="shared" ref="O3:O4" si="1">A3</f>
        <v>売上入金</v>
      </c>
      <c r="P3" s="160">
        <f>SUMIF(入出金予定表!$A$2:$A$2000,"売上入金",入出金予定表!O$2:O$2000)</f>
        <v>0</v>
      </c>
      <c r="Q3" s="160">
        <f>SUMIF(入出金予定表!$A$2:$A$2000,"売上入金",入出金予定表!P$2:P$2000)</f>
        <v>0</v>
      </c>
      <c r="R3" s="160">
        <f>SUMIF(入出金予定表!$A$2:$A$2000,"売上入金",入出金予定表!Q$2:Q$2000)</f>
        <v>0</v>
      </c>
      <c r="S3" s="160">
        <f>SUMIF(入出金予定表!$A$2:$A$2000,"売上入金",入出金予定表!R$2:R$2000)</f>
        <v>0</v>
      </c>
      <c r="T3" s="160">
        <f>SUMIF(入出金予定表!$A$2:$A$2000,"売上入金",入出金予定表!S$2:S$2000)</f>
        <v>0</v>
      </c>
      <c r="U3" s="160">
        <f>SUMIF(入出金予定表!$A$2:$A$2000,"売上入金",入出金予定表!T$2:T$2000)</f>
        <v>0</v>
      </c>
      <c r="V3" s="160">
        <f>SUMIF(入出金予定表!$A$2:$A$2000,"売上入金",入出金予定表!U$2:U$2000)</f>
        <v>0</v>
      </c>
      <c r="W3" s="160">
        <f>SUMIF(入出金予定表!$A$2:$A$2000,"売上入金",入出金予定表!V$2:V$2000)</f>
        <v>0</v>
      </c>
      <c r="X3" s="160">
        <f>SUMIF(入出金予定表!$A$2:$A$2000,"売上入金",入出金予定表!W$2:W$2000)</f>
        <v>0</v>
      </c>
      <c r="Y3" s="160">
        <f>SUMIF(入出金予定表!$A$2:$A$2000,"売上入金",入出金予定表!X$2:X$2000)</f>
        <v>0</v>
      </c>
      <c r="Z3" s="160">
        <f>SUMIF(入出金予定表!$A$2:$A$2000,"売上入金",入出金予定表!Y$2:Y$2000)</f>
        <v>0</v>
      </c>
      <c r="AA3" s="160">
        <f>SUMIF(入出金予定表!$A$2:$A$2000,"売上入金",入出金予定表!Z$2:Z$2000)</f>
        <v>0</v>
      </c>
      <c r="AB3" s="160">
        <f t="shared" ref="AB3:AB27" si="2">SUM(P3:AA3)</f>
        <v>0</v>
      </c>
      <c r="AC3" s="160" t="str">
        <f t="shared" ref="AC3:AC4" si="3">O3</f>
        <v>売上入金</v>
      </c>
      <c r="AD3" s="160">
        <f>SUMIF(入出金予定表!$A$2:$A$2000,"売上入金",入出金予定表!AA$2:AA$2000)</f>
        <v>0</v>
      </c>
      <c r="AE3" s="160">
        <f>SUMIF(入出金予定表!$A$2:$A$2000,"売上入金",入出金予定表!AB$2:AB$2000)</f>
        <v>0</v>
      </c>
      <c r="AF3" s="160">
        <f>SUMIF(入出金予定表!$A$2:$A$2000,"売上入金",入出金予定表!AC$2:AC$2000)</f>
        <v>0</v>
      </c>
      <c r="AG3" s="160">
        <f>SUMIF(入出金予定表!$A$2:$A$2000,"売上入金",入出金予定表!AD$2:AD$2000)</f>
        <v>0</v>
      </c>
      <c r="AH3" s="160">
        <f>SUMIF(入出金予定表!$A$2:$A$2000,"売上入金",入出金予定表!AE$2:AE$2000)</f>
        <v>0</v>
      </c>
      <c r="AI3" s="160">
        <f>SUMIF(入出金予定表!$A$2:$A$2000,"売上入金",入出金予定表!AF$2:AF$2000)</f>
        <v>0</v>
      </c>
      <c r="AJ3" s="160">
        <f>SUMIF(入出金予定表!$A$2:$A$2000,"売上入金",入出金予定表!AG$2:AG$2000)</f>
        <v>0</v>
      </c>
      <c r="AK3" s="160">
        <f>SUMIF(入出金予定表!$A$2:$A$2000,"売上入金",入出金予定表!AH$2:AH$2000)</f>
        <v>0</v>
      </c>
      <c r="AL3" s="160">
        <f>SUMIF(入出金予定表!$A$2:$A$2000,"売上入金",入出金予定表!AI$2:AI$2000)</f>
        <v>0</v>
      </c>
      <c r="AM3" s="160">
        <f>SUMIF(入出金予定表!$A$2:$A$2000,"売上入金",入出金予定表!AJ$2:AJ$2000)</f>
        <v>0</v>
      </c>
      <c r="AN3" s="160">
        <f>SUMIF(入出金予定表!$A$2:$A$2000,"売上入金",入出金予定表!AK$2:AK$2000)</f>
        <v>0</v>
      </c>
      <c r="AO3" s="160">
        <f>SUMIF(入出金予定表!$A$2:$A$2000,"売上入金",入出金予定表!AL$2:AL$2000)</f>
        <v>0</v>
      </c>
      <c r="AP3" s="160">
        <f t="shared" ref="AP3:AP52" si="4">SUM(AD3:AO3)</f>
        <v>0</v>
      </c>
    </row>
    <row r="4" spans="1:42" ht="15">
      <c r="A4" s="170" t="str">
        <f>資金繰り実績表!A3</f>
        <v>その他経常収入</v>
      </c>
      <c r="B4" s="160">
        <f>SUMIF(入出金予定表!$A$2:$A$2000,"その他経常収入",入出金予定表!C$2:C$2000)</f>
        <v>169220</v>
      </c>
      <c r="C4" s="160">
        <f>SUMIF(入出金予定表!$A$2:$A$2000,"その他経常収入",入出金予定表!D$2:D$2000)</f>
        <v>488103</v>
      </c>
      <c r="D4" s="160">
        <f>SUMIF(入出金予定表!$A$2:$A$2000,"その他経常収入",入出金予定表!E$2:E$2000)</f>
        <v>341540</v>
      </c>
      <c r="E4" s="160">
        <f>SUMIF(入出金予定表!$A$2:$A$2000,"その他経常収入",入出金予定表!F$2:F$2000)</f>
        <v>283198</v>
      </c>
      <c r="F4" s="160">
        <f>SUMIF(入出金予定表!$A$2:$A$2000,"その他経常収入",入出金予定表!G$2:G$2000)</f>
        <v>394321</v>
      </c>
      <c r="G4" s="160">
        <f>SUMIF(入出金予定表!$A$2:$A$2000,"その他経常収入",入出金予定表!H$2:H$2000)</f>
        <v>2009209</v>
      </c>
      <c r="H4" s="160">
        <f>SUMIF(入出金予定表!$A$2:$A$2000,"その他経常収入",入出金予定表!I$2:I$2000)</f>
        <v>282433</v>
      </c>
      <c r="I4" s="160">
        <f>SUMIF(入出金予定表!$A$2:$A$2000,"その他経常収入",入出金予定表!J$2:J$2000)</f>
        <v>282868</v>
      </c>
      <c r="J4" s="160">
        <f>SUMIF(入出金予定表!$A$2:$A$2000,"その他経常収入",入出金予定表!K$2:K$2000)</f>
        <v>282653</v>
      </c>
      <c r="K4" s="160">
        <f>SUMIF(入出金予定表!$A$2:$A$2000,"その他経常収入",入出金予定表!L$2:L$2000)</f>
        <v>0</v>
      </c>
      <c r="L4" s="160">
        <f>SUMIF(入出金予定表!$A$2:$A$2000,"その他経常収入",入出金予定表!M$2:M$2000)</f>
        <v>0</v>
      </c>
      <c r="M4" s="160">
        <f>SUMIF(入出金予定表!$A$2:$A$2000,"その他経常収入",入出金予定表!N$2:N$2000)</f>
        <v>0</v>
      </c>
      <c r="N4" s="160">
        <f t="shared" si="0"/>
        <v>4533545</v>
      </c>
      <c r="O4" s="153" t="str">
        <f t="shared" si="1"/>
        <v>その他経常収入</v>
      </c>
      <c r="P4" s="160">
        <f>SUMIF(入出金予定表!$A$2:$A$2000,"その他経常収入",入出金予定表!O$2:O$2000)</f>
        <v>0</v>
      </c>
      <c r="Q4" s="160">
        <f>SUMIF(入出金予定表!$A$2:$A$2000,"その他経常収入",入出金予定表!P$2:P$2000)</f>
        <v>0</v>
      </c>
      <c r="R4" s="160">
        <f>SUMIF(入出金予定表!$A$2:$A$2000,"その他経常収入",入出金予定表!Q$2:Q$2000)</f>
        <v>0</v>
      </c>
      <c r="S4" s="160">
        <f>SUMIF(入出金予定表!$A$2:$A$2000,"その他経常収入",入出金予定表!R$2:R$2000)</f>
        <v>0</v>
      </c>
      <c r="T4" s="160">
        <f>SUMIF(入出金予定表!$A$2:$A$2000,"その他経常収入",入出金予定表!S$2:S$2000)</f>
        <v>0</v>
      </c>
      <c r="U4" s="160">
        <f>SUMIF(入出金予定表!$A$2:$A$2000,"その他経常収入",入出金予定表!T$2:T$2000)</f>
        <v>0</v>
      </c>
      <c r="V4" s="160">
        <f>SUMIF(入出金予定表!$A$2:$A$2000,"その他経常収入",入出金予定表!U$2:U$2000)</f>
        <v>0</v>
      </c>
      <c r="W4" s="160">
        <f>SUMIF(入出金予定表!$A$2:$A$2000,"その他経常収入",入出金予定表!V$2:V$2000)</f>
        <v>0</v>
      </c>
      <c r="X4" s="160">
        <f>SUMIF(入出金予定表!$A$2:$A$2000,"その他経常収入",入出金予定表!W$2:W$2000)</f>
        <v>0</v>
      </c>
      <c r="Y4" s="160">
        <f>SUMIF(入出金予定表!$A$2:$A$2000,"その他経常収入",入出金予定表!X$2:X$2000)</f>
        <v>0</v>
      </c>
      <c r="Z4" s="160">
        <f>SUMIF(入出金予定表!$A$2:$A$2000,"その他経常収入",入出金予定表!Y$2:Y$2000)</f>
        <v>0</v>
      </c>
      <c r="AA4" s="160">
        <f>SUMIF(入出金予定表!$A$2:$A$2000,"その他経常収入",入出金予定表!Z$2:Z$2000)</f>
        <v>0</v>
      </c>
      <c r="AB4" s="160">
        <f t="shared" si="2"/>
        <v>0</v>
      </c>
      <c r="AC4" s="160" t="str">
        <f t="shared" si="3"/>
        <v>その他経常収入</v>
      </c>
      <c r="AD4" s="160">
        <f>SUMIF(入出金予定表!$A$2:$A$2000,"その他経常収入",入出金予定表!AA$2:AA$2000)</f>
        <v>0</v>
      </c>
      <c r="AE4" s="160">
        <f>SUMIF(入出金予定表!$A$2:$A$2000,"その他経常収入",入出金予定表!AB$2:AB$2000)</f>
        <v>0</v>
      </c>
      <c r="AF4" s="160">
        <f>SUMIF(入出金予定表!$A$2:$A$2000,"その他経常収入",入出金予定表!AC$2:AC$2000)</f>
        <v>0</v>
      </c>
      <c r="AG4" s="160">
        <f>SUMIF(入出金予定表!$A$2:$A$2000,"その他経常収入",入出金予定表!AD$2:AD$2000)</f>
        <v>0</v>
      </c>
      <c r="AH4" s="160">
        <f>SUMIF(入出金予定表!$A$2:$A$2000,"その他経常収入",入出金予定表!AE$2:AE$2000)</f>
        <v>0</v>
      </c>
      <c r="AI4" s="160">
        <f>SUMIF(入出金予定表!$A$2:$A$2000,"その他経常収入",入出金予定表!AF$2:AF$2000)</f>
        <v>0</v>
      </c>
      <c r="AJ4" s="160">
        <f>SUMIF(入出金予定表!$A$2:$A$2000,"その他経常収入",入出金予定表!AG$2:AG$2000)</f>
        <v>0</v>
      </c>
      <c r="AK4" s="160">
        <f>SUMIF(入出金予定表!$A$2:$A$2000,"その他経常収入",入出金予定表!AH$2:AH$2000)</f>
        <v>0</v>
      </c>
      <c r="AL4" s="160">
        <f>SUMIF(入出金予定表!$A$2:$A$2000,"その他経常収入",入出金予定表!AI$2:AI$2000)</f>
        <v>0</v>
      </c>
      <c r="AM4" s="160">
        <f>SUMIF(入出金予定表!$A$2:$A$2000,"その他経常収入",入出金予定表!AJ$2:AJ$2000)</f>
        <v>0</v>
      </c>
      <c r="AN4" s="160">
        <f>SUMIF(入出金予定表!$A$2:$A$2000,"その他経常収入",入出金予定表!AK$2:AK$2000)</f>
        <v>0</v>
      </c>
      <c r="AO4" s="160">
        <f>SUMIF(入出金予定表!$A$2:$A$2000,"その他経常収入",入出金予定表!AL$2:AL$2000)</f>
        <v>0</v>
      </c>
      <c r="AP4" s="160">
        <f t="shared" si="4"/>
        <v>0</v>
      </c>
    </row>
    <row r="5" spans="1:42" ht="15">
      <c r="A5" s="180" t="s">
        <v>49</v>
      </c>
      <c r="B5" s="162">
        <f t="shared" ref="B5:M5" si="5">SUM(B3:B4)</f>
        <v>54566538</v>
      </c>
      <c r="C5" s="162">
        <f t="shared" si="5"/>
        <v>37121429</v>
      </c>
      <c r="D5" s="162">
        <f t="shared" si="5"/>
        <v>28005149</v>
      </c>
      <c r="E5" s="162">
        <f t="shared" si="5"/>
        <v>40981557</v>
      </c>
      <c r="F5" s="162">
        <f t="shared" si="5"/>
        <v>32773905</v>
      </c>
      <c r="G5" s="162">
        <f t="shared" si="5"/>
        <v>27738361</v>
      </c>
      <c r="H5" s="162">
        <f t="shared" si="5"/>
        <v>54841086</v>
      </c>
      <c r="I5" s="162">
        <f t="shared" si="5"/>
        <v>51467249</v>
      </c>
      <c r="J5" s="162">
        <f t="shared" si="5"/>
        <v>19118631</v>
      </c>
      <c r="K5" s="162">
        <f t="shared" si="5"/>
        <v>0</v>
      </c>
      <c r="L5" s="162">
        <f t="shared" si="5"/>
        <v>0</v>
      </c>
      <c r="M5" s="162">
        <f t="shared" si="5"/>
        <v>0</v>
      </c>
      <c r="N5" s="162">
        <f t="shared" si="0"/>
        <v>346613905</v>
      </c>
      <c r="O5" s="163" t="s">
        <v>49</v>
      </c>
      <c r="P5" s="162">
        <f t="shared" ref="P5:AA5" si="6">SUM(P3:P4)</f>
        <v>0</v>
      </c>
      <c r="Q5" s="162">
        <f t="shared" si="6"/>
        <v>0</v>
      </c>
      <c r="R5" s="162">
        <f t="shared" si="6"/>
        <v>0</v>
      </c>
      <c r="S5" s="162">
        <f t="shared" si="6"/>
        <v>0</v>
      </c>
      <c r="T5" s="162">
        <f t="shared" si="6"/>
        <v>0</v>
      </c>
      <c r="U5" s="162">
        <f t="shared" si="6"/>
        <v>0</v>
      </c>
      <c r="V5" s="162">
        <f t="shared" si="6"/>
        <v>0</v>
      </c>
      <c r="W5" s="162">
        <f t="shared" si="6"/>
        <v>0</v>
      </c>
      <c r="X5" s="162">
        <f t="shared" si="6"/>
        <v>0</v>
      </c>
      <c r="Y5" s="162">
        <f t="shared" si="6"/>
        <v>0</v>
      </c>
      <c r="Z5" s="162">
        <f t="shared" si="6"/>
        <v>0</v>
      </c>
      <c r="AA5" s="162">
        <f t="shared" si="6"/>
        <v>0</v>
      </c>
      <c r="AB5" s="162">
        <f t="shared" si="2"/>
        <v>0</v>
      </c>
      <c r="AC5" s="162" t="s">
        <v>49</v>
      </c>
      <c r="AD5" s="162">
        <f t="shared" ref="AD5:AO5" si="7">SUM(AD3:AD4)</f>
        <v>0</v>
      </c>
      <c r="AE5" s="162">
        <f t="shared" si="7"/>
        <v>0</v>
      </c>
      <c r="AF5" s="162">
        <f t="shared" si="7"/>
        <v>0</v>
      </c>
      <c r="AG5" s="162">
        <f t="shared" si="7"/>
        <v>0</v>
      </c>
      <c r="AH5" s="162">
        <f t="shared" si="7"/>
        <v>0</v>
      </c>
      <c r="AI5" s="162">
        <f t="shared" si="7"/>
        <v>0</v>
      </c>
      <c r="AJ5" s="162">
        <f t="shared" si="7"/>
        <v>0</v>
      </c>
      <c r="AK5" s="162">
        <f t="shared" si="7"/>
        <v>0</v>
      </c>
      <c r="AL5" s="162">
        <f t="shared" si="7"/>
        <v>0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4"/>
        <v>0</v>
      </c>
    </row>
    <row r="6" spans="1:42" ht="15">
      <c r="A6" s="170" t="str">
        <f>資金繰り実績表!A4</f>
        <v>仕入支払い</v>
      </c>
      <c r="B6" s="160">
        <f>SUMIF(入出金予定表!$A$2:$A$2000,"仕入支払い",入出金予定表!C$2:C$2000)</f>
        <v>47765346</v>
      </c>
      <c r="C6" s="160">
        <f>SUMIF(入出金予定表!$A$2:$A$2000,"仕入支払い",入出金予定表!D$2:D$2000)</f>
        <v>23771476</v>
      </c>
      <c r="D6" s="160">
        <f>SUMIF(入出金予定表!$A$2:$A$2000,"仕入支払い",入出金予定表!E$2:E$2000)</f>
        <v>17888831</v>
      </c>
      <c r="E6" s="160">
        <f>SUMIF(入出金予定表!$A$2:$A$2000,"仕入支払い",入出金予定表!F$2:F$2000)</f>
        <v>23481022</v>
      </c>
      <c r="F6" s="160">
        <f>SUMIF(入出金予定表!$A$2:$A$2000,"仕入支払い",入出金予定表!G$2:G$2000)</f>
        <v>22792525</v>
      </c>
      <c r="G6" s="160">
        <f>SUMIF(入出金予定表!$A$2:$A$2000,"仕入支払い",入出金予定表!H$2:H$2000)</f>
        <v>6318533</v>
      </c>
      <c r="H6" s="160">
        <f>SUMIF(入出金予定表!$A$2:$A$2000,"仕入支払い",入出金予定表!I$2:I$2000)</f>
        <v>28239252</v>
      </c>
      <c r="I6" s="160">
        <f>SUMIF(入出金予定表!$A$2:$A$2000,"仕入支払い",入出金予定表!J$2:J$2000)</f>
        <v>23680587</v>
      </c>
      <c r="J6" s="160">
        <f>SUMIF(入出金予定表!$A$2:$A$2000,"仕入支払い",入出金予定表!K$2:K$2000)</f>
        <v>21000375</v>
      </c>
      <c r="K6" s="160">
        <f>SUMIF(入出金予定表!$A$2:$A$2000,"仕入支払い",入出金予定表!L$2:L$2000)</f>
        <v>0</v>
      </c>
      <c r="L6" s="160">
        <f>SUMIF(入出金予定表!$A$2:$A$2000,"仕入支払い",入出金予定表!M$2:M$2000)</f>
        <v>0</v>
      </c>
      <c r="M6" s="160">
        <f>SUMIF(入出金予定表!$A$2:$A$2000,"仕入支払い",入出金予定表!N$2:N$2000)</f>
        <v>0</v>
      </c>
      <c r="N6" s="160">
        <f t="shared" si="0"/>
        <v>214937947</v>
      </c>
      <c r="O6" s="153" t="str">
        <f t="shared" ref="O6:O25" si="8">A6</f>
        <v>仕入支払い</v>
      </c>
      <c r="P6" s="160">
        <f>SUMIF(入出金予定表!$A$2:$A$2000,"仕入支払い",入出金予定表!O$2:O$2000)</f>
        <v>0</v>
      </c>
      <c r="Q6" s="160">
        <f>SUMIF(入出金予定表!$A$2:$A$2000,"仕入支払い",入出金予定表!P$2:P$2000)</f>
        <v>0</v>
      </c>
      <c r="R6" s="160">
        <f>SUMIF(入出金予定表!$A$2:$A$2000,"仕入支払い",入出金予定表!Q$2:Q$2000)</f>
        <v>0</v>
      </c>
      <c r="S6" s="160">
        <f>SUMIF(入出金予定表!$A$2:$A$2000,"仕入支払い",入出金予定表!R$2:R$2000)</f>
        <v>0</v>
      </c>
      <c r="T6" s="160">
        <f>SUMIF(入出金予定表!$A$2:$A$2000,"仕入支払い",入出金予定表!S$2:S$2000)</f>
        <v>0</v>
      </c>
      <c r="U6" s="160">
        <f>SUMIF(入出金予定表!$A$2:$A$2000,"仕入支払い",入出金予定表!T$2:T$2000)</f>
        <v>0</v>
      </c>
      <c r="V6" s="160">
        <f>SUMIF(入出金予定表!$A$2:$A$2000,"仕入支払い",入出金予定表!U$2:U$2000)</f>
        <v>0</v>
      </c>
      <c r="W6" s="160">
        <f>SUMIF(入出金予定表!$A$2:$A$2000,"仕入支払い",入出金予定表!V$2:V$2000)</f>
        <v>0</v>
      </c>
      <c r="X6" s="160">
        <f>SUMIF(入出金予定表!$A$2:$A$2000,"仕入支払い",入出金予定表!W$2:W$2000)</f>
        <v>0</v>
      </c>
      <c r="Y6" s="160">
        <f>SUMIF(入出金予定表!$A$2:$A$2000,"仕入支払い",入出金予定表!X$2:X$2000)</f>
        <v>0</v>
      </c>
      <c r="Z6" s="160">
        <f>SUMIF(入出金予定表!$A$2:$A$2000,"仕入支払い",入出金予定表!Y$2:Y$2000)</f>
        <v>0</v>
      </c>
      <c r="AA6" s="160">
        <f>SUMIF(入出金予定表!$A$2:$A$2000,"仕入支払い",入出金予定表!Z$2:Z$2000)</f>
        <v>0</v>
      </c>
      <c r="AB6" s="160">
        <f t="shared" si="2"/>
        <v>0</v>
      </c>
      <c r="AC6" s="160" t="str">
        <f t="shared" ref="AC6:AC25" si="9">O6</f>
        <v>仕入支払い</v>
      </c>
      <c r="AD6" s="160">
        <f>SUMIF(入出金予定表!$A$2:$A$2000,"仕入支払い",入出金予定表!AA$2:AA$2000)</f>
        <v>0</v>
      </c>
      <c r="AE6" s="160">
        <f>SUMIF(入出金予定表!$A$2:$A$2000,"仕入支払い",入出金予定表!AB$2:AB$2000)</f>
        <v>0</v>
      </c>
      <c r="AF6" s="160">
        <f>SUMIF(入出金予定表!$A$2:$A$2000,"仕入支払い",入出金予定表!AC$2:AC$2000)</f>
        <v>0</v>
      </c>
      <c r="AG6" s="160">
        <f>SUMIF(入出金予定表!$A$2:$A$2000,"仕入支払い",入出金予定表!AD$2:AD$2000)</f>
        <v>0</v>
      </c>
      <c r="AH6" s="160">
        <f>SUMIF(入出金予定表!$A$2:$A$2000,"仕入支払い",入出金予定表!AE$2:AE$2000)</f>
        <v>0</v>
      </c>
      <c r="AI6" s="160">
        <f>SUMIF(入出金予定表!$A$2:$A$2000,"仕入支払い",入出金予定表!AF$2:AF$2000)</f>
        <v>0</v>
      </c>
      <c r="AJ6" s="160">
        <f>SUMIF(入出金予定表!$A$2:$A$2000,"仕入支払い",入出金予定表!AG$2:AG$2000)</f>
        <v>0</v>
      </c>
      <c r="AK6" s="160">
        <f>SUMIF(入出金予定表!$A$2:$A$2000,"仕入支払い",入出金予定表!AH$2:AH$2000)</f>
        <v>0</v>
      </c>
      <c r="AL6" s="160">
        <f>SUMIF(入出金予定表!$A$2:$A$2000,"仕入支払い",入出金予定表!AI$2:AI$2000)</f>
        <v>0</v>
      </c>
      <c r="AM6" s="160">
        <f>SUMIF(入出金予定表!$A$2:$A$2000,"仕入支払い",入出金予定表!AJ$2:AJ$2000)</f>
        <v>0</v>
      </c>
      <c r="AN6" s="160">
        <f>SUMIF(入出金予定表!$A$2:$A$2000,"仕入支払い",入出金予定表!AK$2:AK$2000)</f>
        <v>0</v>
      </c>
      <c r="AO6" s="160">
        <f>SUMIF(入出金予定表!$A$2:$A$2000,"仕入支払い",入出金予定表!AL$2:AL$2000)</f>
        <v>0</v>
      </c>
      <c r="AP6" s="160">
        <f t="shared" si="4"/>
        <v>0</v>
      </c>
    </row>
    <row r="7" spans="1:42" ht="15">
      <c r="A7" s="170" t="str">
        <f>資金繰り実績表!A5</f>
        <v>外注費</v>
      </c>
      <c r="B7" s="160">
        <f>SUMIF(入出金予定表!$A$2:$A$2000,"外注費",入出金予定表!C$2:C$2000)</f>
        <v>3962380</v>
      </c>
      <c r="C7" s="160">
        <f>SUMIF(入出金予定表!$A$2:$A$2000,"外注費",入出金予定表!D$2:D$2000)</f>
        <v>5465980</v>
      </c>
      <c r="D7" s="160">
        <f>SUMIF(入出金予定表!$A$2:$A$2000,"外注費",入出金予定表!E$2:E$2000)</f>
        <v>3316614</v>
      </c>
      <c r="E7" s="160">
        <f>SUMIF(入出金予定表!$A$2:$A$2000,"外注費",入出金予定表!F$2:F$2000)</f>
        <v>2490000</v>
      </c>
      <c r="F7" s="160">
        <f>SUMIF(入出金予定表!$A$2:$A$2000,"外注費",入出金予定表!G$2:G$2000)</f>
        <v>4710426</v>
      </c>
      <c r="G7" s="160">
        <f>SUMIF(入出金予定表!$A$2:$A$2000,"外注費",入出金予定表!H$2:H$2000)</f>
        <v>27279202</v>
      </c>
      <c r="H7" s="160">
        <f>SUMIF(入出金予定表!$A$2:$A$2000,"外注費",入出金予定表!I$2:I$2000)</f>
        <v>6344902</v>
      </c>
      <c r="I7" s="160">
        <f>SUMIF(入出金予定表!$A$2:$A$2000,"外注費",入出金予定表!J$2:J$2000)</f>
        <v>3371348</v>
      </c>
      <c r="J7" s="160">
        <f>SUMIF(入出金予定表!$A$2:$A$2000,"外注費",入出金予定表!K$2:K$2000)</f>
        <v>165210</v>
      </c>
      <c r="K7" s="160">
        <f>SUMIF(入出金予定表!$A$2:$A$2000,"外注費",入出金予定表!L$2:L$2000)</f>
        <v>0</v>
      </c>
      <c r="L7" s="160">
        <f>SUMIF(入出金予定表!$A$2:$A$2000,"外注費",入出金予定表!M$2:M$2000)</f>
        <v>0</v>
      </c>
      <c r="M7" s="160">
        <f>SUMIF(入出金予定表!$A$2:$A$2000,"外注費",入出金予定表!N$2:N$2000)</f>
        <v>0</v>
      </c>
      <c r="N7" s="160">
        <f t="shared" si="0"/>
        <v>57106062</v>
      </c>
      <c r="O7" s="153" t="str">
        <f t="shared" si="8"/>
        <v>外注費</v>
      </c>
      <c r="P7" s="160">
        <f>SUMIF(入出金予定表!$A$2:$A$2000,"外注費",入出金予定表!O$2:O$2000)</f>
        <v>0</v>
      </c>
      <c r="Q7" s="160">
        <f>SUMIF(入出金予定表!$A$2:$A$2000,"外注費",入出金予定表!P$2:P$2000)</f>
        <v>0</v>
      </c>
      <c r="R7" s="160">
        <f>SUMIF(入出金予定表!$A$2:$A$2000,"外注費",入出金予定表!Q$2:Q$2000)</f>
        <v>0</v>
      </c>
      <c r="S7" s="160">
        <f>SUMIF(入出金予定表!$A$2:$A$2000,"外注費",入出金予定表!R$2:R$2000)</f>
        <v>0</v>
      </c>
      <c r="T7" s="160">
        <f>SUMIF(入出金予定表!$A$2:$A$2000,"外注費",入出金予定表!S$2:S$2000)</f>
        <v>0</v>
      </c>
      <c r="U7" s="160">
        <f>SUMIF(入出金予定表!$A$2:$A$2000,"外注費",入出金予定表!T$2:T$2000)</f>
        <v>0</v>
      </c>
      <c r="V7" s="160">
        <f>SUMIF(入出金予定表!$A$2:$A$2000,"外注費",入出金予定表!U$2:U$2000)</f>
        <v>0</v>
      </c>
      <c r="W7" s="160">
        <f>SUMIF(入出金予定表!$A$2:$A$2000,"外注費",入出金予定表!V$2:V$2000)</f>
        <v>0</v>
      </c>
      <c r="X7" s="160">
        <f>SUMIF(入出金予定表!$A$2:$A$2000,"外注費",入出金予定表!W$2:W$2000)</f>
        <v>0</v>
      </c>
      <c r="Y7" s="160">
        <f>SUMIF(入出金予定表!$A$2:$A$2000,"外注費",入出金予定表!X$2:X$2000)</f>
        <v>0</v>
      </c>
      <c r="Z7" s="160">
        <f>SUMIF(入出金予定表!$A$2:$A$2000,"外注費",入出金予定表!Y$2:Y$2000)</f>
        <v>0</v>
      </c>
      <c r="AA7" s="160">
        <f>SUMIF(入出金予定表!$A$2:$A$2000,"外注費",入出金予定表!Z$2:Z$2000)</f>
        <v>0</v>
      </c>
      <c r="AB7" s="160">
        <f t="shared" si="2"/>
        <v>0</v>
      </c>
      <c r="AC7" s="160" t="str">
        <f t="shared" si="9"/>
        <v>外注費</v>
      </c>
      <c r="AD7" s="160">
        <f>SUMIF(入出金予定表!$A$2:$A$2000,"外注費",入出金予定表!AA$2:AA$2000)</f>
        <v>0</v>
      </c>
      <c r="AE7" s="160">
        <f>SUMIF(入出金予定表!$A$2:$A$2000,"外注費",入出金予定表!AB$2:AB$2000)</f>
        <v>0</v>
      </c>
      <c r="AF7" s="160">
        <f>SUMIF(入出金予定表!$A$2:$A$2000,"外注費",入出金予定表!AC$2:AC$2000)</f>
        <v>0</v>
      </c>
      <c r="AG7" s="160">
        <f>SUMIF(入出金予定表!$A$2:$A$2000,"外注費",入出金予定表!AD$2:AD$2000)</f>
        <v>0</v>
      </c>
      <c r="AH7" s="160">
        <f>SUMIF(入出金予定表!$A$2:$A$2000,"外注費",入出金予定表!AE$2:AE$2000)</f>
        <v>0</v>
      </c>
      <c r="AI7" s="160">
        <f>SUMIF(入出金予定表!$A$2:$A$2000,"外注費",入出金予定表!AF$2:AF$2000)</f>
        <v>0</v>
      </c>
      <c r="AJ7" s="160">
        <f>SUMIF(入出金予定表!$A$2:$A$2000,"外注費",入出金予定表!AG$2:AG$2000)</f>
        <v>0</v>
      </c>
      <c r="AK7" s="160">
        <f>SUMIF(入出金予定表!$A$2:$A$2000,"外注費",入出金予定表!AH$2:AH$2000)</f>
        <v>0</v>
      </c>
      <c r="AL7" s="160">
        <f>SUMIF(入出金予定表!$A$2:$A$2000,"外注費",入出金予定表!AI$2:AI$2000)</f>
        <v>0</v>
      </c>
      <c r="AM7" s="160">
        <f>SUMIF(入出金予定表!$A$2:$A$2000,"外注費",入出金予定表!AJ$2:AJ$2000)</f>
        <v>0</v>
      </c>
      <c r="AN7" s="160">
        <f>SUMIF(入出金予定表!$A$2:$A$2000,"外注費",入出金予定表!AK$2:AK$2000)</f>
        <v>0</v>
      </c>
      <c r="AO7" s="160">
        <f>SUMIF(入出金予定表!$A$2:$A$2000,"外注費",入出金予定表!AL$2:AL$2000)</f>
        <v>0</v>
      </c>
      <c r="AP7" s="160">
        <f t="shared" si="4"/>
        <v>0</v>
      </c>
    </row>
    <row r="8" spans="1:42" ht="15">
      <c r="A8" s="170" t="str">
        <f>資金繰り実績表!A6</f>
        <v>給与・賞与</v>
      </c>
      <c r="B8" s="160">
        <f>SUMIF(入出金予定表!$A$2:$A$2000,"給与・賞与",入出金予定表!C$2:C$2000)</f>
        <v>1778257</v>
      </c>
      <c r="C8" s="160">
        <f>SUMIF(入出金予定表!$A$2:$A$2000,"給与・賞与",入出金予定表!D$2:D$2000)</f>
        <v>1752394</v>
      </c>
      <c r="D8" s="160">
        <f>SUMIF(入出金予定表!$A$2:$A$2000,"給与・賞与",入出金予定表!E$2:E$2000)</f>
        <v>2260053</v>
      </c>
      <c r="E8" s="160">
        <f>SUMIF(入出金予定表!$A$2:$A$2000,"給与・賞与",入出金予定表!F$2:F$2000)</f>
        <v>1756330</v>
      </c>
      <c r="F8" s="160">
        <f>SUMIF(入出金予定表!$A$2:$A$2000,"給与・賞与",入出金予定表!G$2:G$2000)</f>
        <v>1872813</v>
      </c>
      <c r="G8" s="160">
        <f>SUMIF(入出金予定表!$A$2:$A$2000,"給与・賞与",入出金予定表!H$2:H$2000)</f>
        <v>3035179</v>
      </c>
      <c r="H8" s="160">
        <f>SUMIF(入出金予定表!$A$2:$A$2000,"給与・賞与",入出金予定表!I$2:I$2000)</f>
        <v>1628672</v>
      </c>
      <c r="I8" s="160">
        <f>SUMIF(入出金予定表!$A$2:$A$2000,"給与・賞与",入出金予定表!J$2:J$2000)</f>
        <v>1671365</v>
      </c>
      <c r="J8" s="160">
        <f>SUMIF(入出金予定表!$A$2:$A$2000,"給与・賞与",入出金予定表!K$2:K$2000)</f>
        <v>1586132</v>
      </c>
      <c r="K8" s="160">
        <f>SUMIF(入出金予定表!$A$2:$A$2000,"給与・賞与",入出金予定表!L$2:L$2000)</f>
        <v>0</v>
      </c>
      <c r="L8" s="160">
        <f>SUMIF(入出金予定表!$A$2:$A$2000,"給与・賞与",入出金予定表!M$2:M$2000)</f>
        <v>0</v>
      </c>
      <c r="M8" s="160">
        <f>SUMIF(入出金予定表!$A$2:$A$2000,"給与・賞与",入出金予定表!N$2:N$2000)</f>
        <v>0</v>
      </c>
      <c r="N8" s="160">
        <f t="shared" si="0"/>
        <v>17341195</v>
      </c>
      <c r="O8" s="153" t="str">
        <f t="shared" si="8"/>
        <v>給与・賞与</v>
      </c>
      <c r="P8" s="160">
        <f>SUMIF(入出金予定表!$A$2:$A$2000,"給与・賞与",入出金予定表!O$2:O$2000)</f>
        <v>0</v>
      </c>
      <c r="Q8" s="160">
        <f>SUMIF(入出金予定表!$A$2:$A$2000,"給与・賞与",入出金予定表!P$2:P$2000)</f>
        <v>0</v>
      </c>
      <c r="R8" s="160">
        <f>SUMIF(入出金予定表!$A$2:$A$2000,"給与・賞与",入出金予定表!Q$2:Q$2000)</f>
        <v>0</v>
      </c>
      <c r="S8" s="160">
        <f>SUMIF(入出金予定表!$A$2:$A$2000,"給与・賞与",入出金予定表!R$2:R$2000)</f>
        <v>0</v>
      </c>
      <c r="T8" s="160">
        <f>SUMIF(入出金予定表!$A$2:$A$2000,"給与・賞与",入出金予定表!S$2:S$2000)</f>
        <v>0</v>
      </c>
      <c r="U8" s="160">
        <f>SUMIF(入出金予定表!$A$2:$A$2000,"給与・賞与",入出金予定表!T$2:T$2000)</f>
        <v>0</v>
      </c>
      <c r="V8" s="160">
        <f>SUMIF(入出金予定表!$A$2:$A$2000,"給与・賞与",入出金予定表!U$2:U$2000)</f>
        <v>0</v>
      </c>
      <c r="W8" s="160">
        <f>SUMIF(入出金予定表!$A$2:$A$2000,"給与・賞与",入出金予定表!V$2:V$2000)</f>
        <v>0</v>
      </c>
      <c r="X8" s="160">
        <f>SUMIF(入出金予定表!$A$2:$A$2000,"給与・賞与",入出金予定表!W$2:W$2000)</f>
        <v>0</v>
      </c>
      <c r="Y8" s="160">
        <f>SUMIF(入出金予定表!$A$2:$A$2000,"給与・賞与",入出金予定表!X$2:X$2000)</f>
        <v>0</v>
      </c>
      <c r="Z8" s="160">
        <f>SUMIF(入出金予定表!$A$2:$A$2000,"給与・賞与",入出金予定表!Y$2:Y$2000)</f>
        <v>0</v>
      </c>
      <c r="AA8" s="160">
        <f>SUMIF(入出金予定表!$A$2:$A$2000,"給与・賞与",入出金予定表!Z$2:Z$2000)</f>
        <v>0</v>
      </c>
      <c r="AB8" s="160">
        <f t="shared" si="2"/>
        <v>0</v>
      </c>
      <c r="AC8" s="160" t="str">
        <f t="shared" si="9"/>
        <v>給与・賞与</v>
      </c>
      <c r="AD8" s="160">
        <f>SUMIF(入出金予定表!$A$2:$A$2000,"給与・賞与",入出金予定表!AA$2:AA$2000)</f>
        <v>0</v>
      </c>
      <c r="AE8" s="160">
        <f>SUMIF(入出金予定表!$A$2:$A$2000,"給与・賞与",入出金予定表!AB$2:AB$2000)</f>
        <v>0</v>
      </c>
      <c r="AF8" s="160">
        <f>SUMIF(入出金予定表!$A$2:$A$2000,"給与・賞与",入出金予定表!AC$2:AC$2000)</f>
        <v>0</v>
      </c>
      <c r="AG8" s="160">
        <f>SUMIF(入出金予定表!$A$2:$A$2000,"給与・賞与",入出金予定表!AD$2:AD$2000)</f>
        <v>0</v>
      </c>
      <c r="AH8" s="160">
        <f>SUMIF(入出金予定表!$A$2:$A$2000,"給与・賞与",入出金予定表!AE$2:AE$2000)</f>
        <v>0</v>
      </c>
      <c r="AI8" s="160">
        <f>SUMIF(入出金予定表!$A$2:$A$2000,"給与・賞与",入出金予定表!AF$2:AF$2000)</f>
        <v>0</v>
      </c>
      <c r="AJ8" s="160">
        <f>SUMIF(入出金予定表!$A$2:$A$2000,"給与・賞与",入出金予定表!AG$2:AG$2000)</f>
        <v>0</v>
      </c>
      <c r="AK8" s="160">
        <f>SUMIF(入出金予定表!$A$2:$A$2000,"給与・賞与",入出金予定表!AH$2:AH$2000)</f>
        <v>0</v>
      </c>
      <c r="AL8" s="160">
        <f>SUMIF(入出金予定表!$A$2:$A$2000,"給与・賞与",入出金予定表!AI$2:AI$2000)</f>
        <v>0</v>
      </c>
      <c r="AM8" s="160">
        <f>SUMIF(入出金予定表!$A$2:$A$2000,"給与・賞与",入出金予定表!AJ$2:AJ$2000)</f>
        <v>0</v>
      </c>
      <c r="AN8" s="160">
        <f>SUMIF(入出金予定表!$A$2:$A$2000,"給与・賞与",入出金予定表!AK$2:AK$2000)</f>
        <v>0</v>
      </c>
      <c r="AO8" s="160">
        <f>SUMIF(入出金予定表!$A$2:$A$2000,"給与・賞与",入出金予定表!AL$2:AL$2000)</f>
        <v>0</v>
      </c>
      <c r="AP8" s="160">
        <f t="shared" si="4"/>
        <v>0</v>
      </c>
    </row>
    <row r="9" spans="1:42" ht="15">
      <c r="A9" s="170" t="str">
        <f>資金繰り実績表!A7</f>
        <v>社会保険料・源泉所得税・住民税</v>
      </c>
      <c r="B9" s="160">
        <f>SUMIF(入出金予定表!$A$2:$A$2000,"社会保険料・源泉所得税・住民税",入出金予定表!C$2:C$2000)</f>
        <v>577203</v>
      </c>
      <c r="C9" s="160">
        <f>SUMIF(入出金予定表!$A$2:$A$2000,"社会保険料・源泉所得税・住民税",入出金予定表!D$2:D$2000)</f>
        <v>0</v>
      </c>
      <c r="D9" s="160">
        <f>SUMIF(入出金予定表!$A$2:$A$2000,"社会保険料・源泉所得税・住民税",入出金予定表!E$2:E$2000)</f>
        <v>1154406</v>
      </c>
      <c r="E9" s="160">
        <f>SUMIF(入出金予定表!$A$2:$A$2000,"社会保険料・源泉所得税・住民税",入出金予定表!F$2:F$2000)</f>
        <v>878810</v>
      </c>
      <c r="F9" s="160">
        <f>SUMIF(入出金予定表!$A$2:$A$2000,"社会保険料・源泉所得税・住民税",入出金予定表!G$2:G$2000)</f>
        <v>0</v>
      </c>
      <c r="G9" s="160">
        <f>SUMIF(入出金予定表!$A$2:$A$2000,"社会保険料・源泉所得税・住民税",入出金予定表!H$2:H$2000)</f>
        <v>567978</v>
      </c>
      <c r="H9" s="160">
        <f>SUMIF(入出金予定表!$A$2:$A$2000,"社会保険料・源泉所得税・住民税",入出金予定表!I$2:I$2000)</f>
        <v>694225</v>
      </c>
      <c r="I9" s="160">
        <f>SUMIF(入出金予定表!$A$2:$A$2000,"社会保険料・源泉所得税・住民税",入出金予定表!J$2:J$2000)</f>
        <v>1193098</v>
      </c>
      <c r="J9" s="160">
        <f>SUMIF(入出金予定表!$A$2:$A$2000,"社会保険料・源泉所得税・住民税",入出金予定表!K$2:K$2000)</f>
        <v>1135956</v>
      </c>
      <c r="K9" s="160">
        <f>SUMIF(入出金予定表!$A$2:$A$2000,"社会保険料・源泉所得税・住民税",入出金予定表!L$2:L$2000)</f>
        <v>0</v>
      </c>
      <c r="L9" s="160">
        <f>SUMIF(入出金予定表!$A$2:$A$2000,"社会保険料・源泉所得税・住民税",入出金予定表!M$2:M$2000)</f>
        <v>0</v>
      </c>
      <c r="M9" s="160">
        <f>SUMIF(入出金予定表!$A$2:$A$2000,"社会保険料・源泉所得税・住民税",入出金予定表!N$2:N$2000)</f>
        <v>0</v>
      </c>
      <c r="N9" s="160">
        <f t="shared" si="0"/>
        <v>6201676</v>
      </c>
      <c r="O9" s="153" t="str">
        <f t="shared" si="8"/>
        <v>社会保険料・源泉所得税・住民税</v>
      </c>
      <c r="P9" s="160">
        <f>SUMIF(入出金予定表!$A$2:$A$2000,"社会保険料・源泉所得税・住民税",入出金予定表!O$2:O$2000)</f>
        <v>0</v>
      </c>
      <c r="Q9" s="160">
        <f>SUMIF(入出金予定表!$A$2:$A$2000,"社会保険料・源泉所得税・住民税",入出金予定表!P$2:P$2000)</f>
        <v>0</v>
      </c>
      <c r="R9" s="160">
        <f>SUMIF(入出金予定表!$A$2:$A$2000,"社会保険料・源泉所得税・住民税",入出金予定表!Q$2:Q$2000)</f>
        <v>0</v>
      </c>
      <c r="S9" s="160">
        <f>SUMIF(入出金予定表!$A$2:$A$2000,"社会保険料・源泉所得税・住民税",入出金予定表!R$2:R$2000)</f>
        <v>0</v>
      </c>
      <c r="T9" s="160">
        <f>SUMIF(入出金予定表!$A$2:$A$2000,"社会保険料・源泉所得税・住民税",入出金予定表!S$2:S$2000)</f>
        <v>0</v>
      </c>
      <c r="U9" s="160">
        <f>SUMIF(入出金予定表!$A$2:$A$2000,"社会保険料・源泉所得税・住民税",入出金予定表!T$2:T$2000)</f>
        <v>0</v>
      </c>
      <c r="V9" s="160">
        <f>SUMIF(入出金予定表!$A$2:$A$2000,"社会保険料・源泉所得税・住民税",入出金予定表!U$2:U$2000)</f>
        <v>0</v>
      </c>
      <c r="W9" s="160">
        <f>SUMIF(入出金予定表!$A$2:$A$2000,"社会保険料・源泉所得税・住民税",入出金予定表!V$2:V$2000)</f>
        <v>0</v>
      </c>
      <c r="X9" s="160">
        <f>SUMIF(入出金予定表!$A$2:$A$2000,"社会保険料・源泉所得税・住民税",入出金予定表!W$2:W$2000)</f>
        <v>0</v>
      </c>
      <c r="Y9" s="160">
        <f>SUMIF(入出金予定表!$A$2:$A$2000,"社会保険料・源泉所得税・住民税",入出金予定表!X$2:X$2000)</f>
        <v>0</v>
      </c>
      <c r="Z9" s="160">
        <f>SUMIF(入出金予定表!$A$2:$A$2000,"社会保険料・源泉所得税・住民税",入出金予定表!Y$2:Y$2000)</f>
        <v>0</v>
      </c>
      <c r="AA9" s="160">
        <f>SUMIF(入出金予定表!$A$2:$A$2000,"社会保険料・源泉所得税・住民税",入出金予定表!Z$2:Z$2000)</f>
        <v>0</v>
      </c>
      <c r="AB9" s="160">
        <f t="shared" si="2"/>
        <v>0</v>
      </c>
      <c r="AC9" s="160" t="str">
        <f t="shared" si="9"/>
        <v>社会保険料・源泉所得税・住民税</v>
      </c>
      <c r="AD9" s="160">
        <f>SUMIF(入出金予定表!$A$2:$A$2000,"社会保険料・源泉所得税・住民税",入出金予定表!AA$2:AA$2000)</f>
        <v>0</v>
      </c>
      <c r="AE9" s="160">
        <f>SUMIF(入出金予定表!$A$2:$A$2000,"社会保険料・源泉所得税・住民税",入出金予定表!AB$2:AB$2000)</f>
        <v>0</v>
      </c>
      <c r="AF9" s="160">
        <f>SUMIF(入出金予定表!$A$2:$A$2000,"社会保険料・源泉所得税・住民税",入出金予定表!AC$2:AC$2000)</f>
        <v>0</v>
      </c>
      <c r="AG9" s="160">
        <f>SUMIF(入出金予定表!$A$2:$A$2000,"社会保険料・源泉所得税・住民税",入出金予定表!AD$2:AD$2000)</f>
        <v>0</v>
      </c>
      <c r="AH9" s="160">
        <f>SUMIF(入出金予定表!$A$2:$A$2000,"社会保険料・源泉所得税・住民税",入出金予定表!AE$2:AE$2000)</f>
        <v>0</v>
      </c>
      <c r="AI9" s="160">
        <f>SUMIF(入出金予定表!$A$2:$A$2000,"社会保険料・源泉所得税・住民税",入出金予定表!AF$2:AF$2000)</f>
        <v>0</v>
      </c>
      <c r="AJ9" s="160">
        <f>SUMIF(入出金予定表!$A$2:$A$2000,"社会保険料・源泉所得税・住民税",入出金予定表!AG$2:AG$2000)</f>
        <v>0</v>
      </c>
      <c r="AK9" s="160">
        <f>SUMIF(入出金予定表!$A$2:$A$2000,"社会保険料・源泉所得税・住民税",入出金予定表!AH$2:AH$2000)</f>
        <v>0</v>
      </c>
      <c r="AL9" s="160">
        <f>SUMIF(入出金予定表!$A$2:$A$2000,"社会保険料・源泉所得税・住民税",入出金予定表!AI$2:AI$2000)</f>
        <v>0</v>
      </c>
      <c r="AM9" s="160">
        <f>SUMIF(入出金予定表!$A$2:$A$2000,"社会保険料・源泉所得税・住民税",入出金予定表!AJ$2:AJ$2000)</f>
        <v>0</v>
      </c>
      <c r="AN9" s="160">
        <f>SUMIF(入出金予定表!$A$2:$A$2000,"社会保険料・源泉所得税・住民税",入出金予定表!AK$2:AK$2000)</f>
        <v>0</v>
      </c>
      <c r="AO9" s="160">
        <f>SUMIF(入出金予定表!$A$2:$A$2000,"社会保険料・源泉所得税・住民税",入出金予定表!AL$2:AL$2000)</f>
        <v>0</v>
      </c>
      <c r="AP9" s="160">
        <f t="shared" si="4"/>
        <v>0</v>
      </c>
    </row>
    <row r="10" spans="1:42" ht="15">
      <c r="A10" s="170" t="str">
        <f>資金繰り実績表!A8</f>
        <v>広告宣伝費・販売費</v>
      </c>
      <c r="B10" s="160">
        <f>SUMIF(入出金予定表!$A$2:$A$2000,"広告宣伝費・販売費",入出金予定表!C$2:C$2000)</f>
        <v>127446</v>
      </c>
      <c r="C10" s="160">
        <f>SUMIF(入出金予定表!$A$2:$A$2000,"広告宣伝費・販売費",入出金予定表!D$2:D$2000)</f>
        <v>0</v>
      </c>
      <c r="D10" s="160">
        <f>SUMIF(入出金予定表!$A$2:$A$2000,"広告宣伝費・販売費",入出金予定表!E$2:E$2000)</f>
        <v>409420</v>
      </c>
      <c r="E10" s="160">
        <f>SUMIF(入出金予定表!$A$2:$A$2000,"広告宣伝費・販売費",入出金予定表!F$2:F$2000)</f>
        <v>0</v>
      </c>
      <c r="F10" s="160">
        <f>SUMIF(入出金予定表!$A$2:$A$2000,"広告宣伝費・販売費",入出金予定表!G$2:G$2000)</f>
        <v>209550</v>
      </c>
      <c r="G10" s="160">
        <f>SUMIF(入出金予定表!$A$2:$A$2000,"広告宣伝費・販売費",入出金予定表!H$2:H$2000)</f>
        <v>171285</v>
      </c>
      <c r="H10" s="160">
        <f>SUMIF(入出金予定表!$A$2:$A$2000,"広告宣伝費・販売費",入出金予定表!I$2:I$2000)</f>
        <v>77000</v>
      </c>
      <c r="I10" s="160">
        <f>SUMIF(入出金予定表!$A$2:$A$2000,"広告宣伝費・販売費",入出金予定表!J$2:J$2000)</f>
        <v>235300</v>
      </c>
      <c r="J10" s="160">
        <f>SUMIF(入出金予定表!$A$2:$A$2000,"広告宣伝費・販売費",入出金予定表!K$2:K$2000)</f>
        <v>77000</v>
      </c>
      <c r="K10" s="160">
        <f>SUMIF(入出金予定表!$A$2:$A$2000,"広告宣伝費・販売費",入出金予定表!L$2:L$2000)</f>
        <v>0</v>
      </c>
      <c r="L10" s="160">
        <f>SUMIF(入出金予定表!$A$2:$A$2000,"広告宣伝費・販売費",入出金予定表!M$2:M$2000)</f>
        <v>0</v>
      </c>
      <c r="M10" s="160">
        <f>SUMIF(入出金予定表!$A$2:$A$2000,"広告宣伝費・販売費",入出金予定表!N$2:N$2000)</f>
        <v>0</v>
      </c>
      <c r="N10" s="160">
        <f t="shared" si="0"/>
        <v>1307001</v>
      </c>
      <c r="O10" s="153" t="str">
        <f t="shared" si="8"/>
        <v>広告宣伝費・販売費</v>
      </c>
      <c r="P10" s="160">
        <f>SUMIF(入出金予定表!$A$2:$A$2000,"広告宣伝費・販売費",入出金予定表!O$2:O$2000)</f>
        <v>0</v>
      </c>
      <c r="Q10" s="160">
        <f>SUMIF(入出金予定表!$A$2:$A$2000,"広告宣伝費・販売費",入出金予定表!P$2:P$2000)</f>
        <v>0</v>
      </c>
      <c r="R10" s="160">
        <f>SUMIF(入出金予定表!$A$2:$A$2000,"広告宣伝費・販売費",入出金予定表!Q$2:Q$2000)</f>
        <v>0</v>
      </c>
      <c r="S10" s="160">
        <f>SUMIF(入出金予定表!$A$2:$A$2000,"広告宣伝費・販売費",入出金予定表!R$2:R$2000)</f>
        <v>0</v>
      </c>
      <c r="T10" s="160">
        <f>SUMIF(入出金予定表!$A$2:$A$2000,"広告宣伝費・販売費",入出金予定表!S$2:S$2000)</f>
        <v>0</v>
      </c>
      <c r="U10" s="160">
        <f>SUMIF(入出金予定表!$A$2:$A$2000,"広告宣伝費・販売費",入出金予定表!T$2:T$2000)</f>
        <v>0</v>
      </c>
      <c r="V10" s="160">
        <f>SUMIF(入出金予定表!$A$2:$A$2000,"広告宣伝費・販売費",入出金予定表!U$2:U$2000)</f>
        <v>0</v>
      </c>
      <c r="W10" s="160">
        <f>SUMIF(入出金予定表!$A$2:$A$2000,"広告宣伝費・販売費",入出金予定表!V$2:V$2000)</f>
        <v>0</v>
      </c>
      <c r="X10" s="160">
        <f>SUMIF(入出金予定表!$A$2:$A$2000,"広告宣伝費・販売費",入出金予定表!W$2:W$2000)</f>
        <v>0</v>
      </c>
      <c r="Y10" s="160">
        <f>SUMIF(入出金予定表!$A$2:$A$2000,"広告宣伝費・販売費",入出金予定表!X$2:X$2000)</f>
        <v>0</v>
      </c>
      <c r="Z10" s="160">
        <f>SUMIF(入出金予定表!$A$2:$A$2000,"広告宣伝費・販売費",入出金予定表!Y$2:Y$2000)</f>
        <v>0</v>
      </c>
      <c r="AA10" s="160">
        <f>SUMIF(入出金予定表!$A$2:$A$2000,"広告宣伝費・販売費",入出金予定表!Z$2:Z$2000)</f>
        <v>0</v>
      </c>
      <c r="AB10" s="160">
        <f t="shared" si="2"/>
        <v>0</v>
      </c>
      <c r="AC10" s="160" t="str">
        <f t="shared" si="9"/>
        <v>広告宣伝費・販売費</v>
      </c>
      <c r="AD10" s="160">
        <f>SUMIF(入出金予定表!$A$2:$A$2000,"広告宣伝費・販売費",入出金予定表!AA$2:AA$2000)</f>
        <v>0</v>
      </c>
      <c r="AE10" s="160">
        <f>SUMIF(入出金予定表!$A$2:$A$2000,"広告宣伝費・販売費",入出金予定表!AB$2:AB$2000)</f>
        <v>0</v>
      </c>
      <c r="AF10" s="160">
        <f>SUMIF(入出金予定表!$A$2:$A$2000,"広告宣伝費・販売費",入出金予定表!AC$2:AC$2000)</f>
        <v>0</v>
      </c>
      <c r="AG10" s="160">
        <f>SUMIF(入出金予定表!$A$2:$A$2000,"広告宣伝費・販売費",入出金予定表!AD$2:AD$2000)</f>
        <v>0</v>
      </c>
      <c r="AH10" s="160">
        <f>SUMIF(入出金予定表!$A$2:$A$2000,"広告宣伝費・販売費",入出金予定表!AE$2:AE$2000)</f>
        <v>0</v>
      </c>
      <c r="AI10" s="160">
        <f>SUMIF(入出金予定表!$A$2:$A$2000,"広告宣伝費・販売費",入出金予定表!AF$2:AF$2000)</f>
        <v>0</v>
      </c>
      <c r="AJ10" s="160">
        <f>SUMIF(入出金予定表!$A$2:$A$2000,"広告宣伝費・販売費",入出金予定表!AG$2:AG$2000)</f>
        <v>0</v>
      </c>
      <c r="AK10" s="160">
        <f>SUMIF(入出金予定表!$A$2:$A$2000,"広告宣伝費・販売費",入出金予定表!AH$2:AH$2000)</f>
        <v>0</v>
      </c>
      <c r="AL10" s="160">
        <f>SUMIF(入出金予定表!$A$2:$A$2000,"広告宣伝費・販売費",入出金予定表!AI$2:AI$2000)</f>
        <v>0</v>
      </c>
      <c r="AM10" s="160">
        <f>SUMIF(入出金予定表!$A$2:$A$2000,"広告宣伝費・販売費",入出金予定表!AJ$2:AJ$2000)</f>
        <v>0</v>
      </c>
      <c r="AN10" s="160">
        <f>SUMIF(入出金予定表!$A$2:$A$2000,"広告宣伝費・販売費",入出金予定表!AK$2:AK$2000)</f>
        <v>0</v>
      </c>
      <c r="AO10" s="160">
        <f>SUMIF(入出金予定表!$A$2:$A$2000,"広告宣伝費・販売費",入出金予定表!AL$2:AL$2000)</f>
        <v>0</v>
      </c>
      <c r="AP10" s="160">
        <f t="shared" si="4"/>
        <v>0</v>
      </c>
    </row>
    <row r="11" spans="1:42" ht="15">
      <c r="A11" s="170" t="str">
        <f>資金繰り実績表!A9</f>
        <v>交際費・福利厚生費</v>
      </c>
      <c r="B11" s="160">
        <f>SUMIF(入出金予定表!$A$2:$A$2000,"交際費・福利厚生費",入出金予定表!C$2:C$2000)</f>
        <v>5150</v>
      </c>
      <c r="C11" s="160">
        <f>SUMIF(入出金予定表!$A$2:$A$2000,"交際費・福利厚生費",入出金予定表!D$2:D$2000)</f>
        <v>5150</v>
      </c>
      <c r="D11" s="160">
        <f>SUMIF(入出金予定表!$A$2:$A$2000,"交際費・福利厚生費",入出金予定表!E$2:E$2000)</f>
        <v>5150</v>
      </c>
      <c r="E11" s="160">
        <f>SUMIF(入出金予定表!$A$2:$A$2000,"交際費・福利厚生費",入出金予定表!F$2:F$2000)</f>
        <v>5150</v>
      </c>
      <c r="F11" s="160">
        <f>SUMIF(入出金予定表!$A$2:$A$2000,"交際費・福利厚生費",入出金予定表!G$2:G$2000)</f>
        <v>5150</v>
      </c>
      <c r="G11" s="160">
        <f>SUMIF(入出金予定表!$A$2:$A$2000,"交際費・福利厚生費",入出金予定表!H$2:H$2000)</f>
        <v>150113</v>
      </c>
      <c r="H11" s="160">
        <f>SUMIF(入出金予定表!$A$2:$A$2000,"交際費・福利厚生費",入出金予定表!I$2:I$2000)</f>
        <v>5150</v>
      </c>
      <c r="I11" s="160">
        <f>SUMIF(入出金予定表!$A$2:$A$2000,"交際費・福利厚生費",入出金予定表!J$2:J$2000)</f>
        <v>5150</v>
      </c>
      <c r="J11" s="160">
        <f>SUMIF(入出金予定表!$A$2:$A$2000,"交際費・福利厚生費",入出金予定表!K$2:K$2000)</f>
        <v>5150</v>
      </c>
      <c r="K11" s="160">
        <f>SUMIF(入出金予定表!$A$2:$A$2000,"交際費・福利厚生費",入出金予定表!L$2:L$2000)</f>
        <v>0</v>
      </c>
      <c r="L11" s="160">
        <f>SUMIF(入出金予定表!$A$2:$A$2000,"交際費・福利厚生費",入出金予定表!M$2:M$2000)</f>
        <v>0</v>
      </c>
      <c r="M11" s="160">
        <f>SUMIF(入出金予定表!$A$2:$A$2000,"交際費・福利厚生費",入出金予定表!N$2:N$2000)</f>
        <v>0</v>
      </c>
      <c r="N11" s="160">
        <f t="shared" si="0"/>
        <v>191313</v>
      </c>
      <c r="O11" s="153" t="str">
        <f t="shared" si="8"/>
        <v>交際費・福利厚生費</v>
      </c>
      <c r="P11" s="160">
        <f>SUMIF(入出金予定表!$A$2:$A$2000,"交際費・福利厚生費",入出金予定表!O$2:O$2000)</f>
        <v>0</v>
      </c>
      <c r="Q11" s="160">
        <f>SUMIF(入出金予定表!$A$2:$A$2000,"交際費・福利厚生費",入出金予定表!P$2:P$2000)</f>
        <v>0</v>
      </c>
      <c r="R11" s="160">
        <f>SUMIF(入出金予定表!$A$2:$A$2000,"交際費・福利厚生費",入出金予定表!Q$2:Q$2000)</f>
        <v>0</v>
      </c>
      <c r="S11" s="160">
        <f>SUMIF(入出金予定表!$A$2:$A$2000,"交際費・福利厚生費",入出金予定表!R$2:R$2000)</f>
        <v>0</v>
      </c>
      <c r="T11" s="160">
        <f>SUMIF(入出金予定表!$A$2:$A$2000,"交際費・福利厚生費",入出金予定表!S$2:S$2000)</f>
        <v>0</v>
      </c>
      <c r="U11" s="160">
        <f>SUMIF(入出金予定表!$A$2:$A$2000,"交際費・福利厚生費",入出金予定表!T$2:T$2000)</f>
        <v>0</v>
      </c>
      <c r="V11" s="160">
        <f>SUMIF(入出金予定表!$A$2:$A$2000,"交際費・福利厚生費",入出金予定表!U$2:U$2000)</f>
        <v>0</v>
      </c>
      <c r="W11" s="160">
        <f>SUMIF(入出金予定表!$A$2:$A$2000,"交際費・福利厚生費",入出金予定表!V$2:V$2000)</f>
        <v>0</v>
      </c>
      <c r="X11" s="160">
        <f>SUMIF(入出金予定表!$A$2:$A$2000,"交際費・福利厚生費",入出金予定表!W$2:W$2000)</f>
        <v>0</v>
      </c>
      <c r="Y11" s="160">
        <f>SUMIF(入出金予定表!$A$2:$A$2000,"交際費・福利厚生費",入出金予定表!X$2:X$2000)</f>
        <v>0</v>
      </c>
      <c r="Z11" s="160">
        <f>SUMIF(入出金予定表!$A$2:$A$2000,"交際費・福利厚生費",入出金予定表!Y$2:Y$2000)</f>
        <v>0</v>
      </c>
      <c r="AA11" s="160">
        <f>SUMIF(入出金予定表!$A$2:$A$2000,"交際費・福利厚生費",入出金予定表!Z$2:Z$2000)</f>
        <v>0</v>
      </c>
      <c r="AB11" s="160">
        <f t="shared" si="2"/>
        <v>0</v>
      </c>
      <c r="AC11" s="160" t="str">
        <f t="shared" si="9"/>
        <v>交際費・福利厚生費</v>
      </c>
      <c r="AD11" s="160">
        <f>SUMIF(入出金予定表!$A$2:$A$2000,"交際費・福利厚生費",入出金予定表!AA$2:AA$2000)</f>
        <v>0</v>
      </c>
      <c r="AE11" s="160">
        <f>SUMIF(入出金予定表!$A$2:$A$2000,"交際費・福利厚生費",入出金予定表!AB$2:AB$2000)</f>
        <v>0</v>
      </c>
      <c r="AF11" s="160">
        <f>SUMIF(入出金予定表!$A$2:$A$2000,"交際費・福利厚生費",入出金予定表!AC$2:AC$2000)</f>
        <v>0</v>
      </c>
      <c r="AG11" s="160">
        <f>SUMIF(入出金予定表!$A$2:$A$2000,"交際費・福利厚生費",入出金予定表!AD$2:AD$2000)</f>
        <v>0</v>
      </c>
      <c r="AH11" s="160">
        <f>SUMIF(入出金予定表!$A$2:$A$2000,"交際費・福利厚生費",入出金予定表!AE$2:AE$2000)</f>
        <v>0</v>
      </c>
      <c r="AI11" s="160">
        <f>SUMIF(入出金予定表!$A$2:$A$2000,"交際費・福利厚生費",入出金予定表!AF$2:AF$2000)</f>
        <v>0</v>
      </c>
      <c r="AJ11" s="160">
        <f>SUMIF(入出金予定表!$A$2:$A$2000,"交際費・福利厚生費",入出金予定表!AG$2:AG$2000)</f>
        <v>0</v>
      </c>
      <c r="AK11" s="160">
        <f>SUMIF(入出金予定表!$A$2:$A$2000,"交際費・福利厚生費",入出金予定表!AH$2:AH$2000)</f>
        <v>0</v>
      </c>
      <c r="AL11" s="160">
        <f>SUMIF(入出金予定表!$A$2:$A$2000,"交際費・福利厚生費",入出金予定表!AI$2:AI$2000)</f>
        <v>0</v>
      </c>
      <c r="AM11" s="160">
        <f>SUMIF(入出金予定表!$A$2:$A$2000,"交際費・福利厚生費",入出金予定表!AJ$2:AJ$2000)</f>
        <v>0</v>
      </c>
      <c r="AN11" s="160">
        <f>SUMIF(入出金予定表!$A$2:$A$2000,"交際費・福利厚生費",入出金予定表!AK$2:AK$2000)</f>
        <v>0</v>
      </c>
      <c r="AO11" s="160">
        <f>SUMIF(入出金予定表!$A$2:$A$2000,"交際費・福利厚生費",入出金予定表!AL$2:AL$2000)</f>
        <v>0</v>
      </c>
      <c r="AP11" s="160">
        <f t="shared" si="4"/>
        <v>0</v>
      </c>
    </row>
    <row r="12" spans="1:42" ht="15">
      <c r="A12" s="170" t="str">
        <f>資金繰り実績表!A10</f>
        <v>旅費交通費・車両関連費</v>
      </c>
      <c r="B12" s="160">
        <f>SUMIF(入出金予定表!$A$2:$A$2000,"旅費交通費・車両関連費",入出金予定表!C$2:C$2000)</f>
        <v>36606</v>
      </c>
      <c r="C12" s="160">
        <f>SUMIF(入出金予定表!$A$2:$A$2000,"旅費交通費・車両関連費",入出金予定表!D$2:D$2000)</f>
        <v>61189</v>
      </c>
      <c r="D12" s="160">
        <f>SUMIF(入出金予定表!$A$2:$A$2000,"旅費交通費・車両関連費",入出金予定表!E$2:E$2000)</f>
        <v>38697</v>
      </c>
      <c r="E12" s="160">
        <f>SUMIF(入出金予定表!$A$2:$A$2000,"旅費交通費・車両関連費",入出金予定表!F$2:F$2000)</f>
        <v>37724</v>
      </c>
      <c r="F12" s="160">
        <f>SUMIF(入出金予定表!$A$2:$A$2000,"旅費交通費・車両関連費",入出金予定表!G$2:G$2000)</f>
        <v>36004</v>
      </c>
      <c r="G12" s="160">
        <f>SUMIF(入出金予定表!$A$2:$A$2000,"旅費交通費・車両関連費",入出金予定表!H$2:H$2000)</f>
        <v>38295</v>
      </c>
      <c r="H12" s="160">
        <f>SUMIF(入出金予定表!$A$2:$A$2000,"旅費交通費・車両関連費",入出金予定表!I$2:I$2000)</f>
        <v>37487</v>
      </c>
      <c r="I12" s="160">
        <f>SUMIF(入出金予定表!$A$2:$A$2000,"旅費交通費・車両関連費",入出金予定表!J$2:J$2000)</f>
        <v>43089</v>
      </c>
      <c r="J12" s="160">
        <f>SUMIF(入出金予定表!$A$2:$A$2000,"旅費交通費・車両関連費",入出金予定表!K$2:K$2000)</f>
        <v>35572</v>
      </c>
      <c r="K12" s="160">
        <f>SUMIF(入出金予定表!$A$2:$A$2000,"旅費交通費・車両関連費",入出金予定表!L$2:L$2000)</f>
        <v>0</v>
      </c>
      <c r="L12" s="160">
        <f>SUMIF(入出金予定表!$A$2:$A$2000,"旅費交通費・車両関連費",入出金予定表!M$2:M$2000)</f>
        <v>0</v>
      </c>
      <c r="M12" s="160">
        <f>SUMIF(入出金予定表!$A$2:$A$2000,"旅費交通費・車両関連費",入出金予定表!N$2:N$2000)</f>
        <v>0</v>
      </c>
      <c r="N12" s="160">
        <f t="shared" si="0"/>
        <v>364663</v>
      </c>
      <c r="O12" s="153" t="str">
        <f t="shared" si="8"/>
        <v>旅費交通費・車両関連費</v>
      </c>
      <c r="P12" s="160">
        <f>SUMIF(入出金予定表!$A$2:$A$2000,"旅費交通費・車両関連費",入出金予定表!O$2:O$2000)</f>
        <v>0</v>
      </c>
      <c r="Q12" s="160">
        <f>SUMIF(入出金予定表!$A$2:$A$2000,"旅費交通費・車両関連費",入出金予定表!P$2:P$2000)</f>
        <v>0</v>
      </c>
      <c r="R12" s="160">
        <f>SUMIF(入出金予定表!$A$2:$A$2000,"旅費交通費・車両関連費",入出金予定表!Q$2:Q$2000)</f>
        <v>0</v>
      </c>
      <c r="S12" s="160">
        <f>SUMIF(入出金予定表!$A$2:$A$2000,"旅費交通費・車両関連費",入出金予定表!R$2:R$2000)</f>
        <v>0</v>
      </c>
      <c r="T12" s="160">
        <f>SUMIF(入出金予定表!$A$2:$A$2000,"旅費交通費・車両関連費",入出金予定表!S$2:S$2000)</f>
        <v>0</v>
      </c>
      <c r="U12" s="160">
        <f>SUMIF(入出金予定表!$A$2:$A$2000,"旅費交通費・車両関連費",入出金予定表!T$2:T$2000)</f>
        <v>0</v>
      </c>
      <c r="V12" s="160">
        <f>SUMIF(入出金予定表!$A$2:$A$2000,"旅費交通費・車両関連費",入出金予定表!U$2:U$2000)</f>
        <v>0</v>
      </c>
      <c r="W12" s="160">
        <f>SUMIF(入出金予定表!$A$2:$A$2000,"旅費交通費・車両関連費",入出金予定表!V$2:V$2000)</f>
        <v>0</v>
      </c>
      <c r="X12" s="160">
        <f>SUMIF(入出金予定表!$A$2:$A$2000,"旅費交通費・車両関連費",入出金予定表!W$2:W$2000)</f>
        <v>0</v>
      </c>
      <c r="Y12" s="160">
        <f>SUMIF(入出金予定表!$A$2:$A$2000,"旅費交通費・車両関連費",入出金予定表!X$2:X$2000)</f>
        <v>0</v>
      </c>
      <c r="Z12" s="160">
        <f>SUMIF(入出金予定表!$A$2:$A$2000,"旅費交通費・車両関連費",入出金予定表!Y$2:Y$2000)</f>
        <v>0</v>
      </c>
      <c r="AA12" s="160">
        <f>SUMIF(入出金予定表!$A$2:$A$2000,"旅費交通費・車両関連費",入出金予定表!Z$2:Z$2000)</f>
        <v>0</v>
      </c>
      <c r="AB12" s="160">
        <f t="shared" si="2"/>
        <v>0</v>
      </c>
      <c r="AC12" s="160" t="str">
        <f t="shared" si="9"/>
        <v>旅費交通費・車両関連費</v>
      </c>
      <c r="AD12" s="160">
        <f>SUMIF(入出金予定表!$A$2:$A$2000,"旅費交通費・車両関連費",入出金予定表!AA$2:AA$2000)</f>
        <v>0</v>
      </c>
      <c r="AE12" s="160">
        <f>SUMIF(入出金予定表!$A$2:$A$2000,"旅費交通費・車両関連費",入出金予定表!AB$2:AB$2000)</f>
        <v>0</v>
      </c>
      <c r="AF12" s="160">
        <f>SUMIF(入出金予定表!$A$2:$A$2000,"旅費交通費・車両関連費",入出金予定表!AC$2:AC$2000)</f>
        <v>0</v>
      </c>
      <c r="AG12" s="160">
        <f>SUMIF(入出金予定表!$A$2:$A$2000,"旅費交通費・車両関連費",入出金予定表!AD$2:AD$2000)</f>
        <v>0</v>
      </c>
      <c r="AH12" s="160">
        <f>SUMIF(入出金予定表!$A$2:$A$2000,"旅費交通費・車両関連費",入出金予定表!AE$2:AE$2000)</f>
        <v>0</v>
      </c>
      <c r="AI12" s="160">
        <f>SUMIF(入出金予定表!$A$2:$A$2000,"旅費交通費・車両関連費",入出金予定表!AF$2:AF$2000)</f>
        <v>0</v>
      </c>
      <c r="AJ12" s="160">
        <f>SUMIF(入出金予定表!$A$2:$A$2000,"旅費交通費・車両関連費",入出金予定表!AG$2:AG$2000)</f>
        <v>0</v>
      </c>
      <c r="AK12" s="160">
        <f>SUMIF(入出金予定表!$A$2:$A$2000,"旅費交通費・車両関連費",入出金予定表!AH$2:AH$2000)</f>
        <v>0</v>
      </c>
      <c r="AL12" s="160">
        <f>SUMIF(入出金予定表!$A$2:$A$2000,"旅費交通費・車両関連費",入出金予定表!AI$2:AI$2000)</f>
        <v>0</v>
      </c>
      <c r="AM12" s="160">
        <f>SUMIF(入出金予定表!$A$2:$A$2000,"旅費交通費・車両関連費",入出金予定表!AJ$2:AJ$2000)</f>
        <v>0</v>
      </c>
      <c r="AN12" s="160">
        <f>SUMIF(入出金予定表!$A$2:$A$2000,"旅費交通費・車両関連費",入出金予定表!AK$2:AK$2000)</f>
        <v>0</v>
      </c>
      <c r="AO12" s="160">
        <f>SUMIF(入出金予定表!$A$2:$A$2000,"旅費交通費・車両関連費",入出金予定表!AL$2:AL$2000)</f>
        <v>0</v>
      </c>
      <c r="AP12" s="160">
        <f t="shared" si="4"/>
        <v>0</v>
      </c>
    </row>
    <row r="13" spans="1:42" ht="15">
      <c r="A13" s="170" t="str">
        <f>資金繰り実績表!A11</f>
        <v>地代家賃・水道光熱費</v>
      </c>
      <c r="B13" s="160">
        <f>SUMIF(入出金予定表!$A$2:$A$2000,"地代家賃・水道光熱費",入出金予定表!C$2:C$2000)</f>
        <v>0</v>
      </c>
      <c r="C13" s="160">
        <f>SUMIF(入出金予定表!$A$2:$A$2000,"地代家賃・水道光熱費",入出金予定表!D$2:D$2000)</f>
        <v>0</v>
      </c>
      <c r="D13" s="160">
        <f>SUMIF(入出金予定表!$A$2:$A$2000,"地代家賃・水道光熱費",入出金予定表!E$2:E$2000)</f>
        <v>0</v>
      </c>
      <c r="E13" s="160">
        <f>SUMIF(入出金予定表!$A$2:$A$2000,"地代家賃・水道光熱費",入出金予定表!F$2:F$2000)</f>
        <v>0</v>
      </c>
      <c r="F13" s="160">
        <f>SUMIF(入出金予定表!$A$2:$A$2000,"地代家賃・水道光熱費",入出金予定表!G$2:G$2000)</f>
        <v>0</v>
      </c>
      <c r="G13" s="160">
        <f>SUMIF(入出金予定表!$A$2:$A$2000,"地代家賃・水道光熱費",入出金予定表!H$2:H$2000)</f>
        <v>0</v>
      </c>
      <c r="H13" s="160">
        <f>SUMIF(入出金予定表!$A$2:$A$2000,"地代家賃・水道光熱費",入出金予定表!I$2:I$2000)</f>
        <v>0</v>
      </c>
      <c r="I13" s="160">
        <f>SUMIF(入出金予定表!$A$2:$A$2000,"地代家賃・水道光熱費",入出金予定表!J$2:J$2000)</f>
        <v>0</v>
      </c>
      <c r="J13" s="160">
        <f>SUMIF(入出金予定表!$A$2:$A$2000,"地代家賃・水道光熱費",入出金予定表!K$2:K$2000)</f>
        <v>0</v>
      </c>
      <c r="K13" s="160">
        <f>SUMIF(入出金予定表!$A$2:$A$2000,"地代家賃・水道光熱費",入出金予定表!L$2:L$2000)</f>
        <v>0</v>
      </c>
      <c r="L13" s="160">
        <f>SUMIF(入出金予定表!$A$2:$A$2000,"地代家賃・水道光熱費",入出金予定表!M$2:M$2000)</f>
        <v>0</v>
      </c>
      <c r="M13" s="160">
        <f>SUMIF(入出金予定表!$A$2:$A$2000,"地代家賃・水道光熱費",入出金予定表!N$2:N$2000)</f>
        <v>0</v>
      </c>
      <c r="N13" s="160">
        <f t="shared" si="0"/>
        <v>0</v>
      </c>
      <c r="O13" s="153" t="str">
        <f t="shared" si="8"/>
        <v>地代家賃・水道光熱費</v>
      </c>
      <c r="P13" s="160">
        <f>SUMIF(入出金予定表!$A$2:$A$2000,"地代家賃・水道光熱費",入出金予定表!O$2:O$2000)</f>
        <v>0</v>
      </c>
      <c r="Q13" s="160">
        <f>SUMIF(入出金予定表!$A$2:$A$2000,"地代家賃・水道光熱費",入出金予定表!P$2:P$2000)</f>
        <v>0</v>
      </c>
      <c r="R13" s="160">
        <f>SUMIF(入出金予定表!$A$2:$A$2000,"地代家賃・水道光熱費",入出金予定表!Q$2:Q$2000)</f>
        <v>0</v>
      </c>
      <c r="S13" s="160">
        <f>SUMIF(入出金予定表!$A$2:$A$2000,"地代家賃・水道光熱費",入出金予定表!R$2:R$2000)</f>
        <v>0</v>
      </c>
      <c r="T13" s="160">
        <f>SUMIF(入出金予定表!$A$2:$A$2000,"地代家賃・水道光熱費",入出金予定表!S$2:S$2000)</f>
        <v>0</v>
      </c>
      <c r="U13" s="160">
        <f>SUMIF(入出金予定表!$A$2:$A$2000,"地代家賃・水道光熱費",入出金予定表!T$2:T$2000)</f>
        <v>0</v>
      </c>
      <c r="V13" s="160">
        <f>SUMIF(入出金予定表!$A$2:$A$2000,"地代家賃・水道光熱費",入出金予定表!U$2:U$2000)</f>
        <v>0</v>
      </c>
      <c r="W13" s="160">
        <f>SUMIF(入出金予定表!$A$2:$A$2000,"地代家賃・水道光熱費",入出金予定表!V$2:V$2000)</f>
        <v>0</v>
      </c>
      <c r="X13" s="160">
        <f>SUMIF(入出金予定表!$A$2:$A$2000,"地代家賃・水道光熱費",入出金予定表!W$2:W$2000)</f>
        <v>0</v>
      </c>
      <c r="Y13" s="160">
        <f>SUMIF(入出金予定表!$A$2:$A$2000,"地代家賃・水道光熱費",入出金予定表!X$2:X$2000)</f>
        <v>0</v>
      </c>
      <c r="Z13" s="160">
        <f>SUMIF(入出金予定表!$A$2:$A$2000,"地代家賃・水道光熱費",入出金予定表!Y$2:Y$2000)</f>
        <v>0</v>
      </c>
      <c r="AA13" s="160">
        <f>SUMIF(入出金予定表!$A$2:$A$2000,"地代家賃・水道光熱費",入出金予定表!Z$2:Z$2000)</f>
        <v>0</v>
      </c>
      <c r="AB13" s="160">
        <f t="shared" si="2"/>
        <v>0</v>
      </c>
      <c r="AC13" s="160" t="str">
        <f t="shared" si="9"/>
        <v>地代家賃・水道光熱費</v>
      </c>
      <c r="AD13" s="160">
        <f>SUMIF(入出金予定表!$A$2:$A$2000,"地代家賃・水道光熱費",入出金予定表!AA$2:AA$2000)</f>
        <v>0</v>
      </c>
      <c r="AE13" s="160">
        <f>SUMIF(入出金予定表!$A$2:$A$2000,"地代家賃・水道光熱費",入出金予定表!AB$2:AB$2000)</f>
        <v>0</v>
      </c>
      <c r="AF13" s="160">
        <f>SUMIF(入出金予定表!$A$2:$A$2000,"地代家賃・水道光熱費",入出金予定表!AC$2:AC$2000)</f>
        <v>0</v>
      </c>
      <c r="AG13" s="160">
        <f>SUMIF(入出金予定表!$A$2:$A$2000,"地代家賃・水道光熱費",入出金予定表!AD$2:AD$2000)</f>
        <v>0</v>
      </c>
      <c r="AH13" s="160">
        <f>SUMIF(入出金予定表!$A$2:$A$2000,"地代家賃・水道光熱費",入出金予定表!AE$2:AE$2000)</f>
        <v>0</v>
      </c>
      <c r="AI13" s="160">
        <f>SUMIF(入出金予定表!$A$2:$A$2000,"地代家賃・水道光熱費",入出金予定表!AF$2:AF$2000)</f>
        <v>0</v>
      </c>
      <c r="AJ13" s="160">
        <f>SUMIF(入出金予定表!$A$2:$A$2000,"地代家賃・水道光熱費",入出金予定表!AG$2:AG$2000)</f>
        <v>0</v>
      </c>
      <c r="AK13" s="160">
        <f>SUMIF(入出金予定表!$A$2:$A$2000,"地代家賃・水道光熱費",入出金予定表!AH$2:AH$2000)</f>
        <v>0</v>
      </c>
      <c r="AL13" s="160">
        <f>SUMIF(入出金予定表!$A$2:$A$2000,"地代家賃・水道光熱費",入出金予定表!AI$2:AI$2000)</f>
        <v>0</v>
      </c>
      <c r="AM13" s="160">
        <f>SUMIF(入出金予定表!$A$2:$A$2000,"地代家賃・水道光熱費",入出金予定表!AJ$2:AJ$2000)</f>
        <v>0</v>
      </c>
      <c r="AN13" s="160">
        <f>SUMIF(入出金予定表!$A$2:$A$2000,"地代家賃・水道光熱費",入出金予定表!AK$2:AK$2000)</f>
        <v>0</v>
      </c>
      <c r="AO13" s="160">
        <f>SUMIF(入出金予定表!$A$2:$A$2000,"地代家賃・水道光熱費",入出金予定表!AL$2:AL$2000)</f>
        <v>0</v>
      </c>
      <c r="AP13" s="160">
        <f t="shared" si="4"/>
        <v>0</v>
      </c>
    </row>
    <row r="14" spans="1:42" ht="15">
      <c r="A14" s="170" t="str">
        <f>資金繰り実績表!A12</f>
        <v>保険料</v>
      </c>
      <c r="B14" s="160">
        <f>SUMIF(入出金予定表!$A$2:$A$2000,"保険料",入出金予定表!C$2:C$2000)</f>
        <v>349711</v>
      </c>
      <c r="C14" s="160">
        <f>SUMIF(入出金予定表!$A$2:$A$2000,"保険料",入出金予定表!D$2:D$2000)</f>
        <v>329771</v>
      </c>
      <c r="D14" s="160">
        <f>SUMIF(入出金予定表!$A$2:$A$2000,"保険料",入出金予定表!E$2:E$2000)</f>
        <v>342391</v>
      </c>
      <c r="E14" s="160">
        <f>SUMIF(入出金予定表!$A$2:$A$2000,"保険料",入出金予定表!F$2:F$2000)</f>
        <v>332881</v>
      </c>
      <c r="F14" s="160">
        <f>SUMIF(入出金予定表!$A$2:$A$2000,"保険料",入出金予定表!G$2:G$2000)</f>
        <v>329771</v>
      </c>
      <c r="G14" s="160">
        <f>SUMIF(入出金予定表!$A$2:$A$2000,"保険料",入出金予定表!H$2:H$2000)</f>
        <v>338481</v>
      </c>
      <c r="H14" s="160">
        <f>SUMIF(入出金予定表!$A$2:$A$2000,"保険料",入出金予定表!I$2:I$2000)</f>
        <v>325861</v>
      </c>
      <c r="I14" s="160">
        <f>SUMIF(入出金予定表!$A$2:$A$2000,"保険料",入出金予定表!J$2:J$2000)</f>
        <v>354051</v>
      </c>
      <c r="J14" s="160">
        <f>SUMIF(入出金予定表!$A$2:$A$2000,"保険料",入出金予定表!K$2:K$2000)</f>
        <v>341431</v>
      </c>
      <c r="K14" s="160">
        <f>SUMIF(入出金予定表!$A$2:$A$2000,"保険料",入出金予定表!L$2:L$2000)</f>
        <v>0</v>
      </c>
      <c r="L14" s="160">
        <f>SUMIF(入出金予定表!$A$2:$A$2000,"保険料",入出金予定表!M$2:M$2000)</f>
        <v>0</v>
      </c>
      <c r="M14" s="160">
        <f>SUMIF(入出金予定表!$A$2:$A$2000,"保険料",入出金予定表!N$2:N$2000)</f>
        <v>0</v>
      </c>
      <c r="N14" s="160">
        <f t="shared" si="0"/>
        <v>3044349</v>
      </c>
      <c r="O14" s="153" t="str">
        <f t="shared" si="8"/>
        <v>保険料</v>
      </c>
      <c r="P14" s="160">
        <f>SUMIF(入出金予定表!$A$2:$A$2000,"保険料",入出金予定表!O$2:O$2000)</f>
        <v>0</v>
      </c>
      <c r="Q14" s="160">
        <f>SUMIF(入出金予定表!$A$2:$A$2000,"保険料",入出金予定表!P$2:P$2000)</f>
        <v>0</v>
      </c>
      <c r="R14" s="160">
        <f>SUMIF(入出金予定表!$A$2:$A$2000,"保険料",入出金予定表!Q$2:Q$2000)</f>
        <v>0</v>
      </c>
      <c r="S14" s="160">
        <f>SUMIF(入出金予定表!$A$2:$A$2000,"保険料",入出金予定表!R$2:R$2000)</f>
        <v>0</v>
      </c>
      <c r="T14" s="160">
        <f>SUMIF(入出金予定表!$A$2:$A$2000,"保険料",入出金予定表!S$2:S$2000)</f>
        <v>0</v>
      </c>
      <c r="U14" s="160">
        <f>SUMIF(入出金予定表!$A$2:$A$2000,"保険料",入出金予定表!T$2:T$2000)</f>
        <v>0</v>
      </c>
      <c r="V14" s="160">
        <f>SUMIF(入出金予定表!$A$2:$A$2000,"保険料",入出金予定表!U$2:U$2000)</f>
        <v>0</v>
      </c>
      <c r="W14" s="160">
        <f>SUMIF(入出金予定表!$A$2:$A$2000,"保険料",入出金予定表!V$2:V$2000)</f>
        <v>0</v>
      </c>
      <c r="X14" s="160">
        <f>SUMIF(入出金予定表!$A$2:$A$2000,"保険料",入出金予定表!W$2:W$2000)</f>
        <v>0</v>
      </c>
      <c r="Y14" s="160">
        <f>SUMIF(入出金予定表!$A$2:$A$2000,"保険料",入出金予定表!X$2:X$2000)</f>
        <v>0</v>
      </c>
      <c r="Z14" s="160">
        <f>SUMIF(入出金予定表!$A$2:$A$2000,"保険料",入出金予定表!Y$2:Y$2000)</f>
        <v>0</v>
      </c>
      <c r="AA14" s="160">
        <f>SUMIF(入出金予定表!$A$2:$A$2000,"保険料",入出金予定表!Z$2:Z$2000)</f>
        <v>0</v>
      </c>
      <c r="AB14" s="160">
        <f t="shared" si="2"/>
        <v>0</v>
      </c>
      <c r="AC14" s="160" t="str">
        <f t="shared" si="9"/>
        <v>保険料</v>
      </c>
      <c r="AD14" s="160">
        <f>SUMIF(入出金予定表!$A$2:$A$2000,"保険料",入出金予定表!AA$2:AA$2000)</f>
        <v>0</v>
      </c>
      <c r="AE14" s="160">
        <f>SUMIF(入出金予定表!$A$2:$A$2000,"保険料",入出金予定表!AB$2:AB$2000)</f>
        <v>0</v>
      </c>
      <c r="AF14" s="160">
        <f>SUMIF(入出金予定表!$A$2:$A$2000,"保険料",入出金予定表!AC$2:AC$2000)</f>
        <v>0</v>
      </c>
      <c r="AG14" s="160">
        <f>SUMIF(入出金予定表!$A$2:$A$2000,"保険料",入出金予定表!AD$2:AD$2000)</f>
        <v>0</v>
      </c>
      <c r="AH14" s="160">
        <f>SUMIF(入出金予定表!$A$2:$A$2000,"保険料",入出金予定表!AE$2:AE$2000)</f>
        <v>0</v>
      </c>
      <c r="AI14" s="160">
        <f>SUMIF(入出金予定表!$A$2:$A$2000,"保険料",入出金予定表!AF$2:AF$2000)</f>
        <v>0</v>
      </c>
      <c r="AJ14" s="160">
        <f>SUMIF(入出金予定表!$A$2:$A$2000,"保険料",入出金予定表!AG$2:AG$2000)</f>
        <v>0</v>
      </c>
      <c r="AK14" s="160">
        <f>SUMIF(入出金予定表!$A$2:$A$2000,"保険料",入出金予定表!AH$2:AH$2000)</f>
        <v>0</v>
      </c>
      <c r="AL14" s="160">
        <f>SUMIF(入出金予定表!$A$2:$A$2000,"保険料",入出金予定表!AI$2:AI$2000)</f>
        <v>0</v>
      </c>
      <c r="AM14" s="160">
        <f>SUMIF(入出金予定表!$A$2:$A$2000,"保険料",入出金予定表!AJ$2:AJ$2000)</f>
        <v>0</v>
      </c>
      <c r="AN14" s="160">
        <f>SUMIF(入出金予定表!$A$2:$A$2000,"保険料",入出金予定表!AK$2:AK$2000)</f>
        <v>0</v>
      </c>
      <c r="AO14" s="160">
        <f>SUMIF(入出金予定表!$A$2:$A$2000,"保険料",入出金予定表!AL$2:AL$2000)</f>
        <v>0</v>
      </c>
      <c r="AP14" s="160">
        <f t="shared" si="4"/>
        <v>0</v>
      </c>
    </row>
    <row r="15" spans="1:42" ht="15">
      <c r="A15" s="170" t="str">
        <f>資金繰り実績表!A13</f>
        <v>会費・顧問料・手数料・システム利用料</v>
      </c>
      <c r="B15" s="160">
        <f>SUMIF(入出金予定表!$A$2:$A$2000,"会費・顧問料・手数料・システム利用料",入出金予定表!C$2:C$2000)</f>
        <v>57788</v>
      </c>
      <c r="C15" s="160">
        <f>SUMIF(入出金予定表!$A$2:$A$2000,"会費・顧問料・手数料・システム利用料",入出金予定表!D$2:D$2000)</f>
        <v>85398</v>
      </c>
      <c r="D15" s="160">
        <f>SUMIF(入出金予定表!$A$2:$A$2000,"会費・顧問料・手数料・システム利用料",入出金予定表!E$2:E$2000)</f>
        <v>164103</v>
      </c>
      <c r="E15" s="160">
        <f>SUMIF(入出金予定表!$A$2:$A$2000,"会費・顧問料・手数料・システム利用料",入出金予定表!F$2:F$2000)</f>
        <v>356971</v>
      </c>
      <c r="F15" s="160">
        <f>SUMIF(入出金予定表!$A$2:$A$2000,"会費・顧問料・手数料・システム利用料",入出金予定表!G$2:G$2000)</f>
        <v>212458</v>
      </c>
      <c r="G15" s="160">
        <f>SUMIF(入出金予定表!$A$2:$A$2000,"会費・顧問料・手数料・システム利用料",入出金予定表!H$2:H$2000)</f>
        <v>142598</v>
      </c>
      <c r="H15" s="160">
        <f>SUMIF(入出金予定表!$A$2:$A$2000,"会費・顧問料・手数料・システム利用料",入出金予定表!I$2:I$2000)</f>
        <v>143148</v>
      </c>
      <c r="I15" s="160">
        <f>SUMIF(入出金予定表!$A$2:$A$2000,"会費・顧問料・手数料・システム利用料",入出金予定表!J$2:J$2000)</f>
        <v>223533</v>
      </c>
      <c r="J15" s="160">
        <f>SUMIF(入出金予定表!$A$2:$A$2000,"会費・顧問料・手数料・システム利用料",入出金予定表!K$2:K$2000)</f>
        <v>141945</v>
      </c>
      <c r="K15" s="160">
        <f>SUMIF(入出金予定表!$A$2:$A$2000,"会費・顧問料・手数料・システム利用料",入出金予定表!L$2:L$2000)</f>
        <v>0</v>
      </c>
      <c r="L15" s="160">
        <f>SUMIF(入出金予定表!$A$2:$A$2000,"会費・顧問料・手数料・システム利用料",入出金予定表!M$2:M$2000)</f>
        <v>0</v>
      </c>
      <c r="M15" s="160">
        <f>SUMIF(入出金予定表!$A$2:$A$2000,"会費・顧問料・手数料・システム利用料",入出金予定表!N$2:N$2000)</f>
        <v>0</v>
      </c>
      <c r="N15" s="160">
        <f t="shared" si="0"/>
        <v>1527942</v>
      </c>
      <c r="O15" s="153" t="str">
        <f t="shared" si="8"/>
        <v>会費・顧問料・手数料・システム利用料</v>
      </c>
      <c r="P15" s="160">
        <f>SUMIF(入出金予定表!$A$2:$A$2000,"会費・顧問料・手数料・システム利用料",入出金予定表!O$2:O$2000)</f>
        <v>0</v>
      </c>
      <c r="Q15" s="160">
        <f>SUMIF(入出金予定表!$A$2:$A$2000,"会費・顧問料・手数料・システム利用料",入出金予定表!P$2:P$2000)</f>
        <v>0</v>
      </c>
      <c r="R15" s="160">
        <f>SUMIF(入出金予定表!$A$2:$A$2000,"会費・顧問料・手数料・システム利用料",入出金予定表!Q$2:Q$2000)</f>
        <v>0</v>
      </c>
      <c r="S15" s="160">
        <f>SUMIF(入出金予定表!$A$2:$A$2000,"会費・顧問料・手数料・システム利用料",入出金予定表!R$2:R$2000)</f>
        <v>0</v>
      </c>
      <c r="T15" s="160">
        <f>SUMIF(入出金予定表!$A$2:$A$2000,"会費・顧問料・手数料・システム利用料",入出金予定表!S$2:S$2000)</f>
        <v>0</v>
      </c>
      <c r="U15" s="160">
        <f>SUMIF(入出金予定表!$A$2:$A$2000,"会費・顧問料・手数料・システム利用料",入出金予定表!T$2:T$2000)</f>
        <v>0</v>
      </c>
      <c r="V15" s="160">
        <f>SUMIF(入出金予定表!$A$2:$A$2000,"会費・顧問料・手数料・システム利用料",入出金予定表!U$2:U$2000)</f>
        <v>0</v>
      </c>
      <c r="W15" s="160">
        <f>SUMIF(入出金予定表!$A$2:$A$2000,"会費・顧問料・手数料・システム利用料",入出金予定表!V$2:V$2000)</f>
        <v>0</v>
      </c>
      <c r="X15" s="160">
        <f>SUMIF(入出金予定表!$A$2:$A$2000,"会費・顧問料・手数料・システム利用料",入出金予定表!W$2:W$2000)</f>
        <v>0</v>
      </c>
      <c r="Y15" s="160">
        <f>SUMIF(入出金予定表!$A$2:$A$2000,"会費・顧問料・手数料・システム利用料",入出金予定表!X$2:X$2000)</f>
        <v>0</v>
      </c>
      <c r="Z15" s="160">
        <f>SUMIF(入出金予定表!$A$2:$A$2000,"会費・顧問料・手数料・システム利用料",入出金予定表!Y$2:Y$2000)</f>
        <v>0</v>
      </c>
      <c r="AA15" s="160">
        <f>SUMIF(入出金予定表!$A$2:$A$2000,"会費・顧問料・手数料・システム利用料",入出金予定表!Z$2:Z$2000)</f>
        <v>0</v>
      </c>
      <c r="AB15" s="160">
        <f t="shared" si="2"/>
        <v>0</v>
      </c>
      <c r="AC15" s="160" t="str">
        <f t="shared" si="9"/>
        <v>会費・顧問料・手数料・システム利用料</v>
      </c>
      <c r="AD15" s="160">
        <f>SUMIF(入出金予定表!$A$2:$A$2000,"会費・顧問料・手数料・システム利用料",入出金予定表!AA$2:AA$2000)</f>
        <v>0</v>
      </c>
      <c r="AE15" s="160">
        <f>SUMIF(入出金予定表!$A$2:$A$2000,"会費・顧問料・手数料・システム利用料",入出金予定表!AB$2:AB$2000)</f>
        <v>0</v>
      </c>
      <c r="AF15" s="160">
        <f>SUMIF(入出金予定表!$A$2:$A$2000,"会費・顧問料・手数料・システム利用料",入出金予定表!AC$2:AC$2000)</f>
        <v>0</v>
      </c>
      <c r="AG15" s="160">
        <f>SUMIF(入出金予定表!$A$2:$A$2000,"会費・顧問料・手数料・システム利用料",入出金予定表!AD$2:AD$2000)</f>
        <v>0</v>
      </c>
      <c r="AH15" s="160">
        <f>SUMIF(入出金予定表!$A$2:$A$2000,"会費・顧問料・手数料・システム利用料",入出金予定表!AE$2:AE$2000)</f>
        <v>0</v>
      </c>
      <c r="AI15" s="160">
        <f>SUMIF(入出金予定表!$A$2:$A$2000,"会費・顧問料・手数料・システム利用料",入出金予定表!AF$2:AF$2000)</f>
        <v>0</v>
      </c>
      <c r="AJ15" s="160">
        <f>SUMIF(入出金予定表!$A$2:$A$2000,"会費・顧問料・手数料・システム利用料",入出金予定表!AG$2:AG$2000)</f>
        <v>0</v>
      </c>
      <c r="AK15" s="160">
        <f>SUMIF(入出金予定表!$A$2:$A$2000,"会費・顧問料・手数料・システム利用料",入出金予定表!AH$2:AH$2000)</f>
        <v>0</v>
      </c>
      <c r="AL15" s="160">
        <f>SUMIF(入出金予定表!$A$2:$A$2000,"会費・顧問料・手数料・システム利用料",入出金予定表!AI$2:AI$2000)</f>
        <v>0</v>
      </c>
      <c r="AM15" s="160">
        <f>SUMIF(入出金予定表!$A$2:$A$2000,"会費・顧問料・手数料・システム利用料",入出金予定表!AJ$2:AJ$2000)</f>
        <v>0</v>
      </c>
      <c r="AN15" s="160">
        <f>SUMIF(入出金予定表!$A$2:$A$2000,"会費・顧問料・手数料・システム利用料",入出金予定表!AK$2:AK$2000)</f>
        <v>0</v>
      </c>
      <c r="AO15" s="160">
        <f>SUMIF(入出金予定表!$A$2:$A$2000,"会費・顧問料・手数料・システム利用料",入出金予定表!AL$2:AL$2000)</f>
        <v>0</v>
      </c>
      <c r="AP15" s="160">
        <f t="shared" si="4"/>
        <v>0</v>
      </c>
    </row>
    <row r="16" spans="1:42" ht="15">
      <c r="A16" s="170" t="str">
        <f>資金繰り実績表!A14</f>
        <v>研修費・研究開発費</v>
      </c>
      <c r="B16" s="160">
        <f>SUMIF(入出金予定表!$A$2:$A$2000,"研修費・研究開発費",入出金予定表!C$2:C$2000)</f>
        <v>0</v>
      </c>
      <c r="C16" s="160">
        <f>SUMIF(入出金予定表!$A$2:$A$2000,"研修費・研究開発費",入出金予定表!D$2:D$2000)</f>
        <v>0</v>
      </c>
      <c r="D16" s="160">
        <f>SUMIF(入出金予定表!$A$2:$A$2000,"研修費・研究開発費",入出金予定表!E$2:E$2000)</f>
        <v>0</v>
      </c>
      <c r="E16" s="160">
        <f>SUMIF(入出金予定表!$A$2:$A$2000,"研修費・研究開発費",入出金予定表!F$2:F$2000)</f>
        <v>0</v>
      </c>
      <c r="F16" s="160">
        <f>SUMIF(入出金予定表!$A$2:$A$2000,"研修費・研究開発費",入出金予定表!G$2:G$2000)</f>
        <v>0</v>
      </c>
      <c r="G16" s="160">
        <f>SUMIF(入出金予定表!$A$2:$A$2000,"研修費・研究開発費",入出金予定表!H$2:H$2000)</f>
        <v>0</v>
      </c>
      <c r="H16" s="160">
        <f>SUMIF(入出金予定表!$A$2:$A$2000,"研修費・研究開発費",入出金予定表!I$2:I$2000)</f>
        <v>0</v>
      </c>
      <c r="I16" s="160">
        <f>SUMIF(入出金予定表!$A$2:$A$2000,"研修費・研究開発費",入出金予定表!J$2:J$2000)</f>
        <v>0</v>
      </c>
      <c r="J16" s="160">
        <f>SUMIF(入出金予定表!$A$2:$A$2000,"研修費・研究開発費",入出金予定表!K$2:K$2000)</f>
        <v>0</v>
      </c>
      <c r="K16" s="160">
        <f>SUMIF(入出金予定表!$A$2:$A$2000,"研修費・研究開発費",入出金予定表!L$2:L$2000)</f>
        <v>0</v>
      </c>
      <c r="L16" s="160">
        <f>SUMIF(入出金予定表!$A$2:$A$2000,"研修費・研究開発費",入出金予定表!M$2:M$2000)</f>
        <v>0</v>
      </c>
      <c r="M16" s="160">
        <f>SUMIF(入出金予定表!$A$2:$A$2000,"研修費・研究開発費",入出金予定表!N$2:N$2000)</f>
        <v>0</v>
      </c>
      <c r="N16" s="160">
        <f t="shared" si="0"/>
        <v>0</v>
      </c>
      <c r="O16" s="153" t="str">
        <f t="shared" si="8"/>
        <v>研修費・研究開発費</v>
      </c>
      <c r="P16" s="160">
        <f>SUMIF(入出金予定表!$A$2:$A$2000,"研修費・研究開発費",入出金予定表!O$2:O$2000)</f>
        <v>0</v>
      </c>
      <c r="Q16" s="160">
        <f>SUMIF(入出金予定表!$A$2:$A$2000,"研修費・研究開発費",入出金予定表!P$2:P$2000)</f>
        <v>0</v>
      </c>
      <c r="R16" s="160">
        <f>SUMIF(入出金予定表!$A$2:$A$2000,"研修費・研究開発費",入出金予定表!Q$2:Q$2000)</f>
        <v>0</v>
      </c>
      <c r="S16" s="160">
        <f>SUMIF(入出金予定表!$A$2:$A$2000,"研修費・研究開発費",入出金予定表!R$2:R$2000)</f>
        <v>0</v>
      </c>
      <c r="T16" s="160">
        <f>SUMIF(入出金予定表!$A$2:$A$2000,"研修費・研究開発費",入出金予定表!S$2:S$2000)</f>
        <v>0</v>
      </c>
      <c r="U16" s="160">
        <f>SUMIF(入出金予定表!$A$2:$A$2000,"研修費・研究開発費",入出金予定表!T$2:T$2000)</f>
        <v>0</v>
      </c>
      <c r="V16" s="160">
        <f>SUMIF(入出金予定表!$A$2:$A$2000,"研修費・研究開発費",入出金予定表!U$2:U$2000)</f>
        <v>0</v>
      </c>
      <c r="W16" s="160">
        <f>SUMIF(入出金予定表!$A$2:$A$2000,"研修費・研究開発費",入出金予定表!V$2:V$2000)</f>
        <v>0</v>
      </c>
      <c r="X16" s="160">
        <f>SUMIF(入出金予定表!$A$2:$A$2000,"研修費・研究開発費",入出金予定表!W$2:W$2000)</f>
        <v>0</v>
      </c>
      <c r="Y16" s="160">
        <f>SUMIF(入出金予定表!$A$2:$A$2000,"研修費・研究開発費",入出金予定表!X$2:X$2000)</f>
        <v>0</v>
      </c>
      <c r="Z16" s="160">
        <f>SUMIF(入出金予定表!$A$2:$A$2000,"研修費・研究開発費",入出金予定表!Y$2:Y$2000)</f>
        <v>0</v>
      </c>
      <c r="AA16" s="160">
        <f>SUMIF(入出金予定表!$A$2:$A$2000,"研修費・研究開発費",入出金予定表!Z$2:Z$2000)</f>
        <v>0</v>
      </c>
      <c r="AB16" s="160">
        <f t="shared" si="2"/>
        <v>0</v>
      </c>
      <c r="AC16" s="160" t="str">
        <f t="shared" si="9"/>
        <v>研修費・研究開発費</v>
      </c>
      <c r="AD16" s="160">
        <f>SUMIF(入出金予定表!$A$2:$A$2000,"研修費・研究開発費",入出金予定表!AA$2:AA$2000)</f>
        <v>0</v>
      </c>
      <c r="AE16" s="160">
        <f>SUMIF(入出金予定表!$A$2:$A$2000,"研修費・研究開発費",入出金予定表!AB$2:AB$2000)</f>
        <v>0</v>
      </c>
      <c r="AF16" s="160">
        <f>SUMIF(入出金予定表!$A$2:$A$2000,"研修費・研究開発費",入出金予定表!AC$2:AC$2000)</f>
        <v>0</v>
      </c>
      <c r="AG16" s="160">
        <f>SUMIF(入出金予定表!$A$2:$A$2000,"研修費・研究開発費",入出金予定表!AD$2:AD$2000)</f>
        <v>0</v>
      </c>
      <c r="AH16" s="160">
        <f>SUMIF(入出金予定表!$A$2:$A$2000,"研修費・研究開発費",入出金予定表!AE$2:AE$2000)</f>
        <v>0</v>
      </c>
      <c r="AI16" s="160">
        <f>SUMIF(入出金予定表!$A$2:$A$2000,"研修費・研究開発費",入出金予定表!AF$2:AF$2000)</f>
        <v>0</v>
      </c>
      <c r="AJ16" s="160">
        <f>SUMIF(入出金予定表!$A$2:$A$2000,"研修費・研究開発費",入出金予定表!AG$2:AG$2000)</f>
        <v>0</v>
      </c>
      <c r="AK16" s="160">
        <f>SUMIF(入出金予定表!$A$2:$A$2000,"研修費・研究開発費",入出金予定表!AH$2:AH$2000)</f>
        <v>0</v>
      </c>
      <c r="AL16" s="160">
        <f>SUMIF(入出金予定表!$A$2:$A$2000,"研修費・研究開発費",入出金予定表!AI$2:AI$2000)</f>
        <v>0</v>
      </c>
      <c r="AM16" s="160">
        <f>SUMIF(入出金予定表!$A$2:$A$2000,"研修費・研究開発費",入出金予定表!AJ$2:AJ$2000)</f>
        <v>0</v>
      </c>
      <c r="AN16" s="160">
        <f>SUMIF(入出金予定表!$A$2:$A$2000,"研修費・研究開発費",入出金予定表!AK$2:AK$2000)</f>
        <v>0</v>
      </c>
      <c r="AO16" s="160">
        <f>SUMIF(入出金予定表!$A$2:$A$2000,"研修費・研究開発費",入出金予定表!AL$2:AL$2000)</f>
        <v>0</v>
      </c>
      <c r="AP16" s="160">
        <f t="shared" si="4"/>
        <v>0</v>
      </c>
    </row>
    <row r="17" spans="1:42" ht="15">
      <c r="A17" s="170" t="str">
        <f>資金繰り実績表!A15</f>
        <v>リース料・割賦支払い</v>
      </c>
      <c r="B17" s="160">
        <f>SUMIF(入出金予定表!$A$2:$A$2000,"リース料・割賦支払い",入出金予定表!C$2:C$2000)</f>
        <v>23980</v>
      </c>
      <c r="C17" s="160">
        <f>SUMIF(入出金予定表!$A$2:$A$2000,"リース料・割賦支払い",入出金予定表!D$2:D$2000)</f>
        <v>60940</v>
      </c>
      <c r="D17" s="160">
        <f>SUMIF(入出金予定表!$A$2:$A$2000,"リース料・割賦支払い",入出金予定表!E$2:E$2000)</f>
        <v>108900</v>
      </c>
      <c r="E17" s="160">
        <f>SUMIF(入出金予定表!$A$2:$A$2000,"リース料・割賦支払い",入出金予定表!F$2:F$2000)</f>
        <v>84920</v>
      </c>
      <c r="F17" s="160">
        <f>SUMIF(入出金予定表!$A$2:$A$2000,"リース料・割賦支払い",入出金予定表!G$2:G$2000)</f>
        <v>60940</v>
      </c>
      <c r="G17" s="160">
        <f>SUMIF(入出金予定表!$A$2:$A$2000,"リース料・割賦支払い",入出金予定表!H$2:H$2000)</f>
        <v>187370</v>
      </c>
      <c r="H17" s="160">
        <f>SUMIF(入出金予定表!$A$2:$A$2000,"リース料・割賦支払い",入出金予定表!I$2:I$2000)</f>
        <v>186820</v>
      </c>
      <c r="I17" s="160">
        <f>SUMIF(入出金予定表!$A$2:$A$2000,"リース料・割賦支払い",入出金予定表!J$2:J$2000)</f>
        <v>186820</v>
      </c>
      <c r="J17" s="160">
        <f>SUMIF(入出金予定表!$A$2:$A$2000,"リース料・割賦支払い",入出金予定表!K$2:K$2000)</f>
        <v>210800</v>
      </c>
      <c r="K17" s="160">
        <f>SUMIF(入出金予定表!$A$2:$A$2000,"リース料・割賦支払い",入出金予定表!L$2:L$2000)</f>
        <v>0</v>
      </c>
      <c r="L17" s="160">
        <f>SUMIF(入出金予定表!$A$2:$A$2000,"リース料・割賦支払い",入出金予定表!M$2:M$2000)</f>
        <v>0</v>
      </c>
      <c r="M17" s="160">
        <f>SUMIF(入出金予定表!$A$2:$A$2000,"リース料・割賦支払い",入出金予定表!N$2:N$2000)</f>
        <v>0</v>
      </c>
      <c r="N17" s="160">
        <f t="shared" si="0"/>
        <v>1111490</v>
      </c>
      <c r="O17" s="153" t="str">
        <f t="shared" si="8"/>
        <v>リース料・割賦支払い</v>
      </c>
      <c r="P17" s="160">
        <f>SUMIF(入出金予定表!$A$2:$A$2000,"リース料・割賦支払い",入出金予定表!O$2:O$2000)</f>
        <v>0</v>
      </c>
      <c r="Q17" s="160">
        <f>SUMIF(入出金予定表!$A$2:$A$2000,"リース料・割賦支払い",入出金予定表!P$2:P$2000)</f>
        <v>0</v>
      </c>
      <c r="R17" s="160">
        <f>SUMIF(入出金予定表!$A$2:$A$2000,"リース料・割賦支払い",入出金予定表!Q$2:Q$2000)</f>
        <v>0</v>
      </c>
      <c r="S17" s="160">
        <f>SUMIF(入出金予定表!$A$2:$A$2000,"リース料・割賦支払い",入出金予定表!R$2:R$2000)</f>
        <v>0</v>
      </c>
      <c r="T17" s="160">
        <f>SUMIF(入出金予定表!$A$2:$A$2000,"リース料・割賦支払い",入出金予定表!S$2:S$2000)</f>
        <v>0</v>
      </c>
      <c r="U17" s="160">
        <f>SUMIF(入出金予定表!$A$2:$A$2000,"リース料・割賦支払い",入出金予定表!T$2:T$2000)</f>
        <v>0</v>
      </c>
      <c r="V17" s="160">
        <f>SUMIF(入出金予定表!$A$2:$A$2000,"リース料・割賦支払い",入出金予定表!U$2:U$2000)</f>
        <v>0</v>
      </c>
      <c r="W17" s="160">
        <f>SUMIF(入出金予定表!$A$2:$A$2000,"リース料・割賦支払い",入出金予定表!V$2:V$2000)</f>
        <v>0</v>
      </c>
      <c r="X17" s="160">
        <f>SUMIF(入出金予定表!$A$2:$A$2000,"リース料・割賦支払い",入出金予定表!W$2:W$2000)</f>
        <v>0</v>
      </c>
      <c r="Y17" s="160">
        <f>SUMIF(入出金予定表!$A$2:$A$2000,"リース料・割賦支払い",入出金予定表!X$2:X$2000)</f>
        <v>0</v>
      </c>
      <c r="Z17" s="160">
        <f>SUMIF(入出金予定表!$A$2:$A$2000,"リース料・割賦支払い",入出金予定表!Y$2:Y$2000)</f>
        <v>0</v>
      </c>
      <c r="AA17" s="160">
        <f>SUMIF(入出金予定表!$A$2:$A$2000,"リース料・割賦支払い",入出金予定表!Z$2:Z$2000)</f>
        <v>0</v>
      </c>
      <c r="AB17" s="160">
        <f t="shared" si="2"/>
        <v>0</v>
      </c>
      <c r="AC17" s="160" t="str">
        <f t="shared" si="9"/>
        <v>リース料・割賦支払い</v>
      </c>
      <c r="AD17" s="160">
        <f>SUMIF(入出金予定表!$A$2:$A$2000,"リース料・割賦支払い",入出金予定表!AA$2:AA$2000)</f>
        <v>0</v>
      </c>
      <c r="AE17" s="160">
        <f>SUMIF(入出金予定表!$A$2:$A$2000,"リース料・割賦支払い",入出金予定表!AB$2:AB$2000)</f>
        <v>0</v>
      </c>
      <c r="AF17" s="160">
        <f>SUMIF(入出金予定表!$A$2:$A$2000,"リース料・割賦支払い",入出金予定表!AC$2:AC$2000)</f>
        <v>0</v>
      </c>
      <c r="AG17" s="160">
        <f>SUMIF(入出金予定表!$A$2:$A$2000,"リース料・割賦支払い",入出金予定表!AD$2:AD$2000)</f>
        <v>0</v>
      </c>
      <c r="AH17" s="160">
        <f>SUMIF(入出金予定表!$A$2:$A$2000,"リース料・割賦支払い",入出金予定表!AE$2:AE$2000)</f>
        <v>0</v>
      </c>
      <c r="AI17" s="160">
        <f>SUMIF(入出金予定表!$A$2:$A$2000,"リース料・割賦支払い",入出金予定表!AF$2:AF$2000)</f>
        <v>0</v>
      </c>
      <c r="AJ17" s="160">
        <f>SUMIF(入出金予定表!$A$2:$A$2000,"リース料・割賦支払い",入出金予定表!AG$2:AG$2000)</f>
        <v>0</v>
      </c>
      <c r="AK17" s="160">
        <f>SUMIF(入出金予定表!$A$2:$A$2000,"リース料・割賦支払い",入出金予定表!AH$2:AH$2000)</f>
        <v>0</v>
      </c>
      <c r="AL17" s="160">
        <f>SUMIF(入出金予定表!$A$2:$A$2000,"リース料・割賦支払い",入出金予定表!AI$2:AI$2000)</f>
        <v>0</v>
      </c>
      <c r="AM17" s="160">
        <f>SUMIF(入出金予定表!$A$2:$A$2000,"リース料・割賦支払い",入出金予定表!AJ$2:AJ$2000)</f>
        <v>0</v>
      </c>
      <c r="AN17" s="160">
        <f>SUMIF(入出金予定表!$A$2:$A$2000,"リース料・割賦支払い",入出金予定表!AK$2:AK$2000)</f>
        <v>0</v>
      </c>
      <c r="AO17" s="160">
        <f>SUMIF(入出金予定表!$A$2:$A$2000,"リース料・割賦支払い",入出金予定表!AL$2:AL$2000)</f>
        <v>0</v>
      </c>
      <c r="AP17" s="160">
        <f t="shared" si="4"/>
        <v>0</v>
      </c>
    </row>
    <row r="18" spans="1:42" ht="15">
      <c r="A18" s="170" t="str">
        <f>資金繰り実績表!A16</f>
        <v>修繕費・設備管理費・消耗品費</v>
      </c>
      <c r="B18" s="160">
        <f>SUMIF(入出金予定表!$A$2:$A$2000,"修繕費・設備管理費・消耗品費",入出金予定表!C$2:C$2000)</f>
        <v>297131</v>
      </c>
      <c r="C18" s="160">
        <f>SUMIF(入出金予定表!$A$2:$A$2000,"修繕費・設備管理費・消耗品費",入出金予定表!D$2:D$2000)</f>
        <v>149131</v>
      </c>
      <c r="D18" s="160">
        <f>SUMIF(入出金予定表!$A$2:$A$2000,"修繕費・設備管理費・消耗品費",入出金予定表!E$2:E$2000)</f>
        <v>110428</v>
      </c>
      <c r="E18" s="160">
        <f>SUMIF(入出金予定表!$A$2:$A$2000,"修繕費・設備管理費・消耗品費",入出金予定表!F$2:F$2000)</f>
        <v>163267</v>
      </c>
      <c r="F18" s="160">
        <f>SUMIF(入出金予定表!$A$2:$A$2000,"修繕費・設備管理費・消耗品費",入出金予定表!G$2:G$2000)</f>
        <v>204900</v>
      </c>
      <c r="G18" s="160">
        <f>SUMIF(入出金予定表!$A$2:$A$2000,"修繕費・設備管理費・消耗品費",入出金予定表!H$2:H$2000)</f>
        <v>0</v>
      </c>
      <c r="H18" s="160">
        <f>SUMIF(入出金予定表!$A$2:$A$2000,"修繕費・設備管理費・消耗品費",入出金予定表!I$2:I$2000)</f>
        <v>0</v>
      </c>
      <c r="I18" s="160">
        <f>SUMIF(入出金予定表!$A$2:$A$2000,"修繕費・設備管理費・消耗品費",入出金予定表!J$2:J$2000)</f>
        <v>147291</v>
      </c>
      <c r="J18" s="160">
        <f>SUMIF(入出金予定表!$A$2:$A$2000,"修繕費・設備管理費・消耗品費",入出金予定表!K$2:K$2000)</f>
        <v>0</v>
      </c>
      <c r="K18" s="160">
        <f>SUMIF(入出金予定表!$A$2:$A$2000,"修繕費・設備管理費・消耗品費",入出金予定表!L$2:L$2000)</f>
        <v>0</v>
      </c>
      <c r="L18" s="160">
        <f>SUMIF(入出金予定表!$A$2:$A$2000,"修繕費・設備管理費・消耗品費",入出金予定表!M$2:M$2000)</f>
        <v>0</v>
      </c>
      <c r="M18" s="160">
        <f>SUMIF(入出金予定表!$A$2:$A$2000,"修繕費・設備管理費・消耗品費",入出金予定表!N$2:N$2000)</f>
        <v>0</v>
      </c>
      <c r="N18" s="160">
        <f t="shared" si="0"/>
        <v>1072148</v>
      </c>
      <c r="O18" s="153" t="str">
        <f t="shared" si="8"/>
        <v>修繕費・設備管理費・消耗品費</v>
      </c>
      <c r="P18" s="160">
        <f>SUMIF(入出金予定表!$A$2:$A$2000,"修繕費・設備管理費・消耗品費",入出金予定表!O$2:O$2000)</f>
        <v>0</v>
      </c>
      <c r="Q18" s="160">
        <f>SUMIF(入出金予定表!$A$2:$A$2000,"修繕費・設備管理費・消耗品費",入出金予定表!P$2:P$2000)</f>
        <v>0</v>
      </c>
      <c r="R18" s="160">
        <f>SUMIF(入出金予定表!$A$2:$A$2000,"修繕費・設備管理費・消耗品費",入出金予定表!Q$2:Q$2000)</f>
        <v>0</v>
      </c>
      <c r="S18" s="160">
        <f>SUMIF(入出金予定表!$A$2:$A$2000,"修繕費・設備管理費・消耗品費",入出金予定表!R$2:R$2000)</f>
        <v>0</v>
      </c>
      <c r="T18" s="160">
        <f>SUMIF(入出金予定表!$A$2:$A$2000,"修繕費・設備管理費・消耗品費",入出金予定表!S$2:S$2000)</f>
        <v>0</v>
      </c>
      <c r="U18" s="160">
        <f>SUMIF(入出金予定表!$A$2:$A$2000,"修繕費・設備管理費・消耗品費",入出金予定表!T$2:T$2000)</f>
        <v>0</v>
      </c>
      <c r="V18" s="160">
        <f>SUMIF(入出金予定表!$A$2:$A$2000,"修繕費・設備管理費・消耗品費",入出金予定表!U$2:U$2000)</f>
        <v>0</v>
      </c>
      <c r="W18" s="160">
        <f>SUMIF(入出金予定表!$A$2:$A$2000,"修繕費・設備管理費・消耗品費",入出金予定表!V$2:V$2000)</f>
        <v>0</v>
      </c>
      <c r="X18" s="160">
        <f>SUMIF(入出金予定表!$A$2:$A$2000,"修繕費・設備管理費・消耗品費",入出金予定表!W$2:W$2000)</f>
        <v>0</v>
      </c>
      <c r="Y18" s="160">
        <f>SUMIF(入出金予定表!$A$2:$A$2000,"修繕費・設備管理費・消耗品費",入出金予定表!X$2:X$2000)</f>
        <v>0</v>
      </c>
      <c r="Z18" s="160">
        <f>SUMIF(入出金予定表!$A$2:$A$2000,"修繕費・設備管理費・消耗品費",入出金予定表!Y$2:Y$2000)</f>
        <v>0</v>
      </c>
      <c r="AA18" s="160">
        <f>SUMIF(入出金予定表!$A$2:$A$2000,"修繕費・設備管理費・消耗品費",入出金予定表!Z$2:Z$2000)</f>
        <v>0</v>
      </c>
      <c r="AB18" s="160">
        <f t="shared" si="2"/>
        <v>0</v>
      </c>
      <c r="AC18" s="160" t="str">
        <f t="shared" si="9"/>
        <v>修繕費・設備管理費・消耗品費</v>
      </c>
      <c r="AD18" s="160">
        <f>SUMIF(入出金予定表!$A$2:$A$2000,"修繕費・設備管理費・消耗品費",入出金予定表!AA$2:AA$2000)</f>
        <v>0</v>
      </c>
      <c r="AE18" s="160">
        <f>SUMIF(入出金予定表!$A$2:$A$2000,"修繕費・設備管理費・消耗品費",入出金予定表!AB$2:AB$2000)</f>
        <v>0</v>
      </c>
      <c r="AF18" s="160">
        <f>SUMIF(入出金予定表!$A$2:$A$2000,"修繕費・設備管理費・消耗品費",入出金予定表!AC$2:AC$2000)</f>
        <v>0</v>
      </c>
      <c r="AG18" s="160">
        <f>SUMIF(入出金予定表!$A$2:$A$2000,"修繕費・設備管理費・消耗品費",入出金予定表!AD$2:AD$2000)</f>
        <v>0</v>
      </c>
      <c r="AH18" s="160">
        <f>SUMIF(入出金予定表!$A$2:$A$2000,"修繕費・設備管理費・消耗品費",入出金予定表!AE$2:AE$2000)</f>
        <v>0</v>
      </c>
      <c r="AI18" s="160">
        <f>SUMIF(入出金予定表!$A$2:$A$2000,"修繕費・設備管理費・消耗品費",入出金予定表!AF$2:AF$2000)</f>
        <v>0</v>
      </c>
      <c r="AJ18" s="160">
        <f>SUMIF(入出金予定表!$A$2:$A$2000,"修繕費・設備管理費・消耗品費",入出金予定表!AG$2:AG$2000)</f>
        <v>0</v>
      </c>
      <c r="AK18" s="160">
        <f>SUMIF(入出金予定表!$A$2:$A$2000,"修繕費・設備管理費・消耗品費",入出金予定表!AH$2:AH$2000)</f>
        <v>0</v>
      </c>
      <c r="AL18" s="160">
        <f>SUMIF(入出金予定表!$A$2:$A$2000,"修繕費・設備管理費・消耗品費",入出金予定表!AI$2:AI$2000)</f>
        <v>0</v>
      </c>
      <c r="AM18" s="160">
        <f>SUMIF(入出金予定表!$A$2:$A$2000,"修繕費・設備管理費・消耗品費",入出金予定表!AJ$2:AJ$2000)</f>
        <v>0</v>
      </c>
      <c r="AN18" s="160">
        <f>SUMIF(入出金予定表!$A$2:$A$2000,"修繕費・設備管理費・消耗品費",入出金予定表!AK$2:AK$2000)</f>
        <v>0</v>
      </c>
      <c r="AO18" s="160">
        <f>SUMIF(入出金予定表!$A$2:$A$2000,"修繕費・設備管理費・消耗品費",入出金予定表!AL$2:AL$2000)</f>
        <v>0</v>
      </c>
      <c r="AP18" s="160">
        <f t="shared" si="4"/>
        <v>0</v>
      </c>
    </row>
    <row r="19" spans="1:42" ht="15">
      <c r="A19" s="170" t="str">
        <f>資金繰り実績表!A17</f>
        <v>雑費・銀行手数料</v>
      </c>
      <c r="B19" s="160">
        <f>SUMIF(入出金予定表!$A$2:$A$2000,"雑費・銀行手数料",入出金予定表!C$2:C$2000)</f>
        <v>120603</v>
      </c>
      <c r="C19" s="160">
        <f>SUMIF(入出金予定表!$A$2:$A$2000,"雑費・銀行手数料",入出金予定表!D$2:D$2000)</f>
        <v>121273</v>
      </c>
      <c r="D19" s="160">
        <f>SUMIF(入出金予定表!$A$2:$A$2000,"雑費・銀行手数料",入出金予定表!E$2:E$2000)</f>
        <v>859980</v>
      </c>
      <c r="E19" s="160">
        <f>SUMIF(入出金予定表!$A$2:$A$2000,"雑費・銀行手数料",入出金予定表!F$2:F$2000)</f>
        <v>127800</v>
      </c>
      <c r="F19" s="160">
        <f>SUMIF(入出金予定表!$A$2:$A$2000,"雑費・銀行手数料",入出金予定表!G$2:G$2000)</f>
        <v>116058</v>
      </c>
      <c r="G19" s="160">
        <f>SUMIF(入出金予定表!$A$2:$A$2000,"雑費・銀行手数料",入出金予定表!H$2:H$2000)</f>
        <v>123666</v>
      </c>
      <c r="H19" s="160">
        <f>SUMIF(入出金予定表!$A$2:$A$2000,"雑費・銀行手数料",入出金予定表!I$2:I$2000)</f>
        <v>110895</v>
      </c>
      <c r="I19" s="160">
        <f>SUMIF(入出金予定表!$A$2:$A$2000,"雑費・銀行手数料",入出金予定表!J$2:J$2000)</f>
        <v>134756</v>
      </c>
      <c r="J19" s="160">
        <f>SUMIF(入出金予定表!$A$2:$A$2000,"雑費・銀行手数料",入出金予定表!K$2:K$2000)</f>
        <v>115523</v>
      </c>
      <c r="K19" s="160">
        <f>SUMIF(入出金予定表!$A$2:$A$2000,"雑費・銀行手数料",入出金予定表!L$2:L$2000)</f>
        <v>0</v>
      </c>
      <c r="L19" s="160">
        <f>SUMIF(入出金予定表!$A$2:$A$2000,"雑費・銀行手数料",入出金予定表!M$2:M$2000)</f>
        <v>0</v>
      </c>
      <c r="M19" s="160">
        <f>SUMIF(入出金予定表!$A$2:$A$2000,"雑費・銀行手数料",入出金予定表!N$2:N$2000)</f>
        <v>0</v>
      </c>
      <c r="N19" s="160">
        <f t="shared" si="0"/>
        <v>1830554</v>
      </c>
      <c r="O19" s="153" t="str">
        <f t="shared" si="8"/>
        <v>雑費・銀行手数料</v>
      </c>
      <c r="P19" s="160">
        <f>SUMIF(入出金予定表!$A$2:$A$2000,"雑費・銀行手数料",入出金予定表!O$2:O$2000)</f>
        <v>0</v>
      </c>
      <c r="Q19" s="160">
        <f>SUMIF(入出金予定表!$A$2:$A$2000,"雑費・銀行手数料",入出金予定表!P$2:P$2000)</f>
        <v>0</v>
      </c>
      <c r="R19" s="160">
        <f>SUMIF(入出金予定表!$A$2:$A$2000,"雑費・銀行手数料",入出金予定表!Q$2:Q$2000)</f>
        <v>0</v>
      </c>
      <c r="S19" s="160">
        <f>SUMIF(入出金予定表!$A$2:$A$2000,"雑費・銀行手数料",入出金予定表!R$2:R$2000)</f>
        <v>0</v>
      </c>
      <c r="T19" s="160">
        <f>SUMIF(入出金予定表!$A$2:$A$2000,"雑費・銀行手数料",入出金予定表!S$2:S$2000)</f>
        <v>0</v>
      </c>
      <c r="U19" s="160">
        <f>SUMIF(入出金予定表!$A$2:$A$2000,"雑費・銀行手数料",入出金予定表!T$2:T$2000)</f>
        <v>0</v>
      </c>
      <c r="V19" s="160">
        <f>SUMIF(入出金予定表!$A$2:$A$2000,"雑費・銀行手数料",入出金予定表!U$2:U$2000)</f>
        <v>0</v>
      </c>
      <c r="W19" s="160">
        <f>SUMIF(入出金予定表!$A$2:$A$2000,"雑費・銀行手数料",入出金予定表!V$2:V$2000)</f>
        <v>0</v>
      </c>
      <c r="X19" s="160">
        <f>SUMIF(入出金予定表!$A$2:$A$2000,"雑費・銀行手数料",入出金予定表!W$2:W$2000)</f>
        <v>0</v>
      </c>
      <c r="Y19" s="160">
        <f>SUMIF(入出金予定表!$A$2:$A$2000,"雑費・銀行手数料",入出金予定表!X$2:X$2000)</f>
        <v>0</v>
      </c>
      <c r="Z19" s="160">
        <f>SUMIF(入出金予定表!$A$2:$A$2000,"雑費・銀行手数料",入出金予定表!Y$2:Y$2000)</f>
        <v>0</v>
      </c>
      <c r="AA19" s="160">
        <f>SUMIF(入出金予定表!$A$2:$A$2000,"雑費・銀行手数料",入出金予定表!Z$2:Z$2000)</f>
        <v>0</v>
      </c>
      <c r="AB19" s="160">
        <f t="shared" si="2"/>
        <v>0</v>
      </c>
      <c r="AC19" s="160" t="str">
        <f t="shared" si="9"/>
        <v>雑費・銀行手数料</v>
      </c>
      <c r="AD19" s="160">
        <f>SUMIF(入出金予定表!$A$2:$A$2000,"雑費・銀行手数料",入出金予定表!AA$2:AA$2000)</f>
        <v>0</v>
      </c>
      <c r="AE19" s="160">
        <f>SUMIF(入出金予定表!$A$2:$A$2000,"雑費・銀行手数料",入出金予定表!AB$2:AB$2000)</f>
        <v>0</v>
      </c>
      <c r="AF19" s="160">
        <f>SUMIF(入出金予定表!$A$2:$A$2000,"雑費・銀行手数料",入出金予定表!AC$2:AC$2000)</f>
        <v>0</v>
      </c>
      <c r="AG19" s="160">
        <f>SUMIF(入出金予定表!$A$2:$A$2000,"雑費・銀行手数料",入出金予定表!AD$2:AD$2000)</f>
        <v>0</v>
      </c>
      <c r="AH19" s="160">
        <f>SUMIF(入出金予定表!$A$2:$A$2000,"雑費・銀行手数料",入出金予定表!AE$2:AE$2000)</f>
        <v>0</v>
      </c>
      <c r="AI19" s="160">
        <f>SUMIF(入出金予定表!$A$2:$A$2000,"雑費・銀行手数料",入出金予定表!AF$2:AF$2000)</f>
        <v>0</v>
      </c>
      <c r="AJ19" s="160">
        <f>SUMIF(入出金予定表!$A$2:$A$2000,"雑費・銀行手数料",入出金予定表!AG$2:AG$2000)</f>
        <v>0</v>
      </c>
      <c r="AK19" s="160">
        <f>SUMIF(入出金予定表!$A$2:$A$2000,"雑費・銀行手数料",入出金予定表!AH$2:AH$2000)</f>
        <v>0</v>
      </c>
      <c r="AL19" s="160">
        <f>SUMIF(入出金予定表!$A$2:$A$2000,"雑費・銀行手数料",入出金予定表!AI$2:AI$2000)</f>
        <v>0</v>
      </c>
      <c r="AM19" s="160">
        <f>SUMIF(入出金予定表!$A$2:$A$2000,"雑費・銀行手数料",入出金予定表!AJ$2:AJ$2000)</f>
        <v>0</v>
      </c>
      <c r="AN19" s="160">
        <f>SUMIF(入出金予定表!$A$2:$A$2000,"雑費・銀行手数料",入出金予定表!AK$2:AK$2000)</f>
        <v>0</v>
      </c>
      <c r="AO19" s="160">
        <f>SUMIF(入出金予定表!$A$2:$A$2000,"雑費・銀行手数料",入出金予定表!AL$2:AL$2000)</f>
        <v>0</v>
      </c>
      <c r="AP19" s="160">
        <f t="shared" si="4"/>
        <v>0</v>
      </c>
    </row>
    <row r="20" spans="1:42" ht="15">
      <c r="A20" s="170" t="str">
        <f>資金繰り実績表!A18</f>
        <v>その他販管費</v>
      </c>
      <c r="B20" s="160">
        <f>SUMIF(入出金予定表!$A$2:$A$2000,"その他販管費",入出金予定表!C$2:C$2000)</f>
        <v>79782</v>
      </c>
      <c r="C20" s="160">
        <f>SUMIF(入出金予定表!$A$2:$A$2000,"その他販管費",入出金予定表!D$2:D$2000)</f>
        <v>0</v>
      </c>
      <c r="D20" s="160">
        <f>SUMIF(入出金予定表!$A$2:$A$2000,"その他販管費",入出金予定表!E$2:E$2000)</f>
        <v>385000</v>
      </c>
      <c r="E20" s="160">
        <f>SUMIF(入出金予定表!$A$2:$A$2000,"その他販管費",入出金予定表!F$2:F$2000)</f>
        <v>591965</v>
      </c>
      <c r="F20" s="160">
        <f>SUMIF(入出金予定表!$A$2:$A$2000,"その他販管費",入出金予定表!G$2:G$2000)</f>
        <v>892720</v>
      </c>
      <c r="G20" s="160">
        <f>SUMIF(入出金予定表!$A$2:$A$2000,"その他販管費",入出金予定表!H$2:H$2000)</f>
        <v>1257480</v>
      </c>
      <c r="H20" s="160">
        <f>SUMIF(入出金予定表!$A$2:$A$2000,"その他販管費",入出金予定表!I$2:I$2000)</f>
        <v>601255</v>
      </c>
      <c r="I20" s="160">
        <f>SUMIF(入出金予定表!$A$2:$A$2000,"その他販管費",入出金予定表!J$2:J$2000)</f>
        <v>2220580</v>
      </c>
      <c r="J20" s="160">
        <f>SUMIF(入出金予定表!$A$2:$A$2000,"その他販管費",入出金予定表!K$2:K$2000)</f>
        <v>198634</v>
      </c>
      <c r="K20" s="160">
        <f>SUMIF(入出金予定表!$A$2:$A$2000,"その他販管費",入出金予定表!L$2:L$2000)</f>
        <v>0</v>
      </c>
      <c r="L20" s="160">
        <f>SUMIF(入出金予定表!$A$2:$A$2000,"その他販管費",入出金予定表!M$2:M$2000)</f>
        <v>0</v>
      </c>
      <c r="M20" s="160">
        <f>SUMIF(入出金予定表!$A$2:$A$2000,"その他販管費",入出金予定表!N$2:N$2000)</f>
        <v>0</v>
      </c>
      <c r="N20" s="160">
        <f t="shared" si="0"/>
        <v>6227416</v>
      </c>
      <c r="O20" s="153" t="str">
        <f t="shared" si="8"/>
        <v>その他販管費</v>
      </c>
      <c r="P20" s="160">
        <f>SUMIF(入出金予定表!$A$2:$A$2000,"その他販管費",入出金予定表!O$2:O$2000)</f>
        <v>0</v>
      </c>
      <c r="Q20" s="160">
        <f>SUMIF(入出金予定表!$A$2:$A$2000,"その他販管費",入出金予定表!P$2:P$2000)</f>
        <v>0</v>
      </c>
      <c r="R20" s="160">
        <f>SUMIF(入出金予定表!$A$2:$A$2000,"その他販管費",入出金予定表!Q$2:Q$2000)</f>
        <v>0</v>
      </c>
      <c r="S20" s="160">
        <f>SUMIF(入出金予定表!$A$2:$A$2000,"その他販管費",入出金予定表!R$2:R$2000)</f>
        <v>0</v>
      </c>
      <c r="T20" s="160">
        <f>SUMIF(入出金予定表!$A$2:$A$2000,"その他販管費",入出金予定表!S$2:S$2000)</f>
        <v>0</v>
      </c>
      <c r="U20" s="160">
        <f>SUMIF(入出金予定表!$A$2:$A$2000,"その他販管費",入出金予定表!T$2:T$2000)</f>
        <v>0</v>
      </c>
      <c r="V20" s="160">
        <f>SUMIF(入出金予定表!$A$2:$A$2000,"その他販管費",入出金予定表!U$2:U$2000)</f>
        <v>0</v>
      </c>
      <c r="W20" s="160">
        <f>SUMIF(入出金予定表!$A$2:$A$2000,"その他販管費",入出金予定表!V$2:V$2000)</f>
        <v>0</v>
      </c>
      <c r="X20" s="160">
        <f>SUMIF(入出金予定表!$A$2:$A$2000,"その他販管費",入出金予定表!W$2:W$2000)</f>
        <v>0</v>
      </c>
      <c r="Y20" s="160">
        <f>SUMIF(入出金予定表!$A$2:$A$2000,"その他販管費",入出金予定表!X$2:X$2000)</f>
        <v>0</v>
      </c>
      <c r="Z20" s="160">
        <f>SUMIF(入出金予定表!$A$2:$A$2000,"その他販管費",入出金予定表!Y$2:Y$2000)</f>
        <v>0</v>
      </c>
      <c r="AA20" s="160">
        <f>SUMIF(入出金予定表!$A$2:$A$2000,"その他販管費",入出金予定表!Z$2:Z$2000)</f>
        <v>0</v>
      </c>
      <c r="AB20" s="160">
        <f t="shared" si="2"/>
        <v>0</v>
      </c>
      <c r="AC20" s="160" t="str">
        <f t="shared" si="9"/>
        <v>その他販管費</v>
      </c>
      <c r="AD20" s="160">
        <f>SUMIF(入出金予定表!$A$2:$A$2000,"その他販管費",入出金予定表!AA$2:AA$2000)</f>
        <v>0</v>
      </c>
      <c r="AE20" s="160">
        <f>SUMIF(入出金予定表!$A$2:$A$2000,"その他販管費",入出金予定表!AB$2:AB$2000)</f>
        <v>0</v>
      </c>
      <c r="AF20" s="160">
        <f>SUMIF(入出金予定表!$A$2:$A$2000,"その他販管費",入出金予定表!AC$2:AC$2000)</f>
        <v>0</v>
      </c>
      <c r="AG20" s="160">
        <f>SUMIF(入出金予定表!$A$2:$A$2000,"その他販管費",入出金予定表!AD$2:AD$2000)</f>
        <v>0</v>
      </c>
      <c r="AH20" s="160">
        <f>SUMIF(入出金予定表!$A$2:$A$2000,"その他販管費",入出金予定表!AE$2:AE$2000)</f>
        <v>0</v>
      </c>
      <c r="AI20" s="160">
        <f>SUMIF(入出金予定表!$A$2:$A$2000,"その他販管費",入出金予定表!AF$2:AF$2000)</f>
        <v>0</v>
      </c>
      <c r="AJ20" s="160">
        <f>SUMIF(入出金予定表!$A$2:$A$2000,"その他販管費",入出金予定表!AG$2:AG$2000)</f>
        <v>0</v>
      </c>
      <c r="AK20" s="160">
        <f>SUMIF(入出金予定表!$A$2:$A$2000,"その他販管費",入出金予定表!AH$2:AH$2000)</f>
        <v>0</v>
      </c>
      <c r="AL20" s="160">
        <f>SUMIF(入出金予定表!$A$2:$A$2000,"その他販管費",入出金予定表!AI$2:AI$2000)</f>
        <v>0</v>
      </c>
      <c r="AM20" s="160">
        <f>SUMIF(入出金予定表!$A$2:$A$2000,"その他販管費",入出金予定表!AJ$2:AJ$2000)</f>
        <v>0</v>
      </c>
      <c r="AN20" s="160">
        <f>SUMIF(入出金予定表!$A$2:$A$2000,"その他販管費",入出金予定表!AK$2:AK$2000)</f>
        <v>0</v>
      </c>
      <c r="AO20" s="160">
        <f>SUMIF(入出金予定表!$A$2:$A$2000,"その他販管費",入出金予定表!AL$2:AL$2000)</f>
        <v>0</v>
      </c>
      <c r="AP20" s="160">
        <f t="shared" si="4"/>
        <v>0</v>
      </c>
    </row>
    <row r="21" spans="1:42" ht="15">
      <c r="A21" s="170" t="str">
        <f>資金繰り実績表!A19</f>
        <v>その他経常支出</v>
      </c>
      <c r="B21" s="160">
        <f>SUMIF(入出金予定表!$A$2:$A$2000,"その他経常支出",入出金予定表!C$2:C$2000)</f>
        <v>0</v>
      </c>
      <c r="C21" s="160">
        <f>SUMIF(入出金予定表!$A$2:$A$2000,"その他経常支出",入出金予定表!D$2:D$2000)</f>
        <v>240000</v>
      </c>
      <c r="D21" s="160">
        <f>SUMIF(入出金予定表!$A$2:$A$2000,"その他経常支出",入出金予定表!E$2:E$2000)</f>
        <v>487904</v>
      </c>
      <c r="E21" s="160">
        <f>SUMIF(入出金予定表!$A$2:$A$2000,"その他経常支出",入出金予定表!F$2:F$2000)</f>
        <v>0</v>
      </c>
      <c r="F21" s="160">
        <f>SUMIF(入出金予定表!$A$2:$A$2000,"その他経常支出",入出金予定表!G$2:G$2000)</f>
        <v>166550</v>
      </c>
      <c r="G21" s="160">
        <f>SUMIF(入出金予定表!$A$2:$A$2000,"その他経常支出",入出金予定表!H$2:H$2000)</f>
        <v>1154000</v>
      </c>
      <c r="H21" s="160">
        <f>SUMIF(入出金予定表!$A$2:$A$2000,"その他経常支出",入出金予定表!I$2:I$2000)</f>
        <v>740000</v>
      </c>
      <c r="I21" s="160">
        <f>SUMIF(入出金予定表!$A$2:$A$2000,"その他経常支出",入出金予定表!J$2:J$2000)</f>
        <v>620000</v>
      </c>
      <c r="J21" s="160">
        <f>SUMIF(入出金予定表!$A$2:$A$2000,"その他経常支出",入出金予定表!K$2:K$2000)</f>
        <v>500000</v>
      </c>
      <c r="K21" s="160">
        <f>SUMIF(入出金予定表!$A$2:$A$2000,"その他経常支出",入出金予定表!L$2:L$2000)</f>
        <v>0</v>
      </c>
      <c r="L21" s="160">
        <f>SUMIF(入出金予定表!$A$2:$A$2000,"その他経常支出",入出金予定表!M$2:M$2000)</f>
        <v>0</v>
      </c>
      <c r="M21" s="160">
        <f>SUMIF(入出金予定表!$A$2:$A$2000,"その他経常支出",入出金予定表!N$2:N$2000)</f>
        <v>0</v>
      </c>
      <c r="N21" s="160">
        <f t="shared" si="0"/>
        <v>3908454</v>
      </c>
      <c r="O21" s="153" t="str">
        <f t="shared" si="8"/>
        <v>その他経常支出</v>
      </c>
      <c r="P21" s="160">
        <f>SUMIF(入出金予定表!$A$2:$A$2000,"その他経常支出",入出金予定表!O$2:O$2000)</f>
        <v>0</v>
      </c>
      <c r="Q21" s="160">
        <f>SUMIF(入出金予定表!$A$2:$A$2000,"その他経常支出",入出金予定表!P$2:P$2000)</f>
        <v>0</v>
      </c>
      <c r="R21" s="160">
        <f>SUMIF(入出金予定表!$A$2:$A$2000,"その他経常支出",入出金予定表!Q$2:Q$2000)</f>
        <v>0</v>
      </c>
      <c r="S21" s="160">
        <f>SUMIF(入出金予定表!$A$2:$A$2000,"その他経常支出",入出金予定表!R$2:R$2000)</f>
        <v>0</v>
      </c>
      <c r="T21" s="160">
        <f>SUMIF(入出金予定表!$A$2:$A$2000,"その他経常支出",入出金予定表!S$2:S$2000)</f>
        <v>0</v>
      </c>
      <c r="U21" s="160">
        <f>SUMIF(入出金予定表!$A$2:$A$2000,"その他経常支出",入出金予定表!T$2:T$2000)</f>
        <v>0</v>
      </c>
      <c r="V21" s="160">
        <f>SUMIF(入出金予定表!$A$2:$A$2000,"その他経常支出",入出金予定表!U$2:U$2000)</f>
        <v>0</v>
      </c>
      <c r="W21" s="160">
        <f>SUMIF(入出金予定表!$A$2:$A$2000,"その他経常支出",入出金予定表!V$2:V$2000)</f>
        <v>0</v>
      </c>
      <c r="X21" s="160">
        <f>SUMIF(入出金予定表!$A$2:$A$2000,"その他経常支出",入出金予定表!W$2:W$2000)</f>
        <v>0</v>
      </c>
      <c r="Y21" s="160">
        <f>SUMIF(入出金予定表!$A$2:$A$2000,"その他経常支出",入出金予定表!X$2:X$2000)</f>
        <v>0</v>
      </c>
      <c r="Z21" s="160">
        <f>SUMIF(入出金予定表!$A$2:$A$2000,"その他経常支出",入出金予定表!Y$2:Y$2000)</f>
        <v>0</v>
      </c>
      <c r="AA21" s="160">
        <f>SUMIF(入出金予定表!$A$2:$A$2000,"その他経常支出",入出金予定表!Z$2:Z$2000)</f>
        <v>0</v>
      </c>
      <c r="AB21" s="160">
        <f t="shared" si="2"/>
        <v>0</v>
      </c>
      <c r="AC21" s="160" t="str">
        <f t="shared" si="9"/>
        <v>その他経常支出</v>
      </c>
      <c r="AD21" s="160">
        <f>SUMIF(入出金予定表!$A$2:$A$2000,"その他経常支出",入出金予定表!AA$2:AA$2000)</f>
        <v>0</v>
      </c>
      <c r="AE21" s="160">
        <f>SUMIF(入出金予定表!$A$2:$A$2000,"その他経常支出",入出金予定表!AB$2:AB$2000)</f>
        <v>0</v>
      </c>
      <c r="AF21" s="160">
        <f>SUMIF(入出金予定表!$A$2:$A$2000,"その他経常支出",入出金予定表!AC$2:AC$2000)</f>
        <v>0</v>
      </c>
      <c r="AG21" s="160">
        <f>SUMIF(入出金予定表!$A$2:$A$2000,"その他経常支出",入出金予定表!AD$2:AD$2000)</f>
        <v>0</v>
      </c>
      <c r="AH21" s="160">
        <f>SUMIF(入出金予定表!$A$2:$A$2000,"その他経常支出",入出金予定表!AE$2:AE$2000)</f>
        <v>0</v>
      </c>
      <c r="AI21" s="160">
        <f>SUMIF(入出金予定表!$A$2:$A$2000,"その他経常支出",入出金予定表!AF$2:AF$2000)</f>
        <v>0</v>
      </c>
      <c r="AJ21" s="160">
        <f>SUMIF(入出金予定表!$A$2:$A$2000,"その他経常支出",入出金予定表!AG$2:AG$2000)</f>
        <v>0</v>
      </c>
      <c r="AK21" s="160">
        <f>SUMIF(入出金予定表!$A$2:$A$2000,"その他経常支出",入出金予定表!AH$2:AH$2000)</f>
        <v>0</v>
      </c>
      <c r="AL21" s="160">
        <f>SUMIF(入出金予定表!$A$2:$A$2000,"その他経常支出",入出金予定表!AI$2:AI$2000)</f>
        <v>0</v>
      </c>
      <c r="AM21" s="160">
        <f>SUMIF(入出金予定表!$A$2:$A$2000,"その他経常支出",入出金予定表!AJ$2:AJ$2000)</f>
        <v>0</v>
      </c>
      <c r="AN21" s="160">
        <f>SUMIF(入出金予定表!$A$2:$A$2000,"その他経常支出",入出金予定表!AK$2:AK$2000)</f>
        <v>0</v>
      </c>
      <c r="AO21" s="160">
        <f>SUMIF(入出金予定表!$A$2:$A$2000,"その他経常支出",入出金予定表!AL$2:AL$2000)</f>
        <v>0</v>
      </c>
      <c r="AP21" s="160">
        <f t="shared" si="4"/>
        <v>0</v>
      </c>
    </row>
    <row r="22" spans="1:42" ht="15">
      <c r="A22" s="170" t="str">
        <f>資金繰り実績表!A20</f>
        <v>現金引出し・QR決済</v>
      </c>
      <c r="B22" s="160">
        <f>SUMIF(入出金予定表!$A$2:$A$2000,"現金引出し・QR決済",入出金予定表!C$2:C$2000)</f>
        <v>2445715</v>
      </c>
      <c r="C22" s="160">
        <f>SUMIF(入出金予定表!$A$2:$A$2000,"現金引出し・QR決済",入出金予定表!D$2:D$2000)</f>
        <v>500000</v>
      </c>
      <c r="D22" s="160">
        <f>SUMIF(入出金予定表!$A$2:$A$2000,"現金引出し・QR決済",入出金予定表!E$2:E$2000)</f>
        <v>400110</v>
      </c>
      <c r="E22" s="160">
        <f>SUMIF(入出金予定表!$A$2:$A$2000,"現金引出し・QR決済",入出金予定表!F$2:F$2000)</f>
        <v>0</v>
      </c>
      <c r="F22" s="160">
        <f>SUMIF(入出金予定表!$A$2:$A$2000,"現金引出し・QR決済",入出金予定表!G$2:G$2000)</f>
        <v>0</v>
      </c>
      <c r="G22" s="160">
        <f>SUMIF(入出金予定表!$A$2:$A$2000,"現金引出し・QR決済",入出金予定表!H$2:H$2000)</f>
        <v>0</v>
      </c>
      <c r="H22" s="160">
        <f>SUMIF(入出金予定表!$A$2:$A$2000,"現金引出し・QR決済",入出金予定表!I$2:I$2000)</f>
        <v>0</v>
      </c>
      <c r="I22" s="160">
        <f>SUMIF(入出金予定表!$A$2:$A$2000,"現金引出し・QR決済",入出金予定表!J$2:J$2000)</f>
        <v>0</v>
      </c>
      <c r="J22" s="160">
        <f>SUMIF(入出金予定表!$A$2:$A$2000,"現金引出し・QR決済",入出金予定表!K$2:K$2000)</f>
        <v>0</v>
      </c>
      <c r="K22" s="160">
        <f>SUMIF(入出金予定表!$A$2:$A$2000,"現金引出し・QR決済",入出金予定表!L$2:L$2000)</f>
        <v>0</v>
      </c>
      <c r="L22" s="160">
        <f>SUMIF(入出金予定表!$A$2:$A$2000,"現金引出し・QR決済",入出金予定表!M$2:M$2000)</f>
        <v>0</v>
      </c>
      <c r="M22" s="160">
        <f>SUMIF(入出金予定表!$A$2:$A$2000,"現金引出し・QR決済",入出金予定表!N$2:N$2000)</f>
        <v>0</v>
      </c>
      <c r="N22" s="160">
        <f t="shared" si="0"/>
        <v>3345825</v>
      </c>
      <c r="O22" s="153" t="str">
        <f t="shared" si="8"/>
        <v>現金引出し・QR決済</v>
      </c>
      <c r="P22" s="160">
        <f>SUMIF(入出金予定表!$A$2:$A$2000,"現金引出し・QR決済",入出金予定表!O$2:O$2000)</f>
        <v>0</v>
      </c>
      <c r="Q22" s="160">
        <f>SUMIF(入出金予定表!$A$2:$A$2000,"現金引出し・QR決済",入出金予定表!P$2:P$2000)</f>
        <v>0</v>
      </c>
      <c r="R22" s="160">
        <f>SUMIF(入出金予定表!$A$2:$A$2000,"現金引出し・QR決済",入出金予定表!Q$2:Q$2000)</f>
        <v>0</v>
      </c>
      <c r="S22" s="160">
        <f>SUMIF(入出金予定表!$A$2:$A$2000,"現金引出し・QR決済",入出金予定表!R$2:R$2000)</f>
        <v>0</v>
      </c>
      <c r="T22" s="160">
        <f>SUMIF(入出金予定表!$A$2:$A$2000,"現金引出し・QR決済",入出金予定表!S$2:S$2000)</f>
        <v>0</v>
      </c>
      <c r="U22" s="160">
        <f>SUMIF(入出金予定表!$A$2:$A$2000,"現金引出し・QR決済",入出金予定表!T$2:T$2000)</f>
        <v>0</v>
      </c>
      <c r="V22" s="160">
        <f>SUMIF(入出金予定表!$A$2:$A$2000,"現金引出し・QR決済",入出金予定表!U$2:U$2000)</f>
        <v>0</v>
      </c>
      <c r="W22" s="160">
        <f>SUMIF(入出金予定表!$A$2:$A$2000,"現金引出し・QR決済",入出金予定表!V$2:V$2000)</f>
        <v>0</v>
      </c>
      <c r="X22" s="160">
        <f>SUMIF(入出金予定表!$A$2:$A$2000,"現金引出し・QR決済",入出金予定表!W$2:W$2000)</f>
        <v>0</v>
      </c>
      <c r="Y22" s="160">
        <f>SUMIF(入出金予定表!$A$2:$A$2000,"現金引出し・QR決済",入出金予定表!X$2:X$2000)</f>
        <v>0</v>
      </c>
      <c r="Z22" s="160">
        <f>SUMIF(入出金予定表!$A$2:$A$2000,"現金引出し・QR決済",入出金予定表!Y$2:Y$2000)</f>
        <v>0</v>
      </c>
      <c r="AA22" s="160">
        <f>SUMIF(入出金予定表!$A$2:$A$2000,"現金引出し・QR決済",入出金予定表!Z$2:Z$2000)</f>
        <v>0</v>
      </c>
      <c r="AB22" s="160">
        <f t="shared" si="2"/>
        <v>0</v>
      </c>
      <c r="AC22" s="160" t="str">
        <f t="shared" si="9"/>
        <v>現金引出し・QR決済</v>
      </c>
      <c r="AD22" s="160">
        <f>SUMIF(入出金予定表!$A$2:$A$2000,"現金引出し・QR決済",入出金予定表!AA$2:AA$2000)</f>
        <v>0</v>
      </c>
      <c r="AE22" s="160">
        <f>SUMIF(入出金予定表!$A$2:$A$2000,"現金引出し・QR決済",入出金予定表!AB$2:AB$2000)</f>
        <v>0</v>
      </c>
      <c r="AF22" s="160">
        <f>SUMIF(入出金予定表!$A$2:$A$2000,"現金引出し・QR決済",入出金予定表!AC$2:AC$2000)</f>
        <v>0</v>
      </c>
      <c r="AG22" s="160">
        <f>SUMIF(入出金予定表!$A$2:$A$2000,"現金引出し・QR決済",入出金予定表!AD$2:AD$2000)</f>
        <v>0</v>
      </c>
      <c r="AH22" s="160">
        <f>SUMIF(入出金予定表!$A$2:$A$2000,"現金引出し・QR決済",入出金予定表!AE$2:AE$2000)</f>
        <v>0</v>
      </c>
      <c r="AI22" s="160">
        <f>SUMIF(入出金予定表!$A$2:$A$2000,"現金引出し・QR決済",入出金予定表!AF$2:AF$2000)</f>
        <v>0</v>
      </c>
      <c r="AJ22" s="160">
        <f>SUMIF(入出金予定表!$A$2:$A$2000,"現金引出し・QR決済",入出金予定表!AG$2:AG$2000)</f>
        <v>0</v>
      </c>
      <c r="AK22" s="160">
        <f>SUMIF(入出金予定表!$A$2:$A$2000,"現金引出し・QR決済",入出金予定表!AH$2:AH$2000)</f>
        <v>0</v>
      </c>
      <c r="AL22" s="160">
        <f>SUMIF(入出金予定表!$A$2:$A$2000,"現金引出し・QR決済",入出金予定表!AI$2:AI$2000)</f>
        <v>0</v>
      </c>
      <c r="AM22" s="160">
        <f>SUMIF(入出金予定表!$A$2:$A$2000,"現金引出し・QR決済",入出金予定表!AJ$2:AJ$2000)</f>
        <v>0</v>
      </c>
      <c r="AN22" s="160">
        <f>SUMIF(入出金予定表!$A$2:$A$2000,"現金引出し・QR決済",入出金予定表!AK$2:AK$2000)</f>
        <v>0</v>
      </c>
      <c r="AO22" s="160">
        <f>SUMIF(入出金予定表!$A$2:$A$2000,"現金引出し・QR決済",入出金予定表!AL$2:AL$2000)</f>
        <v>0</v>
      </c>
      <c r="AP22" s="160">
        <f t="shared" si="4"/>
        <v>0</v>
      </c>
    </row>
    <row r="23" spans="1:42" ht="15">
      <c r="A23" s="170" t="str">
        <f>資金繰り実績表!A21</f>
        <v>クレジットカード支払い</v>
      </c>
      <c r="B23" s="160">
        <f>SUMIF(入出金予定表!$A$2:$A$2000,"クレジットカード支払い",入出金予定表!C$2:C$2000)</f>
        <v>1168512</v>
      </c>
      <c r="C23" s="160">
        <f>SUMIF(入出金予定表!$A$2:$A$2000,"クレジットカード支払い",入出金予定表!D$2:D$2000)</f>
        <v>1438835</v>
      </c>
      <c r="D23" s="160">
        <f>SUMIF(入出金予定表!$A$2:$A$2000,"クレジットカード支払い",入出金予定表!E$2:E$2000)</f>
        <v>1117344</v>
      </c>
      <c r="E23" s="160">
        <f>SUMIF(入出金予定表!$A$2:$A$2000,"クレジットカード支払い",入出金予定表!F$2:F$2000)</f>
        <v>4277837</v>
      </c>
      <c r="F23" s="160">
        <f>SUMIF(入出金予定表!$A$2:$A$2000,"クレジットカード支払い",入出金予定表!G$2:G$2000)</f>
        <v>2359073</v>
      </c>
      <c r="G23" s="160">
        <f>SUMIF(入出金予定表!$A$2:$A$2000,"クレジットカード支払い",入出金予定表!H$2:H$2000)</f>
        <v>1298814</v>
      </c>
      <c r="H23" s="160">
        <f>SUMIF(入出金予定表!$A$2:$A$2000,"クレジットカード支払い",入出金予定表!I$2:I$2000)</f>
        <v>1629718</v>
      </c>
      <c r="I23" s="160">
        <f>SUMIF(入出金予定表!$A$2:$A$2000,"クレジットカード支払い",入出金予定表!J$2:J$2000)</f>
        <v>1923013</v>
      </c>
      <c r="J23" s="160">
        <f>SUMIF(入出金予定表!$A$2:$A$2000,"クレジットカード支払い",入出金予定表!K$2:K$2000)</f>
        <v>2734390</v>
      </c>
      <c r="K23" s="160">
        <f>SUMIF(入出金予定表!$A$2:$A$2000,"クレジットカード支払い",入出金予定表!L$2:L$2000)</f>
        <v>0</v>
      </c>
      <c r="L23" s="160">
        <f>SUMIF(入出金予定表!$A$2:$A$2000,"クレジットカード支払い",入出金予定表!M$2:M$2000)</f>
        <v>0</v>
      </c>
      <c r="M23" s="160">
        <f>SUMIF(入出金予定表!$A$2:$A$2000,"クレジットカード支払い",入出金予定表!N$2:N$2000)</f>
        <v>0</v>
      </c>
      <c r="N23" s="160">
        <f t="shared" si="0"/>
        <v>17947536</v>
      </c>
      <c r="O23" s="153" t="str">
        <f t="shared" si="8"/>
        <v>クレジットカード支払い</v>
      </c>
      <c r="P23" s="160">
        <f>SUMIF(入出金予定表!$A$2:$A$2000,"クレジットカード支払い",入出金予定表!O$2:O$2000)</f>
        <v>0</v>
      </c>
      <c r="Q23" s="160">
        <f>SUMIF(入出金予定表!$A$2:$A$2000,"クレジットカード支払い",入出金予定表!P$2:P$2000)</f>
        <v>0</v>
      </c>
      <c r="R23" s="160">
        <f>SUMIF(入出金予定表!$A$2:$A$2000,"クレジットカード支払い",入出金予定表!Q$2:Q$2000)</f>
        <v>0</v>
      </c>
      <c r="S23" s="160">
        <f>SUMIF(入出金予定表!$A$2:$A$2000,"クレジットカード支払い",入出金予定表!R$2:R$2000)</f>
        <v>0</v>
      </c>
      <c r="T23" s="160">
        <f>SUMIF(入出金予定表!$A$2:$A$2000,"クレジットカード支払い",入出金予定表!S$2:S$2000)</f>
        <v>0</v>
      </c>
      <c r="U23" s="160">
        <f>SUMIF(入出金予定表!$A$2:$A$2000,"クレジットカード支払い",入出金予定表!T$2:T$2000)</f>
        <v>0</v>
      </c>
      <c r="V23" s="160">
        <f>SUMIF(入出金予定表!$A$2:$A$2000,"クレジットカード支払い",入出金予定表!U$2:U$2000)</f>
        <v>0</v>
      </c>
      <c r="W23" s="160">
        <f>SUMIF(入出金予定表!$A$2:$A$2000,"クレジットカード支払い",入出金予定表!V$2:V$2000)</f>
        <v>0</v>
      </c>
      <c r="X23" s="160">
        <f>SUMIF(入出金予定表!$A$2:$A$2000,"クレジットカード支払い",入出金予定表!W$2:W$2000)</f>
        <v>0</v>
      </c>
      <c r="Y23" s="160">
        <f>SUMIF(入出金予定表!$A$2:$A$2000,"クレジットカード支払い",入出金予定表!X$2:X$2000)</f>
        <v>0</v>
      </c>
      <c r="Z23" s="160">
        <f>SUMIF(入出金予定表!$A$2:$A$2000,"クレジットカード支払い",入出金予定表!Y$2:Y$2000)</f>
        <v>0</v>
      </c>
      <c r="AA23" s="160">
        <f>SUMIF(入出金予定表!$A$2:$A$2000,"クレジットカード支払い",入出金予定表!Z$2:Z$2000)</f>
        <v>0</v>
      </c>
      <c r="AB23" s="160">
        <f t="shared" si="2"/>
        <v>0</v>
      </c>
      <c r="AC23" s="160" t="str">
        <f t="shared" si="9"/>
        <v>クレジットカード支払い</v>
      </c>
      <c r="AD23" s="160">
        <f>SUMIF(入出金予定表!$A$2:$A$2000,"クレジットカード支払い",入出金予定表!AA$2:AA$2000)</f>
        <v>0</v>
      </c>
      <c r="AE23" s="160">
        <f>SUMIF(入出金予定表!$A$2:$A$2000,"クレジットカード支払い",入出金予定表!AB$2:AB$2000)</f>
        <v>0</v>
      </c>
      <c r="AF23" s="160">
        <f>SUMIF(入出金予定表!$A$2:$A$2000,"クレジットカード支払い",入出金予定表!AC$2:AC$2000)</f>
        <v>0</v>
      </c>
      <c r="AG23" s="160">
        <f>SUMIF(入出金予定表!$A$2:$A$2000,"クレジットカード支払い",入出金予定表!AD$2:AD$2000)</f>
        <v>0</v>
      </c>
      <c r="AH23" s="160">
        <f>SUMIF(入出金予定表!$A$2:$A$2000,"クレジットカード支払い",入出金予定表!AE$2:AE$2000)</f>
        <v>0</v>
      </c>
      <c r="AI23" s="160">
        <f>SUMIF(入出金予定表!$A$2:$A$2000,"クレジットカード支払い",入出金予定表!AF$2:AF$2000)</f>
        <v>0</v>
      </c>
      <c r="AJ23" s="160">
        <f>SUMIF(入出金予定表!$A$2:$A$2000,"クレジットカード支払い",入出金予定表!AG$2:AG$2000)</f>
        <v>0</v>
      </c>
      <c r="AK23" s="160">
        <f>SUMIF(入出金予定表!$A$2:$A$2000,"クレジットカード支払い",入出金予定表!AH$2:AH$2000)</f>
        <v>0</v>
      </c>
      <c r="AL23" s="160">
        <f>SUMIF(入出金予定表!$A$2:$A$2000,"クレジットカード支払い",入出金予定表!AI$2:AI$2000)</f>
        <v>0</v>
      </c>
      <c r="AM23" s="160">
        <f>SUMIF(入出金予定表!$A$2:$A$2000,"クレジットカード支払い",入出金予定表!AJ$2:AJ$2000)</f>
        <v>0</v>
      </c>
      <c r="AN23" s="160">
        <f>SUMIF(入出金予定表!$A$2:$A$2000,"クレジットカード支払い",入出金予定表!AK$2:AK$2000)</f>
        <v>0</v>
      </c>
      <c r="AO23" s="160">
        <f>SUMIF(入出金予定表!$A$2:$A$2000,"クレジットカード支払い",入出金予定表!AL$2:AL$2000)</f>
        <v>0</v>
      </c>
      <c r="AP23" s="160">
        <f t="shared" si="4"/>
        <v>0</v>
      </c>
    </row>
    <row r="24" spans="1:42" ht="15">
      <c r="A24" s="170" t="str">
        <f>資金繰り実績表!A22</f>
        <v>消費税・租税公課</v>
      </c>
      <c r="B24" s="160">
        <f>SUMIF(入出金予定表!$A$2:$A$2000,"消費税・租税公課",入出金予定表!C$2:C$2000)</f>
        <v>0</v>
      </c>
      <c r="C24" s="160">
        <f>SUMIF(入出金予定表!$A$2:$A$2000,"消費税・租税公課",入出金予定表!D$2:D$2000)</f>
        <v>0</v>
      </c>
      <c r="D24" s="160">
        <f>SUMIF(入出金予定表!$A$2:$A$2000,"消費税・租税公課",入出金予定表!E$2:E$2000)</f>
        <v>0</v>
      </c>
      <c r="E24" s="160">
        <f>SUMIF(入出金予定表!$A$2:$A$2000,"消費税・租税公課",入出金予定表!F$2:F$2000)</f>
        <v>0</v>
      </c>
      <c r="F24" s="160">
        <f>SUMIF(入出金予定表!$A$2:$A$2000,"消費税・租税公課",入出金予定表!G$2:G$2000)</f>
        <v>60400</v>
      </c>
      <c r="G24" s="160">
        <f>SUMIF(入出金予定表!$A$2:$A$2000,"消費税・租税公課",入出金予定表!H$2:H$2000)</f>
        <v>0</v>
      </c>
      <c r="H24" s="160">
        <f>SUMIF(入出金予定表!$A$2:$A$2000,"消費税・租税公課",入出金予定表!I$2:I$2000)</f>
        <v>0</v>
      </c>
      <c r="I24" s="160">
        <f>SUMIF(入出金予定表!$A$2:$A$2000,"消費税・租税公課",入出金予定表!J$2:J$2000)</f>
        <v>0</v>
      </c>
      <c r="J24" s="160">
        <f>SUMIF(入出金予定表!$A$2:$A$2000,"消費税・租税公課",入出金予定表!K$2:K$2000)</f>
        <v>0</v>
      </c>
      <c r="K24" s="160">
        <f>SUMIF(入出金予定表!$A$2:$A$2000,"消費税・租税公課",入出金予定表!L$2:L$2000)</f>
        <v>0</v>
      </c>
      <c r="L24" s="160">
        <f>SUMIF(入出金予定表!$A$2:$A$2000,"消費税・租税公課",入出金予定表!M$2:M$2000)</f>
        <v>0</v>
      </c>
      <c r="M24" s="160">
        <f>SUMIF(入出金予定表!$A$2:$A$2000,"消費税・租税公課",入出金予定表!N$2:N$2000)</f>
        <v>0</v>
      </c>
      <c r="N24" s="160">
        <f t="shared" si="0"/>
        <v>60400</v>
      </c>
      <c r="O24" s="153" t="str">
        <f t="shared" si="8"/>
        <v>消費税・租税公課</v>
      </c>
      <c r="P24" s="160">
        <f>SUMIF(入出金予定表!$A$2:$A$2000,"消費税・租税公課",入出金予定表!O$2:O$2000)</f>
        <v>0</v>
      </c>
      <c r="Q24" s="160">
        <f>SUMIF(入出金予定表!$A$2:$A$2000,"消費税・租税公課",入出金予定表!P$2:P$2000)</f>
        <v>0</v>
      </c>
      <c r="R24" s="160">
        <f>SUMIF(入出金予定表!$A$2:$A$2000,"消費税・租税公課",入出金予定表!Q$2:Q$2000)</f>
        <v>0</v>
      </c>
      <c r="S24" s="160">
        <f>SUMIF(入出金予定表!$A$2:$A$2000,"消費税・租税公課",入出金予定表!R$2:R$2000)</f>
        <v>0</v>
      </c>
      <c r="T24" s="160">
        <f>SUMIF(入出金予定表!$A$2:$A$2000,"消費税・租税公課",入出金予定表!S$2:S$2000)</f>
        <v>0</v>
      </c>
      <c r="U24" s="160">
        <f>SUMIF(入出金予定表!$A$2:$A$2000,"消費税・租税公課",入出金予定表!T$2:T$2000)</f>
        <v>0</v>
      </c>
      <c r="V24" s="160">
        <f>SUMIF(入出金予定表!$A$2:$A$2000,"消費税・租税公課",入出金予定表!U$2:U$2000)</f>
        <v>0</v>
      </c>
      <c r="W24" s="160">
        <f>SUMIF(入出金予定表!$A$2:$A$2000,"消費税・租税公課",入出金予定表!V$2:V$2000)</f>
        <v>0</v>
      </c>
      <c r="X24" s="160">
        <f>SUMIF(入出金予定表!$A$2:$A$2000,"消費税・租税公課",入出金予定表!W$2:W$2000)</f>
        <v>0</v>
      </c>
      <c r="Y24" s="160">
        <f>SUMIF(入出金予定表!$A$2:$A$2000,"消費税・租税公課",入出金予定表!X$2:X$2000)</f>
        <v>0</v>
      </c>
      <c r="Z24" s="160">
        <f>SUMIF(入出金予定表!$A$2:$A$2000,"消費税・租税公課",入出金予定表!Y$2:Y$2000)</f>
        <v>0</v>
      </c>
      <c r="AA24" s="160">
        <f>SUMIF(入出金予定表!$A$2:$A$2000,"消費税・租税公課",入出金予定表!Z$2:Z$2000)</f>
        <v>0</v>
      </c>
      <c r="AB24" s="160">
        <f t="shared" si="2"/>
        <v>0</v>
      </c>
      <c r="AC24" s="160" t="str">
        <f t="shared" si="9"/>
        <v>消費税・租税公課</v>
      </c>
      <c r="AD24" s="160">
        <f>SUMIF(入出金予定表!$A$2:$A$2000,"消費税・租税公課",入出金予定表!AA$2:AA$2000)</f>
        <v>0</v>
      </c>
      <c r="AE24" s="160">
        <f>SUMIF(入出金予定表!$A$2:$A$2000,"消費税・租税公課",入出金予定表!AB$2:AB$2000)</f>
        <v>0</v>
      </c>
      <c r="AF24" s="160">
        <f>SUMIF(入出金予定表!$A$2:$A$2000,"消費税・租税公課",入出金予定表!AC$2:AC$2000)</f>
        <v>0</v>
      </c>
      <c r="AG24" s="160">
        <f>SUMIF(入出金予定表!$A$2:$A$2000,"消費税・租税公課",入出金予定表!AD$2:AD$2000)</f>
        <v>0</v>
      </c>
      <c r="AH24" s="160">
        <f>SUMIF(入出金予定表!$A$2:$A$2000,"消費税・租税公課",入出金予定表!AE$2:AE$2000)</f>
        <v>0</v>
      </c>
      <c r="AI24" s="160">
        <f>SUMIF(入出金予定表!$A$2:$A$2000,"消費税・租税公課",入出金予定表!AF$2:AF$2000)</f>
        <v>0</v>
      </c>
      <c r="AJ24" s="160">
        <f>SUMIF(入出金予定表!$A$2:$A$2000,"消費税・租税公課",入出金予定表!AG$2:AG$2000)</f>
        <v>0</v>
      </c>
      <c r="AK24" s="160">
        <f>SUMIF(入出金予定表!$A$2:$A$2000,"消費税・租税公課",入出金予定表!AH$2:AH$2000)</f>
        <v>0</v>
      </c>
      <c r="AL24" s="160">
        <f>SUMIF(入出金予定表!$A$2:$A$2000,"消費税・租税公課",入出金予定表!AI$2:AI$2000)</f>
        <v>0</v>
      </c>
      <c r="AM24" s="160">
        <f>SUMIF(入出金予定表!$A$2:$A$2000,"消費税・租税公課",入出金予定表!AJ$2:AJ$2000)</f>
        <v>0</v>
      </c>
      <c r="AN24" s="160">
        <f>SUMIF(入出金予定表!$A$2:$A$2000,"消費税・租税公課",入出金予定表!AK$2:AK$2000)</f>
        <v>0</v>
      </c>
      <c r="AO24" s="160">
        <f>SUMIF(入出金予定表!$A$2:$A$2000,"消費税・租税公課",入出金予定表!AL$2:AL$2000)</f>
        <v>0</v>
      </c>
      <c r="AP24" s="160">
        <f t="shared" si="4"/>
        <v>0</v>
      </c>
    </row>
    <row r="25" spans="1:42" ht="15">
      <c r="A25" s="170" t="str">
        <f>資金繰り実績表!A23</f>
        <v>事業主貸（個人事業）</v>
      </c>
      <c r="B25" s="160">
        <f>SUMIF(入出金予定表!$A$2:$A$2000,"事業主貸（個人事業）",入出金予定表!C$2:C$2000)</f>
        <v>0</v>
      </c>
      <c r="C25" s="160">
        <f>SUMIF(入出金予定表!$A$2:$A$2000,"事業主貸（個人事業）",入出金予定表!D$2:D$2000)</f>
        <v>0</v>
      </c>
      <c r="D25" s="160">
        <f>SUMIF(入出金予定表!$A$2:$A$2000,"事業主貸（個人事業）",入出金予定表!E$2:E$2000)</f>
        <v>0</v>
      </c>
      <c r="E25" s="160">
        <f>SUMIF(入出金予定表!$A$2:$A$2000,"事業主貸（個人事業）",入出金予定表!F$2:F$2000)</f>
        <v>0</v>
      </c>
      <c r="F25" s="160">
        <f>SUMIF(入出金予定表!$A$2:$A$2000,"事業主貸（個人事業）",入出金予定表!G$2:G$2000)</f>
        <v>0</v>
      </c>
      <c r="G25" s="160">
        <f>SUMIF(入出金予定表!$A$2:$A$2000,"事業主貸（個人事業）",入出金予定表!H$2:H$2000)</f>
        <v>0</v>
      </c>
      <c r="H25" s="160">
        <f>SUMIF(入出金予定表!$A$2:$A$2000,"事業主貸（個人事業）",入出金予定表!I$2:I$2000)</f>
        <v>0</v>
      </c>
      <c r="I25" s="160">
        <f>SUMIF(入出金予定表!$A$2:$A$2000,"事業主貸（個人事業）",入出金予定表!J$2:J$2000)</f>
        <v>0</v>
      </c>
      <c r="J25" s="160">
        <f>SUMIF(入出金予定表!$A$2:$A$2000,"事業主貸（個人事業）",入出金予定表!K$2:K$2000)</f>
        <v>0</v>
      </c>
      <c r="K25" s="160">
        <f>SUMIF(入出金予定表!$A$2:$A$2000,"事業主貸（個人事業）",入出金予定表!L$2:L$2000)</f>
        <v>0</v>
      </c>
      <c r="L25" s="160">
        <f>SUMIF(入出金予定表!$A$2:$A$2000,"事業主貸（個人事業）",入出金予定表!M$2:M$2000)</f>
        <v>0</v>
      </c>
      <c r="M25" s="160">
        <f>SUMIF(入出金予定表!$A$2:$A$2000,"事業主貸（個人事業）",入出金予定表!N$2:N$2000)</f>
        <v>0</v>
      </c>
      <c r="N25" s="160">
        <f t="shared" si="0"/>
        <v>0</v>
      </c>
      <c r="O25" s="153" t="str">
        <f t="shared" si="8"/>
        <v>事業主貸（個人事業）</v>
      </c>
      <c r="P25" s="160">
        <f>SUMIF(入出金予定表!$A$2:$A$2000,"事業主貸（個人事業）",入出金予定表!O$2:O$2000)</f>
        <v>0</v>
      </c>
      <c r="Q25" s="160">
        <f>SUMIF(入出金予定表!$A$2:$A$2000,"事業主貸（個人事業）",入出金予定表!P$2:P$2000)</f>
        <v>0</v>
      </c>
      <c r="R25" s="160">
        <f>SUMIF(入出金予定表!$A$2:$A$2000,"事業主貸（個人事業）",入出金予定表!Q$2:Q$2000)</f>
        <v>0</v>
      </c>
      <c r="S25" s="160">
        <f>SUMIF(入出金予定表!$A$2:$A$2000,"事業主貸（個人事業）",入出金予定表!R$2:R$2000)</f>
        <v>0</v>
      </c>
      <c r="T25" s="160">
        <f>SUMIF(入出金予定表!$A$2:$A$2000,"事業主貸（個人事業）",入出金予定表!S$2:S$2000)</f>
        <v>0</v>
      </c>
      <c r="U25" s="160">
        <f>SUMIF(入出金予定表!$A$2:$A$2000,"事業主貸（個人事業）",入出金予定表!T$2:T$2000)</f>
        <v>0</v>
      </c>
      <c r="V25" s="160">
        <f>SUMIF(入出金予定表!$A$2:$A$2000,"事業主貸（個人事業）",入出金予定表!U$2:U$2000)</f>
        <v>0</v>
      </c>
      <c r="W25" s="160">
        <f>SUMIF(入出金予定表!$A$2:$A$2000,"事業主貸（個人事業）",入出金予定表!V$2:V$2000)</f>
        <v>0</v>
      </c>
      <c r="X25" s="160">
        <f>SUMIF(入出金予定表!$A$2:$A$2000,"事業主貸（個人事業）",入出金予定表!W$2:W$2000)</f>
        <v>0</v>
      </c>
      <c r="Y25" s="160">
        <f>SUMIF(入出金予定表!$A$2:$A$2000,"事業主貸（個人事業）",入出金予定表!X$2:X$2000)</f>
        <v>0</v>
      </c>
      <c r="Z25" s="160">
        <f>SUMIF(入出金予定表!$A$2:$A$2000,"事業主貸（個人事業）",入出金予定表!Y$2:Y$2000)</f>
        <v>0</v>
      </c>
      <c r="AA25" s="160">
        <f>SUMIF(入出金予定表!$A$2:$A$2000,"事業主貸（個人事業）",入出金予定表!Z$2:Z$2000)</f>
        <v>0</v>
      </c>
      <c r="AB25" s="160">
        <f t="shared" si="2"/>
        <v>0</v>
      </c>
      <c r="AC25" s="160" t="str">
        <f t="shared" si="9"/>
        <v>事業主貸（個人事業）</v>
      </c>
      <c r="AD25" s="160">
        <f>SUMIF(入出金予定表!$A$2:$A$2000,"事業主貸（個人事業）",入出金予定表!AA$2:AA$2000)</f>
        <v>0</v>
      </c>
      <c r="AE25" s="160">
        <f>SUMIF(入出金予定表!$A$2:$A$2000,"事業主貸（個人事業）",入出金予定表!AB$2:AB$2000)</f>
        <v>0</v>
      </c>
      <c r="AF25" s="160">
        <f>SUMIF(入出金予定表!$A$2:$A$2000,"事業主貸（個人事業）",入出金予定表!AC$2:AC$2000)</f>
        <v>0</v>
      </c>
      <c r="AG25" s="160">
        <f>SUMIF(入出金予定表!$A$2:$A$2000,"事業主貸（個人事業）",入出金予定表!AD$2:AD$2000)</f>
        <v>0</v>
      </c>
      <c r="AH25" s="160">
        <f>SUMIF(入出金予定表!$A$2:$A$2000,"事業主貸（個人事業）",入出金予定表!AE$2:AE$2000)</f>
        <v>0</v>
      </c>
      <c r="AI25" s="160">
        <f>SUMIF(入出金予定表!$A$2:$A$2000,"事業主貸（個人事業）",入出金予定表!AF$2:AF$2000)</f>
        <v>0</v>
      </c>
      <c r="AJ25" s="160">
        <f>SUMIF(入出金予定表!$A$2:$A$2000,"事業主貸（個人事業）",入出金予定表!AG$2:AG$2000)</f>
        <v>0</v>
      </c>
      <c r="AK25" s="160">
        <f>SUMIF(入出金予定表!$A$2:$A$2000,"事業主貸（個人事業）",入出金予定表!AH$2:AH$2000)</f>
        <v>0</v>
      </c>
      <c r="AL25" s="160">
        <f>SUMIF(入出金予定表!$A$2:$A$2000,"事業主貸（個人事業）",入出金予定表!AI$2:AI$2000)</f>
        <v>0</v>
      </c>
      <c r="AM25" s="160">
        <f>SUMIF(入出金予定表!$A$2:$A$2000,"事業主貸（個人事業）",入出金予定表!AJ$2:AJ$2000)</f>
        <v>0</v>
      </c>
      <c r="AN25" s="160">
        <f>SUMIF(入出金予定表!$A$2:$A$2000,"事業主貸（個人事業）",入出金予定表!AK$2:AK$2000)</f>
        <v>0</v>
      </c>
      <c r="AO25" s="160">
        <f>SUMIF(入出金予定表!$A$2:$A$2000,"事業主貸（個人事業）",入出金予定表!AL$2:AL$2000)</f>
        <v>0</v>
      </c>
      <c r="AP25" s="160">
        <f t="shared" si="4"/>
        <v>0</v>
      </c>
    </row>
    <row r="26" spans="1:42" ht="15">
      <c r="A26" s="180" t="s">
        <v>50</v>
      </c>
      <c r="B26" s="162">
        <f t="shared" ref="B26:M26" si="10">SUM(B6:B25)</f>
        <v>58795610</v>
      </c>
      <c r="C26" s="162">
        <f t="shared" si="10"/>
        <v>33981537</v>
      </c>
      <c r="D26" s="162">
        <f t="shared" si="10"/>
        <v>29049331</v>
      </c>
      <c r="E26" s="162">
        <f t="shared" si="10"/>
        <v>34584677</v>
      </c>
      <c r="F26" s="162">
        <f t="shared" si="10"/>
        <v>34029338</v>
      </c>
      <c r="G26" s="162">
        <f t="shared" si="10"/>
        <v>42062994</v>
      </c>
      <c r="H26" s="162">
        <f t="shared" si="10"/>
        <v>40764385</v>
      </c>
      <c r="I26" s="162">
        <f t="shared" si="10"/>
        <v>36009981</v>
      </c>
      <c r="J26" s="162">
        <f t="shared" si="10"/>
        <v>28248118</v>
      </c>
      <c r="K26" s="162">
        <f t="shared" si="10"/>
        <v>0</v>
      </c>
      <c r="L26" s="162">
        <f t="shared" si="10"/>
        <v>0</v>
      </c>
      <c r="M26" s="162">
        <f t="shared" si="10"/>
        <v>0</v>
      </c>
      <c r="N26" s="162">
        <f t="shared" si="0"/>
        <v>337525971</v>
      </c>
      <c r="O26" s="163" t="s">
        <v>50</v>
      </c>
      <c r="P26" s="162">
        <f t="shared" ref="P26:AA26" si="11">SUM(P6:P25)</f>
        <v>0</v>
      </c>
      <c r="Q26" s="162">
        <f t="shared" si="11"/>
        <v>0</v>
      </c>
      <c r="R26" s="162">
        <f t="shared" si="11"/>
        <v>0</v>
      </c>
      <c r="S26" s="162">
        <f t="shared" si="11"/>
        <v>0</v>
      </c>
      <c r="T26" s="162">
        <f t="shared" si="11"/>
        <v>0</v>
      </c>
      <c r="U26" s="162">
        <f t="shared" si="11"/>
        <v>0</v>
      </c>
      <c r="V26" s="162">
        <f t="shared" si="11"/>
        <v>0</v>
      </c>
      <c r="W26" s="162">
        <f t="shared" si="11"/>
        <v>0</v>
      </c>
      <c r="X26" s="162">
        <f t="shared" si="11"/>
        <v>0</v>
      </c>
      <c r="Y26" s="162">
        <f t="shared" si="11"/>
        <v>0</v>
      </c>
      <c r="Z26" s="162">
        <f t="shared" si="11"/>
        <v>0</v>
      </c>
      <c r="AA26" s="162">
        <f t="shared" si="11"/>
        <v>0</v>
      </c>
      <c r="AB26" s="162">
        <f t="shared" si="2"/>
        <v>0</v>
      </c>
      <c r="AC26" s="162" t="s">
        <v>50</v>
      </c>
      <c r="AD26" s="162">
        <f t="shared" ref="AD26:AO26" si="12">SUM(AD6:AD25)</f>
        <v>0</v>
      </c>
      <c r="AE26" s="162">
        <f t="shared" si="12"/>
        <v>0</v>
      </c>
      <c r="AF26" s="162">
        <f t="shared" si="12"/>
        <v>0</v>
      </c>
      <c r="AG26" s="162">
        <f t="shared" si="12"/>
        <v>0</v>
      </c>
      <c r="AH26" s="162">
        <f t="shared" si="12"/>
        <v>0</v>
      </c>
      <c r="AI26" s="162">
        <f t="shared" si="12"/>
        <v>0</v>
      </c>
      <c r="AJ26" s="162">
        <f t="shared" si="12"/>
        <v>0</v>
      </c>
      <c r="AK26" s="162">
        <f t="shared" si="12"/>
        <v>0</v>
      </c>
      <c r="AL26" s="162">
        <f t="shared" si="12"/>
        <v>0</v>
      </c>
      <c r="AM26" s="162">
        <f t="shared" si="12"/>
        <v>0</v>
      </c>
      <c r="AN26" s="162">
        <f t="shared" si="12"/>
        <v>0</v>
      </c>
      <c r="AO26" s="162">
        <f t="shared" si="12"/>
        <v>0</v>
      </c>
      <c r="AP26" s="162">
        <f t="shared" si="4"/>
        <v>0</v>
      </c>
    </row>
    <row r="27" spans="1:42" ht="15">
      <c r="A27" s="184" t="s">
        <v>51</v>
      </c>
      <c r="B27" s="165">
        <f t="shared" ref="B27:M27" si="13">B5-B26</f>
        <v>-4229072</v>
      </c>
      <c r="C27" s="165">
        <f t="shared" si="13"/>
        <v>3139892</v>
      </c>
      <c r="D27" s="165">
        <f t="shared" si="13"/>
        <v>-1044182</v>
      </c>
      <c r="E27" s="165">
        <f t="shared" si="13"/>
        <v>6396880</v>
      </c>
      <c r="F27" s="165">
        <f t="shared" si="13"/>
        <v>-1255433</v>
      </c>
      <c r="G27" s="165">
        <f t="shared" si="13"/>
        <v>-14324633</v>
      </c>
      <c r="H27" s="165">
        <f t="shared" si="13"/>
        <v>14076701</v>
      </c>
      <c r="I27" s="165">
        <f t="shared" si="13"/>
        <v>15457268</v>
      </c>
      <c r="J27" s="165">
        <f t="shared" si="13"/>
        <v>-9129487</v>
      </c>
      <c r="K27" s="165">
        <f t="shared" si="13"/>
        <v>0</v>
      </c>
      <c r="L27" s="165">
        <f t="shared" si="13"/>
        <v>0</v>
      </c>
      <c r="M27" s="165">
        <f t="shared" si="13"/>
        <v>0</v>
      </c>
      <c r="N27" s="165">
        <f t="shared" si="0"/>
        <v>9087934</v>
      </c>
      <c r="O27" s="166" t="s">
        <v>51</v>
      </c>
      <c r="P27" s="165">
        <f t="shared" ref="P27:AA27" si="14">P5-P26</f>
        <v>0</v>
      </c>
      <c r="Q27" s="165">
        <f t="shared" si="14"/>
        <v>0</v>
      </c>
      <c r="R27" s="165">
        <f t="shared" si="14"/>
        <v>0</v>
      </c>
      <c r="S27" s="165">
        <f t="shared" si="14"/>
        <v>0</v>
      </c>
      <c r="T27" s="165">
        <f t="shared" si="14"/>
        <v>0</v>
      </c>
      <c r="U27" s="165">
        <f t="shared" si="14"/>
        <v>0</v>
      </c>
      <c r="V27" s="165">
        <f t="shared" si="14"/>
        <v>0</v>
      </c>
      <c r="W27" s="165">
        <f t="shared" si="14"/>
        <v>0</v>
      </c>
      <c r="X27" s="165">
        <f t="shared" si="14"/>
        <v>0</v>
      </c>
      <c r="Y27" s="165">
        <f t="shared" si="14"/>
        <v>0</v>
      </c>
      <c r="Z27" s="165">
        <f t="shared" si="14"/>
        <v>0</v>
      </c>
      <c r="AA27" s="165">
        <f t="shared" si="14"/>
        <v>0</v>
      </c>
      <c r="AB27" s="165">
        <f t="shared" si="2"/>
        <v>0</v>
      </c>
      <c r="AC27" s="165" t="s">
        <v>51</v>
      </c>
      <c r="AD27" s="165">
        <f t="shared" ref="AD27:AO27" si="15">AD5-AD26</f>
        <v>0</v>
      </c>
      <c r="AE27" s="165">
        <f t="shared" si="15"/>
        <v>0</v>
      </c>
      <c r="AF27" s="165">
        <f t="shared" si="15"/>
        <v>0</v>
      </c>
      <c r="AG27" s="165">
        <f t="shared" si="15"/>
        <v>0</v>
      </c>
      <c r="AH27" s="165">
        <f t="shared" si="15"/>
        <v>0</v>
      </c>
      <c r="AI27" s="165">
        <f t="shared" si="15"/>
        <v>0</v>
      </c>
      <c r="AJ27" s="165">
        <f t="shared" si="15"/>
        <v>0</v>
      </c>
      <c r="AK27" s="165">
        <f t="shared" si="15"/>
        <v>0</v>
      </c>
      <c r="AL27" s="165">
        <f t="shared" si="15"/>
        <v>0</v>
      </c>
      <c r="AM27" s="165">
        <f t="shared" si="15"/>
        <v>0</v>
      </c>
      <c r="AN27" s="165">
        <f t="shared" si="15"/>
        <v>0</v>
      </c>
      <c r="AO27" s="165">
        <f t="shared" si="15"/>
        <v>0</v>
      </c>
      <c r="AP27" s="165">
        <f t="shared" si="4"/>
        <v>0</v>
      </c>
    </row>
    <row r="28" spans="1:42" ht="15">
      <c r="A28" s="170" t="str">
        <f>資金繰り実績表!A24</f>
        <v>定期預金解約</v>
      </c>
      <c r="B28" s="160">
        <f>SUMIF(入出金予定表!$A$2:$A$2000,"定期預金解約",入出金予定表!C$2:C$2000)</f>
        <v>0</v>
      </c>
      <c r="C28" s="160">
        <f>SUMIF(入出金予定表!$A$2:$A$2000,"定期預金解約",入出金予定表!D$2:D$2000)</f>
        <v>0</v>
      </c>
      <c r="D28" s="160">
        <f>SUMIF(入出金予定表!$A$2:$A$2000,"定期預金解約",入出金予定表!E$2:E$2000)</f>
        <v>0</v>
      </c>
      <c r="E28" s="160">
        <f>SUMIF(入出金予定表!$A$2:$A$2000,"定期預金解約",入出金予定表!F$2:F$2000)</f>
        <v>0</v>
      </c>
      <c r="F28" s="160">
        <f>SUMIF(入出金予定表!$A$2:$A$2000,"定期預金解約",入出金予定表!G$2:G$2000)</f>
        <v>0</v>
      </c>
      <c r="G28" s="160">
        <f>SUMIF(入出金予定表!$A$2:$A$2000,"定期預金解約",入出金予定表!H$2:H$2000)</f>
        <v>0</v>
      </c>
      <c r="H28" s="160">
        <f>SUMIF(入出金予定表!$A$2:$A$2000,"定期預金解約",入出金予定表!I$2:I$2000)</f>
        <v>0</v>
      </c>
      <c r="I28" s="160">
        <f>SUMIF(入出金予定表!$A$2:$A$2000,"定期預金解約",入出金予定表!J$2:J$2000)</f>
        <v>0</v>
      </c>
      <c r="J28" s="160">
        <f>SUMIF(入出金予定表!$A$2:$A$2000,"定期預金解約",入出金予定表!K$2:K$2000)</f>
        <v>0</v>
      </c>
      <c r="K28" s="160">
        <f>SUMIF(入出金予定表!$A$2:$A$2000,"定期預金解約",入出金予定表!L$2:L$2000)</f>
        <v>0</v>
      </c>
      <c r="L28" s="160">
        <f>SUMIF(入出金予定表!$A$2:$A$2000,"定期預金解約",入出金予定表!M$2:M$2000)</f>
        <v>0</v>
      </c>
      <c r="M28" s="160">
        <f>SUMIF(入出金予定表!$A$2:$A$2000,"定期預金解約",入出金予定表!N$2:N$2000)</f>
        <v>0</v>
      </c>
      <c r="N28" s="160">
        <f t="shared" si="0"/>
        <v>0</v>
      </c>
      <c r="O28" s="153" t="str">
        <f t="shared" ref="O28:O31" si="16">A28</f>
        <v>定期預金解約</v>
      </c>
      <c r="P28" s="160">
        <f>SUMIF(入出金予定表!$A$2:$A$2000,"定期預金解約",入出金予定表!O$2:O$2000)</f>
        <v>0</v>
      </c>
      <c r="Q28" s="160">
        <f>SUMIF(入出金予定表!$A$2:$A$2000,"定期預金解約",入出金予定表!P$2:P$2000)</f>
        <v>0</v>
      </c>
      <c r="R28" s="160">
        <f>SUMIF(入出金予定表!$A$2:$A$2000,"定期預金解約",入出金予定表!Q$2:Q$2000)</f>
        <v>0</v>
      </c>
      <c r="S28" s="160">
        <f>SUMIF(入出金予定表!$A$2:$A$2000,"定期預金解約",入出金予定表!R$2:R$2000)</f>
        <v>0</v>
      </c>
      <c r="T28" s="160">
        <f>SUMIF(入出金予定表!$A$2:$A$2000,"定期預金解約",入出金予定表!S$2:S$2000)</f>
        <v>0</v>
      </c>
      <c r="U28" s="160">
        <f>SUMIF(入出金予定表!$A$2:$A$2000,"定期預金解約",入出金予定表!T$2:T$2000)</f>
        <v>0</v>
      </c>
      <c r="V28" s="160">
        <f>SUMIF(入出金予定表!$A$2:$A$2000,"定期預金解約",入出金予定表!U$2:U$2000)</f>
        <v>0</v>
      </c>
      <c r="W28" s="160">
        <f>SUMIF(入出金予定表!$A$2:$A$2000,"定期預金解約",入出金予定表!V$2:V$2000)</f>
        <v>0</v>
      </c>
      <c r="X28" s="160">
        <f>SUMIF(入出金予定表!$A$2:$A$2000,"定期預金解約",入出金予定表!W$2:W$2000)</f>
        <v>0</v>
      </c>
      <c r="Y28" s="160">
        <f>SUMIF(入出金予定表!$A$2:$A$2000,"定期預金解約",入出金予定表!X$2:X$2000)</f>
        <v>0</v>
      </c>
      <c r="Z28" s="160">
        <f>SUMIF(入出金予定表!$A$2:$A$2000,"定期預金解約",入出金予定表!Y$2:Y$2000)</f>
        <v>0</v>
      </c>
      <c r="AA28" s="160">
        <f>SUMIF(入出金予定表!$A$2:$A$2000,"定期預金解約",入出金予定表!Z$2:Z$2000)</f>
        <v>0</v>
      </c>
      <c r="AB28" s="160">
        <f>SUMIF(入出金予定表!$A$2:$A$2000,"定期預金解約",入出金予定表!AM$2:AM$2000)</f>
        <v>0</v>
      </c>
      <c r="AC28" s="160" t="str">
        <f t="shared" ref="AC28:AC31" si="17">O28</f>
        <v>定期預金解約</v>
      </c>
      <c r="AD28" s="160">
        <f>SUMIF(入出金予定表!$A$2:$A$2000,"定期預金解約",入出金予定表!AA$2:AA$2000)</f>
        <v>0</v>
      </c>
      <c r="AE28" s="160">
        <f>SUMIF(入出金予定表!$A$2:$A$2000,"定期預金解約",入出金予定表!AB$2:AB$2000)</f>
        <v>0</v>
      </c>
      <c r="AF28" s="160">
        <f>SUMIF(入出金予定表!$A$2:$A$2000,"定期預金解約",入出金予定表!AC$2:AC$2000)</f>
        <v>0</v>
      </c>
      <c r="AG28" s="160">
        <f>SUMIF(入出金予定表!$A$2:$A$2000,"定期預金解約",入出金予定表!AD$2:AD$2000)</f>
        <v>0</v>
      </c>
      <c r="AH28" s="160">
        <f>SUMIF(入出金予定表!$A$2:$A$2000,"定期預金解約",入出金予定表!AE$2:AE$2000)</f>
        <v>0</v>
      </c>
      <c r="AI28" s="160">
        <f>SUMIF(入出金予定表!$A$2:$A$2000,"定期預金解約",入出金予定表!AF$2:AF$2000)</f>
        <v>0</v>
      </c>
      <c r="AJ28" s="160">
        <f>SUMIF(入出金予定表!$A$2:$A$2000,"定期預金解約",入出金予定表!AG$2:AG$2000)</f>
        <v>0</v>
      </c>
      <c r="AK28" s="160">
        <f>SUMIF(入出金予定表!$A$2:$A$2000,"定期預金解約",入出金予定表!AH$2:AH$2000)</f>
        <v>0</v>
      </c>
      <c r="AL28" s="160">
        <f>SUMIF(入出金予定表!$A$2:$A$2000,"定期預金解約",入出金予定表!AI$2:AI$2000)</f>
        <v>0</v>
      </c>
      <c r="AM28" s="160">
        <f>SUMIF(入出金予定表!$A$2:$A$2000,"定期預金解約",入出金予定表!AJ$2:AJ$2000)</f>
        <v>0</v>
      </c>
      <c r="AN28" s="160">
        <f>SUMIF(入出金予定表!$A$2:$A$2000,"定期預金解約",入出金予定表!AK$2:AK$2000)</f>
        <v>0</v>
      </c>
      <c r="AO28" s="160">
        <f>SUMIF(入出金予定表!$A$2:$A$2000,"定期預金解約",入出金予定表!AL$2:AL$2000)</f>
        <v>0</v>
      </c>
      <c r="AP28" s="160">
        <f t="shared" si="4"/>
        <v>0</v>
      </c>
    </row>
    <row r="29" spans="1:42" ht="15">
      <c r="A29" s="170" t="str">
        <f>資金繰り実績表!A25</f>
        <v>固定資産売却</v>
      </c>
      <c r="B29" s="160">
        <f>SUMIF(入出金予定表!$A$2:$A$2000," 固定資産売却",入出金予定表!C$2:C$2000)</f>
        <v>0</v>
      </c>
      <c r="C29" s="160">
        <f>SUMIF(入出金予定表!$A$2:$A$2000," 固定資産売却",入出金予定表!D$2:D$2000)</f>
        <v>0</v>
      </c>
      <c r="D29" s="160">
        <f>SUMIF(入出金予定表!$A$2:$A$2000," 固定資産売却",入出金予定表!E$2:E$2000)</f>
        <v>0</v>
      </c>
      <c r="E29" s="160">
        <f>SUMIF(入出金予定表!$A$2:$A$2000," 固定資産売却",入出金予定表!F$2:F$2000)</f>
        <v>0</v>
      </c>
      <c r="F29" s="160">
        <f>SUMIF(入出金予定表!$A$2:$A$2000," 固定資産売却",入出金予定表!G$2:G$2000)</f>
        <v>0</v>
      </c>
      <c r="G29" s="160">
        <f>SUMIF(入出金予定表!$A$2:$A$2000," 固定資産売却",入出金予定表!H$2:H$2000)</f>
        <v>0</v>
      </c>
      <c r="H29" s="160">
        <f>SUMIF(入出金予定表!$A$2:$A$2000," 固定資産売却",入出金予定表!I$2:I$2000)</f>
        <v>0</v>
      </c>
      <c r="I29" s="160">
        <f>SUMIF(入出金予定表!$A$2:$A$2000," 固定資産売却",入出金予定表!J$2:J$2000)</f>
        <v>0</v>
      </c>
      <c r="J29" s="160">
        <f>SUMIF(入出金予定表!$A$2:$A$2000," 固定資産売却",入出金予定表!K$2:K$2000)</f>
        <v>0</v>
      </c>
      <c r="K29" s="160">
        <f>SUMIF(入出金予定表!$A$2:$A$2000," 固定資産売却",入出金予定表!L$2:L$2000)</f>
        <v>0</v>
      </c>
      <c r="L29" s="160">
        <f>SUMIF(入出金予定表!$A$2:$A$2000," 固定資産売却",入出金予定表!M$2:M$2000)</f>
        <v>0</v>
      </c>
      <c r="M29" s="160">
        <f>SUMIF(入出金予定表!$A$2:$A$2000," 固定資産売却",入出金予定表!N$2:N$2000)</f>
        <v>0</v>
      </c>
      <c r="N29" s="160">
        <f t="shared" si="0"/>
        <v>0</v>
      </c>
      <c r="O29" s="153" t="str">
        <f t="shared" si="16"/>
        <v>固定資産売却</v>
      </c>
      <c r="P29" s="160">
        <f>SUMIF(入出金予定表!$A$2:$A$2000," 固定資産売却",入出金予定表!O$2:O$2000)</f>
        <v>0</v>
      </c>
      <c r="Q29" s="160">
        <f>SUMIF(入出金予定表!$A$2:$A$2000," 固定資産売却",入出金予定表!P$2:P$2000)</f>
        <v>0</v>
      </c>
      <c r="R29" s="160">
        <f>SUMIF(入出金予定表!$A$2:$A$2000," 固定資産売却",入出金予定表!Q$2:Q$2000)</f>
        <v>0</v>
      </c>
      <c r="S29" s="160">
        <f>SUMIF(入出金予定表!$A$2:$A$2000," 固定資産売却",入出金予定表!R$2:R$2000)</f>
        <v>0</v>
      </c>
      <c r="T29" s="160">
        <f>SUMIF(入出金予定表!$A$2:$A$2000," 固定資産売却",入出金予定表!S$2:S$2000)</f>
        <v>0</v>
      </c>
      <c r="U29" s="160">
        <f>SUMIF(入出金予定表!$A$2:$A$2000," 固定資産売却",入出金予定表!T$2:T$2000)</f>
        <v>0</v>
      </c>
      <c r="V29" s="160">
        <f>SUMIF(入出金予定表!$A$2:$A$2000," 固定資産売却",入出金予定表!U$2:U$2000)</f>
        <v>0</v>
      </c>
      <c r="W29" s="160">
        <f>SUMIF(入出金予定表!$A$2:$A$2000," 固定資産売却",入出金予定表!V$2:V$2000)</f>
        <v>0</v>
      </c>
      <c r="X29" s="160">
        <f>SUMIF(入出金予定表!$A$2:$A$2000," 固定資産売却",入出金予定表!W$2:W$2000)</f>
        <v>0</v>
      </c>
      <c r="Y29" s="160">
        <f>SUMIF(入出金予定表!$A$2:$A$2000," 固定資産売却",入出金予定表!X$2:X$2000)</f>
        <v>0</v>
      </c>
      <c r="Z29" s="160">
        <f>SUMIF(入出金予定表!$A$2:$A$2000," 固定資産売却",入出金予定表!Y$2:Y$2000)</f>
        <v>0</v>
      </c>
      <c r="AA29" s="160">
        <f>SUMIF(入出金予定表!$A$2:$A$2000," 固定資産売却",入出金予定表!Z$2:Z$2000)</f>
        <v>0</v>
      </c>
      <c r="AB29" s="160">
        <f>SUMIF(入出金予定表!$A$2:$A$2000," 固定資産売却",入出金予定表!AM$2:AM$2000)</f>
        <v>0</v>
      </c>
      <c r="AC29" s="160" t="str">
        <f t="shared" si="17"/>
        <v>固定資産売却</v>
      </c>
      <c r="AD29" s="160">
        <f>SUMIF(入出金予定表!$A$2:$A$2000," 固定資産売却",入出金予定表!AA$2:AA$2000)</f>
        <v>0</v>
      </c>
      <c r="AE29" s="160">
        <f>SUMIF(入出金予定表!$A$2:$A$2000," 固定資産売却",入出金予定表!AB$2:AB$2000)</f>
        <v>0</v>
      </c>
      <c r="AF29" s="160">
        <f>SUMIF(入出金予定表!$A$2:$A$2000," 固定資産売却",入出金予定表!AC$2:AC$2000)</f>
        <v>0</v>
      </c>
      <c r="AG29" s="160">
        <f>SUMIF(入出金予定表!$A$2:$A$2000," 固定資産売却",入出金予定表!AD$2:AD$2000)</f>
        <v>0</v>
      </c>
      <c r="AH29" s="160">
        <f>SUMIF(入出金予定表!$A$2:$A$2000," 固定資産売却",入出金予定表!AE$2:AE$2000)</f>
        <v>0</v>
      </c>
      <c r="AI29" s="160">
        <f>SUMIF(入出金予定表!$A$2:$A$2000," 固定資産売却",入出金予定表!AF$2:AF$2000)</f>
        <v>0</v>
      </c>
      <c r="AJ29" s="160">
        <f>SUMIF(入出金予定表!$A$2:$A$2000," 固定資産売却",入出金予定表!AG$2:AG$2000)</f>
        <v>0</v>
      </c>
      <c r="AK29" s="160">
        <f>SUMIF(入出金予定表!$A$2:$A$2000," 固定資産売却",入出金予定表!AH$2:AH$2000)</f>
        <v>0</v>
      </c>
      <c r="AL29" s="160">
        <f>SUMIF(入出金予定表!$A$2:$A$2000," 固定資産売却",入出金予定表!AI$2:AI$2000)</f>
        <v>0</v>
      </c>
      <c r="AM29" s="160">
        <f>SUMIF(入出金予定表!$A$2:$A$2000," 固定資産売却",入出金予定表!AJ$2:AJ$2000)</f>
        <v>0</v>
      </c>
      <c r="AN29" s="160">
        <f>SUMIF(入出金予定表!$A$2:$A$2000," 固定資産売却",入出金予定表!AK$2:AK$2000)</f>
        <v>0</v>
      </c>
      <c r="AO29" s="160">
        <f>SUMIF(入出金予定表!$A$2:$A$2000," 固定資産売却",入出金予定表!AL$2:AL$2000)</f>
        <v>0</v>
      </c>
      <c r="AP29" s="160">
        <f t="shared" si="4"/>
        <v>0</v>
      </c>
    </row>
    <row r="30" spans="1:42" ht="15">
      <c r="A30" s="170" t="str">
        <f>資金繰り実績表!A26</f>
        <v>補助金・助成金等</v>
      </c>
      <c r="B30" s="160">
        <f>SUMIF(入出金予定表!$A$2:$A$2000,"補助金・助成金等",入出金予定表!C$2:C$2000)</f>
        <v>0</v>
      </c>
      <c r="C30" s="160">
        <f>SUMIF(入出金予定表!$A$2:$A$2000,"補助金・助成金等",入出金予定表!D$2:D$2000)</f>
        <v>0</v>
      </c>
      <c r="D30" s="160">
        <f>SUMIF(入出金予定表!$A$2:$A$2000,"補助金・助成金等",入出金予定表!E$2:E$2000)</f>
        <v>0</v>
      </c>
      <c r="E30" s="160">
        <f>SUMIF(入出金予定表!$A$2:$A$2000,"補助金・助成金等",入出金予定表!F$2:F$2000)</f>
        <v>0</v>
      </c>
      <c r="F30" s="160">
        <f>SUMIF(入出金予定表!$A$2:$A$2000,"補助金・助成金等",入出金予定表!G$2:G$2000)</f>
        <v>0</v>
      </c>
      <c r="G30" s="160">
        <f>SUMIF(入出金予定表!$A$2:$A$2000,"補助金・助成金等",入出金予定表!H$2:H$2000)</f>
        <v>0</v>
      </c>
      <c r="H30" s="160">
        <f>SUMIF(入出金予定表!$A$2:$A$2000,"補助金・助成金等",入出金予定表!I$2:I$2000)</f>
        <v>0</v>
      </c>
      <c r="I30" s="160">
        <f>SUMIF(入出金予定表!$A$2:$A$2000,"補助金・助成金等",入出金予定表!J$2:J$2000)</f>
        <v>0</v>
      </c>
      <c r="J30" s="160">
        <f>SUMIF(入出金予定表!$A$2:$A$2000,"補助金・助成金等",入出金予定表!K$2:K$2000)</f>
        <v>0</v>
      </c>
      <c r="K30" s="160">
        <f>SUMIF(入出金予定表!$A$2:$A$2000,"補助金・助成金等",入出金予定表!L$2:L$2000)</f>
        <v>0</v>
      </c>
      <c r="L30" s="160">
        <f>SUMIF(入出金予定表!$A$2:$A$2000,"補助金・助成金等",入出金予定表!M$2:M$2000)</f>
        <v>0</v>
      </c>
      <c r="M30" s="160">
        <f>SUMIF(入出金予定表!$A$2:$A$2000,"補助金・助成金等",入出金予定表!N$2:N$2000)</f>
        <v>0</v>
      </c>
      <c r="N30" s="160">
        <f t="shared" si="0"/>
        <v>0</v>
      </c>
      <c r="O30" s="153" t="str">
        <f t="shared" si="16"/>
        <v>補助金・助成金等</v>
      </c>
      <c r="P30" s="160">
        <f>SUMIF(入出金予定表!$A$2:$A$2000,"補助金・助成金等",入出金予定表!O$2:O$2000)</f>
        <v>0</v>
      </c>
      <c r="Q30" s="160">
        <f>SUMIF(入出金予定表!$A$2:$A$2000,"補助金・助成金等",入出金予定表!P$2:P$2000)</f>
        <v>0</v>
      </c>
      <c r="R30" s="160">
        <f>SUMIF(入出金予定表!$A$2:$A$2000,"補助金・助成金等",入出金予定表!Q$2:Q$2000)</f>
        <v>0</v>
      </c>
      <c r="S30" s="160">
        <f>SUMIF(入出金予定表!$A$2:$A$2000,"補助金・助成金等",入出金予定表!R$2:R$2000)</f>
        <v>0</v>
      </c>
      <c r="T30" s="160">
        <f>SUMIF(入出金予定表!$A$2:$A$2000,"補助金・助成金等",入出金予定表!S$2:S$2000)</f>
        <v>0</v>
      </c>
      <c r="U30" s="160">
        <f>SUMIF(入出金予定表!$A$2:$A$2000,"補助金・助成金等",入出金予定表!T$2:T$2000)</f>
        <v>0</v>
      </c>
      <c r="V30" s="160">
        <f>SUMIF(入出金予定表!$A$2:$A$2000,"補助金・助成金等",入出金予定表!U$2:U$2000)</f>
        <v>0</v>
      </c>
      <c r="W30" s="160">
        <f>SUMIF(入出金予定表!$A$2:$A$2000,"補助金・助成金等",入出金予定表!V$2:V$2000)</f>
        <v>0</v>
      </c>
      <c r="X30" s="160">
        <f>SUMIF(入出金予定表!$A$2:$A$2000,"補助金・助成金等",入出金予定表!W$2:W$2000)</f>
        <v>0</v>
      </c>
      <c r="Y30" s="160">
        <f>SUMIF(入出金予定表!$A$2:$A$2000,"補助金・助成金等",入出金予定表!X$2:X$2000)</f>
        <v>0</v>
      </c>
      <c r="Z30" s="160">
        <f>SUMIF(入出金予定表!$A$2:$A$2000,"補助金・助成金等",入出金予定表!Y$2:Y$2000)</f>
        <v>0</v>
      </c>
      <c r="AA30" s="160">
        <f>SUMIF(入出金予定表!$A$2:$A$2000,"補助金・助成金等",入出金予定表!Z$2:Z$2000)</f>
        <v>0</v>
      </c>
      <c r="AB30" s="160">
        <f>SUMIF(入出金予定表!$A$2:$A$2000,"補助金・助成金等",入出金予定表!AM$2:AM$2000)</f>
        <v>0</v>
      </c>
      <c r="AC30" s="160" t="str">
        <f t="shared" si="17"/>
        <v>補助金・助成金等</v>
      </c>
      <c r="AD30" s="160">
        <f>SUMIF(入出金予定表!$A$2:$A$2000,"補助金・助成金等",入出金予定表!AA$2:AA$2000)</f>
        <v>0</v>
      </c>
      <c r="AE30" s="160">
        <f>SUMIF(入出金予定表!$A$2:$A$2000,"補助金・助成金等",入出金予定表!AB$2:AB$2000)</f>
        <v>0</v>
      </c>
      <c r="AF30" s="160">
        <f>SUMIF(入出金予定表!$A$2:$A$2000,"補助金・助成金等",入出金予定表!AC$2:AC$2000)</f>
        <v>0</v>
      </c>
      <c r="AG30" s="160">
        <f>SUMIF(入出金予定表!$A$2:$A$2000,"補助金・助成金等",入出金予定表!AD$2:AD$2000)</f>
        <v>0</v>
      </c>
      <c r="AH30" s="160">
        <f>SUMIF(入出金予定表!$A$2:$A$2000,"補助金・助成金等",入出金予定表!AE$2:AE$2000)</f>
        <v>0</v>
      </c>
      <c r="AI30" s="160">
        <f>SUMIF(入出金予定表!$A$2:$A$2000,"補助金・助成金等",入出金予定表!AF$2:AF$2000)</f>
        <v>0</v>
      </c>
      <c r="AJ30" s="160">
        <f>SUMIF(入出金予定表!$A$2:$A$2000,"補助金・助成金等",入出金予定表!AG$2:AG$2000)</f>
        <v>0</v>
      </c>
      <c r="AK30" s="160">
        <f>SUMIF(入出金予定表!$A$2:$A$2000,"補助金・助成金等",入出金予定表!AH$2:AH$2000)</f>
        <v>0</v>
      </c>
      <c r="AL30" s="160">
        <f>SUMIF(入出金予定表!$A$2:$A$2000,"補助金・助成金等",入出金予定表!AI$2:AI$2000)</f>
        <v>0</v>
      </c>
      <c r="AM30" s="160">
        <f>SUMIF(入出金予定表!$A$2:$A$2000,"補助金・助成金等",入出金予定表!AJ$2:AJ$2000)</f>
        <v>0</v>
      </c>
      <c r="AN30" s="160">
        <f>SUMIF(入出金予定表!$A$2:$A$2000,"補助金・助成金等",入出金予定表!AK$2:AK$2000)</f>
        <v>0</v>
      </c>
      <c r="AO30" s="160">
        <f>SUMIF(入出金予定表!$A$2:$A$2000,"補助金・助成金等",入出金予定表!AL$2:AL$2000)</f>
        <v>0</v>
      </c>
      <c r="AP30" s="160">
        <f t="shared" si="4"/>
        <v>0</v>
      </c>
    </row>
    <row r="31" spans="1:42" ht="15">
      <c r="A31" s="170" t="str">
        <f>資金繰り実績表!A27</f>
        <v>その他経常外収入</v>
      </c>
      <c r="B31" s="160">
        <f>SUMIF(入出金予定表!$A$2:$A$2000,"その他経常外収入",入出金予定表!C$2:C$2000)</f>
        <v>0</v>
      </c>
      <c r="C31" s="160">
        <f>SUMIF(入出金予定表!$A$2:$A$2000,"その他経常外収入",入出金予定表!D$2:D$2000)</f>
        <v>0</v>
      </c>
      <c r="D31" s="160">
        <f>SUMIF(入出金予定表!$A$2:$A$2000,"その他経常外収入",入出金予定表!E$2:E$2000)</f>
        <v>72000</v>
      </c>
      <c r="E31" s="160">
        <f>SUMIF(入出金予定表!$A$2:$A$2000,"その他経常外収入",入出金予定表!F$2:F$2000)</f>
        <v>600000</v>
      </c>
      <c r="F31" s="160">
        <f>SUMIF(入出金予定表!$A$2:$A$2000,"その他経常外収入",入出金予定表!G$2:G$2000)</f>
        <v>152000</v>
      </c>
      <c r="G31" s="160">
        <f>SUMIF(入出金予定表!$A$2:$A$2000,"その他経常外収入",入出金予定表!H$2:H$2000)</f>
        <v>0</v>
      </c>
      <c r="H31" s="160">
        <f>SUMIF(入出金予定表!$A$2:$A$2000,"その他経常外収入",入出金予定表!I$2:I$2000)</f>
        <v>0</v>
      </c>
      <c r="I31" s="160">
        <f>SUMIF(入出金予定表!$A$2:$A$2000,"その他経常外収入",入出金予定表!J$2:J$2000)</f>
        <v>0</v>
      </c>
      <c r="J31" s="160">
        <f>SUMIF(入出金予定表!$A$2:$A$2000,"その他経常外収入",入出金予定表!K$2:K$2000)</f>
        <v>0</v>
      </c>
      <c r="K31" s="160">
        <f>SUMIF(入出金予定表!$A$2:$A$2000,"その他経常外収入",入出金予定表!L$2:L$2000)</f>
        <v>0</v>
      </c>
      <c r="L31" s="160">
        <f>SUMIF(入出金予定表!$A$2:$A$2000,"その他経常外収入",入出金予定表!M$2:M$2000)</f>
        <v>0</v>
      </c>
      <c r="M31" s="160">
        <f>SUMIF(入出金予定表!$A$2:$A$2000,"その他経常外収入",入出金予定表!N$2:N$2000)</f>
        <v>0</v>
      </c>
      <c r="N31" s="160">
        <f t="shared" si="0"/>
        <v>824000</v>
      </c>
      <c r="O31" s="153" t="str">
        <f t="shared" si="16"/>
        <v>その他経常外収入</v>
      </c>
      <c r="P31" s="160">
        <f>SUMIF(入出金予定表!$A$2:$A$2000,"その他経常外収入",入出金予定表!O$2:O$2000)</f>
        <v>0</v>
      </c>
      <c r="Q31" s="160">
        <f>SUMIF(入出金予定表!$A$2:$A$2000,"その他経常外収入",入出金予定表!P$2:P$2000)</f>
        <v>0</v>
      </c>
      <c r="R31" s="160">
        <f>SUMIF(入出金予定表!$A$2:$A$2000,"その他経常外収入",入出金予定表!Q$2:Q$2000)</f>
        <v>0</v>
      </c>
      <c r="S31" s="160">
        <f>SUMIF(入出金予定表!$A$2:$A$2000,"その他経常外収入",入出金予定表!R$2:R$2000)</f>
        <v>0</v>
      </c>
      <c r="T31" s="160">
        <f>SUMIF(入出金予定表!$A$2:$A$2000,"その他経常外収入",入出金予定表!S$2:S$2000)</f>
        <v>0</v>
      </c>
      <c r="U31" s="160">
        <f>SUMIF(入出金予定表!$A$2:$A$2000,"その他経常外収入",入出金予定表!T$2:T$2000)</f>
        <v>0</v>
      </c>
      <c r="V31" s="160">
        <f>SUMIF(入出金予定表!$A$2:$A$2000,"その他経常外収入",入出金予定表!U$2:U$2000)</f>
        <v>0</v>
      </c>
      <c r="W31" s="160">
        <f>SUMIF(入出金予定表!$A$2:$A$2000,"その他経常外収入",入出金予定表!V$2:V$2000)</f>
        <v>0</v>
      </c>
      <c r="X31" s="160">
        <f>SUMIF(入出金予定表!$A$2:$A$2000,"その他経常外収入",入出金予定表!W$2:W$2000)</f>
        <v>0</v>
      </c>
      <c r="Y31" s="160">
        <f>SUMIF(入出金予定表!$A$2:$A$2000,"その他経常外収入",入出金予定表!X$2:X$2000)</f>
        <v>0</v>
      </c>
      <c r="Z31" s="160">
        <f>SUMIF(入出金予定表!$A$2:$A$2000,"その他経常外収入",入出金予定表!Y$2:Y$2000)</f>
        <v>0</v>
      </c>
      <c r="AA31" s="160">
        <f>SUMIF(入出金予定表!$A$2:$A$2000,"その他経常外収入",入出金予定表!Z$2:Z$2000)</f>
        <v>0</v>
      </c>
      <c r="AB31" s="160">
        <f>SUMIF(入出金予定表!$A$2:$A$2000,"その他経常外収入",入出金予定表!AM$2:AM$2000)</f>
        <v>0</v>
      </c>
      <c r="AC31" s="160" t="str">
        <f t="shared" si="17"/>
        <v>その他経常外収入</v>
      </c>
      <c r="AD31" s="160">
        <f>SUMIF(入出金予定表!$A$2:$A$2000,"その他経常外収入",入出金予定表!AA$2:AA$2000)</f>
        <v>0</v>
      </c>
      <c r="AE31" s="160">
        <f>SUMIF(入出金予定表!$A$2:$A$2000,"その他経常外収入",入出金予定表!AB$2:AB$2000)</f>
        <v>0</v>
      </c>
      <c r="AF31" s="160">
        <f>SUMIF(入出金予定表!$A$2:$A$2000,"その他経常外収入",入出金予定表!AC$2:AC$2000)</f>
        <v>0</v>
      </c>
      <c r="AG31" s="160">
        <f>SUMIF(入出金予定表!$A$2:$A$2000,"その他経常外収入",入出金予定表!AD$2:AD$2000)</f>
        <v>0</v>
      </c>
      <c r="AH31" s="160">
        <f>SUMIF(入出金予定表!$A$2:$A$2000,"その他経常外収入",入出金予定表!AE$2:AE$2000)</f>
        <v>0</v>
      </c>
      <c r="AI31" s="160">
        <f>SUMIF(入出金予定表!$A$2:$A$2000,"その他経常外収入",入出金予定表!AF$2:AF$2000)</f>
        <v>0</v>
      </c>
      <c r="AJ31" s="160">
        <f>SUMIF(入出金予定表!$A$2:$A$2000,"その他経常外収入",入出金予定表!AG$2:AG$2000)</f>
        <v>0</v>
      </c>
      <c r="AK31" s="160">
        <f>SUMIF(入出金予定表!$A$2:$A$2000,"その他経常外収入",入出金予定表!AH$2:AH$2000)</f>
        <v>0</v>
      </c>
      <c r="AL31" s="160">
        <f>SUMIF(入出金予定表!$A$2:$A$2000,"その他経常外収入",入出金予定表!AI$2:AI$2000)</f>
        <v>0</v>
      </c>
      <c r="AM31" s="160">
        <f>SUMIF(入出金予定表!$A$2:$A$2000,"その他経常外収入",入出金予定表!AJ$2:AJ$2000)</f>
        <v>0</v>
      </c>
      <c r="AN31" s="160">
        <f>SUMIF(入出金予定表!$A$2:$A$2000,"その他経常外収入",入出金予定表!AK$2:AK$2000)</f>
        <v>0</v>
      </c>
      <c r="AO31" s="160">
        <f>SUMIF(入出金予定表!$A$2:$A$2000,"その他経常外収入",入出金予定表!AL$2:AL$2000)</f>
        <v>0</v>
      </c>
      <c r="AP31" s="160">
        <f t="shared" si="4"/>
        <v>0</v>
      </c>
    </row>
    <row r="32" spans="1:42" ht="15">
      <c r="A32" s="180" t="s">
        <v>52</v>
      </c>
      <c r="B32" s="162">
        <f t="shared" ref="B32:M32" si="18">SUM(B28:B31)</f>
        <v>0</v>
      </c>
      <c r="C32" s="162">
        <f t="shared" si="18"/>
        <v>0</v>
      </c>
      <c r="D32" s="162">
        <f t="shared" si="18"/>
        <v>72000</v>
      </c>
      <c r="E32" s="162">
        <f t="shared" si="18"/>
        <v>600000</v>
      </c>
      <c r="F32" s="162">
        <f t="shared" si="18"/>
        <v>152000</v>
      </c>
      <c r="G32" s="162">
        <f t="shared" si="18"/>
        <v>0</v>
      </c>
      <c r="H32" s="162">
        <f t="shared" si="18"/>
        <v>0</v>
      </c>
      <c r="I32" s="162">
        <f t="shared" si="18"/>
        <v>0</v>
      </c>
      <c r="J32" s="162">
        <f t="shared" si="18"/>
        <v>0</v>
      </c>
      <c r="K32" s="162">
        <f t="shared" si="18"/>
        <v>0</v>
      </c>
      <c r="L32" s="162">
        <f t="shared" si="18"/>
        <v>0</v>
      </c>
      <c r="M32" s="162">
        <f t="shared" si="18"/>
        <v>0</v>
      </c>
      <c r="N32" s="162">
        <f t="shared" si="0"/>
        <v>824000</v>
      </c>
      <c r="O32" s="163" t="s">
        <v>52</v>
      </c>
      <c r="P32" s="162">
        <f t="shared" ref="P32:AA32" si="19">SUM(P28:P31)</f>
        <v>0</v>
      </c>
      <c r="Q32" s="162">
        <f t="shared" si="19"/>
        <v>0</v>
      </c>
      <c r="R32" s="162">
        <f t="shared" si="19"/>
        <v>0</v>
      </c>
      <c r="S32" s="162">
        <f t="shared" si="19"/>
        <v>0</v>
      </c>
      <c r="T32" s="162">
        <f t="shared" si="19"/>
        <v>0</v>
      </c>
      <c r="U32" s="162">
        <f t="shared" si="19"/>
        <v>0</v>
      </c>
      <c r="V32" s="162">
        <f t="shared" si="19"/>
        <v>0</v>
      </c>
      <c r="W32" s="162">
        <f t="shared" si="19"/>
        <v>0</v>
      </c>
      <c r="X32" s="162">
        <f t="shared" si="19"/>
        <v>0</v>
      </c>
      <c r="Y32" s="162">
        <f t="shared" si="19"/>
        <v>0</v>
      </c>
      <c r="Z32" s="162">
        <f t="shared" si="19"/>
        <v>0</v>
      </c>
      <c r="AA32" s="162">
        <f t="shared" si="19"/>
        <v>0</v>
      </c>
      <c r="AB32" s="162">
        <f t="shared" ref="AB32:AB36" si="20">SUM(P32:AA32)</f>
        <v>0</v>
      </c>
      <c r="AC32" s="162" t="s">
        <v>52</v>
      </c>
      <c r="AD32" s="162">
        <f t="shared" ref="AD32:AO32" si="21">SUM(AD28:AD31)</f>
        <v>0</v>
      </c>
      <c r="AE32" s="162">
        <f t="shared" si="21"/>
        <v>0</v>
      </c>
      <c r="AF32" s="162">
        <f t="shared" si="21"/>
        <v>0</v>
      </c>
      <c r="AG32" s="162">
        <f t="shared" si="21"/>
        <v>0</v>
      </c>
      <c r="AH32" s="162">
        <f t="shared" si="21"/>
        <v>0</v>
      </c>
      <c r="AI32" s="162">
        <f t="shared" si="21"/>
        <v>0</v>
      </c>
      <c r="AJ32" s="162">
        <f t="shared" si="21"/>
        <v>0</v>
      </c>
      <c r="AK32" s="162">
        <f t="shared" si="21"/>
        <v>0</v>
      </c>
      <c r="AL32" s="162">
        <f t="shared" si="21"/>
        <v>0</v>
      </c>
      <c r="AM32" s="162">
        <f t="shared" si="21"/>
        <v>0</v>
      </c>
      <c r="AN32" s="162">
        <f t="shared" si="21"/>
        <v>0</v>
      </c>
      <c r="AO32" s="162">
        <f t="shared" si="21"/>
        <v>0</v>
      </c>
      <c r="AP32" s="162">
        <f t="shared" si="4"/>
        <v>0</v>
      </c>
    </row>
    <row r="33" spans="1:42" ht="15">
      <c r="A33" s="170" t="str">
        <f>資金繰り実績表!A28</f>
        <v>定期預金・投資等</v>
      </c>
      <c r="B33" s="160">
        <f>SUMIF(入出金予定表!$A$2:$A$2000,"定期預金・投資等",入出金予定表!C$2:C$2000)</f>
        <v>0</v>
      </c>
      <c r="C33" s="160">
        <f>SUMIF(入出金予定表!$A$2:$A$2000,"定期預金・投資等",入出金予定表!D$2:D$2000)</f>
        <v>0</v>
      </c>
      <c r="D33" s="160">
        <f>SUMIF(入出金予定表!$A$2:$A$2000,"定期預金・投資等",入出金予定表!E$2:E$2000)</f>
        <v>0</v>
      </c>
      <c r="E33" s="160">
        <f>SUMIF(入出金予定表!$A$2:$A$2000,"定期預金・投資等",入出金予定表!F$2:F$2000)</f>
        <v>0</v>
      </c>
      <c r="F33" s="160">
        <f>SUMIF(入出金予定表!$A$2:$A$2000,"定期預金・投資等",入出金予定表!G$2:G$2000)</f>
        <v>0</v>
      </c>
      <c r="G33" s="160">
        <f>SUMIF(入出金予定表!$A$2:$A$2000,"定期預金・投資等",入出金予定表!H$2:H$2000)</f>
        <v>0</v>
      </c>
      <c r="H33" s="160">
        <f>SUMIF(入出金予定表!$A$2:$A$2000,"定期預金・投資等",入出金予定表!I$2:I$2000)</f>
        <v>0</v>
      </c>
      <c r="I33" s="160">
        <f>SUMIF(入出金予定表!$A$2:$A$2000,"定期預金・投資等",入出金予定表!J$2:J$2000)</f>
        <v>0</v>
      </c>
      <c r="J33" s="160">
        <f>SUMIF(入出金予定表!$A$2:$A$2000,"定期預金・投資等",入出金予定表!K$2:K$2000)</f>
        <v>0</v>
      </c>
      <c r="K33" s="160">
        <f>SUMIF(入出金予定表!$A$2:$A$2000,"定期預金・投資等",入出金予定表!L$2:L$2000)</f>
        <v>0</v>
      </c>
      <c r="L33" s="160">
        <f>SUMIF(入出金予定表!$A$2:$A$2000,"定期預金・投資等",入出金予定表!M$2:M$2000)</f>
        <v>0</v>
      </c>
      <c r="M33" s="160">
        <f>SUMIF(入出金予定表!$A$2:$A$2000,"定期預金・投資等",入出金予定表!N$2:N$2000)</f>
        <v>0</v>
      </c>
      <c r="N33" s="160">
        <f t="shared" si="0"/>
        <v>0</v>
      </c>
      <c r="O33" s="153" t="str">
        <f t="shared" ref="O33:O36" si="22">A33</f>
        <v>定期預金・投資等</v>
      </c>
      <c r="P33" s="160">
        <f>SUMIF(入出金予定表!$A$2:$A$2000,"定期預金・投資等",入出金予定表!O$2:O$2000)</f>
        <v>0</v>
      </c>
      <c r="Q33" s="160">
        <f>SUMIF(入出金予定表!$A$2:$A$2000,"定期預金・投資等",入出金予定表!P$2:P$2000)</f>
        <v>0</v>
      </c>
      <c r="R33" s="160">
        <f>SUMIF(入出金予定表!$A$2:$A$2000,"定期預金・投資等",入出金予定表!Q$2:Q$2000)</f>
        <v>0</v>
      </c>
      <c r="S33" s="160">
        <f>SUMIF(入出金予定表!$A$2:$A$2000,"定期預金・投資等",入出金予定表!R$2:R$2000)</f>
        <v>0</v>
      </c>
      <c r="T33" s="160">
        <f>SUMIF(入出金予定表!$A$2:$A$2000,"定期預金・投資等",入出金予定表!S$2:S$2000)</f>
        <v>0</v>
      </c>
      <c r="U33" s="160">
        <f>SUMIF(入出金予定表!$A$2:$A$2000,"定期預金・投資等",入出金予定表!T$2:T$2000)</f>
        <v>0</v>
      </c>
      <c r="V33" s="160">
        <f>SUMIF(入出金予定表!$A$2:$A$2000,"定期預金・投資等",入出金予定表!U$2:U$2000)</f>
        <v>0</v>
      </c>
      <c r="W33" s="160">
        <f>SUMIF(入出金予定表!$A$2:$A$2000,"定期預金・投資等",入出金予定表!V$2:V$2000)</f>
        <v>0</v>
      </c>
      <c r="X33" s="160">
        <f>SUMIF(入出金予定表!$A$2:$A$2000,"定期預金・投資等",入出金予定表!W$2:W$2000)</f>
        <v>0</v>
      </c>
      <c r="Y33" s="160">
        <f>SUMIF(入出金予定表!$A$2:$A$2000,"定期預金・投資等",入出金予定表!X$2:X$2000)</f>
        <v>0</v>
      </c>
      <c r="Z33" s="160">
        <f>SUMIF(入出金予定表!$A$2:$A$2000,"定期預金・投資等",入出金予定表!Y$2:Y$2000)</f>
        <v>0</v>
      </c>
      <c r="AA33" s="160">
        <f>SUMIF(入出金予定表!$A$2:$A$2000,"定期預金・投資等",入出金予定表!Z$2:Z$2000)</f>
        <v>0</v>
      </c>
      <c r="AB33" s="160">
        <f t="shared" si="20"/>
        <v>0</v>
      </c>
      <c r="AC33" s="160" t="str">
        <f t="shared" ref="AC33:AC36" si="23">O33</f>
        <v>定期預金・投資等</v>
      </c>
      <c r="AD33" s="160">
        <f>SUMIF(入出金予定表!$A$2:$A$2000,"定期預金・投資等",入出金予定表!AA$2:AA$2000)</f>
        <v>0</v>
      </c>
      <c r="AE33" s="160">
        <f>SUMIF(入出金予定表!$A$2:$A$2000,"定期預金・投資等",入出金予定表!AB$2:AB$2000)</f>
        <v>0</v>
      </c>
      <c r="AF33" s="160">
        <f>SUMIF(入出金予定表!$A$2:$A$2000,"定期預金・投資等",入出金予定表!AC$2:AC$2000)</f>
        <v>0</v>
      </c>
      <c r="AG33" s="160">
        <f>SUMIF(入出金予定表!$A$2:$A$2000,"定期預金・投資等",入出金予定表!AD$2:AD$2000)</f>
        <v>0</v>
      </c>
      <c r="AH33" s="160">
        <f>SUMIF(入出金予定表!$A$2:$A$2000,"定期預金・投資等",入出金予定表!AE$2:AE$2000)</f>
        <v>0</v>
      </c>
      <c r="AI33" s="160">
        <f>SUMIF(入出金予定表!$A$2:$A$2000,"定期預金・投資等",入出金予定表!AF$2:AF$2000)</f>
        <v>0</v>
      </c>
      <c r="AJ33" s="160">
        <f>SUMIF(入出金予定表!$A$2:$A$2000,"定期預金・投資等",入出金予定表!AG$2:AG$2000)</f>
        <v>0</v>
      </c>
      <c r="AK33" s="160">
        <f>SUMIF(入出金予定表!$A$2:$A$2000,"定期預金・投資等",入出金予定表!AH$2:AH$2000)</f>
        <v>0</v>
      </c>
      <c r="AL33" s="160">
        <f>SUMIF(入出金予定表!$A$2:$A$2000,"定期預金・投資等",入出金予定表!AI$2:AI$2000)</f>
        <v>0</v>
      </c>
      <c r="AM33" s="160">
        <f>SUMIF(入出金予定表!$A$2:$A$2000,"定期預金・投資等",入出金予定表!AJ$2:AJ$2000)</f>
        <v>0</v>
      </c>
      <c r="AN33" s="160">
        <f>SUMIF(入出金予定表!$A$2:$A$2000,"定期預金・投資等",入出金予定表!AK$2:AK$2000)</f>
        <v>0</v>
      </c>
      <c r="AO33" s="160">
        <f>SUMIF(入出金予定表!$A$2:$A$2000,"定期預金・投資等",入出金予定表!AL$2:AL$2000)</f>
        <v>0</v>
      </c>
      <c r="AP33" s="160">
        <f t="shared" si="4"/>
        <v>0</v>
      </c>
    </row>
    <row r="34" spans="1:42" ht="15">
      <c r="A34" s="170" t="str">
        <f>資金繰り実績表!A29</f>
        <v>固定資産の取得</v>
      </c>
      <c r="B34" s="160">
        <f>SUMIF(入出金予定表!$A$2:$A$2000,"固定資産の取得",入出金予定表!C$2:C$2000)</f>
        <v>0</v>
      </c>
      <c r="C34" s="160">
        <f>SUMIF(入出金予定表!$A$2:$A$2000,"固定資産の取得",入出金予定表!D$2:D$2000)</f>
        <v>0</v>
      </c>
      <c r="D34" s="160">
        <f>SUMIF(入出金予定表!$A$2:$A$2000,"固定資産の取得",入出金予定表!E$2:E$2000)</f>
        <v>0</v>
      </c>
      <c r="E34" s="160">
        <f>SUMIF(入出金予定表!$A$2:$A$2000,"固定資産の取得",入出金予定表!F$2:F$2000)</f>
        <v>0</v>
      </c>
      <c r="F34" s="160">
        <f>SUMIF(入出金予定表!$A$2:$A$2000,"固定資産の取得",入出金予定表!G$2:G$2000)</f>
        <v>0</v>
      </c>
      <c r="G34" s="160">
        <f>SUMIF(入出金予定表!$A$2:$A$2000,"固定資産の取得",入出金予定表!H$2:H$2000)</f>
        <v>0</v>
      </c>
      <c r="H34" s="160">
        <f>SUMIF(入出金予定表!$A$2:$A$2000,"固定資産の取得",入出金予定表!I$2:I$2000)</f>
        <v>0</v>
      </c>
      <c r="I34" s="160">
        <f>SUMIF(入出金予定表!$A$2:$A$2000,"固定資産の取得",入出金予定表!J$2:J$2000)</f>
        <v>0</v>
      </c>
      <c r="J34" s="160">
        <f>SUMIF(入出金予定表!$A$2:$A$2000,"固定資産の取得",入出金予定表!K$2:K$2000)</f>
        <v>0</v>
      </c>
      <c r="K34" s="160">
        <f>SUMIF(入出金予定表!$A$2:$A$2000,"固定資産の取得",入出金予定表!L$2:L$2000)</f>
        <v>0</v>
      </c>
      <c r="L34" s="160">
        <f>SUMIF(入出金予定表!$A$2:$A$2000,"固定資産の取得",入出金予定表!M$2:M$2000)</f>
        <v>0</v>
      </c>
      <c r="M34" s="160">
        <f>SUMIF(入出金予定表!$A$2:$A$2000,"固定資産の取得",入出金予定表!N$2:N$2000)</f>
        <v>0</v>
      </c>
      <c r="N34" s="160">
        <f t="shared" si="0"/>
        <v>0</v>
      </c>
      <c r="O34" s="153" t="str">
        <f t="shared" si="22"/>
        <v>固定資産の取得</v>
      </c>
      <c r="P34" s="160">
        <f>SUMIF(入出金予定表!$A$2:$A$2000,"固定資産の取得",入出金予定表!O$2:O$2000)</f>
        <v>0</v>
      </c>
      <c r="Q34" s="160">
        <f>SUMIF(入出金予定表!$A$2:$A$2000,"固定資産の取得",入出金予定表!P$2:P$2000)</f>
        <v>0</v>
      </c>
      <c r="R34" s="160">
        <f>SUMIF(入出金予定表!$A$2:$A$2000,"固定資産の取得",入出金予定表!Q$2:Q$2000)</f>
        <v>0</v>
      </c>
      <c r="S34" s="160">
        <f>SUMIF(入出金予定表!$A$2:$A$2000,"固定資産の取得",入出金予定表!R$2:R$2000)</f>
        <v>0</v>
      </c>
      <c r="T34" s="160">
        <f>SUMIF(入出金予定表!$A$2:$A$2000,"固定資産の取得",入出金予定表!S$2:S$2000)</f>
        <v>0</v>
      </c>
      <c r="U34" s="160">
        <f>SUMIF(入出金予定表!$A$2:$A$2000,"固定資産の取得",入出金予定表!T$2:T$2000)</f>
        <v>0</v>
      </c>
      <c r="V34" s="160">
        <f>SUMIF(入出金予定表!$A$2:$A$2000,"固定資産の取得",入出金予定表!U$2:U$2000)</f>
        <v>0</v>
      </c>
      <c r="W34" s="160">
        <f>SUMIF(入出金予定表!$A$2:$A$2000,"固定資産の取得",入出金予定表!V$2:V$2000)</f>
        <v>0</v>
      </c>
      <c r="X34" s="160">
        <f>SUMIF(入出金予定表!$A$2:$A$2000,"固定資産の取得",入出金予定表!W$2:W$2000)</f>
        <v>0</v>
      </c>
      <c r="Y34" s="160">
        <f>SUMIF(入出金予定表!$A$2:$A$2000,"固定資産の取得",入出金予定表!X$2:X$2000)</f>
        <v>0</v>
      </c>
      <c r="Z34" s="160">
        <f>SUMIF(入出金予定表!$A$2:$A$2000,"固定資産の取得",入出金予定表!Y$2:Y$2000)</f>
        <v>0</v>
      </c>
      <c r="AA34" s="160">
        <f>SUMIF(入出金予定表!$A$2:$A$2000,"固定資産の取得",入出金予定表!Z$2:Z$2000)</f>
        <v>0</v>
      </c>
      <c r="AB34" s="160">
        <f t="shared" si="20"/>
        <v>0</v>
      </c>
      <c r="AC34" s="160" t="str">
        <f t="shared" si="23"/>
        <v>固定資産の取得</v>
      </c>
      <c r="AD34" s="160">
        <f>SUMIF(入出金予定表!$A$2:$A$2000,"固定資産の取得",入出金予定表!AA$2:AA$2000)</f>
        <v>0</v>
      </c>
      <c r="AE34" s="160">
        <f>SUMIF(入出金予定表!$A$2:$A$2000,"固定資産の取得",入出金予定表!AB$2:AB$2000)</f>
        <v>0</v>
      </c>
      <c r="AF34" s="160">
        <f>SUMIF(入出金予定表!$A$2:$A$2000,"固定資産の取得",入出金予定表!AC$2:AC$2000)</f>
        <v>0</v>
      </c>
      <c r="AG34" s="160">
        <f>SUMIF(入出金予定表!$A$2:$A$2000,"固定資産の取得",入出金予定表!AD$2:AD$2000)</f>
        <v>0</v>
      </c>
      <c r="AH34" s="160">
        <f>SUMIF(入出金予定表!$A$2:$A$2000,"固定資産の取得",入出金予定表!AE$2:AE$2000)</f>
        <v>0</v>
      </c>
      <c r="AI34" s="160">
        <f>SUMIF(入出金予定表!$A$2:$A$2000,"固定資産の取得",入出金予定表!AF$2:AF$2000)</f>
        <v>0</v>
      </c>
      <c r="AJ34" s="160">
        <f>SUMIF(入出金予定表!$A$2:$A$2000,"固定資産の取得",入出金予定表!AG$2:AG$2000)</f>
        <v>0</v>
      </c>
      <c r="AK34" s="160">
        <f>SUMIF(入出金予定表!$A$2:$A$2000,"固定資産の取得",入出金予定表!AH$2:AH$2000)</f>
        <v>0</v>
      </c>
      <c r="AL34" s="160">
        <f>SUMIF(入出金予定表!$A$2:$A$2000,"固定資産の取得",入出金予定表!AI$2:AI$2000)</f>
        <v>0</v>
      </c>
      <c r="AM34" s="160">
        <f>SUMIF(入出金予定表!$A$2:$A$2000,"固定資産の取得",入出金予定表!AJ$2:AJ$2000)</f>
        <v>0</v>
      </c>
      <c r="AN34" s="160">
        <f>SUMIF(入出金予定表!$A$2:$A$2000,"固定資産の取得",入出金予定表!AK$2:AK$2000)</f>
        <v>0</v>
      </c>
      <c r="AO34" s="160">
        <f>SUMIF(入出金予定表!$A$2:$A$2000,"固定資産の取得",入出金予定表!AL$2:AL$2000)</f>
        <v>0</v>
      </c>
      <c r="AP34" s="160">
        <f t="shared" si="4"/>
        <v>0</v>
      </c>
    </row>
    <row r="35" spans="1:42" ht="15">
      <c r="A35" s="170" t="str">
        <f>資金繰り実績表!A30</f>
        <v>法人税等</v>
      </c>
      <c r="B35" s="160">
        <f>SUMIF(入出金予定表!$A$2:$A$2000,"法人税等",入出金予定表!C$2:C$2000)</f>
        <v>0</v>
      </c>
      <c r="C35" s="160">
        <f>SUMIF(入出金予定表!$A$2:$A$2000,"法人税等",入出金予定表!D$2:D$2000)</f>
        <v>0</v>
      </c>
      <c r="D35" s="160">
        <f>SUMIF(入出金予定表!$A$2:$A$2000,"法人税等",入出金予定表!E$2:E$2000)</f>
        <v>0</v>
      </c>
      <c r="E35" s="160">
        <f>SUMIF(入出金予定表!$A$2:$A$2000,"法人税等",入出金予定表!F$2:F$2000)</f>
        <v>0</v>
      </c>
      <c r="F35" s="160">
        <f>SUMIF(入出金予定表!$A$2:$A$2000,"法人税等",入出金予定表!G$2:G$2000)</f>
        <v>0</v>
      </c>
      <c r="G35" s="160">
        <f>SUMIF(入出金予定表!$A$2:$A$2000,"法人税等",入出金予定表!H$2:H$2000)</f>
        <v>0</v>
      </c>
      <c r="H35" s="160">
        <f>SUMIF(入出金予定表!$A$2:$A$2000,"法人税等",入出金予定表!I$2:I$2000)</f>
        <v>0</v>
      </c>
      <c r="I35" s="160">
        <f>SUMIF(入出金予定表!$A$2:$A$2000,"法人税等",入出金予定表!J$2:J$2000)</f>
        <v>0</v>
      </c>
      <c r="J35" s="160">
        <f>SUMIF(入出金予定表!$A$2:$A$2000,"法人税等",入出金予定表!K$2:K$2000)</f>
        <v>0</v>
      </c>
      <c r="K35" s="160">
        <f>SUMIF(入出金予定表!$A$2:$A$2000,"法人税等",入出金予定表!L$2:L$2000)</f>
        <v>0</v>
      </c>
      <c r="L35" s="160">
        <f>SUMIF(入出金予定表!$A$2:$A$2000,"法人税等",入出金予定表!M$2:M$2000)</f>
        <v>0</v>
      </c>
      <c r="M35" s="160">
        <f>SUMIF(入出金予定表!$A$2:$A$2000,"法人税等",入出金予定表!N$2:N$2000)</f>
        <v>0</v>
      </c>
      <c r="N35" s="160">
        <f t="shared" si="0"/>
        <v>0</v>
      </c>
      <c r="O35" s="153" t="str">
        <f t="shared" si="22"/>
        <v>法人税等</v>
      </c>
      <c r="P35" s="160">
        <f>SUMIF(入出金予定表!$A$2:$A$2000,"法人税等",入出金予定表!O$2:O$2000)</f>
        <v>0</v>
      </c>
      <c r="Q35" s="160">
        <f>SUMIF(入出金予定表!$A$2:$A$2000,"法人税等",入出金予定表!P$2:P$2000)</f>
        <v>0</v>
      </c>
      <c r="R35" s="160">
        <f>SUMIF(入出金予定表!$A$2:$A$2000,"法人税等",入出金予定表!Q$2:Q$2000)</f>
        <v>0</v>
      </c>
      <c r="S35" s="160">
        <f>SUMIF(入出金予定表!$A$2:$A$2000,"法人税等",入出金予定表!R$2:R$2000)</f>
        <v>0</v>
      </c>
      <c r="T35" s="160">
        <f>SUMIF(入出金予定表!$A$2:$A$2000,"法人税等",入出金予定表!S$2:S$2000)</f>
        <v>0</v>
      </c>
      <c r="U35" s="160">
        <f>SUMIF(入出金予定表!$A$2:$A$2000,"法人税等",入出金予定表!T$2:T$2000)</f>
        <v>0</v>
      </c>
      <c r="V35" s="160">
        <f>SUMIF(入出金予定表!$A$2:$A$2000,"法人税等",入出金予定表!U$2:U$2000)</f>
        <v>0</v>
      </c>
      <c r="W35" s="160">
        <f>SUMIF(入出金予定表!$A$2:$A$2000,"法人税等",入出金予定表!V$2:V$2000)</f>
        <v>0</v>
      </c>
      <c r="X35" s="160">
        <f>SUMIF(入出金予定表!$A$2:$A$2000,"法人税等",入出金予定表!W$2:W$2000)</f>
        <v>0</v>
      </c>
      <c r="Y35" s="160">
        <f>SUMIF(入出金予定表!$A$2:$A$2000,"法人税等",入出金予定表!X$2:X$2000)</f>
        <v>0</v>
      </c>
      <c r="Z35" s="160">
        <f>SUMIF(入出金予定表!$A$2:$A$2000,"法人税等",入出金予定表!Y$2:Y$2000)</f>
        <v>0</v>
      </c>
      <c r="AA35" s="160">
        <f>SUMIF(入出金予定表!$A$2:$A$2000,"法人税等",入出金予定表!Z$2:Z$2000)</f>
        <v>0</v>
      </c>
      <c r="AB35" s="160">
        <f t="shared" si="20"/>
        <v>0</v>
      </c>
      <c r="AC35" s="160" t="str">
        <f t="shared" si="23"/>
        <v>法人税等</v>
      </c>
      <c r="AD35" s="160">
        <f>SUMIF(入出金予定表!$A$2:$A$2000,"法人税等",入出金予定表!AA$2:AA$2000)</f>
        <v>0</v>
      </c>
      <c r="AE35" s="160">
        <f>SUMIF(入出金予定表!$A$2:$A$2000,"法人税等",入出金予定表!AB$2:AB$2000)</f>
        <v>0</v>
      </c>
      <c r="AF35" s="160">
        <f>SUMIF(入出金予定表!$A$2:$A$2000,"法人税等",入出金予定表!AC$2:AC$2000)</f>
        <v>0</v>
      </c>
      <c r="AG35" s="160">
        <f>SUMIF(入出金予定表!$A$2:$A$2000,"法人税等",入出金予定表!AD$2:AD$2000)</f>
        <v>0</v>
      </c>
      <c r="AH35" s="160">
        <f>SUMIF(入出金予定表!$A$2:$A$2000,"法人税等",入出金予定表!AE$2:AE$2000)</f>
        <v>0</v>
      </c>
      <c r="AI35" s="160">
        <f>SUMIF(入出金予定表!$A$2:$A$2000,"法人税等",入出金予定表!AF$2:AF$2000)</f>
        <v>0</v>
      </c>
      <c r="AJ35" s="160">
        <f>SUMIF(入出金予定表!$A$2:$A$2000,"法人税等",入出金予定表!AG$2:AG$2000)</f>
        <v>0</v>
      </c>
      <c r="AK35" s="160">
        <f>SUMIF(入出金予定表!$A$2:$A$2000,"法人税等",入出金予定表!AH$2:AH$2000)</f>
        <v>0</v>
      </c>
      <c r="AL35" s="160">
        <f>SUMIF(入出金予定表!$A$2:$A$2000,"法人税等",入出金予定表!AI$2:AI$2000)</f>
        <v>0</v>
      </c>
      <c r="AM35" s="160">
        <f>SUMIF(入出金予定表!$A$2:$A$2000,"法人税等",入出金予定表!AJ$2:AJ$2000)</f>
        <v>0</v>
      </c>
      <c r="AN35" s="160">
        <f>SUMIF(入出金予定表!$A$2:$A$2000,"法人税等",入出金予定表!AK$2:AK$2000)</f>
        <v>0</v>
      </c>
      <c r="AO35" s="160">
        <f>SUMIF(入出金予定表!$A$2:$A$2000,"法人税等",入出金予定表!AL$2:AL$2000)</f>
        <v>0</v>
      </c>
      <c r="AP35" s="160">
        <f t="shared" si="4"/>
        <v>0</v>
      </c>
    </row>
    <row r="36" spans="1:42" ht="15">
      <c r="A36" s="170" t="str">
        <f>資金繰り実績表!A31</f>
        <v>その他経常外支出</v>
      </c>
      <c r="B36" s="160">
        <f>SUMIF(入出金予定表!$A$2:$A$2000,"その他経常外支出",入出金予定表!C$2:C$2000)</f>
        <v>630990</v>
      </c>
      <c r="C36" s="160">
        <f>SUMIF(入出金予定表!$A$2:$A$2000,"その他経常外支出",入出金予定表!D$2:D$2000)</f>
        <v>0</v>
      </c>
      <c r="D36" s="160">
        <f>SUMIF(入出金予定表!$A$2:$A$2000,"その他経常外支出",入出金予定表!E$2:E$2000)</f>
        <v>0</v>
      </c>
      <c r="E36" s="160">
        <f>SUMIF(入出金予定表!$A$2:$A$2000,"その他経常外支出",入出金予定表!F$2:F$2000)</f>
        <v>0</v>
      </c>
      <c r="F36" s="160">
        <f>SUMIF(入出金予定表!$A$2:$A$2000,"その他経常外支出",入出金予定表!G$2:G$2000)</f>
        <v>0</v>
      </c>
      <c r="G36" s="160">
        <f>SUMIF(入出金予定表!$A$2:$A$2000,"その他経常外支出",入出金予定表!H$2:H$2000)</f>
        <v>0</v>
      </c>
      <c r="H36" s="160">
        <f>SUMIF(入出金予定表!$A$2:$A$2000,"その他経常外支出",入出金予定表!I$2:I$2000)</f>
        <v>0</v>
      </c>
      <c r="I36" s="160">
        <f>SUMIF(入出金予定表!$A$2:$A$2000,"その他経常外支出",入出金予定表!J$2:J$2000)</f>
        <v>0</v>
      </c>
      <c r="J36" s="160">
        <f>SUMIF(入出金予定表!$A$2:$A$2000,"その他経常外支出",入出金予定表!K$2:K$2000)</f>
        <v>0</v>
      </c>
      <c r="K36" s="160">
        <f>SUMIF(入出金予定表!$A$2:$A$2000,"その他経常外支出",入出金予定表!L$2:L$2000)</f>
        <v>0</v>
      </c>
      <c r="L36" s="160">
        <f>SUMIF(入出金予定表!$A$2:$A$2000,"その他経常外支出",入出金予定表!M$2:M$2000)</f>
        <v>0</v>
      </c>
      <c r="M36" s="160">
        <f>SUMIF(入出金予定表!$A$2:$A$2000,"その他経常外支出",入出金予定表!N$2:N$2000)</f>
        <v>0</v>
      </c>
      <c r="N36" s="160">
        <f t="shared" si="0"/>
        <v>630990</v>
      </c>
      <c r="O36" s="153" t="str">
        <f t="shared" si="22"/>
        <v>その他経常外支出</v>
      </c>
      <c r="P36" s="160">
        <f>SUMIF(入出金予定表!$A$2:$A$2000,"その他経常外支出",入出金予定表!O$2:O$2000)</f>
        <v>0</v>
      </c>
      <c r="Q36" s="160">
        <f>SUMIF(入出金予定表!$A$2:$A$2000,"その他経常外支出",入出金予定表!P$2:P$2000)</f>
        <v>0</v>
      </c>
      <c r="R36" s="160">
        <f>SUMIF(入出金予定表!$A$2:$A$2000,"その他経常外支出",入出金予定表!Q$2:Q$2000)</f>
        <v>0</v>
      </c>
      <c r="S36" s="160">
        <f>SUMIF(入出金予定表!$A$2:$A$2000,"その他経常外支出",入出金予定表!R$2:R$2000)</f>
        <v>0</v>
      </c>
      <c r="T36" s="160">
        <f>SUMIF(入出金予定表!$A$2:$A$2000,"その他経常外支出",入出金予定表!S$2:S$2000)</f>
        <v>0</v>
      </c>
      <c r="U36" s="160">
        <f>SUMIF(入出金予定表!$A$2:$A$2000,"その他経常外支出",入出金予定表!T$2:T$2000)</f>
        <v>0</v>
      </c>
      <c r="V36" s="160">
        <f>SUMIF(入出金予定表!$A$2:$A$2000,"その他経常外支出",入出金予定表!U$2:U$2000)</f>
        <v>0</v>
      </c>
      <c r="W36" s="160">
        <f>SUMIF(入出金予定表!$A$2:$A$2000,"その他経常外支出",入出金予定表!V$2:V$2000)</f>
        <v>0</v>
      </c>
      <c r="X36" s="160">
        <f>SUMIF(入出金予定表!$A$2:$A$2000,"その他経常外支出",入出金予定表!W$2:W$2000)</f>
        <v>0</v>
      </c>
      <c r="Y36" s="160">
        <f>SUMIF(入出金予定表!$A$2:$A$2000,"その他経常外支出",入出金予定表!X$2:X$2000)</f>
        <v>0</v>
      </c>
      <c r="Z36" s="160">
        <f>SUMIF(入出金予定表!$A$2:$A$2000,"その他経常外支出",入出金予定表!Y$2:Y$2000)</f>
        <v>0</v>
      </c>
      <c r="AA36" s="160">
        <f>SUMIF(入出金予定表!$A$2:$A$2000,"その他経常外支出",入出金予定表!Z$2:Z$2000)</f>
        <v>0</v>
      </c>
      <c r="AB36" s="160">
        <f t="shared" si="20"/>
        <v>0</v>
      </c>
      <c r="AC36" s="160" t="str">
        <f t="shared" si="23"/>
        <v>その他経常外支出</v>
      </c>
      <c r="AD36" s="160">
        <f>SUMIF(入出金予定表!$A$2:$A$2000,"その他経常外支出",入出金予定表!AA$2:AA$2000)</f>
        <v>0</v>
      </c>
      <c r="AE36" s="160">
        <f>SUMIF(入出金予定表!$A$2:$A$2000,"その他経常外支出",入出金予定表!AB$2:AB$2000)</f>
        <v>0</v>
      </c>
      <c r="AF36" s="160">
        <f>SUMIF(入出金予定表!$A$2:$A$2000,"その他経常外支出",入出金予定表!AC$2:AC$2000)</f>
        <v>0</v>
      </c>
      <c r="AG36" s="160">
        <f>SUMIF(入出金予定表!$A$2:$A$2000,"その他経常外支出",入出金予定表!AD$2:AD$2000)</f>
        <v>0</v>
      </c>
      <c r="AH36" s="160">
        <f>SUMIF(入出金予定表!$A$2:$A$2000,"その他経常外支出",入出金予定表!AE$2:AE$2000)</f>
        <v>0</v>
      </c>
      <c r="AI36" s="160">
        <f>SUMIF(入出金予定表!$A$2:$A$2000,"その他経常外支出",入出金予定表!AF$2:AF$2000)</f>
        <v>0</v>
      </c>
      <c r="AJ36" s="160">
        <f>SUMIF(入出金予定表!$A$2:$A$2000,"その他経常外支出",入出金予定表!AG$2:AG$2000)</f>
        <v>0</v>
      </c>
      <c r="AK36" s="160">
        <f>SUMIF(入出金予定表!$A$2:$A$2000,"その他経常外支出",入出金予定表!AH$2:AH$2000)</f>
        <v>0</v>
      </c>
      <c r="AL36" s="160">
        <f>SUMIF(入出金予定表!$A$2:$A$2000,"その他経常外支出",入出金予定表!AI$2:AI$2000)</f>
        <v>0</v>
      </c>
      <c r="AM36" s="160">
        <f>SUMIF(入出金予定表!$A$2:$A$2000,"その他経常外支出",入出金予定表!AJ$2:AJ$2000)</f>
        <v>0</v>
      </c>
      <c r="AN36" s="160">
        <f>SUMIF(入出金予定表!$A$2:$A$2000,"その他経常外支出",入出金予定表!AK$2:AK$2000)</f>
        <v>0</v>
      </c>
      <c r="AO36" s="160">
        <f>SUMIF(入出金予定表!$A$2:$A$2000,"その他経常外支出",入出金予定表!AL$2:AL$2000)</f>
        <v>0</v>
      </c>
      <c r="AP36" s="160">
        <f t="shared" si="4"/>
        <v>0</v>
      </c>
    </row>
    <row r="37" spans="1:42" ht="15">
      <c r="A37" s="180" t="s">
        <v>53</v>
      </c>
      <c r="B37" s="162">
        <f t="shared" ref="B37:N37" si="24">SUM(B33:B36)</f>
        <v>630990</v>
      </c>
      <c r="C37" s="162">
        <f t="shared" si="24"/>
        <v>0</v>
      </c>
      <c r="D37" s="162">
        <f t="shared" si="24"/>
        <v>0</v>
      </c>
      <c r="E37" s="162">
        <f t="shared" si="24"/>
        <v>0</v>
      </c>
      <c r="F37" s="162">
        <f t="shared" si="24"/>
        <v>0</v>
      </c>
      <c r="G37" s="162">
        <f t="shared" si="24"/>
        <v>0</v>
      </c>
      <c r="H37" s="162">
        <f t="shared" si="24"/>
        <v>0</v>
      </c>
      <c r="I37" s="162">
        <f t="shared" si="24"/>
        <v>0</v>
      </c>
      <c r="J37" s="162">
        <f t="shared" si="24"/>
        <v>0</v>
      </c>
      <c r="K37" s="162">
        <f t="shared" si="24"/>
        <v>0</v>
      </c>
      <c r="L37" s="162">
        <f t="shared" si="24"/>
        <v>0</v>
      </c>
      <c r="M37" s="162">
        <f t="shared" si="24"/>
        <v>0</v>
      </c>
      <c r="N37" s="162">
        <f t="shared" si="24"/>
        <v>630990</v>
      </c>
      <c r="O37" s="163" t="s">
        <v>53</v>
      </c>
      <c r="P37" s="162">
        <f t="shared" ref="P37:AB37" si="25">SUM(P33:P36)</f>
        <v>0</v>
      </c>
      <c r="Q37" s="162">
        <f t="shared" si="25"/>
        <v>0</v>
      </c>
      <c r="R37" s="162">
        <f t="shared" si="25"/>
        <v>0</v>
      </c>
      <c r="S37" s="162">
        <f t="shared" si="25"/>
        <v>0</v>
      </c>
      <c r="T37" s="162">
        <f t="shared" si="25"/>
        <v>0</v>
      </c>
      <c r="U37" s="162">
        <f t="shared" si="25"/>
        <v>0</v>
      </c>
      <c r="V37" s="162">
        <f t="shared" si="25"/>
        <v>0</v>
      </c>
      <c r="W37" s="162">
        <f t="shared" si="25"/>
        <v>0</v>
      </c>
      <c r="X37" s="162">
        <f t="shared" si="25"/>
        <v>0</v>
      </c>
      <c r="Y37" s="162">
        <f t="shared" si="25"/>
        <v>0</v>
      </c>
      <c r="Z37" s="162">
        <f t="shared" si="25"/>
        <v>0</v>
      </c>
      <c r="AA37" s="162">
        <f t="shared" si="25"/>
        <v>0</v>
      </c>
      <c r="AB37" s="162">
        <f t="shared" si="25"/>
        <v>0</v>
      </c>
      <c r="AC37" s="162" t="s">
        <v>53</v>
      </c>
      <c r="AD37" s="162">
        <f t="shared" ref="AD37:AO37" si="26">SUM(AD33:AD36)</f>
        <v>0</v>
      </c>
      <c r="AE37" s="162">
        <f t="shared" si="26"/>
        <v>0</v>
      </c>
      <c r="AF37" s="162">
        <f t="shared" si="26"/>
        <v>0</v>
      </c>
      <c r="AG37" s="162">
        <f t="shared" si="26"/>
        <v>0</v>
      </c>
      <c r="AH37" s="162">
        <f t="shared" si="26"/>
        <v>0</v>
      </c>
      <c r="AI37" s="162">
        <f t="shared" si="26"/>
        <v>0</v>
      </c>
      <c r="AJ37" s="162">
        <f t="shared" si="26"/>
        <v>0</v>
      </c>
      <c r="AK37" s="162">
        <f t="shared" si="26"/>
        <v>0</v>
      </c>
      <c r="AL37" s="162">
        <f t="shared" si="26"/>
        <v>0</v>
      </c>
      <c r="AM37" s="162">
        <f t="shared" si="26"/>
        <v>0</v>
      </c>
      <c r="AN37" s="162">
        <f t="shared" si="26"/>
        <v>0</v>
      </c>
      <c r="AO37" s="162">
        <f t="shared" si="26"/>
        <v>0</v>
      </c>
      <c r="AP37" s="162">
        <f t="shared" si="4"/>
        <v>0</v>
      </c>
    </row>
    <row r="38" spans="1:42" ht="15">
      <c r="A38" s="180" t="s">
        <v>54</v>
      </c>
      <c r="B38" s="162">
        <f t="shared" ref="B38:M38" si="27">B32-B37</f>
        <v>-630990</v>
      </c>
      <c r="C38" s="162">
        <f t="shared" si="27"/>
        <v>0</v>
      </c>
      <c r="D38" s="162">
        <f t="shared" si="27"/>
        <v>72000</v>
      </c>
      <c r="E38" s="162">
        <f t="shared" si="27"/>
        <v>600000</v>
      </c>
      <c r="F38" s="162">
        <f t="shared" si="27"/>
        <v>152000</v>
      </c>
      <c r="G38" s="162">
        <f t="shared" si="27"/>
        <v>0</v>
      </c>
      <c r="H38" s="162">
        <f t="shared" si="27"/>
        <v>0</v>
      </c>
      <c r="I38" s="162">
        <f t="shared" si="27"/>
        <v>0</v>
      </c>
      <c r="J38" s="162">
        <f t="shared" si="27"/>
        <v>0</v>
      </c>
      <c r="K38" s="162">
        <f t="shared" si="27"/>
        <v>0</v>
      </c>
      <c r="L38" s="162">
        <f t="shared" si="27"/>
        <v>0</v>
      </c>
      <c r="M38" s="162">
        <f t="shared" si="27"/>
        <v>0</v>
      </c>
      <c r="N38" s="162">
        <f t="shared" ref="N38:N43" si="28">SUM(B38:M38)</f>
        <v>193010</v>
      </c>
      <c r="O38" s="163" t="s">
        <v>54</v>
      </c>
      <c r="P38" s="162">
        <f t="shared" ref="P38:AA38" si="29">P32-P37</f>
        <v>0</v>
      </c>
      <c r="Q38" s="162">
        <f t="shared" si="29"/>
        <v>0</v>
      </c>
      <c r="R38" s="162">
        <f t="shared" si="29"/>
        <v>0</v>
      </c>
      <c r="S38" s="162">
        <f t="shared" si="29"/>
        <v>0</v>
      </c>
      <c r="T38" s="162">
        <f t="shared" si="29"/>
        <v>0</v>
      </c>
      <c r="U38" s="162">
        <f t="shared" si="29"/>
        <v>0</v>
      </c>
      <c r="V38" s="162">
        <f t="shared" si="29"/>
        <v>0</v>
      </c>
      <c r="W38" s="162">
        <f t="shared" si="29"/>
        <v>0</v>
      </c>
      <c r="X38" s="162">
        <f t="shared" si="29"/>
        <v>0</v>
      </c>
      <c r="Y38" s="162">
        <f t="shared" si="29"/>
        <v>0</v>
      </c>
      <c r="Z38" s="162">
        <f t="shared" si="29"/>
        <v>0</v>
      </c>
      <c r="AA38" s="162">
        <f t="shared" si="29"/>
        <v>0</v>
      </c>
      <c r="AB38" s="162">
        <f t="shared" ref="AB38:AB43" si="30">SUM(P38:AA38)</f>
        <v>0</v>
      </c>
      <c r="AC38" s="162" t="s">
        <v>54</v>
      </c>
      <c r="AD38" s="162">
        <f t="shared" ref="AD38:AO38" si="31">AD32-AD37</f>
        <v>0</v>
      </c>
      <c r="AE38" s="162">
        <f t="shared" si="31"/>
        <v>0</v>
      </c>
      <c r="AF38" s="162">
        <f t="shared" si="31"/>
        <v>0</v>
      </c>
      <c r="AG38" s="162">
        <f t="shared" si="31"/>
        <v>0</v>
      </c>
      <c r="AH38" s="162">
        <f t="shared" si="31"/>
        <v>0</v>
      </c>
      <c r="AI38" s="162">
        <f t="shared" si="31"/>
        <v>0</v>
      </c>
      <c r="AJ38" s="162">
        <f t="shared" si="31"/>
        <v>0</v>
      </c>
      <c r="AK38" s="162">
        <f t="shared" si="31"/>
        <v>0</v>
      </c>
      <c r="AL38" s="162">
        <f t="shared" si="31"/>
        <v>0</v>
      </c>
      <c r="AM38" s="162">
        <f t="shared" si="31"/>
        <v>0</v>
      </c>
      <c r="AN38" s="162">
        <f t="shared" si="31"/>
        <v>0</v>
      </c>
      <c r="AO38" s="162">
        <f t="shared" si="31"/>
        <v>0</v>
      </c>
      <c r="AP38" s="162">
        <f t="shared" si="4"/>
        <v>0</v>
      </c>
    </row>
    <row r="39" spans="1:42" ht="15">
      <c r="A39" s="170" t="str">
        <f>資金繰り実績表!A32</f>
        <v>短期借入金</v>
      </c>
      <c r="B39" s="160">
        <f>SUMIF(入出金予定表!$A$2:$A$2000,"短期借入金",入出金予定表!C$2:C$2000)</f>
        <v>0</v>
      </c>
      <c r="C39" s="160">
        <f>SUMIF(入出金予定表!$A$2:$A$2000,"短期借入金",入出金予定表!D$2:D$2000)</f>
        <v>0</v>
      </c>
      <c r="D39" s="160">
        <f>SUMIF(入出金予定表!$A$2:$A$2000,"短期借入金",入出金予定表!E$2:E$2000)</f>
        <v>0</v>
      </c>
      <c r="E39" s="160">
        <f>SUMIF(入出金予定表!$A$2:$A$2000,"短期借入金",入出金予定表!F$2:F$2000)</f>
        <v>0</v>
      </c>
      <c r="F39" s="160">
        <f>SUMIF(入出金予定表!$A$2:$A$2000,"短期借入金",入出金予定表!G$2:G$2000)</f>
        <v>0</v>
      </c>
      <c r="G39" s="160">
        <f>SUMIF(入出金予定表!$A$2:$A$2000,"短期借入金",入出金予定表!H$2:H$2000)</f>
        <v>0</v>
      </c>
      <c r="H39" s="160">
        <f>SUMIF(入出金予定表!$A$2:$A$2000,"短期借入金",入出金予定表!I$2:I$2000)</f>
        <v>0</v>
      </c>
      <c r="I39" s="160">
        <f>SUMIF(入出金予定表!$A$2:$A$2000,"短期借入金",入出金予定表!J$2:J$2000)</f>
        <v>0</v>
      </c>
      <c r="J39" s="160">
        <f>SUMIF(入出金予定表!$A$2:$A$2000,"短期借入金",入出金予定表!K$2:K$2000)</f>
        <v>0</v>
      </c>
      <c r="K39" s="160">
        <f>SUMIF(入出金予定表!$A$2:$A$2000,"短期借入金",入出金予定表!L$2:L$2000)</f>
        <v>0</v>
      </c>
      <c r="L39" s="160">
        <f>SUMIF(入出金予定表!$A$2:$A$2000,"短期借入金",入出金予定表!M$2:M$2000)</f>
        <v>0</v>
      </c>
      <c r="M39" s="160">
        <f>SUMIF(入出金予定表!$A$2:$A$2000,"短期借入金",入出金予定表!N$2:N$2000)</f>
        <v>0</v>
      </c>
      <c r="N39" s="160">
        <f t="shared" si="28"/>
        <v>0</v>
      </c>
      <c r="O39" s="153" t="str">
        <f t="shared" ref="O39:O43" si="32">A39</f>
        <v>短期借入金</v>
      </c>
      <c r="P39" s="160">
        <f>SUMIF(入出金予定表!$A$2:$A$2000,"短期借入金",入出金予定表!O$2:O$2000)</f>
        <v>0</v>
      </c>
      <c r="Q39" s="160">
        <f>SUMIF(入出金予定表!$A$2:$A$2000,"短期借入金",入出金予定表!P$2:P$2000)</f>
        <v>0</v>
      </c>
      <c r="R39" s="160">
        <f>SUMIF(入出金予定表!$A$2:$A$2000,"短期借入金",入出金予定表!Q$2:Q$2000)</f>
        <v>0</v>
      </c>
      <c r="S39" s="160">
        <f>SUMIF(入出金予定表!$A$2:$A$2000,"短期借入金",入出金予定表!R$2:R$2000)</f>
        <v>0</v>
      </c>
      <c r="T39" s="160">
        <f>SUMIF(入出金予定表!$A$2:$A$2000,"短期借入金",入出金予定表!S$2:S$2000)</f>
        <v>0</v>
      </c>
      <c r="U39" s="160">
        <f>SUMIF(入出金予定表!$A$2:$A$2000,"短期借入金",入出金予定表!T$2:T$2000)</f>
        <v>0</v>
      </c>
      <c r="V39" s="160">
        <f>SUMIF(入出金予定表!$A$2:$A$2000,"短期借入金",入出金予定表!U$2:U$2000)</f>
        <v>0</v>
      </c>
      <c r="W39" s="160">
        <f>SUMIF(入出金予定表!$A$2:$A$2000,"短期借入金",入出金予定表!V$2:V$2000)</f>
        <v>0</v>
      </c>
      <c r="X39" s="160">
        <f>SUMIF(入出金予定表!$A$2:$A$2000,"短期借入金",入出金予定表!W$2:W$2000)</f>
        <v>0</v>
      </c>
      <c r="Y39" s="160">
        <f>SUMIF(入出金予定表!$A$2:$A$2000,"短期借入金",入出金予定表!X$2:X$2000)</f>
        <v>0</v>
      </c>
      <c r="Z39" s="160">
        <f>SUMIF(入出金予定表!$A$2:$A$2000,"短期借入金",入出金予定表!Y$2:Y$2000)</f>
        <v>0</v>
      </c>
      <c r="AA39" s="160">
        <f>SUMIF(入出金予定表!$A$2:$A$2000,"短期借入金",入出金予定表!Z$2:Z$2000)</f>
        <v>0</v>
      </c>
      <c r="AB39" s="160">
        <f t="shared" si="30"/>
        <v>0</v>
      </c>
      <c r="AC39" s="160" t="str">
        <f t="shared" ref="AC39:AC43" si="33">O39</f>
        <v>短期借入金</v>
      </c>
      <c r="AD39" s="160">
        <f>SUMIF(入出金予定表!$A$2:$A$2000,"短期借入金",入出金予定表!AA$2:AA$2000)</f>
        <v>0</v>
      </c>
      <c r="AE39" s="160">
        <f>SUMIF(入出金予定表!$A$2:$A$2000,"短期借入金",入出金予定表!AB$2:AB$2000)</f>
        <v>0</v>
      </c>
      <c r="AF39" s="160">
        <f>SUMIF(入出金予定表!$A$2:$A$2000,"短期借入金",入出金予定表!AC$2:AC$2000)</f>
        <v>0</v>
      </c>
      <c r="AG39" s="160">
        <f>SUMIF(入出金予定表!$A$2:$A$2000,"短期借入金",入出金予定表!AD$2:AD$2000)</f>
        <v>0</v>
      </c>
      <c r="AH39" s="160">
        <f>SUMIF(入出金予定表!$A$2:$A$2000,"短期借入金",入出金予定表!AE$2:AE$2000)</f>
        <v>0</v>
      </c>
      <c r="AI39" s="160">
        <f>SUMIF(入出金予定表!$A$2:$A$2000,"短期借入金",入出金予定表!AF$2:AF$2000)</f>
        <v>0</v>
      </c>
      <c r="AJ39" s="160">
        <f>SUMIF(入出金予定表!$A$2:$A$2000,"短期借入金",入出金予定表!AG$2:AG$2000)</f>
        <v>0</v>
      </c>
      <c r="AK39" s="160">
        <f>SUMIF(入出金予定表!$A$2:$A$2000,"短期借入金",入出金予定表!AH$2:AH$2000)</f>
        <v>0</v>
      </c>
      <c r="AL39" s="160">
        <f>SUMIF(入出金予定表!$A$2:$A$2000,"短期借入金",入出金予定表!AI$2:AI$2000)</f>
        <v>0</v>
      </c>
      <c r="AM39" s="160">
        <f>SUMIF(入出金予定表!$A$2:$A$2000,"短期借入金",入出金予定表!AJ$2:AJ$2000)</f>
        <v>0</v>
      </c>
      <c r="AN39" s="160">
        <f>SUMIF(入出金予定表!$A$2:$A$2000,"短期借入金",入出金予定表!AK$2:AK$2000)</f>
        <v>0</v>
      </c>
      <c r="AO39" s="160">
        <f>SUMIF(入出金予定表!$A$2:$A$2000,"短期借入金",入出金予定表!AL$2:AL$2000)</f>
        <v>0</v>
      </c>
      <c r="AP39" s="160">
        <f t="shared" si="4"/>
        <v>0</v>
      </c>
    </row>
    <row r="40" spans="1:42" ht="15">
      <c r="A40" s="170" t="str">
        <f>資金繰り実績表!A33</f>
        <v>長期借入金</v>
      </c>
      <c r="B40" s="160">
        <f>SUMIF(入出金予定表!$A$2:$A$2000,"長期借入金",入出金予定表!C$2:C$2000)</f>
        <v>0</v>
      </c>
      <c r="C40" s="160">
        <f>SUMIF(入出金予定表!$A$2:$A$2000,"長期借入金",入出金予定表!D$2:D$2000)</f>
        <v>0</v>
      </c>
      <c r="D40" s="160">
        <f>SUMIF(入出金予定表!$A$2:$A$2000,"長期借入金",入出金予定表!E$2:E$2000)</f>
        <v>0</v>
      </c>
      <c r="E40" s="160">
        <f>SUMIF(入出金予定表!$A$2:$A$2000,"長期借入金",入出金予定表!F$2:F$2000)</f>
        <v>0</v>
      </c>
      <c r="F40" s="160">
        <f>SUMIF(入出金予定表!$A$2:$A$2000,"長期借入金",入出金予定表!G$2:G$2000)</f>
        <v>0</v>
      </c>
      <c r="G40" s="160">
        <f>SUMIF(入出金予定表!$A$2:$A$2000,"長期借入金",入出金予定表!H$2:H$2000)</f>
        <v>66051004</v>
      </c>
      <c r="H40" s="160">
        <f>SUMIF(入出金予定表!$A$2:$A$2000,"長期借入金",入出金予定表!I$2:I$2000)</f>
        <v>28867500</v>
      </c>
      <c r="I40" s="160">
        <f>SUMIF(入出金予定表!$A$2:$A$2000,"長期借入金",入出金予定表!J$2:J$2000)</f>
        <v>0</v>
      </c>
      <c r="J40" s="160">
        <f>SUMIF(入出金予定表!$A$2:$A$2000,"長期借入金",入出金予定表!K$2:K$2000)</f>
        <v>0</v>
      </c>
      <c r="K40" s="160">
        <f>SUMIF(入出金予定表!$A$2:$A$2000,"長期借入金",入出金予定表!L$2:L$2000)</f>
        <v>0</v>
      </c>
      <c r="L40" s="160">
        <f>SUMIF(入出金予定表!$A$2:$A$2000,"長期借入金",入出金予定表!M$2:M$2000)</f>
        <v>0</v>
      </c>
      <c r="M40" s="160">
        <f>SUMIF(入出金予定表!$A$2:$A$2000,"長期借入金",入出金予定表!N$2:N$2000)</f>
        <v>0</v>
      </c>
      <c r="N40" s="160">
        <f t="shared" si="28"/>
        <v>94918504</v>
      </c>
      <c r="O40" s="153" t="str">
        <f t="shared" si="32"/>
        <v>長期借入金</v>
      </c>
      <c r="P40" s="160">
        <f>SUMIF(入出金予定表!$A$2:$A$2000,"長期借入金",入出金予定表!O$2:O$2000)</f>
        <v>0</v>
      </c>
      <c r="Q40" s="160">
        <f>SUMIF(入出金予定表!$A$2:$A$2000,"長期借入金",入出金予定表!P$2:P$2000)</f>
        <v>0</v>
      </c>
      <c r="R40" s="160">
        <f>SUMIF(入出金予定表!$A$2:$A$2000,"長期借入金",入出金予定表!Q$2:Q$2000)</f>
        <v>0</v>
      </c>
      <c r="S40" s="160">
        <f>SUMIF(入出金予定表!$A$2:$A$2000,"長期借入金",入出金予定表!R$2:R$2000)</f>
        <v>0</v>
      </c>
      <c r="T40" s="160">
        <f>SUMIF(入出金予定表!$A$2:$A$2000,"長期借入金",入出金予定表!S$2:S$2000)</f>
        <v>0</v>
      </c>
      <c r="U40" s="160">
        <f>SUMIF(入出金予定表!$A$2:$A$2000,"長期借入金",入出金予定表!T$2:T$2000)</f>
        <v>0</v>
      </c>
      <c r="V40" s="160">
        <f>SUMIF(入出金予定表!$A$2:$A$2000,"長期借入金",入出金予定表!U$2:U$2000)</f>
        <v>0</v>
      </c>
      <c r="W40" s="160">
        <f>SUMIF(入出金予定表!$A$2:$A$2000,"長期借入金",入出金予定表!V$2:V$2000)</f>
        <v>0</v>
      </c>
      <c r="X40" s="160">
        <f>SUMIF(入出金予定表!$A$2:$A$2000,"長期借入金",入出金予定表!W$2:W$2000)</f>
        <v>0</v>
      </c>
      <c r="Y40" s="160">
        <f>SUMIF(入出金予定表!$A$2:$A$2000,"長期借入金",入出金予定表!X$2:X$2000)</f>
        <v>0</v>
      </c>
      <c r="Z40" s="160">
        <f>SUMIF(入出金予定表!$A$2:$A$2000,"長期借入金",入出金予定表!Y$2:Y$2000)</f>
        <v>0</v>
      </c>
      <c r="AA40" s="160">
        <f>SUMIF(入出金予定表!$A$2:$A$2000,"長期借入金",入出金予定表!Z$2:Z$2000)</f>
        <v>0</v>
      </c>
      <c r="AB40" s="160">
        <f t="shared" si="30"/>
        <v>0</v>
      </c>
      <c r="AC40" s="160" t="str">
        <f t="shared" si="33"/>
        <v>長期借入金</v>
      </c>
      <c r="AD40" s="160">
        <f>SUMIF(入出金予定表!$A$2:$A$2000,"長期借入金",入出金予定表!AA$2:AA$2000)</f>
        <v>0</v>
      </c>
      <c r="AE40" s="160">
        <f>SUMIF(入出金予定表!$A$2:$A$2000,"長期借入金",入出金予定表!AB$2:AB$2000)</f>
        <v>0</v>
      </c>
      <c r="AF40" s="160">
        <f>SUMIF(入出金予定表!$A$2:$A$2000,"長期借入金",入出金予定表!AC$2:AC$2000)</f>
        <v>0</v>
      </c>
      <c r="AG40" s="160">
        <f>SUMIF(入出金予定表!$A$2:$A$2000,"長期借入金",入出金予定表!AD$2:AD$2000)</f>
        <v>0</v>
      </c>
      <c r="AH40" s="160">
        <f>SUMIF(入出金予定表!$A$2:$A$2000,"長期借入金",入出金予定表!AE$2:AE$2000)</f>
        <v>0</v>
      </c>
      <c r="AI40" s="160">
        <f>SUMIF(入出金予定表!$A$2:$A$2000,"長期借入金",入出金予定表!AF$2:AF$2000)</f>
        <v>0</v>
      </c>
      <c r="AJ40" s="160">
        <f>SUMIF(入出金予定表!$A$2:$A$2000,"長期借入金",入出金予定表!AG$2:AG$2000)</f>
        <v>0</v>
      </c>
      <c r="AK40" s="160">
        <f>SUMIF(入出金予定表!$A$2:$A$2000,"長期借入金",入出金予定表!AH$2:AH$2000)</f>
        <v>0</v>
      </c>
      <c r="AL40" s="160">
        <f>SUMIF(入出金予定表!$A$2:$A$2000,"長期借入金",入出金予定表!AI$2:AI$2000)</f>
        <v>0</v>
      </c>
      <c r="AM40" s="160">
        <f>SUMIF(入出金予定表!$A$2:$A$2000,"長期借入金",入出金予定表!AJ$2:AJ$2000)</f>
        <v>0</v>
      </c>
      <c r="AN40" s="160">
        <f>SUMIF(入出金予定表!$A$2:$A$2000,"長期借入金",入出金予定表!AK$2:AK$2000)</f>
        <v>0</v>
      </c>
      <c r="AO40" s="160">
        <f>SUMIF(入出金予定表!$A$2:$A$2000,"長期借入金",入出金予定表!AL$2:AL$2000)</f>
        <v>0</v>
      </c>
      <c r="AP40" s="160">
        <f t="shared" si="4"/>
        <v>0</v>
      </c>
    </row>
    <row r="41" spans="1:42" ht="15">
      <c r="A41" s="170" t="str">
        <f>資金繰り実績表!A34</f>
        <v>役員・関係会社から入金</v>
      </c>
      <c r="B41" s="160">
        <f>SUMIF(入出金予定表!$A$2:$A$2000,"役員・関係会社から入金",入出金予定表!C$2:C$2000)</f>
        <v>0</v>
      </c>
      <c r="C41" s="160">
        <f>SUMIF(入出金予定表!$A$2:$A$2000,"役員・関係会社から入金",入出金予定表!D$2:D$2000)</f>
        <v>0</v>
      </c>
      <c r="D41" s="160">
        <f>SUMIF(入出金予定表!$A$2:$A$2000,"役員・関係会社から入金",入出金予定表!E$2:E$2000)</f>
        <v>0</v>
      </c>
      <c r="E41" s="160">
        <f>SUMIF(入出金予定表!$A$2:$A$2000,"役員・関係会社から入金",入出金予定表!F$2:F$2000)</f>
        <v>0</v>
      </c>
      <c r="F41" s="160">
        <f>SUMIF(入出金予定表!$A$2:$A$2000,"役員・関係会社から入金",入出金予定表!G$2:G$2000)</f>
        <v>0</v>
      </c>
      <c r="G41" s="160">
        <f>SUMIF(入出金予定表!$A$2:$A$2000,"役員・関係会社から入金",入出金予定表!H$2:H$2000)</f>
        <v>0</v>
      </c>
      <c r="H41" s="160">
        <f>SUMIF(入出金予定表!$A$2:$A$2000,"役員・関係会社から入金",入出金予定表!I$2:I$2000)</f>
        <v>0</v>
      </c>
      <c r="I41" s="160">
        <f>SUMIF(入出金予定表!$A$2:$A$2000,"役員・関係会社から入金",入出金予定表!J$2:J$2000)</f>
        <v>0</v>
      </c>
      <c r="J41" s="160">
        <f>SUMIF(入出金予定表!$A$2:$A$2000,"役員・関係会社から入金",入出金予定表!K$2:K$2000)</f>
        <v>0</v>
      </c>
      <c r="K41" s="160">
        <f>SUMIF(入出金予定表!$A$2:$A$2000,"役員・関係会社から入金",入出金予定表!L$2:L$2000)</f>
        <v>0</v>
      </c>
      <c r="L41" s="160">
        <f>SUMIF(入出金予定表!$A$2:$A$2000,"役員・関係会社から入金",入出金予定表!M$2:M$2000)</f>
        <v>0</v>
      </c>
      <c r="M41" s="160">
        <f>SUMIF(入出金予定表!$A$2:$A$2000,"役員・関係会社から入金",入出金予定表!N$2:N$2000)</f>
        <v>0</v>
      </c>
      <c r="N41" s="160">
        <f t="shared" si="28"/>
        <v>0</v>
      </c>
      <c r="O41" s="153" t="str">
        <f t="shared" si="32"/>
        <v>役員・関係会社から入金</v>
      </c>
      <c r="P41" s="160">
        <f>SUMIF(入出金予定表!$A$2:$A$2000,"役員・関係会社から入金",入出金予定表!O$2:O$2000)</f>
        <v>0</v>
      </c>
      <c r="Q41" s="160">
        <f>SUMIF(入出金予定表!$A$2:$A$2000,"役員・関係会社から入金",入出金予定表!P$2:P$2000)</f>
        <v>0</v>
      </c>
      <c r="R41" s="160">
        <f>SUMIF(入出金予定表!$A$2:$A$2000,"役員・関係会社から入金",入出金予定表!Q$2:Q$2000)</f>
        <v>0</v>
      </c>
      <c r="S41" s="160">
        <f>SUMIF(入出金予定表!$A$2:$A$2000,"役員・関係会社から入金",入出金予定表!R$2:R$2000)</f>
        <v>0</v>
      </c>
      <c r="T41" s="160">
        <f>SUMIF(入出金予定表!$A$2:$A$2000,"役員・関係会社から入金",入出金予定表!S$2:S$2000)</f>
        <v>0</v>
      </c>
      <c r="U41" s="160">
        <f>SUMIF(入出金予定表!$A$2:$A$2000,"役員・関係会社から入金",入出金予定表!T$2:T$2000)</f>
        <v>0</v>
      </c>
      <c r="V41" s="160">
        <f>SUMIF(入出金予定表!$A$2:$A$2000,"役員・関係会社から入金",入出金予定表!U$2:U$2000)</f>
        <v>0</v>
      </c>
      <c r="W41" s="160">
        <f>SUMIF(入出金予定表!$A$2:$A$2000,"役員・関係会社から入金",入出金予定表!V$2:V$2000)</f>
        <v>0</v>
      </c>
      <c r="X41" s="160">
        <f>SUMIF(入出金予定表!$A$2:$A$2000,"役員・関係会社から入金",入出金予定表!W$2:W$2000)</f>
        <v>0</v>
      </c>
      <c r="Y41" s="160">
        <f>SUMIF(入出金予定表!$A$2:$A$2000,"役員・関係会社から入金",入出金予定表!X$2:X$2000)</f>
        <v>0</v>
      </c>
      <c r="Z41" s="160">
        <f>SUMIF(入出金予定表!$A$2:$A$2000,"役員・関係会社から入金",入出金予定表!Y$2:Y$2000)</f>
        <v>0</v>
      </c>
      <c r="AA41" s="160">
        <f>SUMIF(入出金予定表!$A$2:$A$2000,"役員・関係会社から入金",入出金予定表!Z$2:Z$2000)</f>
        <v>0</v>
      </c>
      <c r="AB41" s="160">
        <f t="shared" si="30"/>
        <v>0</v>
      </c>
      <c r="AC41" s="160" t="str">
        <f t="shared" si="33"/>
        <v>役員・関係会社から入金</v>
      </c>
      <c r="AD41" s="160">
        <f>SUMIF(入出金予定表!$A$2:$A$2000,"役員・関係会社から入金",入出金予定表!AA$2:AA$2000)</f>
        <v>0</v>
      </c>
      <c r="AE41" s="160">
        <f>SUMIF(入出金予定表!$A$2:$A$2000,"役員・関係会社から入金",入出金予定表!AB$2:AB$2000)</f>
        <v>0</v>
      </c>
      <c r="AF41" s="160">
        <f>SUMIF(入出金予定表!$A$2:$A$2000,"役員・関係会社から入金",入出金予定表!AC$2:AC$2000)</f>
        <v>0</v>
      </c>
      <c r="AG41" s="160">
        <f>SUMIF(入出金予定表!$A$2:$A$2000,"役員・関係会社から入金",入出金予定表!AD$2:AD$2000)</f>
        <v>0</v>
      </c>
      <c r="AH41" s="160">
        <f>SUMIF(入出金予定表!$A$2:$A$2000,"役員・関係会社から入金",入出金予定表!AE$2:AE$2000)</f>
        <v>0</v>
      </c>
      <c r="AI41" s="160">
        <f>SUMIF(入出金予定表!$A$2:$A$2000,"役員・関係会社から入金",入出金予定表!AF$2:AF$2000)</f>
        <v>0</v>
      </c>
      <c r="AJ41" s="160">
        <f>SUMIF(入出金予定表!$A$2:$A$2000,"役員・関係会社から入金",入出金予定表!AG$2:AG$2000)</f>
        <v>0</v>
      </c>
      <c r="AK41" s="160">
        <f>SUMIF(入出金予定表!$A$2:$A$2000,"役員・関係会社から入金",入出金予定表!AH$2:AH$2000)</f>
        <v>0</v>
      </c>
      <c r="AL41" s="160">
        <f>SUMIF(入出金予定表!$A$2:$A$2000,"役員・関係会社から入金",入出金予定表!AI$2:AI$2000)</f>
        <v>0</v>
      </c>
      <c r="AM41" s="160">
        <f>SUMIF(入出金予定表!$A$2:$A$2000,"役員・関係会社から入金",入出金予定表!AJ$2:AJ$2000)</f>
        <v>0</v>
      </c>
      <c r="AN41" s="160">
        <f>SUMIF(入出金予定表!$A$2:$A$2000,"役員・関係会社から入金",入出金予定表!AK$2:AK$2000)</f>
        <v>0</v>
      </c>
      <c r="AO41" s="160">
        <f>SUMIF(入出金予定表!$A$2:$A$2000,"役員・関係会社から入金",入出金予定表!AL$2:AL$2000)</f>
        <v>0</v>
      </c>
      <c r="AP41" s="160">
        <f t="shared" si="4"/>
        <v>0</v>
      </c>
    </row>
    <row r="42" spans="1:42" ht="15">
      <c r="A42" s="170" t="str">
        <f>資金繰り実績表!A35</f>
        <v>受取利息・配当</v>
      </c>
      <c r="B42" s="160">
        <f>SUMIF(入出金予定表!$A$2:$A$2000,"受取利息・配当",入出金予定表!C$2:C$2000)</f>
        <v>0</v>
      </c>
      <c r="C42" s="160">
        <f>SUMIF(入出金予定表!$A$2:$A$2000,"受取利息・配当",入出金予定表!D$2:D$2000)</f>
        <v>6823</v>
      </c>
      <c r="D42" s="160">
        <f>SUMIF(入出金予定表!$A$2:$A$2000,"受取利息・配当",入出金予定表!E$2:E$2000)</f>
        <v>2446</v>
      </c>
      <c r="E42" s="160">
        <f>SUMIF(入出金予定表!$A$2:$A$2000,"受取利息・配当",入出金予定表!F$2:F$2000)</f>
        <v>0</v>
      </c>
      <c r="F42" s="160">
        <f>SUMIF(入出金予定表!$A$2:$A$2000,"受取利息・配当",入出金予定表!G$2:G$2000)</f>
        <v>0</v>
      </c>
      <c r="G42" s="160">
        <f>SUMIF(入出金予定表!$A$2:$A$2000,"受取利息・配当",入出金予定表!H$2:H$2000)</f>
        <v>0</v>
      </c>
      <c r="H42" s="160">
        <f>SUMIF(入出金予定表!$A$2:$A$2000,"受取利息・配当",入出金予定表!I$2:I$2000)</f>
        <v>0</v>
      </c>
      <c r="I42" s="160">
        <f>SUMIF(入出金予定表!$A$2:$A$2000,"受取利息・配当",入出金予定表!J$2:J$2000)</f>
        <v>5033</v>
      </c>
      <c r="J42" s="160">
        <f>SUMIF(入出金予定表!$A$2:$A$2000,"受取利息・配当",入出金予定表!K$2:K$2000)</f>
        <v>1038</v>
      </c>
      <c r="K42" s="160">
        <f>SUMIF(入出金予定表!$A$2:$A$2000,"受取利息・配当",入出金予定表!L$2:L$2000)</f>
        <v>0</v>
      </c>
      <c r="L42" s="160">
        <f>SUMIF(入出金予定表!$A$2:$A$2000,"受取利息・配当",入出金予定表!M$2:M$2000)</f>
        <v>0</v>
      </c>
      <c r="M42" s="160">
        <f>SUMIF(入出金予定表!$A$2:$A$2000,"受取利息・配当",入出金予定表!N$2:N$2000)</f>
        <v>0</v>
      </c>
      <c r="N42" s="160">
        <f t="shared" si="28"/>
        <v>15340</v>
      </c>
      <c r="O42" s="153" t="str">
        <f t="shared" si="32"/>
        <v>受取利息・配当</v>
      </c>
      <c r="P42" s="160">
        <f>SUMIF(入出金予定表!$A$2:$A$2000,"受取利息・配当",入出金予定表!O$2:O$2000)</f>
        <v>0</v>
      </c>
      <c r="Q42" s="160">
        <f>SUMIF(入出金予定表!$A$2:$A$2000,"受取利息・配当",入出金予定表!P$2:P$2000)</f>
        <v>0</v>
      </c>
      <c r="R42" s="160">
        <f>SUMIF(入出金予定表!$A$2:$A$2000,"受取利息・配当",入出金予定表!Q$2:Q$2000)</f>
        <v>0</v>
      </c>
      <c r="S42" s="160">
        <f>SUMIF(入出金予定表!$A$2:$A$2000,"受取利息・配当",入出金予定表!R$2:R$2000)</f>
        <v>0</v>
      </c>
      <c r="T42" s="160">
        <f>SUMIF(入出金予定表!$A$2:$A$2000,"受取利息・配当",入出金予定表!S$2:S$2000)</f>
        <v>0</v>
      </c>
      <c r="U42" s="160">
        <f>SUMIF(入出金予定表!$A$2:$A$2000,"受取利息・配当",入出金予定表!T$2:T$2000)</f>
        <v>0</v>
      </c>
      <c r="V42" s="160">
        <f>SUMIF(入出金予定表!$A$2:$A$2000,"受取利息・配当",入出金予定表!U$2:U$2000)</f>
        <v>0</v>
      </c>
      <c r="W42" s="160">
        <f>SUMIF(入出金予定表!$A$2:$A$2000,"受取利息・配当",入出金予定表!V$2:V$2000)</f>
        <v>0</v>
      </c>
      <c r="X42" s="160">
        <f>SUMIF(入出金予定表!$A$2:$A$2000,"受取利息・配当",入出金予定表!W$2:W$2000)</f>
        <v>0</v>
      </c>
      <c r="Y42" s="160">
        <f>SUMIF(入出金予定表!$A$2:$A$2000,"受取利息・配当",入出金予定表!X$2:X$2000)</f>
        <v>0</v>
      </c>
      <c r="Z42" s="160">
        <f>SUMIF(入出金予定表!$A$2:$A$2000,"受取利息・配当",入出金予定表!Y$2:Y$2000)</f>
        <v>0</v>
      </c>
      <c r="AA42" s="160">
        <f>SUMIF(入出金予定表!$A$2:$A$2000,"受取利息・配当",入出金予定表!Z$2:Z$2000)</f>
        <v>0</v>
      </c>
      <c r="AB42" s="160">
        <f t="shared" si="30"/>
        <v>0</v>
      </c>
      <c r="AC42" s="160" t="str">
        <f t="shared" si="33"/>
        <v>受取利息・配当</v>
      </c>
      <c r="AD42" s="160">
        <f>SUMIF(入出金予定表!$A$2:$A$2000,"受取利息・配当",入出金予定表!AA$2:AA$2000)</f>
        <v>0</v>
      </c>
      <c r="AE42" s="160">
        <f>SUMIF(入出金予定表!$A$2:$A$2000,"受取利息・配当",入出金予定表!AB$2:AB$2000)</f>
        <v>0</v>
      </c>
      <c r="AF42" s="160">
        <f>SUMIF(入出金予定表!$A$2:$A$2000,"受取利息・配当",入出金予定表!AC$2:AC$2000)</f>
        <v>0</v>
      </c>
      <c r="AG42" s="160">
        <f>SUMIF(入出金予定表!$A$2:$A$2000,"受取利息・配当",入出金予定表!AD$2:AD$2000)</f>
        <v>0</v>
      </c>
      <c r="AH42" s="160">
        <f>SUMIF(入出金予定表!$A$2:$A$2000,"受取利息・配当",入出金予定表!AE$2:AE$2000)</f>
        <v>0</v>
      </c>
      <c r="AI42" s="160">
        <f>SUMIF(入出金予定表!$A$2:$A$2000,"受取利息・配当",入出金予定表!AF$2:AF$2000)</f>
        <v>0</v>
      </c>
      <c r="AJ42" s="160">
        <f>SUMIF(入出金予定表!$A$2:$A$2000,"受取利息・配当",入出金予定表!AG$2:AG$2000)</f>
        <v>0</v>
      </c>
      <c r="AK42" s="160">
        <f>SUMIF(入出金予定表!$A$2:$A$2000,"受取利息・配当",入出金予定表!AH$2:AH$2000)</f>
        <v>0</v>
      </c>
      <c r="AL42" s="160">
        <f>SUMIF(入出金予定表!$A$2:$A$2000,"受取利息・配当",入出金予定表!AI$2:AI$2000)</f>
        <v>0</v>
      </c>
      <c r="AM42" s="160">
        <f>SUMIF(入出金予定表!$A$2:$A$2000,"受取利息・配当",入出金予定表!AJ$2:AJ$2000)</f>
        <v>0</v>
      </c>
      <c r="AN42" s="160">
        <f>SUMIF(入出金予定表!$A$2:$A$2000,"受取利息・配当",入出金予定表!AK$2:AK$2000)</f>
        <v>0</v>
      </c>
      <c r="AO42" s="160">
        <f>SUMIF(入出金予定表!$A$2:$A$2000,"受取利息・配当",入出金予定表!AL$2:AL$2000)</f>
        <v>0</v>
      </c>
      <c r="AP42" s="160">
        <f t="shared" si="4"/>
        <v>0</v>
      </c>
    </row>
    <row r="43" spans="1:42" ht="15">
      <c r="A43" s="170" t="str">
        <f>資金繰り実績表!A36</f>
        <v>その他財務収入</v>
      </c>
      <c r="B43" s="160">
        <f>SUMIF(入出金予定表!$A$2:$A$2000,"その他財務収入",入出金予定表!C$2:C$2000)</f>
        <v>11135384</v>
      </c>
      <c r="C43" s="160">
        <f>SUMIF(入出金予定表!$A$2:$A$2000,"その他財務収入",入出金予定表!D$2:D$2000)</f>
        <v>0</v>
      </c>
      <c r="D43" s="160">
        <f>SUMIF(入出金予定表!$A$2:$A$2000,"その他財務収入",入出金予定表!E$2:E$2000)</f>
        <v>0</v>
      </c>
      <c r="E43" s="160">
        <f>SUMIF(入出金予定表!$A$2:$A$2000,"その他財務収入",入出金予定表!F$2:F$2000)</f>
        <v>0</v>
      </c>
      <c r="F43" s="160">
        <f>SUMIF(入出金予定表!$A$2:$A$2000,"その他財務収入",入出金予定表!G$2:G$2000)</f>
        <v>0</v>
      </c>
      <c r="G43" s="160">
        <f>SUMIF(入出金予定表!$A$2:$A$2000,"その他財務収入",入出金予定表!H$2:H$2000)</f>
        <v>0</v>
      </c>
      <c r="H43" s="160">
        <f>SUMIF(入出金予定表!$A$2:$A$2000,"その他財務収入",入出金予定表!I$2:I$2000)</f>
        <v>0</v>
      </c>
      <c r="I43" s="160">
        <f>SUMIF(入出金予定表!$A$2:$A$2000,"その他財務収入",入出金予定表!J$2:J$2000)</f>
        <v>0</v>
      </c>
      <c r="J43" s="160">
        <f>SUMIF(入出金予定表!$A$2:$A$2000,"その他財務収入",入出金予定表!K$2:K$2000)</f>
        <v>0</v>
      </c>
      <c r="K43" s="160">
        <f>SUMIF(入出金予定表!$A$2:$A$2000,"その他財務収入",入出金予定表!L$2:L$2000)</f>
        <v>0</v>
      </c>
      <c r="L43" s="160">
        <f>SUMIF(入出金予定表!$A$2:$A$2000,"その他財務収入",入出金予定表!M$2:M$2000)</f>
        <v>0</v>
      </c>
      <c r="M43" s="160">
        <f>SUMIF(入出金予定表!$A$2:$A$2000,"その他財務収入",入出金予定表!N$2:N$2000)</f>
        <v>0</v>
      </c>
      <c r="N43" s="160">
        <f t="shared" si="28"/>
        <v>11135384</v>
      </c>
      <c r="O43" s="153" t="str">
        <f t="shared" si="32"/>
        <v>その他財務収入</v>
      </c>
      <c r="P43" s="160">
        <f>SUMIF(入出金予定表!$A$2:$A$2000,"その他財務収入",入出金予定表!O$2:O$2000)</f>
        <v>0</v>
      </c>
      <c r="Q43" s="160">
        <f>SUMIF(入出金予定表!$A$2:$A$2000,"その他財務収入",入出金予定表!P$2:P$2000)</f>
        <v>0</v>
      </c>
      <c r="R43" s="160">
        <f>SUMIF(入出金予定表!$A$2:$A$2000,"その他財務収入",入出金予定表!Q$2:Q$2000)</f>
        <v>0</v>
      </c>
      <c r="S43" s="160">
        <f>SUMIF(入出金予定表!$A$2:$A$2000,"その他財務収入",入出金予定表!R$2:R$2000)</f>
        <v>0</v>
      </c>
      <c r="T43" s="160">
        <f>SUMIF(入出金予定表!$A$2:$A$2000,"その他財務収入",入出金予定表!S$2:S$2000)</f>
        <v>0</v>
      </c>
      <c r="U43" s="160">
        <f>SUMIF(入出金予定表!$A$2:$A$2000,"その他財務収入",入出金予定表!T$2:T$2000)</f>
        <v>0</v>
      </c>
      <c r="V43" s="160">
        <f>SUMIF(入出金予定表!$A$2:$A$2000,"その他財務収入",入出金予定表!U$2:U$2000)</f>
        <v>0</v>
      </c>
      <c r="W43" s="160">
        <f>SUMIF(入出金予定表!$A$2:$A$2000,"その他財務収入",入出金予定表!V$2:V$2000)</f>
        <v>0</v>
      </c>
      <c r="X43" s="160">
        <f>SUMIF(入出金予定表!$A$2:$A$2000,"その他財務収入",入出金予定表!W$2:W$2000)</f>
        <v>0</v>
      </c>
      <c r="Y43" s="160">
        <f>SUMIF(入出金予定表!$A$2:$A$2000,"その他財務収入",入出金予定表!X$2:X$2000)</f>
        <v>0</v>
      </c>
      <c r="Z43" s="160">
        <f>SUMIF(入出金予定表!$A$2:$A$2000,"その他財務収入",入出金予定表!Y$2:Y$2000)</f>
        <v>0</v>
      </c>
      <c r="AA43" s="160">
        <f>SUMIF(入出金予定表!$A$2:$A$2000,"その他財務収入",入出金予定表!Z$2:Z$2000)</f>
        <v>0</v>
      </c>
      <c r="AB43" s="160">
        <f t="shared" si="30"/>
        <v>0</v>
      </c>
      <c r="AC43" s="160" t="str">
        <f t="shared" si="33"/>
        <v>その他財務収入</v>
      </c>
      <c r="AD43" s="160">
        <f>SUMIF(入出金予定表!$A$2:$A$2000,"その他財務収入",入出金予定表!AA$2:AA$2000)</f>
        <v>0</v>
      </c>
      <c r="AE43" s="160">
        <f>SUMIF(入出金予定表!$A$2:$A$2000,"その他財務収入",入出金予定表!AB$2:AB$2000)</f>
        <v>0</v>
      </c>
      <c r="AF43" s="160">
        <f>SUMIF(入出金予定表!$A$2:$A$2000,"その他財務収入",入出金予定表!AC$2:AC$2000)</f>
        <v>0</v>
      </c>
      <c r="AG43" s="160">
        <f>SUMIF(入出金予定表!$A$2:$A$2000,"その他財務収入",入出金予定表!AD$2:AD$2000)</f>
        <v>0</v>
      </c>
      <c r="AH43" s="160">
        <f>SUMIF(入出金予定表!$A$2:$A$2000,"その他財務収入",入出金予定表!AE$2:AE$2000)</f>
        <v>0</v>
      </c>
      <c r="AI43" s="160">
        <f>SUMIF(入出金予定表!$A$2:$A$2000,"その他財務収入",入出金予定表!AF$2:AF$2000)</f>
        <v>0</v>
      </c>
      <c r="AJ43" s="160">
        <f>SUMIF(入出金予定表!$A$2:$A$2000,"その他財務収入",入出金予定表!AG$2:AG$2000)</f>
        <v>0</v>
      </c>
      <c r="AK43" s="160">
        <f>SUMIF(入出金予定表!$A$2:$A$2000,"その他財務収入",入出金予定表!AH$2:AH$2000)</f>
        <v>0</v>
      </c>
      <c r="AL43" s="160">
        <f>SUMIF(入出金予定表!$A$2:$A$2000,"その他財務収入",入出金予定表!AI$2:AI$2000)</f>
        <v>0</v>
      </c>
      <c r="AM43" s="160">
        <f>SUMIF(入出金予定表!$A$2:$A$2000,"その他財務収入",入出金予定表!AJ$2:AJ$2000)</f>
        <v>0</v>
      </c>
      <c r="AN43" s="160">
        <f>SUMIF(入出金予定表!$A$2:$A$2000,"その他財務収入",入出金予定表!AK$2:AK$2000)</f>
        <v>0</v>
      </c>
      <c r="AO43" s="160">
        <f>SUMIF(入出金予定表!$A$2:$A$2000,"その他財務収入",入出金予定表!AL$2:AL$2000)</f>
        <v>0</v>
      </c>
      <c r="AP43" s="160">
        <f t="shared" si="4"/>
        <v>0</v>
      </c>
    </row>
    <row r="44" spans="1:42" ht="15">
      <c r="A44" s="180" t="s">
        <v>55</v>
      </c>
      <c r="B44" s="162">
        <f t="shared" ref="B44:N44" si="34">SUM(B39:B43)</f>
        <v>11135384</v>
      </c>
      <c r="C44" s="162">
        <f t="shared" si="34"/>
        <v>6823</v>
      </c>
      <c r="D44" s="162">
        <f t="shared" si="34"/>
        <v>2446</v>
      </c>
      <c r="E44" s="162">
        <f t="shared" si="34"/>
        <v>0</v>
      </c>
      <c r="F44" s="162">
        <f t="shared" si="34"/>
        <v>0</v>
      </c>
      <c r="G44" s="162">
        <f t="shared" si="34"/>
        <v>66051004</v>
      </c>
      <c r="H44" s="162">
        <f t="shared" si="34"/>
        <v>28867500</v>
      </c>
      <c r="I44" s="162">
        <f t="shared" si="34"/>
        <v>5033</v>
      </c>
      <c r="J44" s="162">
        <f t="shared" si="34"/>
        <v>1038</v>
      </c>
      <c r="K44" s="162">
        <f t="shared" si="34"/>
        <v>0</v>
      </c>
      <c r="L44" s="162">
        <f t="shared" si="34"/>
        <v>0</v>
      </c>
      <c r="M44" s="162">
        <f t="shared" si="34"/>
        <v>0</v>
      </c>
      <c r="N44" s="162">
        <f t="shared" si="34"/>
        <v>106069228</v>
      </c>
      <c r="O44" s="163" t="s">
        <v>55</v>
      </c>
      <c r="P44" s="162">
        <f t="shared" ref="P44:AB44" si="35">SUM(P39:P43)</f>
        <v>0</v>
      </c>
      <c r="Q44" s="162">
        <f t="shared" si="35"/>
        <v>0</v>
      </c>
      <c r="R44" s="162">
        <f t="shared" si="35"/>
        <v>0</v>
      </c>
      <c r="S44" s="162">
        <f t="shared" si="35"/>
        <v>0</v>
      </c>
      <c r="T44" s="162">
        <f t="shared" si="35"/>
        <v>0</v>
      </c>
      <c r="U44" s="162">
        <f t="shared" si="35"/>
        <v>0</v>
      </c>
      <c r="V44" s="162">
        <f t="shared" si="35"/>
        <v>0</v>
      </c>
      <c r="W44" s="162">
        <f t="shared" si="35"/>
        <v>0</v>
      </c>
      <c r="X44" s="162">
        <f t="shared" si="35"/>
        <v>0</v>
      </c>
      <c r="Y44" s="162">
        <f t="shared" si="35"/>
        <v>0</v>
      </c>
      <c r="Z44" s="162">
        <f t="shared" si="35"/>
        <v>0</v>
      </c>
      <c r="AA44" s="162">
        <f t="shared" si="35"/>
        <v>0</v>
      </c>
      <c r="AB44" s="162">
        <f t="shared" si="35"/>
        <v>0</v>
      </c>
      <c r="AC44" s="162" t="s">
        <v>55</v>
      </c>
      <c r="AD44" s="162">
        <f t="shared" ref="AD44:AO44" si="36">SUM(AD39:AD43)</f>
        <v>0</v>
      </c>
      <c r="AE44" s="162">
        <f t="shared" si="36"/>
        <v>0</v>
      </c>
      <c r="AF44" s="162">
        <f t="shared" si="36"/>
        <v>0</v>
      </c>
      <c r="AG44" s="162">
        <f t="shared" si="36"/>
        <v>0</v>
      </c>
      <c r="AH44" s="162">
        <f t="shared" si="36"/>
        <v>0</v>
      </c>
      <c r="AI44" s="162">
        <f t="shared" si="36"/>
        <v>0</v>
      </c>
      <c r="AJ44" s="162">
        <f t="shared" si="36"/>
        <v>0</v>
      </c>
      <c r="AK44" s="162">
        <f t="shared" si="36"/>
        <v>0</v>
      </c>
      <c r="AL44" s="162">
        <f t="shared" si="36"/>
        <v>0</v>
      </c>
      <c r="AM44" s="162">
        <f t="shared" si="36"/>
        <v>0</v>
      </c>
      <c r="AN44" s="162">
        <f t="shared" si="36"/>
        <v>0</v>
      </c>
      <c r="AO44" s="162">
        <f t="shared" si="36"/>
        <v>0</v>
      </c>
      <c r="AP44" s="162">
        <f t="shared" si="4"/>
        <v>0</v>
      </c>
    </row>
    <row r="45" spans="1:42" ht="15">
      <c r="A45" s="170" t="str">
        <f>資金繰り実績表!A37</f>
        <v>短期借入金返済</v>
      </c>
      <c r="B45" s="160">
        <f>SUMIF(入出金予定表!$A$2:$A$2000,"短期借入金返済",入出金予定表!C$2:C$2000)</f>
        <v>0</v>
      </c>
      <c r="C45" s="160">
        <f>SUMIF(入出金予定表!$A$2:$A$2000,"短期借入金返済",入出金予定表!D$2:D$2000)</f>
        <v>0</v>
      </c>
      <c r="D45" s="160">
        <f>SUMIF(入出金予定表!$A$2:$A$2000,"短期借入金返済",入出金予定表!E$2:E$2000)</f>
        <v>0</v>
      </c>
      <c r="E45" s="160">
        <f>SUMIF(入出金予定表!$A$2:$A$2000,"短期借入金返済",入出金予定表!F$2:F$2000)</f>
        <v>0</v>
      </c>
      <c r="F45" s="160">
        <f>SUMIF(入出金予定表!$A$2:$A$2000,"短期借入金返済",入出金予定表!G$2:G$2000)</f>
        <v>0</v>
      </c>
      <c r="G45" s="160">
        <f>SUMIF(入出金予定表!$A$2:$A$2000,"短期借入金返済",入出金予定表!H$2:H$2000)</f>
        <v>0</v>
      </c>
      <c r="H45" s="160">
        <f>SUMIF(入出金予定表!$A$2:$A$2000,"短期借入金返済",入出金予定表!I$2:I$2000)</f>
        <v>0</v>
      </c>
      <c r="I45" s="160">
        <f>SUMIF(入出金予定表!$A$2:$A$2000,"短期借入金返済",入出金予定表!J$2:J$2000)</f>
        <v>0</v>
      </c>
      <c r="J45" s="160">
        <f>SUMIF(入出金予定表!$A$2:$A$2000,"短期借入金返済",入出金予定表!K$2:K$2000)</f>
        <v>0</v>
      </c>
      <c r="K45" s="160">
        <f>SUMIF(入出金予定表!$A$2:$A$2000,"短期借入金返済",入出金予定表!L$2:L$2000)</f>
        <v>0</v>
      </c>
      <c r="L45" s="160">
        <f>SUMIF(入出金予定表!$A$2:$A$2000,"短期借入金返済",入出金予定表!M$2:M$2000)</f>
        <v>0</v>
      </c>
      <c r="M45" s="160">
        <f>SUMIF(入出金予定表!$A$2:$A$2000,"短期借入金返済",入出金予定表!N$2:N$2000)</f>
        <v>0</v>
      </c>
      <c r="N45" s="160">
        <f t="shared" ref="N45:N49" si="37">SUM(B45:M45)</f>
        <v>0</v>
      </c>
      <c r="O45" s="153" t="str">
        <f t="shared" ref="O45:O49" si="38">A45</f>
        <v>短期借入金返済</v>
      </c>
      <c r="P45" s="160">
        <f>SUMIF(入出金予定表!$A$2:$A$2000,"短期借入金返済",入出金予定表!O$2:O$2000)</f>
        <v>0</v>
      </c>
      <c r="Q45" s="160">
        <f>SUMIF(入出金予定表!$A$2:$A$2000,"短期借入金返済",入出金予定表!P$2:P$2000)</f>
        <v>0</v>
      </c>
      <c r="R45" s="160">
        <f>SUMIF(入出金予定表!$A$2:$A$2000,"短期借入金返済",入出金予定表!Q$2:Q$2000)</f>
        <v>0</v>
      </c>
      <c r="S45" s="160">
        <f>SUMIF(入出金予定表!$A$2:$A$2000,"短期借入金返済",入出金予定表!R$2:R$2000)</f>
        <v>0</v>
      </c>
      <c r="T45" s="160">
        <f>SUMIF(入出金予定表!$A$2:$A$2000,"短期借入金返済",入出金予定表!S$2:S$2000)</f>
        <v>0</v>
      </c>
      <c r="U45" s="160">
        <f>SUMIF(入出金予定表!$A$2:$A$2000,"短期借入金返済",入出金予定表!T$2:T$2000)</f>
        <v>0</v>
      </c>
      <c r="V45" s="160">
        <f>SUMIF(入出金予定表!$A$2:$A$2000,"短期借入金返済",入出金予定表!U$2:U$2000)</f>
        <v>0</v>
      </c>
      <c r="W45" s="160">
        <f>SUMIF(入出金予定表!$A$2:$A$2000,"短期借入金返済",入出金予定表!V$2:V$2000)</f>
        <v>0</v>
      </c>
      <c r="X45" s="160">
        <f>SUMIF(入出金予定表!$A$2:$A$2000,"短期借入金返済",入出金予定表!W$2:W$2000)</f>
        <v>0</v>
      </c>
      <c r="Y45" s="160">
        <f>SUMIF(入出金予定表!$A$2:$A$2000,"短期借入金返済",入出金予定表!X$2:X$2000)</f>
        <v>0</v>
      </c>
      <c r="Z45" s="160">
        <f>SUMIF(入出金予定表!$A$2:$A$2000,"短期借入金返済",入出金予定表!Y$2:Y$2000)</f>
        <v>0</v>
      </c>
      <c r="AA45" s="160">
        <f>SUMIF(入出金予定表!$A$2:$A$2000,"短期借入金返済",入出金予定表!Z$2:Z$2000)</f>
        <v>0</v>
      </c>
      <c r="AB45" s="160">
        <f t="shared" ref="AB45:AB49" si="39">SUM(P45:AA45)</f>
        <v>0</v>
      </c>
      <c r="AC45" s="160" t="str">
        <f t="shared" ref="AC45:AC49" si="40">O45</f>
        <v>短期借入金返済</v>
      </c>
      <c r="AD45" s="160">
        <f>SUMIF(入出金予定表!$A$2:$A$2000,"短期借入金返済",入出金予定表!AA$2:AA$2000)</f>
        <v>0</v>
      </c>
      <c r="AE45" s="160">
        <f>SUMIF(入出金予定表!$A$2:$A$2000,"短期借入金返済",入出金予定表!AB$2:AB$2000)</f>
        <v>0</v>
      </c>
      <c r="AF45" s="160">
        <f>SUMIF(入出金予定表!$A$2:$A$2000,"短期借入金返済",入出金予定表!AC$2:AC$2000)</f>
        <v>0</v>
      </c>
      <c r="AG45" s="160">
        <f>SUMIF(入出金予定表!$A$2:$A$2000,"短期借入金返済",入出金予定表!AD$2:AD$2000)</f>
        <v>0</v>
      </c>
      <c r="AH45" s="160">
        <f>SUMIF(入出金予定表!$A$2:$A$2000,"短期借入金返済",入出金予定表!AE$2:AE$2000)</f>
        <v>0</v>
      </c>
      <c r="AI45" s="160">
        <f>SUMIF(入出金予定表!$A$2:$A$2000,"短期借入金返済",入出金予定表!AF$2:AF$2000)</f>
        <v>0</v>
      </c>
      <c r="AJ45" s="160">
        <f>SUMIF(入出金予定表!$A$2:$A$2000,"短期借入金返済",入出金予定表!AG$2:AG$2000)</f>
        <v>0</v>
      </c>
      <c r="AK45" s="160">
        <f>SUMIF(入出金予定表!$A$2:$A$2000,"短期借入金返済",入出金予定表!AH$2:AH$2000)</f>
        <v>0</v>
      </c>
      <c r="AL45" s="160">
        <f>SUMIF(入出金予定表!$A$2:$A$2000,"短期借入金返済",入出金予定表!AI$2:AI$2000)</f>
        <v>0</v>
      </c>
      <c r="AM45" s="160">
        <f>SUMIF(入出金予定表!$A$2:$A$2000,"短期借入金返済",入出金予定表!AJ$2:AJ$2000)</f>
        <v>0</v>
      </c>
      <c r="AN45" s="160">
        <f>SUMIF(入出金予定表!$A$2:$A$2000,"短期借入金返済",入出金予定表!AK$2:AK$2000)</f>
        <v>0</v>
      </c>
      <c r="AO45" s="160">
        <f>SUMIF(入出金予定表!$A$2:$A$2000,"短期借入金返済",入出金予定表!AL$2:AL$2000)</f>
        <v>0</v>
      </c>
      <c r="AP45" s="160">
        <f t="shared" si="4"/>
        <v>0</v>
      </c>
    </row>
    <row r="46" spans="1:42" ht="15">
      <c r="A46" s="170" t="str">
        <f>資金繰り実績表!A38</f>
        <v>長期借入金返済</v>
      </c>
      <c r="B46" s="160">
        <f>SUMIF(入出金予定表!$A$2:$A$2000,"長期借入金返済",入出金予定表!C$2:C$2000)</f>
        <v>1689913</v>
      </c>
      <c r="C46" s="160">
        <f>SUMIF(入出金予定表!$A$2:$A$2000,"長期借入金返済",入出金予定表!D$2:D$2000)</f>
        <v>0</v>
      </c>
      <c r="D46" s="160">
        <f>SUMIF(入出金予定表!$A$2:$A$2000,"長期借入金返済",入出金予定表!E$2:E$2000)</f>
        <v>4006170</v>
      </c>
      <c r="E46" s="160">
        <f>SUMIF(入出金予定表!$A$2:$A$2000,"長期借入金返済",入出金予定表!F$2:F$2000)</f>
        <v>2003083</v>
      </c>
      <c r="F46" s="160">
        <f>SUMIF(入出金予定表!$A$2:$A$2000,"長期借入金返済",入出金予定表!G$2:G$2000)</f>
        <v>0</v>
      </c>
      <c r="G46" s="160">
        <f>SUMIF(入出金予定表!$A$2:$A$2000,"長期借入金返済",入出金予定表!H$2:H$2000)</f>
        <v>43408783</v>
      </c>
      <c r="H46" s="160">
        <f>SUMIF(入出金予定表!$A$2:$A$2000,"長期借入金返済",入出金予定表!I$2:I$2000)</f>
        <v>32246230</v>
      </c>
      <c r="I46" s="160">
        <f>SUMIF(入出金予定表!$A$2:$A$2000,"長期借入金返済",入出金予定表!J$2:J$2000)</f>
        <v>2242348</v>
      </c>
      <c r="J46" s="160">
        <f>SUMIF(入出金予定表!$A$2:$A$2000,"長期借入金返済",入出金予定表!K$2:K$2000)</f>
        <v>3522286</v>
      </c>
      <c r="K46" s="160">
        <f>SUMIF(入出金予定表!$A$2:$A$2000,"長期借入金返済",入出金予定表!L$2:L$2000)</f>
        <v>0</v>
      </c>
      <c r="L46" s="160">
        <f>SUMIF(入出金予定表!$A$2:$A$2000,"長期借入金返済",入出金予定表!M$2:M$2000)</f>
        <v>0</v>
      </c>
      <c r="M46" s="160">
        <f>SUMIF(入出金予定表!$A$2:$A$2000,"長期借入金返済",入出金予定表!N$2:N$2000)</f>
        <v>0</v>
      </c>
      <c r="N46" s="160">
        <f t="shared" si="37"/>
        <v>89118813</v>
      </c>
      <c r="O46" s="153" t="str">
        <f t="shared" si="38"/>
        <v>長期借入金返済</v>
      </c>
      <c r="P46" s="160">
        <f>SUMIF(入出金予定表!$A$2:$A$2000,"長期借入金返済",入出金予定表!O$2:O$2000)</f>
        <v>0</v>
      </c>
      <c r="Q46" s="160">
        <f>SUMIF(入出金予定表!$A$2:$A$2000,"長期借入金返済",入出金予定表!P$2:P$2000)</f>
        <v>0</v>
      </c>
      <c r="R46" s="160">
        <f>SUMIF(入出金予定表!$A$2:$A$2000,"長期借入金返済",入出金予定表!Q$2:Q$2000)</f>
        <v>0</v>
      </c>
      <c r="S46" s="160">
        <f>SUMIF(入出金予定表!$A$2:$A$2000,"長期借入金返済",入出金予定表!R$2:R$2000)</f>
        <v>0</v>
      </c>
      <c r="T46" s="160">
        <f>SUMIF(入出金予定表!$A$2:$A$2000,"長期借入金返済",入出金予定表!S$2:S$2000)</f>
        <v>0</v>
      </c>
      <c r="U46" s="160">
        <f>SUMIF(入出金予定表!$A$2:$A$2000,"長期借入金返済",入出金予定表!T$2:T$2000)</f>
        <v>0</v>
      </c>
      <c r="V46" s="160">
        <f>SUMIF(入出金予定表!$A$2:$A$2000,"長期借入金返済",入出金予定表!U$2:U$2000)</f>
        <v>0</v>
      </c>
      <c r="W46" s="160">
        <f>SUMIF(入出金予定表!$A$2:$A$2000,"長期借入金返済",入出金予定表!V$2:V$2000)</f>
        <v>0</v>
      </c>
      <c r="X46" s="160">
        <f>SUMIF(入出金予定表!$A$2:$A$2000,"長期借入金返済",入出金予定表!W$2:W$2000)</f>
        <v>0</v>
      </c>
      <c r="Y46" s="160">
        <f>SUMIF(入出金予定表!$A$2:$A$2000,"長期借入金返済",入出金予定表!X$2:X$2000)</f>
        <v>0</v>
      </c>
      <c r="Z46" s="160">
        <f>SUMIF(入出金予定表!$A$2:$A$2000,"長期借入金返済",入出金予定表!Y$2:Y$2000)</f>
        <v>0</v>
      </c>
      <c r="AA46" s="160">
        <f>SUMIF(入出金予定表!$A$2:$A$2000,"長期借入金返済",入出金予定表!Z$2:Z$2000)</f>
        <v>0</v>
      </c>
      <c r="AB46" s="160">
        <f t="shared" si="39"/>
        <v>0</v>
      </c>
      <c r="AC46" s="160" t="str">
        <f t="shared" si="40"/>
        <v>長期借入金返済</v>
      </c>
      <c r="AD46" s="160">
        <f>SUMIF(入出金予定表!$A$2:$A$2000,"長期借入金返済",入出金予定表!AA$2:AA$2000)</f>
        <v>0</v>
      </c>
      <c r="AE46" s="160">
        <f>SUMIF(入出金予定表!$A$2:$A$2000,"長期借入金返済",入出金予定表!AB$2:AB$2000)</f>
        <v>0</v>
      </c>
      <c r="AF46" s="160">
        <f>SUMIF(入出金予定表!$A$2:$A$2000,"長期借入金返済",入出金予定表!AC$2:AC$2000)</f>
        <v>0</v>
      </c>
      <c r="AG46" s="160">
        <f>SUMIF(入出金予定表!$A$2:$A$2000,"長期借入金返済",入出金予定表!AD$2:AD$2000)</f>
        <v>0</v>
      </c>
      <c r="AH46" s="160">
        <f>SUMIF(入出金予定表!$A$2:$A$2000,"長期借入金返済",入出金予定表!AE$2:AE$2000)</f>
        <v>0</v>
      </c>
      <c r="AI46" s="160">
        <f>SUMIF(入出金予定表!$A$2:$A$2000,"長期借入金返済",入出金予定表!AF$2:AF$2000)</f>
        <v>0</v>
      </c>
      <c r="AJ46" s="160">
        <f>SUMIF(入出金予定表!$A$2:$A$2000,"長期借入金返済",入出金予定表!AG$2:AG$2000)</f>
        <v>0</v>
      </c>
      <c r="AK46" s="160">
        <f>SUMIF(入出金予定表!$A$2:$A$2000,"長期借入金返済",入出金予定表!AH$2:AH$2000)</f>
        <v>0</v>
      </c>
      <c r="AL46" s="160">
        <f>SUMIF(入出金予定表!$A$2:$A$2000,"長期借入金返済",入出金予定表!AI$2:AI$2000)</f>
        <v>0</v>
      </c>
      <c r="AM46" s="160">
        <f>SUMIF(入出金予定表!$A$2:$A$2000,"長期借入金返済",入出金予定表!AJ$2:AJ$2000)</f>
        <v>0</v>
      </c>
      <c r="AN46" s="160">
        <f>SUMIF(入出金予定表!$A$2:$A$2000,"長期借入金返済",入出金予定表!AK$2:AK$2000)</f>
        <v>0</v>
      </c>
      <c r="AO46" s="160">
        <f>SUMIF(入出金予定表!$A$2:$A$2000,"長期借入金返済",入出金予定表!AL$2:AL$2000)</f>
        <v>0</v>
      </c>
      <c r="AP46" s="160">
        <f t="shared" si="4"/>
        <v>0</v>
      </c>
    </row>
    <row r="47" spans="1:42" ht="15">
      <c r="A47" s="170" t="str">
        <f>資金繰り実績表!A39</f>
        <v>役員・関係会社へ支出</v>
      </c>
      <c r="B47" s="160">
        <f>SUMIF(入出金予定表!$A$2:$A$2000,"役員・関係会社へ支出",入出金予定表!C$2:C$2000)</f>
        <v>150550</v>
      </c>
      <c r="C47" s="160">
        <f>SUMIF(入出金予定表!$A$2:$A$2000,"役員・関係会社へ支出",入出金予定表!D$2:D$2000)</f>
        <v>0</v>
      </c>
      <c r="D47" s="160">
        <f>SUMIF(入出金予定表!$A$2:$A$2000,"役員・関係会社へ支出",入出金予定表!E$2:E$2000)</f>
        <v>150000</v>
      </c>
      <c r="E47" s="160">
        <f>SUMIF(入出金予定表!$A$2:$A$2000,"役員・関係会社へ支出",入出金予定表!F$2:F$2000)</f>
        <v>0</v>
      </c>
      <c r="F47" s="160">
        <f>SUMIF(入出金予定表!$A$2:$A$2000,"役員・関係会社へ支出",入出金予定表!G$2:G$2000)</f>
        <v>0</v>
      </c>
      <c r="G47" s="160">
        <f>SUMIF(入出金予定表!$A$2:$A$2000,"役員・関係会社へ支出",入出金予定表!H$2:H$2000)</f>
        <v>450900</v>
      </c>
      <c r="H47" s="160">
        <f>SUMIF(入出金予定表!$A$2:$A$2000,"役員・関係会社へ支出",入出金予定表!I$2:I$2000)</f>
        <v>0</v>
      </c>
      <c r="I47" s="160">
        <f>SUMIF(入出金予定表!$A$2:$A$2000,"役員・関係会社へ支出",入出金予定表!J$2:J$2000)</f>
        <v>0</v>
      </c>
      <c r="J47" s="160">
        <f>SUMIF(入出金予定表!$A$2:$A$2000,"役員・関係会社へ支出",入出金予定表!K$2:K$2000)</f>
        <v>0</v>
      </c>
      <c r="K47" s="160">
        <f>SUMIF(入出金予定表!$A$2:$A$2000,"役員・関係会社へ支出",入出金予定表!L$2:L$2000)</f>
        <v>0</v>
      </c>
      <c r="L47" s="160">
        <f>SUMIF(入出金予定表!$A$2:$A$2000,"役員・関係会社へ支出",入出金予定表!M$2:M$2000)</f>
        <v>0</v>
      </c>
      <c r="M47" s="160">
        <f>SUMIF(入出金予定表!$A$2:$A$2000,"役員・関係会社へ支出",入出金予定表!N$2:N$2000)</f>
        <v>0</v>
      </c>
      <c r="N47" s="160">
        <f t="shared" si="37"/>
        <v>751450</v>
      </c>
      <c r="O47" s="153" t="str">
        <f t="shared" si="38"/>
        <v>役員・関係会社へ支出</v>
      </c>
      <c r="P47" s="160">
        <f>SUMIF(入出金予定表!$A$2:$A$2000,"役員・関係会社へ支出",入出金予定表!O$2:O$2000)</f>
        <v>0</v>
      </c>
      <c r="Q47" s="160">
        <f>SUMIF(入出金予定表!$A$2:$A$2000,"役員・関係会社へ支出",入出金予定表!P$2:P$2000)</f>
        <v>0</v>
      </c>
      <c r="R47" s="160">
        <f>SUMIF(入出金予定表!$A$2:$A$2000,"役員・関係会社へ支出",入出金予定表!Q$2:Q$2000)</f>
        <v>0</v>
      </c>
      <c r="S47" s="160">
        <f>SUMIF(入出金予定表!$A$2:$A$2000,"役員・関係会社へ支出",入出金予定表!R$2:R$2000)</f>
        <v>0</v>
      </c>
      <c r="T47" s="160">
        <f>SUMIF(入出金予定表!$A$2:$A$2000,"役員・関係会社へ支出",入出金予定表!S$2:S$2000)</f>
        <v>0</v>
      </c>
      <c r="U47" s="160">
        <f>SUMIF(入出金予定表!$A$2:$A$2000,"役員・関係会社へ支出",入出金予定表!T$2:T$2000)</f>
        <v>0</v>
      </c>
      <c r="V47" s="160">
        <f>SUMIF(入出金予定表!$A$2:$A$2000,"役員・関係会社へ支出",入出金予定表!U$2:U$2000)</f>
        <v>0</v>
      </c>
      <c r="W47" s="160">
        <f>SUMIF(入出金予定表!$A$2:$A$2000,"役員・関係会社へ支出",入出金予定表!V$2:V$2000)</f>
        <v>0</v>
      </c>
      <c r="X47" s="160">
        <f>SUMIF(入出金予定表!$A$2:$A$2000,"役員・関係会社へ支出",入出金予定表!W$2:W$2000)</f>
        <v>0</v>
      </c>
      <c r="Y47" s="160">
        <f>SUMIF(入出金予定表!$A$2:$A$2000,"役員・関係会社へ支出",入出金予定表!X$2:X$2000)</f>
        <v>0</v>
      </c>
      <c r="Z47" s="160">
        <f>SUMIF(入出金予定表!$A$2:$A$2000,"役員・関係会社へ支出",入出金予定表!Y$2:Y$2000)</f>
        <v>0</v>
      </c>
      <c r="AA47" s="160">
        <f>SUMIF(入出金予定表!$A$2:$A$2000,"役員・関係会社へ支出",入出金予定表!Z$2:Z$2000)</f>
        <v>0</v>
      </c>
      <c r="AB47" s="160">
        <f t="shared" si="39"/>
        <v>0</v>
      </c>
      <c r="AC47" s="160" t="str">
        <f t="shared" si="40"/>
        <v>役員・関係会社へ支出</v>
      </c>
      <c r="AD47" s="160">
        <f>SUMIF(入出金予定表!$A$2:$A$2000,"役員・関係会社へ支出",入出金予定表!AA$2:AA$2000)</f>
        <v>0</v>
      </c>
      <c r="AE47" s="160">
        <f>SUMIF(入出金予定表!$A$2:$A$2000,"役員・関係会社へ支出",入出金予定表!AB$2:AB$2000)</f>
        <v>0</v>
      </c>
      <c r="AF47" s="160">
        <f>SUMIF(入出金予定表!$A$2:$A$2000,"役員・関係会社へ支出",入出金予定表!AC$2:AC$2000)</f>
        <v>0</v>
      </c>
      <c r="AG47" s="160">
        <f>SUMIF(入出金予定表!$A$2:$A$2000,"役員・関係会社へ支出",入出金予定表!AD$2:AD$2000)</f>
        <v>0</v>
      </c>
      <c r="AH47" s="160">
        <f>SUMIF(入出金予定表!$A$2:$A$2000,"役員・関係会社へ支出",入出金予定表!AE$2:AE$2000)</f>
        <v>0</v>
      </c>
      <c r="AI47" s="160">
        <f>SUMIF(入出金予定表!$A$2:$A$2000,"役員・関係会社へ支出",入出金予定表!AF$2:AF$2000)</f>
        <v>0</v>
      </c>
      <c r="AJ47" s="160">
        <f>SUMIF(入出金予定表!$A$2:$A$2000,"役員・関係会社へ支出",入出金予定表!AG$2:AG$2000)</f>
        <v>0</v>
      </c>
      <c r="AK47" s="160">
        <f>SUMIF(入出金予定表!$A$2:$A$2000,"役員・関係会社へ支出",入出金予定表!AH$2:AH$2000)</f>
        <v>0</v>
      </c>
      <c r="AL47" s="160">
        <f>SUMIF(入出金予定表!$A$2:$A$2000,"役員・関係会社へ支出",入出金予定表!AI$2:AI$2000)</f>
        <v>0</v>
      </c>
      <c r="AM47" s="160">
        <f>SUMIF(入出金予定表!$A$2:$A$2000,"役員・関係会社へ支出",入出金予定表!AJ$2:AJ$2000)</f>
        <v>0</v>
      </c>
      <c r="AN47" s="160">
        <f>SUMIF(入出金予定表!$A$2:$A$2000,"役員・関係会社へ支出",入出金予定表!AK$2:AK$2000)</f>
        <v>0</v>
      </c>
      <c r="AO47" s="160">
        <f>SUMIF(入出金予定表!$A$2:$A$2000,"役員・関係会社へ支出",入出金予定表!AL$2:AL$2000)</f>
        <v>0</v>
      </c>
      <c r="AP47" s="160">
        <f t="shared" si="4"/>
        <v>0</v>
      </c>
    </row>
    <row r="48" spans="1:42" ht="15">
      <c r="A48" s="170" t="str">
        <f>資金繰り実績表!A40</f>
        <v>支払利息・保証料</v>
      </c>
      <c r="B48" s="160">
        <f>SUMIF(入出金予定表!$A$2:$A$2000,"支払利息・保証料",入出金予定表!C$2:C$2000)</f>
        <v>135045</v>
      </c>
      <c r="C48" s="160">
        <f>SUMIF(入出金予定表!$A$2:$A$2000,"支払利息・保証料",入出金予定表!D$2:D$2000)</f>
        <v>0</v>
      </c>
      <c r="D48" s="160">
        <f>SUMIF(入出金予定表!$A$2:$A$2000,"支払利息・保証料",入出金予定表!E$2:E$2000)</f>
        <v>173666</v>
      </c>
      <c r="E48" s="160">
        <f>SUMIF(入出金予定表!$A$2:$A$2000,"支払利息・保証料",入出金予定表!F$2:F$2000)</f>
        <v>88038</v>
      </c>
      <c r="F48" s="160">
        <f>SUMIF(入出金予定表!$A$2:$A$2000,"支払利息・保証料",入出金予定表!G$2:G$2000)</f>
        <v>0</v>
      </c>
      <c r="G48" s="160">
        <f>SUMIF(入出金予定表!$A$2:$A$2000,"支払利息・保証料",入出金予定表!H$2:H$2000)</f>
        <v>1632975</v>
      </c>
      <c r="H48" s="160">
        <f>SUMIF(入出金予定表!$A$2:$A$2000,"支払利息・保証料",入出金予定表!I$2:I$2000)</f>
        <v>77461</v>
      </c>
      <c r="I48" s="160">
        <f>SUMIF(入出金予定表!$A$2:$A$2000,"支払利息・保証料",入出金予定表!J$2:J$2000)</f>
        <v>76432</v>
      </c>
      <c r="J48" s="160">
        <f>SUMIF(入出金予定表!$A$2:$A$2000,"支払利息・保証料",入出金予定表!K$2:K$2000)</f>
        <v>174878</v>
      </c>
      <c r="K48" s="160">
        <f>SUMIF(入出金予定表!$A$2:$A$2000,"支払利息・保証料",入出金予定表!L$2:L$2000)</f>
        <v>0</v>
      </c>
      <c r="L48" s="160">
        <f>SUMIF(入出金予定表!$A$2:$A$2000,"支払利息・保証料",入出金予定表!M$2:M$2000)</f>
        <v>0</v>
      </c>
      <c r="M48" s="160">
        <f>SUMIF(入出金予定表!$A$2:$A$2000,"支払利息・保証料",入出金予定表!N$2:N$2000)</f>
        <v>0</v>
      </c>
      <c r="N48" s="160">
        <f t="shared" si="37"/>
        <v>2358495</v>
      </c>
      <c r="O48" s="153" t="str">
        <f t="shared" si="38"/>
        <v>支払利息・保証料</v>
      </c>
      <c r="P48" s="160">
        <f>SUMIF(入出金予定表!$A$2:$A$2000,"支払利息・保証料",入出金予定表!O$2:O$2000)</f>
        <v>0</v>
      </c>
      <c r="Q48" s="160">
        <f>SUMIF(入出金予定表!$A$2:$A$2000,"支払利息・保証料",入出金予定表!P$2:P$2000)</f>
        <v>0</v>
      </c>
      <c r="R48" s="160">
        <f>SUMIF(入出金予定表!$A$2:$A$2000,"支払利息・保証料",入出金予定表!Q$2:Q$2000)</f>
        <v>0</v>
      </c>
      <c r="S48" s="160">
        <f>SUMIF(入出金予定表!$A$2:$A$2000,"支払利息・保証料",入出金予定表!R$2:R$2000)</f>
        <v>0</v>
      </c>
      <c r="T48" s="160">
        <f>SUMIF(入出金予定表!$A$2:$A$2000,"支払利息・保証料",入出金予定表!S$2:S$2000)</f>
        <v>0</v>
      </c>
      <c r="U48" s="160">
        <f>SUMIF(入出金予定表!$A$2:$A$2000,"支払利息・保証料",入出金予定表!T$2:T$2000)</f>
        <v>0</v>
      </c>
      <c r="V48" s="160">
        <f>SUMIF(入出金予定表!$A$2:$A$2000,"支払利息・保証料",入出金予定表!U$2:U$2000)</f>
        <v>0</v>
      </c>
      <c r="W48" s="160">
        <f>SUMIF(入出金予定表!$A$2:$A$2000,"支払利息・保証料",入出金予定表!V$2:V$2000)</f>
        <v>0</v>
      </c>
      <c r="X48" s="160">
        <f>SUMIF(入出金予定表!$A$2:$A$2000,"支払利息・保証料",入出金予定表!W$2:W$2000)</f>
        <v>0</v>
      </c>
      <c r="Y48" s="160">
        <f>SUMIF(入出金予定表!$A$2:$A$2000,"支払利息・保証料",入出金予定表!X$2:X$2000)</f>
        <v>0</v>
      </c>
      <c r="Z48" s="160">
        <f>SUMIF(入出金予定表!$A$2:$A$2000,"支払利息・保証料",入出金予定表!Y$2:Y$2000)</f>
        <v>0</v>
      </c>
      <c r="AA48" s="160">
        <f>SUMIF(入出金予定表!$A$2:$A$2000,"支払利息・保証料",入出金予定表!Z$2:Z$2000)</f>
        <v>0</v>
      </c>
      <c r="AB48" s="160">
        <f t="shared" si="39"/>
        <v>0</v>
      </c>
      <c r="AC48" s="160" t="str">
        <f t="shared" si="40"/>
        <v>支払利息・保証料</v>
      </c>
      <c r="AD48" s="160">
        <f>SUMIF(入出金予定表!$A$2:$A$2000,"支払利息・保証料",入出金予定表!AA$2:AA$2000)</f>
        <v>0</v>
      </c>
      <c r="AE48" s="160">
        <f>SUMIF(入出金予定表!$A$2:$A$2000,"支払利息・保証料",入出金予定表!AB$2:AB$2000)</f>
        <v>0</v>
      </c>
      <c r="AF48" s="160">
        <f>SUMIF(入出金予定表!$A$2:$A$2000,"支払利息・保証料",入出金予定表!AC$2:AC$2000)</f>
        <v>0</v>
      </c>
      <c r="AG48" s="160">
        <f>SUMIF(入出金予定表!$A$2:$A$2000,"支払利息・保証料",入出金予定表!AD$2:AD$2000)</f>
        <v>0</v>
      </c>
      <c r="AH48" s="160">
        <f>SUMIF(入出金予定表!$A$2:$A$2000,"支払利息・保証料",入出金予定表!AE$2:AE$2000)</f>
        <v>0</v>
      </c>
      <c r="AI48" s="160">
        <f>SUMIF(入出金予定表!$A$2:$A$2000,"支払利息・保証料",入出金予定表!AF$2:AF$2000)</f>
        <v>0</v>
      </c>
      <c r="AJ48" s="160">
        <f>SUMIF(入出金予定表!$A$2:$A$2000,"支払利息・保証料",入出金予定表!AG$2:AG$2000)</f>
        <v>0</v>
      </c>
      <c r="AK48" s="160">
        <f>SUMIF(入出金予定表!$A$2:$A$2000,"支払利息・保証料",入出金予定表!AH$2:AH$2000)</f>
        <v>0</v>
      </c>
      <c r="AL48" s="160">
        <f>SUMIF(入出金予定表!$A$2:$A$2000,"支払利息・保証料",入出金予定表!AI$2:AI$2000)</f>
        <v>0</v>
      </c>
      <c r="AM48" s="160">
        <f>SUMIF(入出金予定表!$A$2:$A$2000,"支払利息・保証料",入出金予定表!AJ$2:AJ$2000)</f>
        <v>0</v>
      </c>
      <c r="AN48" s="160">
        <f>SUMIF(入出金予定表!$A$2:$A$2000,"支払利息・保証料",入出金予定表!AK$2:AK$2000)</f>
        <v>0</v>
      </c>
      <c r="AO48" s="160">
        <f>SUMIF(入出金予定表!$A$2:$A$2000,"支払利息・保証料",入出金予定表!AL$2:AL$2000)</f>
        <v>0</v>
      </c>
      <c r="AP48" s="160">
        <f t="shared" si="4"/>
        <v>0</v>
      </c>
    </row>
    <row r="49" spans="1:42" ht="15">
      <c r="A49" s="170" t="str">
        <f>資金繰り実績表!A41</f>
        <v>その他財務支出</v>
      </c>
      <c r="B49" s="160">
        <f>SUMIF(入出金予定表!$A$2:$A$2000,"その他財務支出",入出金予定表!C$2:C$2000)</f>
        <v>0</v>
      </c>
      <c r="C49" s="160">
        <f>SUMIF(入出金予定表!$A$2:$A$2000,"その他財務支出",入出金予定表!D$2:D$2000)</f>
        <v>0</v>
      </c>
      <c r="D49" s="160">
        <f>SUMIF(入出金予定表!$A$2:$A$2000,"その他財務支出",入出金予定表!E$2:E$2000)</f>
        <v>0</v>
      </c>
      <c r="E49" s="160">
        <f>SUMIF(入出金予定表!$A$2:$A$2000,"その他財務支出",入出金予定表!F$2:F$2000)</f>
        <v>0</v>
      </c>
      <c r="F49" s="160">
        <f>SUMIF(入出金予定表!$A$2:$A$2000,"その他財務支出",入出金予定表!G$2:G$2000)</f>
        <v>0</v>
      </c>
      <c r="G49" s="160">
        <f>SUMIF(入出金予定表!$A$2:$A$2000,"その他財務支出",入出金予定表!H$2:H$2000)</f>
        <v>0</v>
      </c>
      <c r="H49" s="160">
        <f>SUMIF(入出金予定表!$A$2:$A$2000,"その他財務支出",入出金予定表!I$2:I$2000)</f>
        <v>0</v>
      </c>
      <c r="I49" s="160">
        <f>SUMIF(入出金予定表!$A$2:$A$2000,"その他財務支出",入出金予定表!J$2:J$2000)</f>
        <v>0</v>
      </c>
      <c r="J49" s="160">
        <f>SUMIF(入出金予定表!$A$2:$A$2000,"その他財務支出",入出金予定表!K$2:K$2000)</f>
        <v>0</v>
      </c>
      <c r="K49" s="160">
        <f>SUMIF(入出金予定表!$A$2:$A$2000,"その他財務支出",入出金予定表!L$2:L$2000)</f>
        <v>0</v>
      </c>
      <c r="L49" s="160">
        <f>SUMIF(入出金予定表!$A$2:$A$2000,"その他財務支出",入出金予定表!M$2:M$2000)</f>
        <v>0</v>
      </c>
      <c r="M49" s="160">
        <f>SUMIF(入出金予定表!$A$2:$A$2000,"その他財務支出",入出金予定表!N$2:N$2000)</f>
        <v>0</v>
      </c>
      <c r="N49" s="160">
        <f t="shared" si="37"/>
        <v>0</v>
      </c>
      <c r="O49" s="153" t="str">
        <f t="shared" si="38"/>
        <v>その他財務支出</v>
      </c>
      <c r="P49" s="160">
        <f>SUMIF(入出金予定表!$A$2:$A$2000,"その他財務支出",入出金予定表!O$2:O$2000)</f>
        <v>0</v>
      </c>
      <c r="Q49" s="160">
        <f>SUMIF(入出金予定表!$A$2:$A$2000,"その他財務支出",入出金予定表!P$2:P$2000)</f>
        <v>0</v>
      </c>
      <c r="R49" s="160">
        <f>SUMIF(入出金予定表!$A$2:$A$2000,"その他財務支出",入出金予定表!Q$2:Q$2000)</f>
        <v>0</v>
      </c>
      <c r="S49" s="160">
        <f>SUMIF(入出金予定表!$A$2:$A$2000,"その他財務支出",入出金予定表!R$2:R$2000)</f>
        <v>0</v>
      </c>
      <c r="T49" s="160">
        <f>SUMIF(入出金予定表!$A$2:$A$2000,"その他財務支出",入出金予定表!S$2:S$2000)</f>
        <v>0</v>
      </c>
      <c r="U49" s="160">
        <f>SUMIF(入出金予定表!$A$2:$A$2000,"その他財務支出",入出金予定表!T$2:T$2000)</f>
        <v>0</v>
      </c>
      <c r="V49" s="160">
        <f>SUMIF(入出金予定表!$A$2:$A$2000,"その他財務支出",入出金予定表!U$2:U$2000)</f>
        <v>0</v>
      </c>
      <c r="W49" s="160">
        <f>SUMIF(入出金予定表!$A$2:$A$2000,"その他財務支出",入出金予定表!V$2:V$2000)</f>
        <v>0</v>
      </c>
      <c r="X49" s="160">
        <f>SUMIF(入出金予定表!$A$2:$A$2000,"その他財務支出",入出金予定表!W$2:W$2000)</f>
        <v>0</v>
      </c>
      <c r="Y49" s="160">
        <f>SUMIF(入出金予定表!$A$2:$A$2000,"その他財務支出",入出金予定表!X$2:X$2000)</f>
        <v>0</v>
      </c>
      <c r="Z49" s="160">
        <f>SUMIF(入出金予定表!$A$2:$A$2000,"その他財務支出",入出金予定表!Y$2:Y$2000)</f>
        <v>0</v>
      </c>
      <c r="AA49" s="160">
        <f>SUMIF(入出金予定表!$A$2:$A$2000,"その他財務支出",入出金予定表!Z$2:Z$2000)</f>
        <v>0</v>
      </c>
      <c r="AB49" s="160">
        <f t="shared" si="39"/>
        <v>0</v>
      </c>
      <c r="AC49" s="160" t="str">
        <f t="shared" si="40"/>
        <v>その他財務支出</v>
      </c>
      <c r="AD49" s="160">
        <f>SUMIF(入出金予定表!$A$2:$A$2000,"その他財務支出",入出金予定表!AA$2:AA$2000)</f>
        <v>0</v>
      </c>
      <c r="AE49" s="160">
        <f>SUMIF(入出金予定表!$A$2:$A$2000,"その他財務支出",入出金予定表!AB$2:AB$2000)</f>
        <v>0</v>
      </c>
      <c r="AF49" s="160">
        <f>SUMIF(入出金予定表!$A$2:$A$2000,"その他財務支出",入出金予定表!AC$2:AC$2000)</f>
        <v>0</v>
      </c>
      <c r="AG49" s="160">
        <f>SUMIF(入出金予定表!$A$2:$A$2000,"その他財務支出",入出金予定表!AD$2:AD$2000)</f>
        <v>0</v>
      </c>
      <c r="AH49" s="160">
        <f>SUMIF(入出金予定表!$A$2:$A$2000,"その他財務支出",入出金予定表!AE$2:AE$2000)</f>
        <v>0</v>
      </c>
      <c r="AI49" s="160">
        <f>SUMIF(入出金予定表!$A$2:$A$2000,"その他財務支出",入出金予定表!AF$2:AF$2000)</f>
        <v>0</v>
      </c>
      <c r="AJ49" s="160">
        <f>SUMIF(入出金予定表!$A$2:$A$2000,"その他財務支出",入出金予定表!AG$2:AG$2000)</f>
        <v>0</v>
      </c>
      <c r="AK49" s="160">
        <f>SUMIF(入出金予定表!$A$2:$A$2000,"その他財務支出",入出金予定表!AH$2:AH$2000)</f>
        <v>0</v>
      </c>
      <c r="AL49" s="160">
        <f>SUMIF(入出金予定表!$A$2:$A$2000,"その他財務支出",入出金予定表!AI$2:AI$2000)</f>
        <v>0</v>
      </c>
      <c r="AM49" s="160">
        <f>SUMIF(入出金予定表!$A$2:$A$2000,"その他財務支出",入出金予定表!AJ$2:AJ$2000)</f>
        <v>0</v>
      </c>
      <c r="AN49" s="160">
        <f>SUMIF(入出金予定表!$A$2:$A$2000,"その他財務支出",入出金予定表!AK$2:AK$2000)</f>
        <v>0</v>
      </c>
      <c r="AO49" s="160">
        <f>SUMIF(入出金予定表!$A$2:$A$2000,"その他財務支出",入出金予定表!AL$2:AL$2000)</f>
        <v>0</v>
      </c>
      <c r="AP49" s="160">
        <f t="shared" si="4"/>
        <v>0</v>
      </c>
    </row>
    <row r="50" spans="1:42" ht="15">
      <c r="A50" s="180" t="s">
        <v>56</v>
      </c>
      <c r="B50" s="162">
        <f t="shared" ref="B50:N50" si="41">SUM(B45:B49)</f>
        <v>1975508</v>
      </c>
      <c r="C50" s="162">
        <f t="shared" si="41"/>
        <v>0</v>
      </c>
      <c r="D50" s="162">
        <f t="shared" si="41"/>
        <v>4329836</v>
      </c>
      <c r="E50" s="162">
        <f t="shared" si="41"/>
        <v>2091121</v>
      </c>
      <c r="F50" s="162">
        <f t="shared" si="41"/>
        <v>0</v>
      </c>
      <c r="G50" s="162">
        <f t="shared" si="41"/>
        <v>45492658</v>
      </c>
      <c r="H50" s="162">
        <f t="shared" si="41"/>
        <v>32323691</v>
      </c>
      <c r="I50" s="162">
        <f t="shared" si="41"/>
        <v>2318780</v>
      </c>
      <c r="J50" s="162">
        <f t="shared" si="41"/>
        <v>3697164</v>
      </c>
      <c r="K50" s="162">
        <f t="shared" si="41"/>
        <v>0</v>
      </c>
      <c r="L50" s="162">
        <f t="shared" si="41"/>
        <v>0</v>
      </c>
      <c r="M50" s="162">
        <f t="shared" si="41"/>
        <v>0</v>
      </c>
      <c r="N50" s="162">
        <f t="shared" si="41"/>
        <v>92228758</v>
      </c>
      <c r="O50" s="163" t="s">
        <v>56</v>
      </c>
      <c r="P50" s="162">
        <f t="shared" ref="P50:AB50" si="42">SUM(P45:P49)</f>
        <v>0</v>
      </c>
      <c r="Q50" s="162">
        <f t="shared" si="42"/>
        <v>0</v>
      </c>
      <c r="R50" s="162">
        <f t="shared" si="42"/>
        <v>0</v>
      </c>
      <c r="S50" s="162">
        <f t="shared" si="42"/>
        <v>0</v>
      </c>
      <c r="T50" s="162">
        <f t="shared" si="42"/>
        <v>0</v>
      </c>
      <c r="U50" s="162">
        <f t="shared" si="42"/>
        <v>0</v>
      </c>
      <c r="V50" s="162">
        <f t="shared" si="42"/>
        <v>0</v>
      </c>
      <c r="W50" s="162">
        <f t="shared" si="42"/>
        <v>0</v>
      </c>
      <c r="X50" s="162">
        <f t="shared" si="42"/>
        <v>0</v>
      </c>
      <c r="Y50" s="162">
        <f t="shared" si="42"/>
        <v>0</v>
      </c>
      <c r="Z50" s="162">
        <f t="shared" si="42"/>
        <v>0</v>
      </c>
      <c r="AA50" s="162">
        <f t="shared" si="42"/>
        <v>0</v>
      </c>
      <c r="AB50" s="162">
        <f t="shared" si="42"/>
        <v>0</v>
      </c>
      <c r="AC50" s="162" t="s">
        <v>56</v>
      </c>
      <c r="AD50" s="162">
        <f t="shared" ref="AD50:AO50" si="43">SUM(AD45:AD49)</f>
        <v>0</v>
      </c>
      <c r="AE50" s="162">
        <f t="shared" si="43"/>
        <v>0</v>
      </c>
      <c r="AF50" s="162">
        <f t="shared" si="43"/>
        <v>0</v>
      </c>
      <c r="AG50" s="162">
        <f t="shared" si="43"/>
        <v>0</v>
      </c>
      <c r="AH50" s="162">
        <f t="shared" si="43"/>
        <v>0</v>
      </c>
      <c r="AI50" s="162">
        <f t="shared" si="43"/>
        <v>0</v>
      </c>
      <c r="AJ50" s="162">
        <f t="shared" si="43"/>
        <v>0</v>
      </c>
      <c r="AK50" s="162">
        <f t="shared" si="43"/>
        <v>0</v>
      </c>
      <c r="AL50" s="162">
        <f t="shared" si="43"/>
        <v>0</v>
      </c>
      <c r="AM50" s="162">
        <f t="shared" si="43"/>
        <v>0</v>
      </c>
      <c r="AN50" s="162">
        <f t="shared" si="43"/>
        <v>0</v>
      </c>
      <c r="AO50" s="162">
        <f t="shared" si="43"/>
        <v>0</v>
      </c>
      <c r="AP50" s="162">
        <f t="shared" si="4"/>
        <v>0</v>
      </c>
    </row>
    <row r="51" spans="1:42" ht="15">
      <c r="A51" s="180" t="s">
        <v>57</v>
      </c>
      <c r="B51" s="162">
        <f t="shared" ref="B51:M51" si="44">B44-B50</f>
        <v>9159876</v>
      </c>
      <c r="C51" s="162">
        <f t="shared" si="44"/>
        <v>6823</v>
      </c>
      <c r="D51" s="162">
        <f t="shared" si="44"/>
        <v>-4327390</v>
      </c>
      <c r="E51" s="162">
        <f t="shared" si="44"/>
        <v>-2091121</v>
      </c>
      <c r="F51" s="162">
        <f t="shared" si="44"/>
        <v>0</v>
      </c>
      <c r="G51" s="162">
        <f t="shared" si="44"/>
        <v>20558346</v>
      </c>
      <c r="H51" s="162">
        <f t="shared" si="44"/>
        <v>-3456191</v>
      </c>
      <c r="I51" s="162">
        <f t="shared" si="44"/>
        <v>-2313747</v>
      </c>
      <c r="J51" s="162">
        <f t="shared" si="44"/>
        <v>-3696126</v>
      </c>
      <c r="K51" s="162">
        <f t="shared" si="44"/>
        <v>0</v>
      </c>
      <c r="L51" s="162">
        <f t="shared" si="44"/>
        <v>0</v>
      </c>
      <c r="M51" s="162">
        <f t="shared" si="44"/>
        <v>0</v>
      </c>
      <c r="N51" s="162">
        <f t="shared" ref="N51:N52" si="45">SUM(B51:M51)</f>
        <v>13840470</v>
      </c>
      <c r="O51" s="163" t="s">
        <v>57</v>
      </c>
      <c r="P51" s="162">
        <f t="shared" ref="P51:AA51" si="46">P44-P50</f>
        <v>0</v>
      </c>
      <c r="Q51" s="162">
        <f t="shared" si="46"/>
        <v>0</v>
      </c>
      <c r="R51" s="162">
        <f t="shared" si="46"/>
        <v>0</v>
      </c>
      <c r="S51" s="162">
        <f t="shared" si="46"/>
        <v>0</v>
      </c>
      <c r="T51" s="162">
        <f t="shared" si="46"/>
        <v>0</v>
      </c>
      <c r="U51" s="162">
        <f t="shared" si="46"/>
        <v>0</v>
      </c>
      <c r="V51" s="162">
        <f t="shared" si="46"/>
        <v>0</v>
      </c>
      <c r="W51" s="162">
        <f t="shared" si="46"/>
        <v>0</v>
      </c>
      <c r="X51" s="162">
        <f t="shared" si="46"/>
        <v>0</v>
      </c>
      <c r="Y51" s="162">
        <f t="shared" si="46"/>
        <v>0</v>
      </c>
      <c r="Z51" s="162">
        <f t="shared" si="46"/>
        <v>0</v>
      </c>
      <c r="AA51" s="162">
        <f t="shared" si="46"/>
        <v>0</v>
      </c>
      <c r="AB51" s="162">
        <f t="shared" ref="AB51:AB52" si="47">SUM(P51:AA51)</f>
        <v>0</v>
      </c>
      <c r="AC51" s="162" t="s">
        <v>57</v>
      </c>
      <c r="AD51" s="162">
        <f t="shared" ref="AD51:AO51" si="48">AD44-AD50</f>
        <v>0</v>
      </c>
      <c r="AE51" s="162">
        <f t="shared" si="48"/>
        <v>0</v>
      </c>
      <c r="AF51" s="162">
        <f t="shared" si="48"/>
        <v>0</v>
      </c>
      <c r="AG51" s="162">
        <f t="shared" si="48"/>
        <v>0</v>
      </c>
      <c r="AH51" s="162">
        <f t="shared" si="48"/>
        <v>0</v>
      </c>
      <c r="AI51" s="162">
        <f t="shared" si="48"/>
        <v>0</v>
      </c>
      <c r="AJ51" s="162">
        <f t="shared" si="48"/>
        <v>0</v>
      </c>
      <c r="AK51" s="162">
        <f t="shared" si="48"/>
        <v>0</v>
      </c>
      <c r="AL51" s="162">
        <f t="shared" si="48"/>
        <v>0</v>
      </c>
      <c r="AM51" s="162">
        <f t="shared" si="48"/>
        <v>0</v>
      </c>
      <c r="AN51" s="162">
        <f t="shared" si="48"/>
        <v>0</v>
      </c>
      <c r="AO51" s="162">
        <f t="shared" si="48"/>
        <v>0</v>
      </c>
      <c r="AP51" s="162">
        <f t="shared" si="4"/>
        <v>0</v>
      </c>
    </row>
    <row r="52" spans="1:42" ht="15">
      <c r="A52" s="184" t="s">
        <v>58</v>
      </c>
      <c r="B52" s="165">
        <f t="shared" ref="B52:M52" si="49">B27+B38+B51</f>
        <v>4299814</v>
      </c>
      <c r="C52" s="165">
        <f t="shared" si="49"/>
        <v>3146715</v>
      </c>
      <c r="D52" s="165">
        <f t="shared" si="49"/>
        <v>-5299572</v>
      </c>
      <c r="E52" s="165">
        <f t="shared" si="49"/>
        <v>4905759</v>
      </c>
      <c r="F52" s="165">
        <f t="shared" si="49"/>
        <v>-1103433</v>
      </c>
      <c r="G52" s="165">
        <f t="shared" si="49"/>
        <v>6233713</v>
      </c>
      <c r="H52" s="165">
        <f t="shared" si="49"/>
        <v>10620510</v>
      </c>
      <c r="I52" s="165">
        <f t="shared" si="49"/>
        <v>13143521</v>
      </c>
      <c r="J52" s="165">
        <f t="shared" si="49"/>
        <v>-12825613</v>
      </c>
      <c r="K52" s="165">
        <f t="shared" si="49"/>
        <v>0</v>
      </c>
      <c r="L52" s="165">
        <f t="shared" si="49"/>
        <v>0</v>
      </c>
      <c r="M52" s="165">
        <f t="shared" si="49"/>
        <v>0</v>
      </c>
      <c r="N52" s="165">
        <f t="shared" si="45"/>
        <v>23121414</v>
      </c>
      <c r="O52" s="166" t="s">
        <v>58</v>
      </c>
      <c r="P52" s="165">
        <f t="shared" ref="P52:AA52" si="50">P27+P38+P51</f>
        <v>0</v>
      </c>
      <c r="Q52" s="165">
        <f t="shared" si="50"/>
        <v>0</v>
      </c>
      <c r="R52" s="165">
        <f t="shared" si="50"/>
        <v>0</v>
      </c>
      <c r="S52" s="165">
        <f t="shared" si="50"/>
        <v>0</v>
      </c>
      <c r="T52" s="165">
        <f t="shared" si="50"/>
        <v>0</v>
      </c>
      <c r="U52" s="165">
        <f t="shared" si="50"/>
        <v>0</v>
      </c>
      <c r="V52" s="165">
        <f t="shared" si="50"/>
        <v>0</v>
      </c>
      <c r="W52" s="165">
        <f t="shared" si="50"/>
        <v>0</v>
      </c>
      <c r="X52" s="165">
        <f t="shared" si="50"/>
        <v>0</v>
      </c>
      <c r="Y52" s="165">
        <f t="shared" si="50"/>
        <v>0</v>
      </c>
      <c r="Z52" s="165">
        <f t="shared" si="50"/>
        <v>0</v>
      </c>
      <c r="AA52" s="165">
        <f t="shared" si="50"/>
        <v>0</v>
      </c>
      <c r="AB52" s="165">
        <f t="shared" si="47"/>
        <v>0</v>
      </c>
      <c r="AC52" s="165" t="s">
        <v>58</v>
      </c>
      <c r="AD52" s="165">
        <f t="shared" ref="AD52:AO52" si="51">AD27+AD38+AD51</f>
        <v>0</v>
      </c>
      <c r="AE52" s="165">
        <f t="shared" si="51"/>
        <v>0</v>
      </c>
      <c r="AF52" s="165">
        <f t="shared" si="51"/>
        <v>0</v>
      </c>
      <c r="AG52" s="165">
        <f t="shared" si="51"/>
        <v>0</v>
      </c>
      <c r="AH52" s="165">
        <f t="shared" si="51"/>
        <v>0</v>
      </c>
      <c r="AI52" s="165">
        <f t="shared" si="51"/>
        <v>0</v>
      </c>
      <c r="AJ52" s="165">
        <f t="shared" si="51"/>
        <v>0</v>
      </c>
      <c r="AK52" s="165">
        <f t="shared" si="51"/>
        <v>0</v>
      </c>
      <c r="AL52" s="165">
        <f t="shared" si="51"/>
        <v>0</v>
      </c>
      <c r="AM52" s="165">
        <f t="shared" si="51"/>
        <v>0</v>
      </c>
      <c r="AN52" s="165">
        <f t="shared" si="51"/>
        <v>0</v>
      </c>
      <c r="AO52" s="165">
        <f t="shared" si="51"/>
        <v>0</v>
      </c>
      <c r="AP52" s="165">
        <f t="shared" si="4"/>
        <v>0</v>
      </c>
    </row>
    <row r="53" spans="1:42" ht="15">
      <c r="A53" s="184" t="s">
        <v>59</v>
      </c>
      <c r="B53" s="165">
        <f>B54+B52</f>
        <v>4299814</v>
      </c>
      <c r="C53" s="165">
        <f t="shared" ref="C53:M53" si="52">B53+C52</f>
        <v>7446529</v>
      </c>
      <c r="D53" s="165">
        <f t="shared" si="52"/>
        <v>2146957</v>
      </c>
      <c r="E53" s="165">
        <f t="shared" si="52"/>
        <v>7052716</v>
      </c>
      <c r="F53" s="165">
        <f t="shared" si="52"/>
        <v>5949283</v>
      </c>
      <c r="G53" s="165">
        <f t="shared" si="52"/>
        <v>12182996</v>
      </c>
      <c r="H53" s="165">
        <f t="shared" si="52"/>
        <v>22803506</v>
      </c>
      <c r="I53" s="165">
        <f t="shared" si="52"/>
        <v>35947027</v>
      </c>
      <c r="J53" s="165">
        <f t="shared" si="52"/>
        <v>23121414</v>
      </c>
      <c r="K53" s="165">
        <f t="shared" si="52"/>
        <v>23121414</v>
      </c>
      <c r="L53" s="165">
        <f t="shared" si="52"/>
        <v>23121414</v>
      </c>
      <c r="M53" s="165">
        <f t="shared" si="52"/>
        <v>23121414</v>
      </c>
      <c r="N53" s="165"/>
      <c r="O53" s="166" t="s">
        <v>59</v>
      </c>
      <c r="P53" s="165">
        <f>P54+P52</f>
        <v>23121414</v>
      </c>
      <c r="Q53" s="165">
        <f t="shared" ref="Q53:AA53" si="53">P53+Q52</f>
        <v>23121414</v>
      </c>
      <c r="R53" s="165">
        <f t="shared" si="53"/>
        <v>23121414</v>
      </c>
      <c r="S53" s="165">
        <f t="shared" si="53"/>
        <v>23121414</v>
      </c>
      <c r="T53" s="165">
        <f t="shared" si="53"/>
        <v>23121414</v>
      </c>
      <c r="U53" s="165">
        <f t="shared" si="53"/>
        <v>23121414</v>
      </c>
      <c r="V53" s="165">
        <f t="shared" si="53"/>
        <v>23121414</v>
      </c>
      <c r="W53" s="165">
        <f t="shared" si="53"/>
        <v>23121414</v>
      </c>
      <c r="X53" s="165">
        <f t="shared" si="53"/>
        <v>23121414</v>
      </c>
      <c r="Y53" s="165">
        <f t="shared" si="53"/>
        <v>23121414</v>
      </c>
      <c r="Z53" s="165">
        <f t="shared" si="53"/>
        <v>23121414</v>
      </c>
      <c r="AA53" s="165">
        <f t="shared" si="53"/>
        <v>23121414</v>
      </c>
      <c r="AB53" s="165"/>
      <c r="AC53" s="165" t="s">
        <v>59</v>
      </c>
      <c r="AD53" s="165">
        <f>AD54+AD52</f>
        <v>23121414</v>
      </c>
      <c r="AE53" s="165">
        <f t="shared" ref="AE53:AO53" si="54">AD53+AE52</f>
        <v>23121414</v>
      </c>
      <c r="AF53" s="165">
        <f t="shared" si="54"/>
        <v>23121414</v>
      </c>
      <c r="AG53" s="165">
        <f t="shared" si="54"/>
        <v>23121414</v>
      </c>
      <c r="AH53" s="165">
        <f t="shared" si="54"/>
        <v>23121414</v>
      </c>
      <c r="AI53" s="165">
        <f t="shared" si="54"/>
        <v>23121414</v>
      </c>
      <c r="AJ53" s="165">
        <f t="shared" si="54"/>
        <v>23121414</v>
      </c>
      <c r="AK53" s="165">
        <f t="shared" si="54"/>
        <v>23121414</v>
      </c>
      <c r="AL53" s="165">
        <f t="shared" si="54"/>
        <v>23121414</v>
      </c>
      <c r="AM53" s="165">
        <f t="shared" si="54"/>
        <v>23121414</v>
      </c>
      <c r="AN53" s="165">
        <f t="shared" si="54"/>
        <v>23121414</v>
      </c>
      <c r="AO53" s="165">
        <f t="shared" si="54"/>
        <v>23121414</v>
      </c>
      <c r="AP53" s="165"/>
    </row>
    <row r="54" spans="1:42" ht="15">
      <c r="A54" s="170" t="s">
        <v>42</v>
      </c>
      <c r="B54" s="160">
        <f>資金繰り実績表!B42</f>
        <v>0</v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53" t="s">
        <v>42</v>
      </c>
      <c r="P54" s="160">
        <f>M53</f>
        <v>23121414</v>
      </c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 t="s">
        <v>42</v>
      </c>
      <c r="AD54" s="160">
        <f>AA53</f>
        <v>23121414</v>
      </c>
      <c r="AE54" s="160"/>
      <c r="AF54" s="160"/>
      <c r="AG54" s="160"/>
      <c r="AH54" s="160"/>
      <c r="AI54" s="160"/>
      <c r="AJ54" s="160"/>
      <c r="AK54" s="160"/>
      <c r="AL54" s="160"/>
      <c r="AM54" s="160"/>
      <c r="AN54" s="160"/>
      <c r="AO54" s="160"/>
      <c r="AP54" s="160"/>
    </row>
    <row r="55" spans="1:42" ht="15">
      <c r="A55" s="170"/>
      <c r="B55" s="153" t="s">
        <v>107</v>
      </c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  <c r="AH55" s="153"/>
      <c r="AI55" s="153"/>
      <c r="AJ55" s="153"/>
      <c r="AK55" s="153"/>
      <c r="AL55" s="153"/>
      <c r="AM55" s="153"/>
      <c r="AN55" s="153"/>
      <c r="AO55" s="153"/>
      <c r="AP55" s="153"/>
    </row>
  </sheetData>
  <phoneticPr fontId="14"/>
  <printOptions horizontalCentered="1" gridLines="1"/>
  <pageMargins left="0.25" right="0.25" top="0.30156432193064059" bottom="0.26265279652023538" header="0" footer="0"/>
  <pageSetup paperSize="9" pageOrder="overThenDown" orientation="landscape" cellComments="atEnd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9" tint="0.39997558519241921"/>
    <outlinePr summaryBelow="0" summaryRight="0"/>
  </sheetPr>
  <dimension ref="A1:AK55"/>
  <sheetViews>
    <sheetView zoomScale="80" zoomScaleNormal="8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20" sqref="J20"/>
    </sheetView>
  </sheetViews>
  <sheetFormatPr defaultColWidth="12.6640625" defaultRowHeight="15.75" customHeight="1"/>
  <cols>
    <col min="1" max="1" width="27.44140625" style="175" customWidth="1"/>
    <col min="2" max="16384" width="12.6640625" style="154"/>
  </cols>
  <sheetData>
    <row r="1" spans="1:37" ht="15.75" customHeight="1">
      <c r="A1" s="178" t="s">
        <v>108</v>
      </c>
    </row>
    <row r="2" spans="1:37" ht="15.75" customHeight="1">
      <c r="C2" s="185">
        <f>資金繰り予定表!B2</f>
        <v>45839</v>
      </c>
      <c r="F2" s="185">
        <f>資金繰り予定表!C2</f>
        <v>45870</v>
      </c>
      <c r="I2" s="185">
        <f>資金繰り予定表!D2</f>
        <v>45901</v>
      </c>
      <c r="L2" s="185">
        <f>資金繰り予定表!E2</f>
        <v>45931</v>
      </c>
      <c r="O2" s="185">
        <f>資金繰り予定表!F2</f>
        <v>45962</v>
      </c>
      <c r="R2" s="185">
        <f>資金繰り予定表!G2</f>
        <v>45992</v>
      </c>
      <c r="U2" s="185">
        <f>資金繰り予定表!H2</f>
        <v>46023</v>
      </c>
      <c r="X2" s="185">
        <f>資金繰り予定表!I2</f>
        <v>46054</v>
      </c>
      <c r="AA2" s="185">
        <f>資金繰り予定表!J2</f>
        <v>46082</v>
      </c>
      <c r="AD2" s="185">
        <f>資金繰り予定表!K2</f>
        <v>46113</v>
      </c>
      <c r="AG2" s="185">
        <f>資金繰り予定表!L2</f>
        <v>46143</v>
      </c>
      <c r="AJ2" s="185">
        <f>資金繰り予定表!M2</f>
        <v>46174</v>
      </c>
    </row>
    <row r="3" spans="1:37" ht="15.75" customHeight="1">
      <c r="A3" s="170"/>
      <c r="B3" s="186" t="s">
        <v>109</v>
      </c>
      <c r="C3" s="186" t="s">
        <v>110</v>
      </c>
      <c r="D3" s="186" t="s">
        <v>111</v>
      </c>
      <c r="E3" s="187" t="s">
        <v>109</v>
      </c>
      <c r="F3" s="186" t="s">
        <v>110</v>
      </c>
      <c r="G3" s="188" t="s">
        <v>111</v>
      </c>
      <c r="H3" s="186" t="s">
        <v>109</v>
      </c>
      <c r="I3" s="186" t="s">
        <v>110</v>
      </c>
      <c r="J3" s="186" t="s">
        <v>111</v>
      </c>
      <c r="K3" s="187" t="s">
        <v>109</v>
      </c>
      <c r="L3" s="186" t="s">
        <v>110</v>
      </c>
      <c r="M3" s="188" t="s">
        <v>111</v>
      </c>
      <c r="N3" s="186" t="s">
        <v>109</v>
      </c>
      <c r="O3" s="186" t="s">
        <v>110</v>
      </c>
      <c r="P3" s="186" t="s">
        <v>111</v>
      </c>
      <c r="Q3" s="187" t="s">
        <v>109</v>
      </c>
      <c r="R3" s="186" t="s">
        <v>110</v>
      </c>
      <c r="S3" s="188" t="s">
        <v>111</v>
      </c>
      <c r="T3" s="186" t="s">
        <v>109</v>
      </c>
      <c r="U3" s="186" t="s">
        <v>110</v>
      </c>
      <c r="V3" s="186" t="s">
        <v>111</v>
      </c>
      <c r="W3" s="187" t="s">
        <v>109</v>
      </c>
      <c r="X3" s="186" t="s">
        <v>110</v>
      </c>
      <c r="Y3" s="188" t="s">
        <v>111</v>
      </c>
      <c r="Z3" s="186" t="s">
        <v>109</v>
      </c>
      <c r="AA3" s="186" t="s">
        <v>110</v>
      </c>
      <c r="AB3" s="186" t="s">
        <v>111</v>
      </c>
      <c r="AC3" s="187" t="s">
        <v>109</v>
      </c>
      <c r="AD3" s="186" t="s">
        <v>110</v>
      </c>
      <c r="AE3" s="188" t="s">
        <v>111</v>
      </c>
      <c r="AF3" s="186" t="s">
        <v>109</v>
      </c>
      <c r="AG3" s="186" t="s">
        <v>110</v>
      </c>
      <c r="AH3" s="186" t="s">
        <v>111</v>
      </c>
      <c r="AI3" s="187" t="s">
        <v>109</v>
      </c>
      <c r="AJ3" s="186" t="s">
        <v>110</v>
      </c>
      <c r="AK3" s="186" t="s">
        <v>111</v>
      </c>
    </row>
    <row r="4" spans="1:37" ht="15.75" customHeight="1">
      <c r="A4" s="299" t="str">
        <f>'資金繰り実績予定表（詳細）'!A3</f>
        <v>売上入金</v>
      </c>
      <c r="B4" s="160">
        <f>資金繰り予定表!B3</f>
        <v>54397318</v>
      </c>
      <c r="C4" s="160">
        <f>資金繰り実績表!B2</f>
        <v>54397318</v>
      </c>
      <c r="D4" s="160">
        <f t="shared" ref="D4:D36" si="0">C4-B4</f>
        <v>0</v>
      </c>
      <c r="E4" s="190">
        <f>資金繰り予定表!C3</f>
        <v>36633326</v>
      </c>
      <c r="F4" s="160">
        <f>資金繰り実績表!C2</f>
        <v>36633326</v>
      </c>
      <c r="G4" s="191">
        <f t="shared" ref="G4:G43" si="1">F4-E4</f>
        <v>0</v>
      </c>
      <c r="H4" s="160">
        <f>資金繰り予定表!D3</f>
        <v>27663609</v>
      </c>
      <c r="I4" s="160">
        <f>資金繰り実績表!D2</f>
        <v>27663609</v>
      </c>
      <c r="J4" s="160">
        <f t="shared" ref="J4:J43" si="2">I4-H4</f>
        <v>0</v>
      </c>
      <c r="K4" s="190">
        <f>資金繰り予定表!E3</f>
        <v>40698359</v>
      </c>
      <c r="L4" s="160">
        <f>資金繰り実績表!E2</f>
        <v>40698359</v>
      </c>
      <c r="M4" s="191">
        <f t="shared" ref="M4:M29" si="3">L4-K4</f>
        <v>0</v>
      </c>
      <c r="N4" s="160">
        <f>資金繰り予定表!F3</f>
        <v>32379584</v>
      </c>
      <c r="O4" s="160">
        <f>資金繰り実績表!F2</f>
        <v>32379584</v>
      </c>
      <c r="P4" s="160">
        <f t="shared" ref="P4:P29" si="4">O4-N4</f>
        <v>0</v>
      </c>
      <c r="Q4" s="190">
        <f>資金繰り予定表!G3</f>
        <v>25729152</v>
      </c>
      <c r="R4" s="160">
        <f>資金繰り実績表!G2</f>
        <v>25729152</v>
      </c>
      <c r="S4" s="191">
        <f t="shared" ref="S4:S29" si="5">R4-Q4</f>
        <v>0</v>
      </c>
      <c r="T4" s="160">
        <f>資金繰り予定表!H3</f>
        <v>54558653</v>
      </c>
      <c r="U4" s="160">
        <f>資金繰り実績表!H2</f>
        <v>54558653</v>
      </c>
      <c r="V4" s="160">
        <f t="shared" ref="V4:V29" si="6">U4-T4</f>
        <v>0</v>
      </c>
      <c r="W4" s="190">
        <f>資金繰り予定表!I3</f>
        <v>51184381</v>
      </c>
      <c r="X4" s="160">
        <f>資金繰り実績表!I2</f>
        <v>51184381</v>
      </c>
      <c r="Y4" s="191">
        <f t="shared" ref="Y4:Y29" si="7">X4-W4</f>
        <v>0</v>
      </c>
      <c r="Z4" s="160">
        <f>資金繰り予定表!J3</f>
        <v>18835978</v>
      </c>
      <c r="AA4" s="160">
        <f>資金繰り実績表!J2</f>
        <v>18835978</v>
      </c>
      <c r="AB4" s="160">
        <f t="shared" ref="AB4:AB29" si="8">AA4-Z4</f>
        <v>0</v>
      </c>
      <c r="AC4" s="190">
        <f>資金繰り予定表!K3</f>
        <v>0</v>
      </c>
      <c r="AD4" s="160">
        <f>資金繰り実績表!K2</f>
        <v>0</v>
      </c>
      <c r="AE4" s="191">
        <f t="shared" ref="AE4:AE29" si="9">AD4-AC4</f>
        <v>0</v>
      </c>
      <c r="AF4" s="160">
        <f>資金繰り予定表!L3</f>
        <v>0</v>
      </c>
      <c r="AG4" s="160">
        <f>資金繰り実績表!L2</f>
        <v>0</v>
      </c>
      <c r="AH4" s="160">
        <f t="shared" ref="AH4:AH29" si="10">AG4-AF4</f>
        <v>0</v>
      </c>
      <c r="AI4" s="190">
        <f>資金繰り予定表!M3</f>
        <v>0</v>
      </c>
      <c r="AJ4" s="160">
        <f>資金繰り実績表!M2</f>
        <v>0</v>
      </c>
      <c r="AK4" s="160">
        <f t="shared" ref="AK4:AK29" si="11">AJ4-AI4</f>
        <v>0</v>
      </c>
    </row>
    <row r="5" spans="1:37" ht="15.75" customHeight="1">
      <c r="A5" s="299" t="str">
        <f>'資金繰り実績予定表（詳細）'!A4</f>
        <v>その他経常収入</v>
      </c>
      <c r="B5" s="160">
        <f>資金繰り予定表!B4</f>
        <v>169220</v>
      </c>
      <c r="C5" s="160">
        <f>資金繰り実績表!B3</f>
        <v>169220</v>
      </c>
      <c r="D5" s="160">
        <f t="shared" si="0"/>
        <v>0</v>
      </c>
      <c r="E5" s="190">
        <f>資金繰り予定表!C4</f>
        <v>488103</v>
      </c>
      <c r="F5" s="160">
        <f>資金繰り実績表!C3</f>
        <v>488103</v>
      </c>
      <c r="G5" s="191">
        <f t="shared" si="1"/>
        <v>0</v>
      </c>
      <c r="H5" s="160">
        <f>資金繰り予定表!D4</f>
        <v>341540</v>
      </c>
      <c r="I5" s="160">
        <f>資金繰り実績表!D3</f>
        <v>341540</v>
      </c>
      <c r="J5" s="160">
        <f t="shared" si="2"/>
        <v>0</v>
      </c>
      <c r="K5" s="190">
        <f>資金繰り予定表!E4</f>
        <v>283198</v>
      </c>
      <c r="L5" s="160">
        <f>資金繰り実績表!E3</f>
        <v>283198</v>
      </c>
      <c r="M5" s="191">
        <f t="shared" si="3"/>
        <v>0</v>
      </c>
      <c r="N5" s="160">
        <f>資金繰り予定表!F4</f>
        <v>394321</v>
      </c>
      <c r="O5" s="160">
        <f>資金繰り実績表!F3</f>
        <v>394321</v>
      </c>
      <c r="P5" s="160">
        <f t="shared" si="4"/>
        <v>0</v>
      </c>
      <c r="Q5" s="190">
        <f>資金繰り予定表!G4</f>
        <v>2009209</v>
      </c>
      <c r="R5" s="160">
        <f>資金繰り実績表!G3</f>
        <v>2009209</v>
      </c>
      <c r="S5" s="191">
        <f t="shared" si="5"/>
        <v>0</v>
      </c>
      <c r="T5" s="160">
        <f>資金繰り予定表!H4</f>
        <v>282433</v>
      </c>
      <c r="U5" s="160">
        <f>資金繰り実績表!H3</f>
        <v>282433</v>
      </c>
      <c r="V5" s="160">
        <f t="shared" si="6"/>
        <v>0</v>
      </c>
      <c r="W5" s="190">
        <f>資金繰り予定表!I4</f>
        <v>282868</v>
      </c>
      <c r="X5" s="160">
        <f>資金繰り実績表!I3</f>
        <v>282868</v>
      </c>
      <c r="Y5" s="191">
        <f t="shared" si="7"/>
        <v>0</v>
      </c>
      <c r="Z5" s="160">
        <f>資金繰り予定表!J4</f>
        <v>282653</v>
      </c>
      <c r="AA5" s="160">
        <f>資金繰り実績表!J3</f>
        <v>282653</v>
      </c>
      <c r="AB5" s="160">
        <f t="shared" si="8"/>
        <v>0</v>
      </c>
      <c r="AC5" s="190">
        <f>資金繰り予定表!K4</f>
        <v>0</v>
      </c>
      <c r="AD5" s="160">
        <f>資金繰り実績表!K3</f>
        <v>0</v>
      </c>
      <c r="AE5" s="191">
        <f t="shared" si="9"/>
        <v>0</v>
      </c>
      <c r="AF5" s="160">
        <f>資金繰り予定表!L4</f>
        <v>0</v>
      </c>
      <c r="AG5" s="160">
        <f>資金繰り実績表!L3</f>
        <v>0</v>
      </c>
      <c r="AH5" s="160">
        <f t="shared" si="10"/>
        <v>0</v>
      </c>
      <c r="AI5" s="190">
        <f>資金繰り予定表!M4</f>
        <v>0</v>
      </c>
      <c r="AJ5" s="160">
        <f>資金繰り実績表!M3</f>
        <v>0</v>
      </c>
      <c r="AK5" s="160">
        <f t="shared" si="11"/>
        <v>0</v>
      </c>
    </row>
    <row r="6" spans="1:37" ht="15.75" customHeight="1">
      <c r="A6" s="184" t="str">
        <f>'資金繰り実績予定表（詳細）'!A5</f>
        <v>①経常収入合計</v>
      </c>
      <c r="B6" s="165">
        <f>資金繰り予定表!B5</f>
        <v>54566538</v>
      </c>
      <c r="C6" s="165">
        <f>SUM(C4:C5)</f>
        <v>54566538</v>
      </c>
      <c r="D6" s="165">
        <f t="shared" si="0"/>
        <v>0</v>
      </c>
      <c r="E6" s="192">
        <f>資金繰り予定表!C5</f>
        <v>37121429</v>
      </c>
      <c r="F6" s="165">
        <f>SUM(F4:F5)</f>
        <v>37121429</v>
      </c>
      <c r="G6" s="193">
        <f t="shared" si="1"/>
        <v>0</v>
      </c>
      <c r="H6" s="165">
        <f>資金繰り予定表!D5</f>
        <v>28005149</v>
      </c>
      <c r="I6" s="165">
        <f>SUM(I4:I5)</f>
        <v>28005149</v>
      </c>
      <c r="J6" s="165">
        <f t="shared" si="2"/>
        <v>0</v>
      </c>
      <c r="K6" s="192">
        <f>資金繰り予定表!E5</f>
        <v>40981557</v>
      </c>
      <c r="L6" s="165">
        <f>SUM(L4:L5)</f>
        <v>40981557</v>
      </c>
      <c r="M6" s="193">
        <f t="shared" si="3"/>
        <v>0</v>
      </c>
      <c r="N6" s="165">
        <f>資金繰り予定表!F5</f>
        <v>32773905</v>
      </c>
      <c r="O6" s="165">
        <f>SUM(O4:O5)</f>
        <v>32773905</v>
      </c>
      <c r="P6" s="165">
        <f t="shared" si="4"/>
        <v>0</v>
      </c>
      <c r="Q6" s="192">
        <f>資金繰り予定表!G5</f>
        <v>27738361</v>
      </c>
      <c r="R6" s="165">
        <f>SUM(R4:R5)</f>
        <v>27738361</v>
      </c>
      <c r="S6" s="193">
        <f t="shared" si="5"/>
        <v>0</v>
      </c>
      <c r="T6" s="165">
        <f>資金繰り予定表!H5</f>
        <v>54841086</v>
      </c>
      <c r="U6" s="165">
        <f>SUM(U4:U5)</f>
        <v>54841086</v>
      </c>
      <c r="V6" s="165">
        <f t="shared" si="6"/>
        <v>0</v>
      </c>
      <c r="W6" s="192">
        <f>資金繰り予定表!I5</f>
        <v>51467249</v>
      </c>
      <c r="X6" s="165">
        <f>SUM(X4:X5)</f>
        <v>51467249</v>
      </c>
      <c r="Y6" s="193">
        <f t="shared" si="7"/>
        <v>0</v>
      </c>
      <c r="Z6" s="165">
        <f>資金繰り予定表!J5</f>
        <v>19118631</v>
      </c>
      <c r="AA6" s="165">
        <f>SUM(AA4:AA5)</f>
        <v>19118631</v>
      </c>
      <c r="AB6" s="165">
        <f t="shared" si="8"/>
        <v>0</v>
      </c>
      <c r="AC6" s="192">
        <f>資金繰り予定表!K5</f>
        <v>0</v>
      </c>
      <c r="AD6" s="165">
        <f>SUM(AD4:AD5)</f>
        <v>0</v>
      </c>
      <c r="AE6" s="193">
        <f t="shared" si="9"/>
        <v>0</v>
      </c>
      <c r="AF6" s="165">
        <f>資金繰り予定表!L5</f>
        <v>0</v>
      </c>
      <c r="AG6" s="165">
        <f>SUM(AG4:AG5)</f>
        <v>0</v>
      </c>
      <c r="AH6" s="165">
        <f t="shared" si="10"/>
        <v>0</v>
      </c>
      <c r="AI6" s="192">
        <f>資金繰り予定表!M5</f>
        <v>0</v>
      </c>
      <c r="AJ6" s="165">
        <f>SUM(AJ4:AJ5)</f>
        <v>0</v>
      </c>
      <c r="AK6" s="165">
        <f t="shared" si="11"/>
        <v>0</v>
      </c>
    </row>
    <row r="7" spans="1:37" ht="15.75" customHeight="1">
      <c r="A7" s="299" t="str">
        <f>'資金繰り実績予定表（詳細）'!A6</f>
        <v>仕入支払い</v>
      </c>
      <c r="B7" s="160">
        <f>資金繰り予定表!B6</f>
        <v>47765346</v>
      </c>
      <c r="C7" s="160">
        <f>資金繰り実績表!B4</f>
        <v>47765346</v>
      </c>
      <c r="D7" s="160">
        <f t="shared" si="0"/>
        <v>0</v>
      </c>
      <c r="E7" s="190">
        <f>資金繰り予定表!C6</f>
        <v>23771476</v>
      </c>
      <c r="F7" s="160">
        <f>資金繰り実績表!C4</f>
        <v>23771476</v>
      </c>
      <c r="G7" s="191">
        <f t="shared" si="1"/>
        <v>0</v>
      </c>
      <c r="H7" s="160">
        <f>資金繰り予定表!D6</f>
        <v>17888831</v>
      </c>
      <c r="I7" s="160">
        <f>資金繰り実績表!D4</f>
        <v>17888831</v>
      </c>
      <c r="J7" s="160">
        <f t="shared" si="2"/>
        <v>0</v>
      </c>
      <c r="K7" s="190">
        <f>資金繰り予定表!E6</f>
        <v>23481022</v>
      </c>
      <c r="L7" s="160">
        <f>資金繰り実績表!E4</f>
        <v>23481022</v>
      </c>
      <c r="M7" s="191">
        <f t="shared" si="3"/>
        <v>0</v>
      </c>
      <c r="N7" s="160">
        <f>資金繰り予定表!F6</f>
        <v>22792525</v>
      </c>
      <c r="O7" s="160">
        <f>資金繰り実績表!F4</f>
        <v>22792525</v>
      </c>
      <c r="P7" s="160">
        <f t="shared" si="4"/>
        <v>0</v>
      </c>
      <c r="Q7" s="190">
        <f>資金繰り予定表!G6</f>
        <v>6318533</v>
      </c>
      <c r="R7" s="160">
        <f>資金繰り実績表!G4</f>
        <v>6318533</v>
      </c>
      <c r="S7" s="191">
        <f t="shared" si="5"/>
        <v>0</v>
      </c>
      <c r="T7" s="160">
        <f>資金繰り予定表!H6</f>
        <v>28239252</v>
      </c>
      <c r="U7" s="160">
        <f>資金繰り実績表!H4</f>
        <v>28239252</v>
      </c>
      <c r="V7" s="160">
        <f t="shared" si="6"/>
        <v>0</v>
      </c>
      <c r="W7" s="190">
        <f>資金繰り予定表!I6</f>
        <v>23680587</v>
      </c>
      <c r="X7" s="160">
        <f>資金繰り実績表!I4</f>
        <v>23680587</v>
      </c>
      <c r="Y7" s="191">
        <f t="shared" si="7"/>
        <v>0</v>
      </c>
      <c r="Z7" s="160">
        <f>資金繰り予定表!J6</f>
        <v>21000375</v>
      </c>
      <c r="AA7" s="160">
        <f>資金繰り実績表!J4</f>
        <v>21000375</v>
      </c>
      <c r="AB7" s="160">
        <f t="shared" si="8"/>
        <v>0</v>
      </c>
      <c r="AC7" s="190">
        <f>資金繰り予定表!K6</f>
        <v>0</v>
      </c>
      <c r="AD7" s="160">
        <f>資金繰り実績表!K4</f>
        <v>0</v>
      </c>
      <c r="AE7" s="191">
        <f t="shared" si="9"/>
        <v>0</v>
      </c>
      <c r="AF7" s="160">
        <f>資金繰り予定表!L6</f>
        <v>0</v>
      </c>
      <c r="AG7" s="160">
        <f>資金繰り実績表!L4</f>
        <v>0</v>
      </c>
      <c r="AH7" s="160">
        <f t="shared" si="10"/>
        <v>0</v>
      </c>
      <c r="AI7" s="190">
        <f>資金繰り予定表!M6</f>
        <v>0</v>
      </c>
      <c r="AJ7" s="160">
        <f>資金繰り実績表!M4</f>
        <v>0</v>
      </c>
      <c r="AK7" s="160">
        <f t="shared" si="11"/>
        <v>0</v>
      </c>
    </row>
    <row r="8" spans="1:37" ht="15.75" customHeight="1">
      <c r="A8" s="299" t="str">
        <f>'資金繰り実績予定表（詳細）'!A7</f>
        <v>外注費</v>
      </c>
      <c r="B8" s="160">
        <f>資金繰り予定表!B7</f>
        <v>3962380</v>
      </c>
      <c r="C8" s="160">
        <f>資金繰り実績表!B5</f>
        <v>3962380</v>
      </c>
      <c r="D8" s="160">
        <f t="shared" si="0"/>
        <v>0</v>
      </c>
      <c r="E8" s="190">
        <f>資金繰り予定表!C7</f>
        <v>5465980</v>
      </c>
      <c r="F8" s="160">
        <f>資金繰り実績表!C5</f>
        <v>5465980</v>
      </c>
      <c r="G8" s="191">
        <f t="shared" si="1"/>
        <v>0</v>
      </c>
      <c r="H8" s="160">
        <f>資金繰り予定表!D7</f>
        <v>3316614</v>
      </c>
      <c r="I8" s="160">
        <f>資金繰り実績表!D5</f>
        <v>3316614</v>
      </c>
      <c r="J8" s="160">
        <f t="shared" si="2"/>
        <v>0</v>
      </c>
      <c r="K8" s="190">
        <f>資金繰り予定表!E7</f>
        <v>2490000</v>
      </c>
      <c r="L8" s="160">
        <f>資金繰り実績表!E5</f>
        <v>2490000</v>
      </c>
      <c r="M8" s="191">
        <f t="shared" si="3"/>
        <v>0</v>
      </c>
      <c r="N8" s="160">
        <f>資金繰り予定表!F7</f>
        <v>4710426</v>
      </c>
      <c r="O8" s="160">
        <f>資金繰り実績表!F5</f>
        <v>4710426</v>
      </c>
      <c r="P8" s="160">
        <f t="shared" si="4"/>
        <v>0</v>
      </c>
      <c r="Q8" s="190">
        <f>資金繰り予定表!G7</f>
        <v>27279202</v>
      </c>
      <c r="R8" s="160">
        <f>資金繰り実績表!G5</f>
        <v>27279202</v>
      </c>
      <c r="S8" s="191">
        <f t="shared" si="5"/>
        <v>0</v>
      </c>
      <c r="T8" s="160">
        <f>資金繰り予定表!H7</f>
        <v>6344902</v>
      </c>
      <c r="U8" s="160">
        <f>資金繰り実績表!H5</f>
        <v>6344902</v>
      </c>
      <c r="V8" s="160">
        <f t="shared" si="6"/>
        <v>0</v>
      </c>
      <c r="W8" s="190">
        <f>資金繰り予定表!I7</f>
        <v>3371348</v>
      </c>
      <c r="X8" s="160">
        <f>資金繰り実績表!I5</f>
        <v>3371348</v>
      </c>
      <c r="Y8" s="191">
        <f t="shared" si="7"/>
        <v>0</v>
      </c>
      <c r="Z8" s="160">
        <f>資金繰り予定表!J7</f>
        <v>165210</v>
      </c>
      <c r="AA8" s="160">
        <f>資金繰り実績表!J5</f>
        <v>165210</v>
      </c>
      <c r="AB8" s="160">
        <f t="shared" si="8"/>
        <v>0</v>
      </c>
      <c r="AC8" s="190">
        <f>資金繰り予定表!K7</f>
        <v>0</v>
      </c>
      <c r="AD8" s="160">
        <f>資金繰り実績表!K5</f>
        <v>0</v>
      </c>
      <c r="AE8" s="191">
        <f t="shared" si="9"/>
        <v>0</v>
      </c>
      <c r="AF8" s="160">
        <f>資金繰り予定表!L7</f>
        <v>0</v>
      </c>
      <c r="AG8" s="160">
        <f>資金繰り実績表!L5</f>
        <v>0</v>
      </c>
      <c r="AH8" s="160">
        <f t="shared" si="10"/>
        <v>0</v>
      </c>
      <c r="AI8" s="190">
        <f>資金繰り予定表!M7</f>
        <v>0</v>
      </c>
      <c r="AJ8" s="160">
        <f>資金繰り実績表!M5</f>
        <v>0</v>
      </c>
      <c r="AK8" s="160">
        <f t="shared" si="11"/>
        <v>0</v>
      </c>
    </row>
    <row r="9" spans="1:37" ht="15.75" customHeight="1">
      <c r="A9" s="299" t="str">
        <f>'資金繰り実績予定表（詳細）'!A8</f>
        <v>給与・賞与</v>
      </c>
      <c r="B9" s="160">
        <f>資金繰り予定表!B8</f>
        <v>1778257</v>
      </c>
      <c r="C9" s="160">
        <f>資金繰り実績表!B6</f>
        <v>1778257</v>
      </c>
      <c r="D9" s="160">
        <f t="shared" si="0"/>
        <v>0</v>
      </c>
      <c r="E9" s="190">
        <f>資金繰り予定表!C8</f>
        <v>1752394</v>
      </c>
      <c r="F9" s="160">
        <f>資金繰り実績表!C6</f>
        <v>1752394</v>
      </c>
      <c r="G9" s="191">
        <f t="shared" si="1"/>
        <v>0</v>
      </c>
      <c r="H9" s="160">
        <f>資金繰り予定表!D8</f>
        <v>2260053</v>
      </c>
      <c r="I9" s="160">
        <f>資金繰り実績表!D6</f>
        <v>2260053</v>
      </c>
      <c r="J9" s="160">
        <f t="shared" si="2"/>
        <v>0</v>
      </c>
      <c r="K9" s="190">
        <f>資金繰り予定表!E8</f>
        <v>1756330</v>
      </c>
      <c r="L9" s="160">
        <f>資金繰り実績表!E6</f>
        <v>1756330</v>
      </c>
      <c r="M9" s="191">
        <f t="shared" si="3"/>
        <v>0</v>
      </c>
      <c r="N9" s="160">
        <f>資金繰り予定表!F8</f>
        <v>1872813</v>
      </c>
      <c r="O9" s="160">
        <f>資金繰り実績表!F6</f>
        <v>1872813</v>
      </c>
      <c r="P9" s="160">
        <f t="shared" si="4"/>
        <v>0</v>
      </c>
      <c r="Q9" s="190">
        <f>資金繰り予定表!G8</f>
        <v>3035179</v>
      </c>
      <c r="R9" s="160">
        <f>資金繰り実績表!G6</f>
        <v>3035179</v>
      </c>
      <c r="S9" s="191">
        <f t="shared" si="5"/>
        <v>0</v>
      </c>
      <c r="T9" s="160">
        <f>資金繰り予定表!H8</f>
        <v>1628672</v>
      </c>
      <c r="U9" s="160">
        <f>資金繰り実績表!H6</f>
        <v>1628672</v>
      </c>
      <c r="V9" s="160">
        <f t="shared" si="6"/>
        <v>0</v>
      </c>
      <c r="W9" s="190">
        <f>資金繰り予定表!I8</f>
        <v>1671365</v>
      </c>
      <c r="X9" s="160">
        <f>資金繰り実績表!I6</f>
        <v>1671365</v>
      </c>
      <c r="Y9" s="191">
        <f t="shared" si="7"/>
        <v>0</v>
      </c>
      <c r="Z9" s="160">
        <f>資金繰り予定表!J8</f>
        <v>1586132</v>
      </c>
      <c r="AA9" s="160">
        <f>資金繰り実績表!J6</f>
        <v>1586132</v>
      </c>
      <c r="AB9" s="160">
        <f t="shared" si="8"/>
        <v>0</v>
      </c>
      <c r="AC9" s="190">
        <f>資金繰り予定表!K8</f>
        <v>0</v>
      </c>
      <c r="AD9" s="160">
        <f>資金繰り実績表!K6</f>
        <v>0</v>
      </c>
      <c r="AE9" s="191">
        <f t="shared" si="9"/>
        <v>0</v>
      </c>
      <c r="AF9" s="160">
        <f>資金繰り予定表!L8</f>
        <v>0</v>
      </c>
      <c r="AG9" s="160">
        <f>資金繰り実績表!L6</f>
        <v>0</v>
      </c>
      <c r="AH9" s="160">
        <f t="shared" si="10"/>
        <v>0</v>
      </c>
      <c r="AI9" s="190">
        <f>資金繰り予定表!M8</f>
        <v>0</v>
      </c>
      <c r="AJ9" s="160">
        <f>資金繰り実績表!M6</f>
        <v>0</v>
      </c>
      <c r="AK9" s="160">
        <f t="shared" si="11"/>
        <v>0</v>
      </c>
    </row>
    <row r="10" spans="1:37" ht="15.75" customHeight="1">
      <c r="A10" s="299" t="str">
        <f>'資金繰り実績予定表（詳細）'!A9</f>
        <v>社会保険料・源泉所得税・住民税</v>
      </c>
      <c r="B10" s="160">
        <f>資金繰り予定表!B9</f>
        <v>577203</v>
      </c>
      <c r="C10" s="160">
        <f>資金繰り実績表!B7</f>
        <v>577203</v>
      </c>
      <c r="D10" s="160">
        <f t="shared" si="0"/>
        <v>0</v>
      </c>
      <c r="E10" s="190">
        <f>資金繰り予定表!C9</f>
        <v>0</v>
      </c>
      <c r="F10" s="160">
        <f>資金繰り実績表!C7</f>
        <v>0</v>
      </c>
      <c r="G10" s="191">
        <f t="shared" si="1"/>
        <v>0</v>
      </c>
      <c r="H10" s="160">
        <f>資金繰り予定表!D9</f>
        <v>1154406</v>
      </c>
      <c r="I10" s="160">
        <f>資金繰り実績表!D7</f>
        <v>1154406</v>
      </c>
      <c r="J10" s="160">
        <f t="shared" si="2"/>
        <v>0</v>
      </c>
      <c r="K10" s="190">
        <f>資金繰り予定表!E9</f>
        <v>878810</v>
      </c>
      <c r="L10" s="160">
        <f>資金繰り実績表!E7</f>
        <v>878810</v>
      </c>
      <c r="M10" s="191">
        <f t="shared" si="3"/>
        <v>0</v>
      </c>
      <c r="N10" s="160">
        <f>資金繰り予定表!F9</f>
        <v>0</v>
      </c>
      <c r="O10" s="160">
        <f>資金繰り実績表!F7</f>
        <v>0</v>
      </c>
      <c r="P10" s="160">
        <f t="shared" si="4"/>
        <v>0</v>
      </c>
      <c r="Q10" s="190">
        <f>資金繰り予定表!G9</f>
        <v>567978</v>
      </c>
      <c r="R10" s="160">
        <f>資金繰り実績表!G7</f>
        <v>567978</v>
      </c>
      <c r="S10" s="191">
        <f t="shared" si="5"/>
        <v>0</v>
      </c>
      <c r="T10" s="160">
        <f>資金繰り予定表!H9</f>
        <v>694225</v>
      </c>
      <c r="U10" s="160">
        <f>資金繰り実績表!H7</f>
        <v>694225</v>
      </c>
      <c r="V10" s="160">
        <f t="shared" si="6"/>
        <v>0</v>
      </c>
      <c r="W10" s="190">
        <f>資金繰り予定表!I9</f>
        <v>1193098</v>
      </c>
      <c r="X10" s="160">
        <f>資金繰り実績表!I7</f>
        <v>1193098</v>
      </c>
      <c r="Y10" s="191">
        <f t="shared" si="7"/>
        <v>0</v>
      </c>
      <c r="Z10" s="160">
        <f>資金繰り予定表!J9</f>
        <v>1135956</v>
      </c>
      <c r="AA10" s="160">
        <f>資金繰り実績表!J7</f>
        <v>1135956</v>
      </c>
      <c r="AB10" s="160">
        <f t="shared" si="8"/>
        <v>0</v>
      </c>
      <c r="AC10" s="190">
        <f>資金繰り予定表!K9</f>
        <v>0</v>
      </c>
      <c r="AD10" s="160">
        <f>資金繰り実績表!K7</f>
        <v>0</v>
      </c>
      <c r="AE10" s="191">
        <f t="shared" si="9"/>
        <v>0</v>
      </c>
      <c r="AF10" s="160">
        <f>資金繰り予定表!L9</f>
        <v>0</v>
      </c>
      <c r="AG10" s="160">
        <f>資金繰り実績表!L7</f>
        <v>0</v>
      </c>
      <c r="AH10" s="160">
        <f t="shared" si="10"/>
        <v>0</v>
      </c>
      <c r="AI10" s="190">
        <f>資金繰り予定表!M9</f>
        <v>0</v>
      </c>
      <c r="AJ10" s="160">
        <f>資金繰り実績表!M7</f>
        <v>0</v>
      </c>
      <c r="AK10" s="160">
        <f t="shared" si="11"/>
        <v>0</v>
      </c>
    </row>
    <row r="11" spans="1:37" ht="15.75" customHeight="1">
      <c r="A11" s="299" t="str">
        <f>'資金繰り実績予定表（詳細）'!A10</f>
        <v>広告宣伝費・販売費</v>
      </c>
      <c r="B11" s="160">
        <f>資金繰り予定表!B10</f>
        <v>127446</v>
      </c>
      <c r="C11" s="160">
        <f>資金繰り実績表!B8</f>
        <v>127446</v>
      </c>
      <c r="D11" s="160">
        <f t="shared" si="0"/>
        <v>0</v>
      </c>
      <c r="E11" s="190">
        <f>資金繰り予定表!C10</f>
        <v>0</v>
      </c>
      <c r="F11" s="160">
        <f>資金繰り実績表!C8</f>
        <v>0</v>
      </c>
      <c r="G11" s="191">
        <f t="shared" si="1"/>
        <v>0</v>
      </c>
      <c r="H11" s="160">
        <f>資金繰り予定表!D10</f>
        <v>409420</v>
      </c>
      <c r="I11" s="160">
        <f>資金繰り実績表!D8</f>
        <v>409420</v>
      </c>
      <c r="J11" s="160">
        <f t="shared" si="2"/>
        <v>0</v>
      </c>
      <c r="K11" s="190">
        <f>資金繰り予定表!E10</f>
        <v>0</v>
      </c>
      <c r="L11" s="160">
        <f>資金繰り実績表!E8</f>
        <v>0</v>
      </c>
      <c r="M11" s="191">
        <f t="shared" si="3"/>
        <v>0</v>
      </c>
      <c r="N11" s="160">
        <f>資金繰り予定表!F10</f>
        <v>209550</v>
      </c>
      <c r="O11" s="160">
        <f>資金繰り実績表!F8</f>
        <v>209550</v>
      </c>
      <c r="P11" s="160">
        <f t="shared" si="4"/>
        <v>0</v>
      </c>
      <c r="Q11" s="190">
        <f>資金繰り予定表!G10</f>
        <v>171285</v>
      </c>
      <c r="R11" s="160">
        <f>資金繰り実績表!G8</f>
        <v>171285</v>
      </c>
      <c r="S11" s="191">
        <f t="shared" si="5"/>
        <v>0</v>
      </c>
      <c r="T11" s="160">
        <f>資金繰り予定表!H10</f>
        <v>77000</v>
      </c>
      <c r="U11" s="160">
        <f>資金繰り実績表!H8</f>
        <v>77000</v>
      </c>
      <c r="V11" s="160">
        <f t="shared" si="6"/>
        <v>0</v>
      </c>
      <c r="W11" s="190">
        <f>資金繰り予定表!I10</f>
        <v>235300</v>
      </c>
      <c r="X11" s="160">
        <f>資金繰り実績表!I8</f>
        <v>235300</v>
      </c>
      <c r="Y11" s="191">
        <f t="shared" si="7"/>
        <v>0</v>
      </c>
      <c r="Z11" s="160">
        <f>資金繰り予定表!J10</f>
        <v>77000</v>
      </c>
      <c r="AA11" s="160">
        <f>資金繰り実績表!J8</f>
        <v>77000</v>
      </c>
      <c r="AB11" s="160">
        <f t="shared" si="8"/>
        <v>0</v>
      </c>
      <c r="AC11" s="190">
        <f>資金繰り予定表!K10</f>
        <v>0</v>
      </c>
      <c r="AD11" s="160">
        <f>資金繰り実績表!K8</f>
        <v>0</v>
      </c>
      <c r="AE11" s="191">
        <f t="shared" si="9"/>
        <v>0</v>
      </c>
      <c r="AF11" s="160">
        <f>資金繰り予定表!L10</f>
        <v>0</v>
      </c>
      <c r="AG11" s="160">
        <f>資金繰り実績表!L8</f>
        <v>0</v>
      </c>
      <c r="AH11" s="160">
        <f t="shared" si="10"/>
        <v>0</v>
      </c>
      <c r="AI11" s="190">
        <f>資金繰り予定表!M10</f>
        <v>0</v>
      </c>
      <c r="AJ11" s="160">
        <f>資金繰り実績表!M8</f>
        <v>0</v>
      </c>
      <c r="AK11" s="160">
        <f t="shared" si="11"/>
        <v>0</v>
      </c>
    </row>
    <row r="12" spans="1:37" ht="15.75" customHeight="1">
      <c r="A12" s="299" t="str">
        <f>'資金繰り実績予定表（詳細）'!A11</f>
        <v>交際費・福利厚生費</v>
      </c>
      <c r="B12" s="160">
        <f>資金繰り予定表!B11</f>
        <v>5150</v>
      </c>
      <c r="C12" s="160">
        <f>資金繰り実績表!B9</f>
        <v>5150</v>
      </c>
      <c r="D12" s="160">
        <f t="shared" si="0"/>
        <v>0</v>
      </c>
      <c r="E12" s="190">
        <f>資金繰り予定表!C11</f>
        <v>5150</v>
      </c>
      <c r="F12" s="160">
        <f>資金繰り実績表!C9</f>
        <v>5150</v>
      </c>
      <c r="G12" s="191">
        <f t="shared" si="1"/>
        <v>0</v>
      </c>
      <c r="H12" s="160">
        <f>資金繰り予定表!D11</f>
        <v>5150</v>
      </c>
      <c r="I12" s="160">
        <f>資金繰り実績表!D9</f>
        <v>5150</v>
      </c>
      <c r="J12" s="160">
        <f t="shared" si="2"/>
        <v>0</v>
      </c>
      <c r="K12" s="190">
        <f>資金繰り予定表!E11</f>
        <v>5150</v>
      </c>
      <c r="L12" s="160">
        <f>資金繰り実績表!E9</f>
        <v>5150</v>
      </c>
      <c r="M12" s="191">
        <f t="shared" si="3"/>
        <v>0</v>
      </c>
      <c r="N12" s="160">
        <f>資金繰り予定表!F11</f>
        <v>5150</v>
      </c>
      <c r="O12" s="160">
        <f>資金繰り実績表!F9</f>
        <v>5150</v>
      </c>
      <c r="P12" s="160">
        <f t="shared" si="4"/>
        <v>0</v>
      </c>
      <c r="Q12" s="190">
        <f>資金繰り予定表!G11</f>
        <v>150113</v>
      </c>
      <c r="R12" s="160">
        <f>資金繰り実績表!G9</f>
        <v>150113</v>
      </c>
      <c r="S12" s="191">
        <f t="shared" si="5"/>
        <v>0</v>
      </c>
      <c r="T12" s="160">
        <f>資金繰り予定表!H11</f>
        <v>5150</v>
      </c>
      <c r="U12" s="160">
        <f>資金繰り実績表!H9</f>
        <v>5150</v>
      </c>
      <c r="V12" s="160">
        <f t="shared" si="6"/>
        <v>0</v>
      </c>
      <c r="W12" s="190">
        <f>資金繰り予定表!I11</f>
        <v>5150</v>
      </c>
      <c r="X12" s="160">
        <f>資金繰り実績表!I9</f>
        <v>5150</v>
      </c>
      <c r="Y12" s="191">
        <f t="shared" si="7"/>
        <v>0</v>
      </c>
      <c r="Z12" s="160">
        <f>資金繰り予定表!J11</f>
        <v>5150</v>
      </c>
      <c r="AA12" s="160">
        <f>資金繰り実績表!J9</f>
        <v>5150</v>
      </c>
      <c r="AB12" s="160">
        <f t="shared" si="8"/>
        <v>0</v>
      </c>
      <c r="AC12" s="190">
        <f>資金繰り予定表!K11</f>
        <v>0</v>
      </c>
      <c r="AD12" s="160">
        <f>資金繰り実績表!K9</f>
        <v>0</v>
      </c>
      <c r="AE12" s="191">
        <f t="shared" si="9"/>
        <v>0</v>
      </c>
      <c r="AF12" s="160">
        <f>資金繰り予定表!L11</f>
        <v>0</v>
      </c>
      <c r="AG12" s="160">
        <f>資金繰り実績表!L9</f>
        <v>0</v>
      </c>
      <c r="AH12" s="160">
        <f t="shared" si="10"/>
        <v>0</v>
      </c>
      <c r="AI12" s="190">
        <f>資金繰り予定表!M11</f>
        <v>0</v>
      </c>
      <c r="AJ12" s="160">
        <f>資金繰り実績表!M9</f>
        <v>0</v>
      </c>
      <c r="AK12" s="160">
        <f t="shared" si="11"/>
        <v>0</v>
      </c>
    </row>
    <row r="13" spans="1:37" ht="15.75" customHeight="1">
      <c r="A13" s="299" t="str">
        <f>'資金繰り実績予定表（詳細）'!A12</f>
        <v>旅費交通費・車両関連費</v>
      </c>
      <c r="B13" s="160">
        <f>資金繰り予定表!B12</f>
        <v>36606</v>
      </c>
      <c r="C13" s="160">
        <f>資金繰り実績表!B10</f>
        <v>36606</v>
      </c>
      <c r="D13" s="160">
        <f t="shared" si="0"/>
        <v>0</v>
      </c>
      <c r="E13" s="190">
        <f>資金繰り予定表!C12</f>
        <v>61189</v>
      </c>
      <c r="F13" s="160">
        <f>資金繰り実績表!C10</f>
        <v>61189</v>
      </c>
      <c r="G13" s="191">
        <f t="shared" si="1"/>
        <v>0</v>
      </c>
      <c r="H13" s="160">
        <f>資金繰り予定表!D12</f>
        <v>38697</v>
      </c>
      <c r="I13" s="160">
        <f>資金繰り実績表!D10</f>
        <v>38697</v>
      </c>
      <c r="J13" s="160">
        <f t="shared" si="2"/>
        <v>0</v>
      </c>
      <c r="K13" s="190">
        <f>資金繰り予定表!E12</f>
        <v>37724</v>
      </c>
      <c r="L13" s="160">
        <f>資金繰り実績表!E10</f>
        <v>37724</v>
      </c>
      <c r="M13" s="191">
        <f t="shared" si="3"/>
        <v>0</v>
      </c>
      <c r="N13" s="160">
        <f>資金繰り予定表!F12</f>
        <v>36004</v>
      </c>
      <c r="O13" s="160">
        <f>資金繰り実績表!F10</f>
        <v>36004</v>
      </c>
      <c r="P13" s="160">
        <f t="shared" si="4"/>
        <v>0</v>
      </c>
      <c r="Q13" s="190">
        <f>資金繰り予定表!G12</f>
        <v>38295</v>
      </c>
      <c r="R13" s="160">
        <f>資金繰り実績表!G10</f>
        <v>38295</v>
      </c>
      <c r="S13" s="191">
        <f t="shared" si="5"/>
        <v>0</v>
      </c>
      <c r="T13" s="160">
        <f>資金繰り予定表!H12</f>
        <v>37487</v>
      </c>
      <c r="U13" s="160">
        <f>資金繰り実績表!H10</f>
        <v>37487</v>
      </c>
      <c r="V13" s="160">
        <f t="shared" si="6"/>
        <v>0</v>
      </c>
      <c r="W13" s="190">
        <f>資金繰り予定表!I12</f>
        <v>43089</v>
      </c>
      <c r="X13" s="160">
        <f>資金繰り実績表!I10</f>
        <v>43089</v>
      </c>
      <c r="Y13" s="191">
        <f t="shared" si="7"/>
        <v>0</v>
      </c>
      <c r="Z13" s="160">
        <f>資金繰り予定表!J12</f>
        <v>35572</v>
      </c>
      <c r="AA13" s="160">
        <f>資金繰り実績表!J10</f>
        <v>35572</v>
      </c>
      <c r="AB13" s="160">
        <f t="shared" si="8"/>
        <v>0</v>
      </c>
      <c r="AC13" s="190">
        <f>資金繰り予定表!K12</f>
        <v>0</v>
      </c>
      <c r="AD13" s="160">
        <f>資金繰り実績表!K10</f>
        <v>0</v>
      </c>
      <c r="AE13" s="191">
        <f t="shared" si="9"/>
        <v>0</v>
      </c>
      <c r="AF13" s="160">
        <f>資金繰り予定表!L12</f>
        <v>0</v>
      </c>
      <c r="AG13" s="160">
        <f>資金繰り実績表!L10</f>
        <v>0</v>
      </c>
      <c r="AH13" s="160">
        <f t="shared" si="10"/>
        <v>0</v>
      </c>
      <c r="AI13" s="190">
        <f>資金繰り予定表!M12</f>
        <v>0</v>
      </c>
      <c r="AJ13" s="160">
        <f>資金繰り実績表!M10</f>
        <v>0</v>
      </c>
      <c r="AK13" s="160">
        <f t="shared" si="11"/>
        <v>0</v>
      </c>
    </row>
    <row r="14" spans="1:37" ht="15.75" customHeight="1">
      <c r="A14" s="299" t="str">
        <f>'資金繰り実績予定表（詳細）'!A13</f>
        <v>地代家賃・水道光熱費</v>
      </c>
      <c r="B14" s="160">
        <f>資金繰り予定表!B13</f>
        <v>0</v>
      </c>
      <c r="C14" s="160">
        <f>資金繰り実績表!B11</f>
        <v>217870</v>
      </c>
      <c r="D14" s="160">
        <f t="shared" si="0"/>
        <v>217870</v>
      </c>
      <c r="E14" s="190">
        <f>資金繰り予定表!C13</f>
        <v>0</v>
      </c>
      <c r="F14" s="160">
        <f>資金繰り実績表!C11</f>
        <v>237099</v>
      </c>
      <c r="G14" s="191">
        <f t="shared" si="1"/>
        <v>237099</v>
      </c>
      <c r="H14" s="160">
        <f>資金繰り予定表!D13</f>
        <v>0</v>
      </c>
      <c r="I14" s="160">
        <f>資金繰り実績表!D11</f>
        <v>225955</v>
      </c>
      <c r="J14" s="160">
        <f t="shared" si="2"/>
        <v>225955</v>
      </c>
      <c r="K14" s="190">
        <f>資金繰り予定表!E13</f>
        <v>0</v>
      </c>
      <c r="L14" s="160">
        <f>資金繰り実績表!E11</f>
        <v>262403</v>
      </c>
      <c r="M14" s="191">
        <f t="shared" si="3"/>
        <v>262403</v>
      </c>
      <c r="N14" s="160">
        <f>資金繰り予定表!F13</f>
        <v>0</v>
      </c>
      <c r="O14" s="160">
        <f>資金繰り実績表!F11</f>
        <v>235033</v>
      </c>
      <c r="P14" s="160">
        <f t="shared" si="4"/>
        <v>235033</v>
      </c>
      <c r="Q14" s="190">
        <f>資金繰り予定表!G13</f>
        <v>0</v>
      </c>
      <c r="R14" s="160">
        <f>資金繰り実績表!G11</f>
        <v>223229</v>
      </c>
      <c r="S14" s="191">
        <f t="shared" si="5"/>
        <v>223229</v>
      </c>
      <c r="T14" s="160">
        <f>資金繰り予定表!H13</f>
        <v>0</v>
      </c>
      <c r="U14" s="160">
        <f>資金繰り実績表!H11</f>
        <v>320365</v>
      </c>
      <c r="V14" s="160">
        <f t="shared" si="6"/>
        <v>320365</v>
      </c>
      <c r="W14" s="190">
        <f>資金繰り予定表!I13</f>
        <v>0</v>
      </c>
      <c r="X14" s="160">
        <f>資金繰り実績表!I11</f>
        <v>360489</v>
      </c>
      <c r="Y14" s="191">
        <f t="shared" si="7"/>
        <v>360489</v>
      </c>
      <c r="Z14" s="160">
        <f>資金繰り予定表!J13</f>
        <v>0</v>
      </c>
      <c r="AA14" s="160">
        <f>資金繰り実績表!J11</f>
        <v>213615</v>
      </c>
      <c r="AB14" s="160">
        <f t="shared" si="8"/>
        <v>213615</v>
      </c>
      <c r="AC14" s="190">
        <f>資金繰り予定表!K13</f>
        <v>0</v>
      </c>
      <c r="AD14" s="160">
        <f>資金繰り実績表!K11</f>
        <v>0</v>
      </c>
      <c r="AE14" s="191">
        <f t="shared" si="9"/>
        <v>0</v>
      </c>
      <c r="AF14" s="160">
        <f>資金繰り予定表!L13</f>
        <v>0</v>
      </c>
      <c r="AG14" s="160">
        <f>資金繰り実績表!L11</f>
        <v>0</v>
      </c>
      <c r="AH14" s="160">
        <f t="shared" si="10"/>
        <v>0</v>
      </c>
      <c r="AI14" s="190">
        <f>資金繰り予定表!M13</f>
        <v>0</v>
      </c>
      <c r="AJ14" s="160">
        <f>資金繰り実績表!M11</f>
        <v>0</v>
      </c>
      <c r="AK14" s="160">
        <f t="shared" si="11"/>
        <v>0</v>
      </c>
    </row>
    <row r="15" spans="1:37" ht="15.75" customHeight="1">
      <c r="A15" s="299" t="str">
        <f>'資金繰り実績予定表（詳細）'!A14</f>
        <v>保険料</v>
      </c>
      <c r="B15" s="160">
        <f>資金繰り予定表!B14</f>
        <v>349711</v>
      </c>
      <c r="C15" s="160">
        <f>資金繰り実績表!B12</f>
        <v>349711</v>
      </c>
      <c r="D15" s="160">
        <f t="shared" si="0"/>
        <v>0</v>
      </c>
      <c r="E15" s="190">
        <f>資金繰り予定表!C14</f>
        <v>329771</v>
      </c>
      <c r="F15" s="160">
        <f>資金繰り実績表!C12</f>
        <v>329771</v>
      </c>
      <c r="G15" s="191">
        <f t="shared" si="1"/>
        <v>0</v>
      </c>
      <c r="H15" s="160">
        <f>資金繰り予定表!D14</f>
        <v>342391</v>
      </c>
      <c r="I15" s="160">
        <f>資金繰り実績表!D12</f>
        <v>342391</v>
      </c>
      <c r="J15" s="160">
        <f t="shared" si="2"/>
        <v>0</v>
      </c>
      <c r="K15" s="190">
        <f>資金繰り予定表!E14</f>
        <v>332881</v>
      </c>
      <c r="L15" s="160">
        <f>資金繰り実績表!E12</f>
        <v>332881</v>
      </c>
      <c r="M15" s="191">
        <f t="shared" si="3"/>
        <v>0</v>
      </c>
      <c r="N15" s="160">
        <f>資金繰り予定表!F14</f>
        <v>329771</v>
      </c>
      <c r="O15" s="160">
        <f>資金繰り実績表!F12</f>
        <v>329771</v>
      </c>
      <c r="P15" s="160">
        <f t="shared" si="4"/>
        <v>0</v>
      </c>
      <c r="Q15" s="190">
        <f>資金繰り予定表!G14</f>
        <v>338481</v>
      </c>
      <c r="R15" s="160">
        <f>資金繰り実績表!G12</f>
        <v>338481</v>
      </c>
      <c r="S15" s="191">
        <f t="shared" si="5"/>
        <v>0</v>
      </c>
      <c r="T15" s="160">
        <f>資金繰り予定表!H14</f>
        <v>325861</v>
      </c>
      <c r="U15" s="160">
        <f>資金繰り実績表!H12</f>
        <v>325861</v>
      </c>
      <c r="V15" s="160">
        <f t="shared" si="6"/>
        <v>0</v>
      </c>
      <c r="W15" s="190">
        <f>資金繰り予定表!I14</f>
        <v>354051</v>
      </c>
      <c r="X15" s="160">
        <f>資金繰り実績表!I12</f>
        <v>354051</v>
      </c>
      <c r="Y15" s="191">
        <f t="shared" si="7"/>
        <v>0</v>
      </c>
      <c r="Z15" s="160">
        <f>資金繰り予定表!J14</f>
        <v>341431</v>
      </c>
      <c r="AA15" s="160">
        <f>資金繰り実績表!J12</f>
        <v>341431</v>
      </c>
      <c r="AB15" s="160">
        <f t="shared" si="8"/>
        <v>0</v>
      </c>
      <c r="AC15" s="190">
        <f>資金繰り予定表!K14</f>
        <v>0</v>
      </c>
      <c r="AD15" s="160">
        <f>資金繰り実績表!K12</f>
        <v>0</v>
      </c>
      <c r="AE15" s="191">
        <f t="shared" si="9"/>
        <v>0</v>
      </c>
      <c r="AF15" s="160">
        <f>資金繰り予定表!L14</f>
        <v>0</v>
      </c>
      <c r="AG15" s="160">
        <f>資金繰り実績表!L12</f>
        <v>0</v>
      </c>
      <c r="AH15" s="160">
        <f t="shared" si="10"/>
        <v>0</v>
      </c>
      <c r="AI15" s="190">
        <f>資金繰り予定表!M14</f>
        <v>0</v>
      </c>
      <c r="AJ15" s="160">
        <f>資金繰り実績表!M12</f>
        <v>0</v>
      </c>
      <c r="AK15" s="160">
        <f t="shared" si="11"/>
        <v>0</v>
      </c>
    </row>
    <row r="16" spans="1:37" ht="15.75" customHeight="1">
      <c r="A16" s="299" t="str">
        <f>'資金繰り実績予定表（詳細）'!A15</f>
        <v>会費・顧問料・手数料・システム利用料</v>
      </c>
      <c r="B16" s="160">
        <f>資金繰り予定表!B15</f>
        <v>57788</v>
      </c>
      <c r="C16" s="160">
        <f>資金繰り実績表!B13</f>
        <v>57788</v>
      </c>
      <c r="D16" s="160">
        <f t="shared" si="0"/>
        <v>0</v>
      </c>
      <c r="E16" s="190">
        <f>資金繰り予定表!C15</f>
        <v>85398</v>
      </c>
      <c r="F16" s="160">
        <f>資金繰り実績表!C13</f>
        <v>85398</v>
      </c>
      <c r="G16" s="191">
        <f t="shared" si="1"/>
        <v>0</v>
      </c>
      <c r="H16" s="160">
        <f>資金繰り予定表!D15</f>
        <v>164103</v>
      </c>
      <c r="I16" s="160">
        <f>資金繰り実績表!D13</f>
        <v>164103</v>
      </c>
      <c r="J16" s="160">
        <f t="shared" si="2"/>
        <v>0</v>
      </c>
      <c r="K16" s="190">
        <f>資金繰り予定表!E15</f>
        <v>356971</v>
      </c>
      <c r="L16" s="160">
        <f>資金繰り実績表!E13</f>
        <v>356971</v>
      </c>
      <c r="M16" s="191">
        <f t="shared" si="3"/>
        <v>0</v>
      </c>
      <c r="N16" s="160">
        <f>資金繰り予定表!F15</f>
        <v>212458</v>
      </c>
      <c r="O16" s="160">
        <f>資金繰り実績表!F13</f>
        <v>212458</v>
      </c>
      <c r="P16" s="160">
        <f t="shared" si="4"/>
        <v>0</v>
      </c>
      <c r="Q16" s="190">
        <f>資金繰り予定表!G15</f>
        <v>142598</v>
      </c>
      <c r="R16" s="160">
        <f>資金繰り実績表!G13</f>
        <v>142598</v>
      </c>
      <c r="S16" s="191">
        <f t="shared" si="5"/>
        <v>0</v>
      </c>
      <c r="T16" s="160">
        <f>資金繰り予定表!H15</f>
        <v>143148</v>
      </c>
      <c r="U16" s="160">
        <f>資金繰り実績表!H13</f>
        <v>143148</v>
      </c>
      <c r="V16" s="160">
        <f t="shared" si="6"/>
        <v>0</v>
      </c>
      <c r="W16" s="190">
        <f>資金繰り予定表!I15</f>
        <v>223533</v>
      </c>
      <c r="X16" s="160">
        <f>資金繰り実績表!I13</f>
        <v>223533</v>
      </c>
      <c r="Y16" s="191">
        <f t="shared" si="7"/>
        <v>0</v>
      </c>
      <c r="Z16" s="160">
        <f>資金繰り予定表!J15</f>
        <v>141945</v>
      </c>
      <c r="AA16" s="160">
        <f>資金繰り実績表!J13</f>
        <v>141945</v>
      </c>
      <c r="AB16" s="160">
        <f t="shared" si="8"/>
        <v>0</v>
      </c>
      <c r="AC16" s="190">
        <f>資金繰り予定表!K15</f>
        <v>0</v>
      </c>
      <c r="AD16" s="160">
        <f>資金繰り実績表!K13</f>
        <v>0</v>
      </c>
      <c r="AE16" s="191">
        <f t="shared" si="9"/>
        <v>0</v>
      </c>
      <c r="AF16" s="160">
        <f>資金繰り予定表!L15</f>
        <v>0</v>
      </c>
      <c r="AG16" s="160">
        <f>資金繰り実績表!L13</f>
        <v>0</v>
      </c>
      <c r="AH16" s="160">
        <f t="shared" si="10"/>
        <v>0</v>
      </c>
      <c r="AI16" s="190">
        <f>資金繰り予定表!M15</f>
        <v>0</v>
      </c>
      <c r="AJ16" s="160">
        <f>資金繰り実績表!M13</f>
        <v>0</v>
      </c>
      <c r="AK16" s="160">
        <f t="shared" si="11"/>
        <v>0</v>
      </c>
    </row>
    <row r="17" spans="1:37" ht="15.75" customHeight="1">
      <c r="A17" s="299" t="str">
        <f>'資金繰り実績予定表（詳細）'!A16</f>
        <v>研修費・研究開発費</v>
      </c>
      <c r="B17" s="160">
        <f>資金繰り予定表!B16</f>
        <v>0</v>
      </c>
      <c r="C17" s="160">
        <f>資金繰り実績表!B14</f>
        <v>0</v>
      </c>
      <c r="D17" s="160">
        <f t="shared" si="0"/>
        <v>0</v>
      </c>
      <c r="E17" s="190">
        <f>資金繰り予定表!C16</f>
        <v>0</v>
      </c>
      <c r="F17" s="160">
        <f>資金繰り実績表!C14</f>
        <v>0</v>
      </c>
      <c r="G17" s="191">
        <f t="shared" si="1"/>
        <v>0</v>
      </c>
      <c r="H17" s="160">
        <f>資金繰り予定表!D16</f>
        <v>0</v>
      </c>
      <c r="I17" s="160">
        <f>資金繰り実績表!D14</f>
        <v>0</v>
      </c>
      <c r="J17" s="160">
        <f t="shared" si="2"/>
        <v>0</v>
      </c>
      <c r="K17" s="190">
        <f>資金繰り予定表!E16</f>
        <v>0</v>
      </c>
      <c r="L17" s="160">
        <f>資金繰り実績表!E14</f>
        <v>0</v>
      </c>
      <c r="M17" s="191">
        <f t="shared" si="3"/>
        <v>0</v>
      </c>
      <c r="N17" s="160">
        <f>資金繰り予定表!F16</f>
        <v>0</v>
      </c>
      <c r="O17" s="160">
        <f>資金繰り実績表!F14</f>
        <v>0</v>
      </c>
      <c r="P17" s="160">
        <f t="shared" si="4"/>
        <v>0</v>
      </c>
      <c r="Q17" s="190">
        <f>資金繰り予定表!G16</f>
        <v>0</v>
      </c>
      <c r="R17" s="160">
        <f>資金繰り実績表!G14</f>
        <v>0</v>
      </c>
      <c r="S17" s="191">
        <f t="shared" si="5"/>
        <v>0</v>
      </c>
      <c r="T17" s="160">
        <f>資金繰り予定表!H16</f>
        <v>0</v>
      </c>
      <c r="U17" s="160">
        <f>資金繰り実績表!H14</f>
        <v>0</v>
      </c>
      <c r="V17" s="160">
        <f t="shared" si="6"/>
        <v>0</v>
      </c>
      <c r="W17" s="190">
        <f>資金繰り予定表!I16</f>
        <v>0</v>
      </c>
      <c r="X17" s="160">
        <f>資金繰り実績表!I14</f>
        <v>0</v>
      </c>
      <c r="Y17" s="191">
        <f t="shared" si="7"/>
        <v>0</v>
      </c>
      <c r="Z17" s="160">
        <f>資金繰り予定表!J16</f>
        <v>0</v>
      </c>
      <c r="AA17" s="160">
        <f>資金繰り実績表!J14</f>
        <v>0</v>
      </c>
      <c r="AB17" s="160">
        <f t="shared" si="8"/>
        <v>0</v>
      </c>
      <c r="AC17" s="190">
        <f>資金繰り予定表!K16</f>
        <v>0</v>
      </c>
      <c r="AD17" s="160">
        <f>資金繰り実績表!K14</f>
        <v>0</v>
      </c>
      <c r="AE17" s="191">
        <f t="shared" si="9"/>
        <v>0</v>
      </c>
      <c r="AF17" s="160">
        <f>資金繰り予定表!L16</f>
        <v>0</v>
      </c>
      <c r="AG17" s="160">
        <f>資金繰り実績表!L14</f>
        <v>0</v>
      </c>
      <c r="AH17" s="160">
        <f t="shared" si="10"/>
        <v>0</v>
      </c>
      <c r="AI17" s="190">
        <f>資金繰り予定表!M16</f>
        <v>0</v>
      </c>
      <c r="AJ17" s="160">
        <f>資金繰り実績表!M14</f>
        <v>0</v>
      </c>
      <c r="AK17" s="160">
        <f t="shared" si="11"/>
        <v>0</v>
      </c>
    </row>
    <row r="18" spans="1:37" ht="15.75" customHeight="1">
      <c r="A18" s="299" t="str">
        <f>'資金繰り実績予定表（詳細）'!A17</f>
        <v>リース料・割賦支払い</v>
      </c>
      <c r="B18" s="160">
        <f>資金繰り予定表!B17</f>
        <v>23980</v>
      </c>
      <c r="C18" s="160">
        <f>資金繰り実績表!B15</f>
        <v>23980</v>
      </c>
      <c r="D18" s="160">
        <f t="shared" si="0"/>
        <v>0</v>
      </c>
      <c r="E18" s="190">
        <f>資金繰り予定表!C17</f>
        <v>60940</v>
      </c>
      <c r="F18" s="160">
        <f>資金繰り実績表!C15</f>
        <v>60940</v>
      </c>
      <c r="G18" s="191">
        <f t="shared" si="1"/>
        <v>0</v>
      </c>
      <c r="H18" s="160">
        <f>資金繰り予定表!D17</f>
        <v>108900</v>
      </c>
      <c r="I18" s="160">
        <f>資金繰り実績表!D15</f>
        <v>108900</v>
      </c>
      <c r="J18" s="160">
        <f t="shared" si="2"/>
        <v>0</v>
      </c>
      <c r="K18" s="190">
        <f>資金繰り予定表!E17</f>
        <v>84920</v>
      </c>
      <c r="L18" s="160">
        <f>資金繰り実績表!E15</f>
        <v>84920</v>
      </c>
      <c r="M18" s="191">
        <f t="shared" si="3"/>
        <v>0</v>
      </c>
      <c r="N18" s="160">
        <f>資金繰り予定表!F17</f>
        <v>60940</v>
      </c>
      <c r="O18" s="160">
        <f>資金繰り実績表!F15</f>
        <v>60940</v>
      </c>
      <c r="P18" s="160">
        <f t="shared" si="4"/>
        <v>0</v>
      </c>
      <c r="Q18" s="190">
        <f>資金繰り予定表!G17</f>
        <v>187370</v>
      </c>
      <c r="R18" s="160">
        <f>資金繰り実績表!G15</f>
        <v>187370</v>
      </c>
      <c r="S18" s="191">
        <f t="shared" si="5"/>
        <v>0</v>
      </c>
      <c r="T18" s="160">
        <f>資金繰り予定表!H17</f>
        <v>186820</v>
      </c>
      <c r="U18" s="160">
        <f>資金繰り実績表!H15</f>
        <v>186820</v>
      </c>
      <c r="V18" s="160">
        <f t="shared" si="6"/>
        <v>0</v>
      </c>
      <c r="W18" s="190">
        <f>資金繰り予定表!I17</f>
        <v>186820</v>
      </c>
      <c r="X18" s="160">
        <f>資金繰り実績表!I15</f>
        <v>186820</v>
      </c>
      <c r="Y18" s="191">
        <f t="shared" si="7"/>
        <v>0</v>
      </c>
      <c r="Z18" s="160">
        <f>資金繰り予定表!J17</f>
        <v>210800</v>
      </c>
      <c r="AA18" s="160">
        <f>資金繰り実績表!J15</f>
        <v>210800</v>
      </c>
      <c r="AB18" s="160">
        <f t="shared" si="8"/>
        <v>0</v>
      </c>
      <c r="AC18" s="190">
        <f>資金繰り予定表!K17</f>
        <v>0</v>
      </c>
      <c r="AD18" s="160">
        <f>資金繰り実績表!K15</f>
        <v>0</v>
      </c>
      <c r="AE18" s="191">
        <f t="shared" si="9"/>
        <v>0</v>
      </c>
      <c r="AF18" s="160">
        <f>資金繰り予定表!L17</f>
        <v>0</v>
      </c>
      <c r="AG18" s="160">
        <f>資金繰り実績表!L15</f>
        <v>0</v>
      </c>
      <c r="AH18" s="160">
        <f t="shared" si="10"/>
        <v>0</v>
      </c>
      <c r="AI18" s="190">
        <f>資金繰り予定表!M17</f>
        <v>0</v>
      </c>
      <c r="AJ18" s="160">
        <f>資金繰り実績表!M15</f>
        <v>0</v>
      </c>
      <c r="AK18" s="160">
        <f t="shared" si="11"/>
        <v>0</v>
      </c>
    </row>
    <row r="19" spans="1:37" ht="15.75" customHeight="1">
      <c r="A19" s="299" t="str">
        <f>'資金繰り実績予定表（詳細）'!A18</f>
        <v>修繕費・設備管理費・消耗品費</v>
      </c>
      <c r="B19" s="160">
        <f>資金繰り予定表!B18</f>
        <v>297131</v>
      </c>
      <c r="C19" s="160">
        <f>資金繰り実績表!B16</f>
        <v>297131</v>
      </c>
      <c r="D19" s="160">
        <f t="shared" si="0"/>
        <v>0</v>
      </c>
      <c r="E19" s="190">
        <f>資金繰り予定表!C18</f>
        <v>149131</v>
      </c>
      <c r="F19" s="160">
        <f>資金繰り実績表!C16</f>
        <v>149131</v>
      </c>
      <c r="G19" s="191">
        <f t="shared" si="1"/>
        <v>0</v>
      </c>
      <c r="H19" s="160">
        <f>資金繰り予定表!D18</f>
        <v>110428</v>
      </c>
      <c r="I19" s="160">
        <f>資金繰り実績表!D16</f>
        <v>110428</v>
      </c>
      <c r="J19" s="160">
        <f t="shared" si="2"/>
        <v>0</v>
      </c>
      <c r="K19" s="190">
        <f>資金繰り予定表!E18</f>
        <v>163267</v>
      </c>
      <c r="L19" s="160">
        <f>資金繰り実績表!E16</f>
        <v>163267</v>
      </c>
      <c r="M19" s="191">
        <f t="shared" si="3"/>
        <v>0</v>
      </c>
      <c r="N19" s="160">
        <f>資金繰り予定表!F18</f>
        <v>204900</v>
      </c>
      <c r="O19" s="160">
        <f>資金繰り実績表!F16</f>
        <v>204900</v>
      </c>
      <c r="P19" s="160">
        <f t="shared" si="4"/>
        <v>0</v>
      </c>
      <c r="Q19" s="190">
        <f>資金繰り予定表!G18</f>
        <v>0</v>
      </c>
      <c r="R19" s="160">
        <f>資金繰り実績表!G16</f>
        <v>0</v>
      </c>
      <c r="S19" s="191">
        <f t="shared" si="5"/>
        <v>0</v>
      </c>
      <c r="T19" s="160">
        <f>資金繰り予定表!H18</f>
        <v>0</v>
      </c>
      <c r="U19" s="160">
        <f>資金繰り実績表!H16</f>
        <v>0</v>
      </c>
      <c r="V19" s="160">
        <f t="shared" si="6"/>
        <v>0</v>
      </c>
      <c r="W19" s="190">
        <f>資金繰り予定表!I18</f>
        <v>147291</v>
      </c>
      <c r="X19" s="160">
        <f>資金繰り実績表!I16</f>
        <v>147291</v>
      </c>
      <c r="Y19" s="191">
        <f t="shared" si="7"/>
        <v>0</v>
      </c>
      <c r="Z19" s="160">
        <f>資金繰り予定表!J18</f>
        <v>0</v>
      </c>
      <c r="AA19" s="160">
        <f>資金繰り実績表!J16</f>
        <v>0</v>
      </c>
      <c r="AB19" s="160">
        <f t="shared" si="8"/>
        <v>0</v>
      </c>
      <c r="AC19" s="190">
        <f>資金繰り予定表!K18</f>
        <v>0</v>
      </c>
      <c r="AD19" s="160">
        <f>資金繰り実績表!K16</f>
        <v>0</v>
      </c>
      <c r="AE19" s="191">
        <f t="shared" si="9"/>
        <v>0</v>
      </c>
      <c r="AF19" s="160">
        <f>資金繰り予定表!L18</f>
        <v>0</v>
      </c>
      <c r="AG19" s="160">
        <f>資金繰り実績表!L16</f>
        <v>0</v>
      </c>
      <c r="AH19" s="160">
        <f t="shared" si="10"/>
        <v>0</v>
      </c>
      <c r="AI19" s="190">
        <f>資金繰り予定表!M18</f>
        <v>0</v>
      </c>
      <c r="AJ19" s="160">
        <f>資金繰り実績表!M16</f>
        <v>0</v>
      </c>
      <c r="AK19" s="160">
        <f t="shared" si="11"/>
        <v>0</v>
      </c>
    </row>
    <row r="20" spans="1:37" ht="15.75" customHeight="1">
      <c r="A20" s="299" t="str">
        <f>'資金繰り実績予定表（詳細）'!A19</f>
        <v>雑費・銀行手数料</v>
      </c>
      <c r="B20" s="160">
        <f>資金繰り予定表!B19</f>
        <v>120603</v>
      </c>
      <c r="C20" s="160">
        <f>資金繰り実績表!B17</f>
        <v>120603</v>
      </c>
      <c r="D20" s="160">
        <f t="shared" si="0"/>
        <v>0</v>
      </c>
      <c r="E20" s="190">
        <f>資金繰り予定表!C19</f>
        <v>121273</v>
      </c>
      <c r="F20" s="160">
        <f>資金繰り実績表!C17</f>
        <v>121273</v>
      </c>
      <c r="G20" s="191">
        <f t="shared" si="1"/>
        <v>0</v>
      </c>
      <c r="H20" s="160">
        <f>資金繰り予定表!D19</f>
        <v>859980</v>
      </c>
      <c r="I20" s="160">
        <f>資金繰り実績表!D17</f>
        <v>859980</v>
      </c>
      <c r="J20" s="160">
        <f t="shared" si="2"/>
        <v>0</v>
      </c>
      <c r="K20" s="190">
        <f>資金繰り予定表!E19</f>
        <v>127800</v>
      </c>
      <c r="L20" s="160">
        <f>資金繰り実績表!E17</f>
        <v>127800</v>
      </c>
      <c r="M20" s="191">
        <f t="shared" si="3"/>
        <v>0</v>
      </c>
      <c r="N20" s="160">
        <f>資金繰り予定表!F19</f>
        <v>116058</v>
      </c>
      <c r="O20" s="160">
        <f>資金繰り実績表!F17</f>
        <v>116058</v>
      </c>
      <c r="P20" s="160">
        <f t="shared" si="4"/>
        <v>0</v>
      </c>
      <c r="Q20" s="190">
        <f>資金繰り予定表!G19</f>
        <v>123666</v>
      </c>
      <c r="R20" s="160">
        <f>資金繰り実績表!G17</f>
        <v>123666</v>
      </c>
      <c r="S20" s="191">
        <f t="shared" si="5"/>
        <v>0</v>
      </c>
      <c r="T20" s="160">
        <f>資金繰り予定表!H19</f>
        <v>110895</v>
      </c>
      <c r="U20" s="160">
        <f>資金繰り実績表!H17</f>
        <v>110895</v>
      </c>
      <c r="V20" s="160">
        <f t="shared" si="6"/>
        <v>0</v>
      </c>
      <c r="W20" s="190">
        <f>資金繰り予定表!I19</f>
        <v>134756</v>
      </c>
      <c r="X20" s="160">
        <f>資金繰り実績表!I17</f>
        <v>134756</v>
      </c>
      <c r="Y20" s="191">
        <f t="shared" si="7"/>
        <v>0</v>
      </c>
      <c r="Z20" s="160">
        <f>資金繰り予定表!J19</f>
        <v>115523</v>
      </c>
      <c r="AA20" s="160">
        <f>資金繰り実績表!J17</f>
        <v>115523</v>
      </c>
      <c r="AB20" s="160">
        <f t="shared" si="8"/>
        <v>0</v>
      </c>
      <c r="AC20" s="190">
        <f>資金繰り予定表!K19</f>
        <v>0</v>
      </c>
      <c r="AD20" s="160">
        <f>資金繰り実績表!K17</f>
        <v>0</v>
      </c>
      <c r="AE20" s="191">
        <f t="shared" si="9"/>
        <v>0</v>
      </c>
      <c r="AF20" s="160">
        <f>資金繰り予定表!L19</f>
        <v>0</v>
      </c>
      <c r="AG20" s="160">
        <f>資金繰り実績表!L17</f>
        <v>0</v>
      </c>
      <c r="AH20" s="160">
        <f t="shared" si="10"/>
        <v>0</v>
      </c>
      <c r="AI20" s="190">
        <f>資金繰り予定表!M19</f>
        <v>0</v>
      </c>
      <c r="AJ20" s="160">
        <f>資金繰り実績表!M17</f>
        <v>0</v>
      </c>
      <c r="AK20" s="160">
        <f t="shared" si="11"/>
        <v>0</v>
      </c>
    </row>
    <row r="21" spans="1:37" ht="15.75" customHeight="1">
      <c r="A21" s="299" t="str">
        <f>'資金繰り実績予定表（詳細）'!A20</f>
        <v>その他販管費</v>
      </c>
      <c r="B21" s="160">
        <f>資金繰り予定表!B20</f>
        <v>79782</v>
      </c>
      <c r="C21" s="160">
        <f>資金繰り実績表!B18</f>
        <v>79782</v>
      </c>
      <c r="D21" s="160">
        <f t="shared" si="0"/>
        <v>0</v>
      </c>
      <c r="E21" s="190">
        <f>資金繰り予定表!C20</f>
        <v>0</v>
      </c>
      <c r="F21" s="160">
        <f>資金繰り実績表!C18</f>
        <v>0</v>
      </c>
      <c r="G21" s="191">
        <f t="shared" si="1"/>
        <v>0</v>
      </c>
      <c r="H21" s="160">
        <f>資金繰り予定表!D20</f>
        <v>385000</v>
      </c>
      <c r="I21" s="160">
        <f>資金繰り実績表!D18</f>
        <v>385000</v>
      </c>
      <c r="J21" s="160">
        <f t="shared" si="2"/>
        <v>0</v>
      </c>
      <c r="K21" s="190">
        <f>資金繰り予定表!E20</f>
        <v>591965</v>
      </c>
      <c r="L21" s="160">
        <f>資金繰り実績表!E18</f>
        <v>591965</v>
      </c>
      <c r="M21" s="191">
        <f t="shared" si="3"/>
        <v>0</v>
      </c>
      <c r="N21" s="160">
        <f>資金繰り予定表!F20</f>
        <v>892720</v>
      </c>
      <c r="O21" s="160">
        <f>資金繰り実績表!F18</f>
        <v>892720</v>
      </c>
      <c r="P21" s="160">
        <f t="shared" si="4"/>
        <v>0</v>
      </c>
      <c r="Q21" s="190">
        <f>資金繰り予定表!G20</f>
        <v>1257480</v>
      </c>
      <c r="R21" s="160">
        <f>資金繰り実績表!G18</f>
        <v>1257480</v>
      </c>
      <c r="S21" s="191">
        <f t="shared" si="5"/>
        <v>0</v>
      </c>
      <c r="T21" s="160">
        <f>資金繰り予定表!H20</f>
        <v>601255</v>
      </c>
      <c r="U21" s="160">
        <f>資金繰り実績表!H18</f>
        <v>601255</v>
      </c>
      <c r="V21" s="160">
        <f t="shared" si="6"/>
        <v>0</v>
      </c>
      <c r="W21" s="190">
        <f>資金繰り予定表!I20</f>
        <v>2220580</v>
      </c>
      <c r="X21" s="160">
        <f>資金繰り実績表!I18</f>
        <v>2220580</v>
      </c>
      <c r="Y21" s="191">
        <f t="shared" si="7"/>
        <v>0</v>
      </c>
      <c r="Z21" s="160">
        <f>資金繰り予定表!J20</f>
        <v>198634</v>
      </c>
      <c r="AA21" s="160">
        <f>資金繰り実績表!J18</f>
        <v>198634</v>
      </c>
      <c r="AB21" s="160">
        <f t="shared" si="8"/>
        <v>0</v>
      </c>
      <c r="AC21" s="190">
        <f>資金繰り予定表!K20</f>
        <v>0</v>
      </c>
      <c r="AD21" s="160">
        <f>資金繰り実績表!K18</f>
        <v>0</v>
      </c>
      <c r="AE21" s="191">
        <f t="shared" si="9"/>
        <v>0</v>
      </c>
      <c r="AF21" s="160">
        <f>資金繰り予定表!L20</f>
        <v>0</v>
      </c>
      <c r="AG21" s="160">
        <f>資金繰り実績表!L18</f>
        <v>0</v>
      </c>
      <c r="AH21" s="160">
        <f t="shared" si="10"/>
        <v>0</v>
      </c>
      <c r="AI21" s="190">
        <f>資金繰り予定表!M20</f>
        <v>0</v>
      </c>
      <c r="AJ21" s="160">
        <f>資金繰り実績表!M18</f>
        <v>0</v>
      </c>
      <c r="AK21" s="160">
        <f t="shared" si="11"/>
        <v>0</v>
      </c>
    </row>
    <row r="22" spans="1:37" ht="15.75" customHeight="1">
      <c r="A22" s="299" t="str">
        <f>'資金繰り実績予定表（詳細）'!A21</f>
        <v>その他経常支出</v>
      </c>
      <c r="B22" s="160">
        <f>資金繰り予定表!B21</f>
        <v>0</v>
      </c>
      <c r="C22" s="160">
        <f>資金繰り実績表!B19</f>
        <v>0</v>
      </c>
      <c r="D22" s="160">
        <f t="shared" si="0"/>
        <v>0</v>
      </c>
      <c r="E22" s="190">
        <f>資金繰り予定表!C21</f>
        <v>240000</v>
      </c>
      <c r="F22" s="160">
        <f>資金繰り実績表!C19</f>
        <v>240000</v>
      </c>
      <c r="G22" s="191">
        <f t="shared" si="1"/>
        <v>0</v>
      </c>
      <c r="H22" s="160">
        <f>資金繰り予定表!D21</f>
        <v>487904</v>
      </c>
      <c r="I22" s="160">
        <f>資金繰り実績表!D19</f>
        <v>487904</v>
      </c>
      <c r="J22" s="160">
        <f t="shared" si="2"/>
        <v>0</v>
      </c>
      <c r="K22" s="190">
        <f>資金繰り予定表!E21</f>
        <v>0</v>
      </c>
      <c r="L22" s="160">
        <f>資金繰り実績表!E19</f>
        <v>0</v>
      </c>
      <c r="M22" s="191">
        <f t="shared" si="3"/>
        <v>0</v>
      </c>
      <c r="N22" s="160">
        <f>資金繰り予定表!F21</f>
        <v>166550</v>
      </c>
      <c r="O22" s="160">
        <f>資金繰り実績表!F19</f>
        <v>166550</v>
      </c>
      <c r="P22" s="160">
        <f t="shared" si="4"/>
        <v>0</v>
      </c>
      <c r="Q22" s="190">
        <f>資金繰り予定表!G21</f>
        <v>1154000</v>
      </c>
      <c r="R22" s="160">
        <f>資金繰り実績表!G19</f>
        <v>1154000</v>
      </c>
      <c r="S22" s="191">
        <f t="shared" si="5"/>
        <v>0</v>
      </c>
      <c r="T22" s="160">
        <f>資金繰り予定表!H21</f>
        <v>740000</v>
      </c>
      <c r="U22" s="160">
        <f>資金繰り実績表!H19</f>
        <v>740000</v>
      </c>
      <c r="V22" s="160">
        <f t="shared" si="6"/>
        <v>0</v>
      </c>
      <c r="W22" s="190">
        <f>資金繰り予定表!I21</f>
        <v>620000</v>
      </c>
      <c r="X22" s="160">
        <f>資金繰り実績表!I19</f>
        <v>620000</v>
      </c>
      <c r="Y22" s="191">
        <f t="shared" si="7"/>
        <v>0</v>
      </c>
      <c r="Z22" s="160">
        <f>資金繰り予定表!J21</f>
        <v>500000</v>
      </c>
      <c r="AA22" s="160">
        <f>資金繰り実績表!J19</f>
        <v>500000</v>
      </c>
      <c r="AB22" s="160">
        <f t="shared" si="8"/>
        <v>0</v>
      </c>
      <c r="AC22" s="190">
        <f>資金繰り予定表!K21</f>
        <v>0</v>
      </c>
      <c r="AD22" s="160">
        <f>資金繰り実績表!K19</f>
        <v>0</v>
      </c>
      <c r="AE22" s="191">
        <f t="shared" si="9"/>
        <v>0</v>
      </c>
      <c r="AF22" s="160">
        <f>資金繰り予定表!L21</f>
        <v>0</v>
      </c>
      <c r="AG22" s="160">
        <f>資金繰り実績表!L19</f>
        <v>0</v>
      </c>
      <c r="AH22" s="160">
        <f t="shared" si="10"/>
        <v>0</v>
      </c>
      <c r="AI22" s="190">
        <f>資金繰り予定表!M21</f>
        <v>0</v>
      </c>
      <c r="AJ22" s="160">
        <f>資金繰り実績表!M19</f>
        <v>0</v>
      </c>
      <c r="AK22" s="160">
        <f t="shared" si="11"/>
        <v>0</v>
      </c>
    </row>
    <row r="23" spans="1:37" ht="15.75" customHeight="1">
      <c r="A23" s="299" t="str">
        <f>'資金繰り実績予定表（詳細）'!A22</f>
        <v>現金引出し・QR決済</v>
      </c>
      <c r="B23" s="160">
        <f>資金繰り予定表!B22</f>
        <v>2445715</v>
      </c>
      <c r="C23" s="160">
        <f>資金繰り実績表!B20</f>
        <v>2445715</v>
      </c>
      <c r="D23" s="160">
        <f t="shared" si="0"/>
        <v>0</v>
      </c>
      <c r="E23" s="190">
        <f>資金繰り予定表!C22</f>
        <v>500000</v>
      </c>
      <c r="F23" s="160">
        <f>資金繰り実績表!C20</f>
        <v>500000</v>
      </c>
      <c r="G23" s="191">
        <f t="shared" si="1"/>
        <v>0</v>
      </c>
      <c r="H23" s="160">
        <f>資金繰り予定表!D22</f>
        <v>400110</v>
      </c>
      <c r="I23" s="160">
        <f>資金繰り実績表!D20</f>
        <v>400110</v>
      </c>
      <c r="J23" s="160">
        <f t="shared" si="2"/>
        <v>0</v>
      </c>
      <c r="K23" s="190">
        <f>資金繰り予定表!E22</f>
        <v>0</v>
      </c>
      <c r="L23" s="160">
        <f>資金繰り実績表!E20</f>
        <v>0</v>
      </c>
      <c r="M23" s="191">
        <f t="shared" si="3"/>
        <v>0</v>
      </c>
      <c r="N23" s="160">
        <f>資金繰り予定表!F22</f>
        <v>0</v>
      </c>
      <c r="O23" s="160">
        <f>資金繰り実績表!F20</f>
        <v>0</v>
      </c>
      <c r="P23" s="160">
        <f t="shared" si="4"/>
        <v>0</v>
      </c>
      <c r="Q23" s="190">
        <f>資金繰り予定表!G22</f>
        <v>0</v>
      </c>
      <c r="R23" s="160">
        <f>資金繰り実績表!G20</f>
        <v>0</v>
      </c>
      <c r="S23" s="191">
        <f t="shared" si="5"/>
        <v>0</v>
      </c>
      <c r="T23" s="160">
        <f>資金繰り予定表!H22</f>
        <v>0</v>
      </c>
      <c r="U23" s="160">
        <f>資金繰り実績表!H20</f>
        <v>0</v>
      </c>
      <c r="V23" s="160">
        <f t="shared" si="6"/>
        <v>0</v>
      </c>
      <c r="W23" s="190">
        <f>資金繰り予定表!I22</f>
        <v>0</v>
      </c>
      <c r="X23" s="160">
        <f>資金繰り実績表!I20</f>
        <v>0</v>
      </c>
      <c r="Y23" s="191">
        <f t="shared" si="7"/>
        <v>0</v>
      </c>
      <c r="Z23" s="160">
        <f>資金繰り予定表!J22</f>
        <v>0</v>
      </c>
      <c r="AA23" s="160">
        <f>資金繰り実績表!J20</f>
        <v>0</v>
      </c>
      <c r="AB23" s="160">
        <f t="shared" si="8"/>
        <v>0</v>
      </c>
      <c r="AC23" s="190">
        <f>資金繰り予定表!K22</f>
        <v>0</v>
      </c>
      <c r="AD23" s="160">
        <f>資金繰り実績表!K20</f>
        <v>0</v>
      </c>
      <c r="AE23" s="191">
        <f t="shared" si="9"/>
        <v>0</v>
      </c>
      <c r="AF23" s="160">
        <f>資金繰り予定表!L22</f>
        <v>0</v>
      </c>
      <c r="AG23" s="160">
        <f>資金繰り実績表!L20</f>
        <v>0</v>
      </c>
      <c r="AH23" s="160">
        <f t="shared" si="10"/>
        <v>0</v>
      </c>
      <c r="AI23" s="190">
        <f>資金繰り予定表!M22</f>
        <v>0</v>
      </c>
      <c r="AJ23" s="160">
        <f>資金繰り実績表!M20</f>
        <v>0</v>
      </c>
      <c r="AK23" s="160">
        <f t="shared" si="11"/>
        <v>0</v>
      </c>
    </row>
    <row r="24" spans="1:37" ht="15.75" customHeight="1">
      <c r="A24" s="299" t="str">
        <f>'資金繰り実績予定表（詳細）'!A23</f>
        <v>クレジットカード支払い</v>
      </c>
      <c r="B24" s="160">
        <f>資金繰り予定表!B23</f>
        <v>1168512</v>
      </c>
      <c r="C24" s="160">
        <f>資金繰り実績表!B21</f>
        <v>1168512</v>
      </c>
      <c r="D24" s="160">
        <f t="shared" si="0"/>
        <v>0</v>
      </c>
      <c r="E24" s="190">
        <f>資金繰り予定表!C23</f>
        <v>1438835</v>
      </c>
      <c r="F24" s="160">
        <f>資金繰り実績表!C21</f>
        <v>1438835</v>
      </c>
      <c r="G24" s="191">
        <f t="shared" si="1"/>
        <v>0</v>
      </c>
      <c r="H24" s="160">
        <f>資金繰り予定表!D23</f>
        <v>1117344</v>
      </c>
      <c r="I24" s="160">
        <f>資金繰り実績表!D21</f>
        <v>1117344</v>
      </c>
      <c r="J24" s="160">
        <f t="shared" si="2"/>
        <v>0</v>
      </c>
      <c r="K24" s="190">
        <f>資金繰り予定表!E23</f>
        <v>4277837</v>
      </c>
      <c r="L24" s="160">
        <f>資金繰り実績表!E21</f>
        <v>4277837</v>
      </c>
      <c r="M24" s="191">
        <f t="shared" si="3"/>
        <v>0</v>
      </c>
      <c r="N24" s="160">
        <f>資金繰り予定表!F23</f>
        <v>2359073</v>
      </c>
      <c r="O24" s="160">
        <f>資金繰り実績表!F21</f>
        <v>2359073</v>
      </c>
      <c r="P24" s="160">
        <f t="shared" si="4"/>
        <v>0</v>
      </c>
      <c r="Q24" s="190">
        <f>資金繰り予定表!G23</f>
        <v>1298814</v>
      </c>
      <c r="R24" s="160">
        <f>資金繰り実績表!G21</f>
        <v>1298814</v>
      </c>
      <c r="S24" s="191">
        <f t="shared" si="5"/>
        <v>0</v>
      </c>
      <c r="T24" s="160">
        <f>資金繰り予定表!H23</f>
        <v>1629718</v>
      </c>
      <c r="U24" s="160">
        <f>資金繰り実績表!H21</f>
        <v>1629718</v>
      </c>
      <c r="V24" s="160">
        <f t="shared" si="6"/>
        <v>0</v>
      </c>
      <c r="W24" s="190">
        <f>資金繰り予定表!I23</f>
        <v>1923013</v>
      </c>
      <c r="X24" s="160">
        <f>資金繰り実績表!I21</f>
        <v>1923013</v>
      </c>
      <c r="Y24" s="191">
        <f t="shared" si="7"/>
        <v>0</v>
      </c>
      <c r="Z24" s="160">
        <f>資金繰り予定表!J23</f>
        <v>2734390</v>
      </c>
      <c r="AA24" s="160">
        <f>資金繰り実績表!J21</f>
        <v>2734390</v>
      </c>
      <c r="AB24" s="160">
        <f t="shared" si="8"/>
        <v>0</v>
      </c>
      <c r="AC24" s="190">
        <f>資金繰り予定表!K23</f>
        <v>0</v>
      </c>
      <c r="AD24" s="160">
        <f>資金繰り実績表!K21</f>
        <v>0</v>
      </c>
      <c r="AE24" s="191">
        <f t="shared" si="9"/>
        <v>0</v>
      </c>
      <c r="AF24" s="160">
        <f>資金繰り予定表!L23</f>
        <v>0</v>
      </c>
      <c r="AG24" s="160">
        <f>資金繰り実績表!L21</f>
        <v>0</v>
      </c>
      <c r="AH24" s="160">
        <f t="shared" si="10"/>
        <v>0</v>
      </c>
      <c r="AI24" s="190">
        <f>資金繰り予定表!M23</f>
        <v>0</v>
      </c>
      <c r="AJ24" s="160">
        <f>資金繰り実績表!M21</f>
        <v>0</v>
      </c>
      <c r="AK24" s="160">
        <f t="shared" si="11"/>
        <v>0</v>
      </c>
    </row>
    <row r="25" spans="1:37" ht="15.75" customHeight="1">
      <c r="A25" s="299" t="str">
        <f>'資金繰り実績予定表（詳細）'!A24</f>
        <v>消費税・租税公課</v>
      </c>
      <c r="B25" s="160">
        <f>資金繰り予定表!B24</f>
        <v>0</v>
      </c>
      <c r="C25" s="160">
        <f>資金繰り実績表!B22</f>
        <v>0</v>
      </c>
      <c r="D25" s="160">
        <f t="shared" si="0"/>
        <v>0</v>
      </c>
      <c r="E25" s="190">
        <f>資金繰り予定表!C24</f>
        <v>0</v>
      </c>
      <c r="F25" s="160">
        <f>資金繰り実績表!C22</f>
        <v>0</v>
      </c>
      <c r="G25" s="191">
        <f t="shared" si="1"/>
        <v>0</v>
      </c>
      <c r="H25" s="160">
        <f>資金繰り予定表!D24</f>
        <v>0</v>
      </c>
      <c r="I25" s="160">
        <f>資金繰り実績表!D22</f>
        <v>0</v>
      </c>
      <c r="J25" s="160">
        <f t="shared" si="2"/>
        <v>0</v>
      </c>
      <c r="K25" s="190">
        <f>資金繰り予定表!E24</f>
        <v>0</v>
      </c>
      <c r="L25" s="160">
        <f>資金繰り実績表!E22</f>
        <v>0</v>
      </c>
      <c r="M25" s="191">
        <f t="shared" si="3"/>
        <v>0</v>
      </c>
      <c r="N25" s="160">
        <f>資金繰り予定表!F24</f>
        <v>60400</v>
      </c>
      <c r="O25" s="160">
        <f>資金繰り実績表!F22</f>
        <v>60400</v>
      </c>
      <c r="P25" s="160">
        <f t="shared" si="4"/>
        <v>0</v>
      </c>
      <c r="Q25" s="190">
        <f>資金繰り予定表!G24</f>
        <v>0</v>
      </c>
      <c r="R25" s="160">
        <f>資金繰り実績表!G22</f>
        <v>0</v>
      </c>
      <c r="S25" s="191">
        <f t="shared" si="5"/>
        <v>0</v>
      </c>
      <c r="T25" s="160">
        <f>資金繰り予定表!H24</f>
        <v>0</v>
      </c>
      <c r="U25" s="160">
        <f>資金繰り実績表!H22</f>
        <v>0</v>
      </c>
      <c r="V25" s="160">
        <f t="shared" si="6"/>
        <v>0</v>
      </c>
      <c r="W25" s="190">
        <f>資金繰り予定表!I24</f>
        <v>0</v>
      </c>
      <c r="X25" s="160">
        <f>資金繰り実績表!I22</f>
        <v>0</v>
      </c>
      <c r="Y25" s="191">
        <f t="shared" si="7"/>
        <v>0</v>
      </c>
      <c r="Z25" s="160">
        <f>資金繰り予定表!J24</f>
        <v>0</v>
      </c>
      <c r="AA25" s="160">
        <f>資金繰り実績表!J22</f>
        <v>0</v>
      </c>
      <c r="AB25" s="160">
        <f t="shared" si="8"/>
        <v>0</v>
      </c>
      <c r="AC25" s="190">
        <f>資金繰り予定表!K24</f>
        <v>0</v>
      </c>
      <c r="AD25" s="160">
        <f>資金繰り実績表!K22</f>
        <v>0</v>
      </c>
      <c r="AE25" s="191">
        <f t="shared" si="9"/>
        <v>0</v>
      </c>
      <c r="AF25" s="160">
        <f>資金繰り予定表!L24</f>
        <v>0</v>
      </c>
      <c r="AG25" s="160">
        <f>資金繰り実績表!L22</f>
        <v>0</v>
      </c>
      <c r="AH25" s="160">
        <f t="shared" si="10"/>
        <v>0</v>
      </c>
      <c r="AI25" s="190">
        <f>資金繰り予定表!M24</f>
        <v>0</v>
      </c>
      <c r="AJ25" s="160">
        <f>資金繰り実績表!M22</f>
        <v>0</v>
      </c>
      <c r="AK25" s="160">
        <f t="shared" si="11"/>
        <v>0</v>
      </c>
    </row>
    <row r="26" spans="1:37" ht="15.75" customHeight="1">
      <c r="A26" s="299" t="str">
        <f>'資金繰り実績予定表（詳細）'!A25</f>
        <v>事業主貸（個人事業）</v>
      </c>
      <c r="B26" s="160">
        <f>資金繰り予定表!B25</f>
        <v>0</v>
      </c>
      <c r="C26" s="160">
        <f>資金繰り実績表!B23</f>
        <v>0</v>
      </c>
      <c r="D26" s="160">
        <f t="shared" si="0"/>
        <v>0</v>
      </c>
      <c r="E26" s="190">
        <f>資金繰り予定表!C25</f>
        <v>0</v>
      </c>
      <c r="F26" s="160">
        <f>資金繰り実績表!C23</f>
        <v>0</v>
      </c>
      <c r="G26" s="191">
        <f t="shared" si="1"/>
        <v>0</v>
      </c>
      <c r="H26" s="160">
        <f>資金繰り予定表!D25</f>
        <v>0</v>
      </c>
      <c r="I26" s="160">
        <f>資金繰り実績表!D23</f>
        <v>0</v>
      </c>
      <c r="J26" s="160">
        <f t="shared" si="2"/>
        <v>0</v>
      </c>
      <c r="K26" s="190">
        <f>資金繰り予定表!E25</f>
        <v>0</v>
      </c>
      <c r="L26" s="160">
        <f>資金繰り実績表!E23</f>
        <v>0</v>
      </c>
      <c r="M26" s="191">
        <f t="shared" si="3"/>
        <v>0</v>
      </c>
      <c r="N26" s="160">
        <f>資金繰り予定表!F25</f>
        <v>0</v>
      </c>
      <c r="O26" s="160">
        <f>資金繰り実績表!F23</f>
        <v>0</v>
      </c>
      <c r="P26" s="160">
        <f t="shared" si="4"/>
        <v>0</v>
      </c>
      <c r="Q26" s="190">
        <f>資金繰り予定表!G25</f>
        <v>0</v>
      </c>
      <c r="R26" s="160">
        <f>資金繰り実績表!G23</f>
        <v>0</v>
      </c>
      <c r="S26" s="191">
        <f t="shared" si="5"/>
        <v>0</v>
      </c>
      <c r="T26" s="160">
        <f>資金繰り予定表!H25</f>
        <v>0</v>
      </c>
      <c r="U26" s="160">
        <f>資金繰り実績表!H23</f>
        <v>0</v>
      </c>
      <c r="V26" s="160">
        <f t="shared" si="6"/>
        <v>0</v>
      </c>
      <c r="W26" s="190">
        <f>資金繰り予定表!I25</f>
        <v>0</v>
      </c>
      <c r="X26" s="160">
        <f>資金繰り実績表!I23</f>
        <v>0</v>
      </c>
      <c r="Y26" s="191">
        <f t="shared" si="7"/>
        <v>0</v>
      </c>
      <c r="Z26" s="160">
        <f>資金繰り予定表!J25</f>
        <v>0</v>
      </c>
      <c r="AA26" s="160">
        <f>資金繰り実績表!J23</f>
        <v>0</v>
      </c>
      <c r="AB26" s="160">
        <f t="shared" si="8"/>
        <v>0</v>
      </c>
      <c r="AC26" s="190">
        <f>資金繰り予定表!K25</f>
        <v>0</v>
      </c>
      <c r="AD26" s="160">
        <f>資金繰り実績表!K23</f>
        <v>0</v>
      </c>
      <c r="AE26" s="191">
        <f t="shared" si="9"/>
        <v>0</v>
      </c>
      <c r="AF26" s="160">
        <f>資金繰り予定表!L25</f>
        <v>0</v>
      </c>
      <c r="AG26" s="160">
        <f>資金繰り実績表!L23</f>
        <v>0</v>
      </c>
      <c r="AH26" s="160">
        <f t="shared" si="10"/>
        <v>0</v>
      </c>
      <c r="AI26" s="190">
        <f>資金繰り予定表!M25</f>
        <v>0</v>
      </c>
      <c r="AJ26" s="160">
        <f>資金繰り実績表!M23</f>
        <v>0</v>
      </c>
      <c r="AK26" s="160">
        <f t="shared" si="11"/>
        <v>0</v>
      </c>
    </row>
    <row r="27" spans="1:37" ht="15.75" customHeight="1">
      <c r="A27" s="184" t="s">
        <v>50</v>
      </c>
      <c r="B27" s="165">
        <f>資金繰り予定表!B26</f>
        <v>58795610</v>
      </c>
      <c r="C27" s="165">
        <f>SUM(C7:C26)</f>
        <v>59013480</v>
      </c>
      <c r="D27" s="165">
        <f t="shared" si="0"/>
        <v>217870</v>
      </c>
      <c r="E27" s="192">
        <f>資金繰り予定表!C26</f>
        <v>33981537</v>
      </c>
      <c r="F27" s="165">
        <f>SUM(F7:F26)</f>
        <v>34218636</v>
      </c>
      <c r="G27" s="193">
        <f t="shared" si="1"/>
        <v>237099</v>
      </c>
      <c r="H27" s="165">
        <f>資金繰り予定表!D26</f>
        <v>29049331</v>
      </c>
      <c r="I27" s="165">
        <f>SUM(I7:I26)</f>
        <v>29275286</v>
      </c>
      <c r="J27" s="165">
        <f t="shared" si="2"/>
        <v>225955</v>
      </c>
      <c r="K27" s="192">
        <f>資金繰り予定表!E26</f>
        <v>34584677</v>
      </c>
      <c r="L27" s="165">
        <f>SUM(L7:L26)</f>
        <v>34847080</v>
      </c>
      <c r="M27" s="193">
        <f t="shared" si="3"/>
        <v>262403</v>
      </c>
      <c r="N27" s="165">
        <f>資金繰り予定表!F26</f>
        <v>34029338</v>
      </c>
      <c r="O27" s="165">
        <f>SUM(O7:O26)</f>
        <v>34264371</v>
      </c>
      <c r="P27" s="165">
        <f t="shared" si="4"/>
        <v>235033</v>
      </c>
      <c r="Q27" s="192">
        <f>資金繰り予定表!G26</f>
        <v>42062994</v>
      </c>
      <c r="R27" s="165">
        <f>SUM(R7:R26)</f>
        <v>42286223</v>
      </c>
      <c r="S27" s="193">
        <f t="shared" si="5"/>
        <v>223229</v>
      </c>
      <c r="T27" s="165">
        <f>資金繰り予定表!H26</f>
        <v>40764385</v>
      </c>
      <c r="U27" s="165">
        <f>SUM(U7:U26)</f>
        <v>41084750</v>
      </c>
      <c r="V27" s="165">
        <f t="shared" si="6"/>
        <v>320365</v>
      </c>
      <c r="W27" s="192">
        <f>資金繰り予定表!I26</f>
        <v>36009981</v>
      </c>
      <c r="X27" s="165">
        <f>SUM(X7:X26)</f>
        <v>36370470</v>
      </c>
      <c r="Y27" s="193">
        <f t="shared" si="7"/>
        <v>360489</v>
      </c>
      <c r="Z27" s="165">
        <f>資金繰り予定表!J26</f>
        <v>28248118</v>
      </c>
      <c r="AA27" s="165">
        <f>SUM(AA7:AA26)</f>
        <v>28461733</v>
      </c>
      <c r="AB27" s="165">
        <f t="shared" si="8"/>
        <v>213615</v>
      </c>
      <c r="AC27" s="192">
        <f>資金繰り予定表!K26</f>
        <v>0</v>
      </c>
      <c r="AD27" s="165">
        <f>SUM(AD7:AD26)</f>
        <v>0</v>
      </c>
      <c r="AE27" s="193">
        <f t="shared" si="9"/>
        <v>0</v>
      </c>
      <c r="AF27" s="165">
        <f>資金繰り予定表!L26</f>
        <v>0</v>
      </c>
      <c r="AG27" s="165">
        <f>SUM(AG7:AG26)</f>
        <v>0</v>
      </c>
      <c r="AH27" s="165">
        <f t="shared" si="10"/>
        <v>0</v>
      </c>
      <c r="AI27" s="192">
        <f>資金繰り予定表!M26</f>
        <v>0</v>
      </c>
      <c r="AJ27" s="165">
        <f>SUM(AJ7:AJ26)</f>
        <v>0</v>
      </c>
      <c r="AK27" s="165">
        <f t="shared" si="11"/>
        <v>0</v>
      </c>
    </row>
    <row r="28" spans="1:37" ht="15.75" customHeight="1">
      <c r="A28" s="184" t="s">
        <v>51</v>
      </c>
      <c r="B28" s="165">
        <f>資金繰り予定表!B27</f>
        <v>-4229072</v>
      </c>
      <c r="C28" s="165">
        <f>C6-C27</f>
        <v>-4446942</v>
      </c>
      <c r="D28" s="165">
        <f t="shared" si="0"/>
        <v>-217870</v>
      </c>
      <c r="E28" s="192">
        <f>資金繰り予定表!C27</f>
        <v>3139892</v>
      </c>
      <c r="F28" s="165">
        <f>F6-F27</f>
        <v>2902793</v>
      </c>
      <c r="G28" s="193">
        <f t="shared" si="1"/>
        <v>-237099</v>
      </c>
      <c r="H28" s="165">
        <f>資金繰り予定表!D27</f>
        <v>-1044182</v>
      </c>
      <c r="I28" s="165">
        <f>I6-I27</f>
        <v>-1270137</v>
      </c>
      <c r="J28" s="165">
        <f t="shared" si="2"/>
        <v>-225955</v>
      </c>
      <c r="K28" s="192">
        <f>資金繰り予定表!E27</f>
        <v>6396880</v>
      </c>
      <c r="L28" s="165">
        <f>L6-L27</f>
        <v>6134477</v>
      </c>
      <c r="M28" s="193">
        <f t="shared" si="3"/>
        <v>-262403</v>
      </c>
      <c r="N28" s="165">
        <f>資金繰り予定表!F27</f>
        <v>-1255433</v>
      </c>
      <c r="O28" s="165">
        <f>O6-O27</f>
        <v>-1490466</v>
      </c>
      <c r="P28" s="165">
        <f t="shared" si="4"/>
        <v>-235033</v>
      </c>
      <c r="Q28" s="192">
        <f>資金繰り予定表!G27</f>
        <v>-14324633</v>
      </c>
      <c r="R28" s="165">
        <f>R6-R27</f>
        <v>-14547862</v>
      </c>
      <c r="S28" s="193">
        <f t="shared" si="5"/>
        <v>-223229</v>
      </c>
      <c r="T28" s="165">
        <f>資金繰り予定表!H27</f>
        <v>14076701</v>
      </c>
      <c r="U28" s="165">
        <f>U6-U27</f>
        <v>13756336</v>
      </c>
      <c r="V28" s="165">
        <f t="shared" si="6"/>
        <v>-320365</v>
      </c>
      <c r="W28" s="192">
        <f>資金繰り予定表!I27</f>
        <v>15457268</v>
      </c>
      <c r="X28" s="165">
        <f>X6-X27</f>
        <v>15096779</v>
      </c>
      <c r="Y28" s="193">
        <f t="shared" si="7"/>
        <v>-360489</v>
      </c>
      <c r="Z28" s="165">
        <f>資金繰り予定表!J27</f>
        <v>-9129487</v>
      </c>
      <c r="AA28" s="165">
        <f>AA6-AA27</f>
        <v>-9343102</v>
      </c>
      <c r="AB28" s="165">
        <f t="shared" si="8"/>
        <v>-213615</v>
      </c>
      <c r="AC28" s="192">
        <f>資金繰り予定表!K27</f>
        <v>0</v>
      </c>
      <c r="AD28" s="165">
        <f>AD6-AD27</f>
        <v>0</v>
      </c>
      <c r="AE28" s="193">
        <f t="shared" si="9"/>
        <v>0</v>
      </c>
      <c r="AF28" s="165">
        <f>資金繰り予定表!L27</f>
        <v>0</v>
      </c>
      <c r="AG28" s="165">
        <f>AG6-AG27</f>
        <v>0</v>
      </c>
      <c r="AH28" s="165">
        <f t="shared" si="10"/>
        <v>0</v>
      </c>
      <c r="AI28" s="192">
        <f>資金繰り予定表!M27</f>
        <v>0</v>
      </c>
      <c r="AJ28" s="165">
        <f>AJ6-AJ27</f>
        <v>0</v>
      </c>
      <c r="AK28" s="165">
        <f t="shared" si="11"/>
        <v>0</v>
      </c>
    </row>
    <row r="29" spans="1:37" ht="15.75" customHeight="1">
      <c r="A29" s="299" t="str">
        <f>'資金繰り実績予定表（詳細）'!A28</f>
        <v>定期預金解約</v>
      </c>
      <c r="B29" s="160">
        <f>資金繰り予定表!B28</f>
        <v>0</v>
      </c>
      <c r="C29" s="160">
        <f>資金繰り実績表!B24</f>
        <v>0</v>
      </c>
      <c r="D29" s="160">
        <f t="shared" si="0"/>
        <v>0</v>
      </c>
      <c r="E29" s="190">
        <f>資金繰り予定表!C28</f>
        <v>0</v>
      </c>
      <c r="F29" s="160">
        <f>資金繰り実績表!C24</f>
        <v>0</v>
      </c>
      <c r="G29" s="191">
        <f t="shared" si="1"/>
        <v>0</v>
      </c>
      <c r="H29" s="160">
        <f>資金繰り予定表!D28</f>
        <v>0</v>
      </c>
      <c r="I29" s="160">
        <f>資金繰り実績表!D24</f>
        <v>0</v>
      </c>
      <c r="J29" s="160">
        <f t="shared" si="2"/>
        <v>0</v>
      </c>
      <c r="K29" s="190">
        <f>資金繰り予定表!E28</f>
        <v>0</v>
      </c>
      <c r="L29" s="160">
        <f>資金繰り実績表!E25</f>
        <v>0</v>
      </c>
      <c r="M29" s="191">
        <f t="shared" si="3"/>
        <v>0</v>
      </c>
      <c r="N29" s="160">
        <f>資金繰り予定表!F28</f>
        <v>0</v>
      </c>
      <c r="O29" s="160">
        <f>資金繰り実績表!F25</f>
        <v>0</v>
      </c>
      <c r="P29" s="160">
        <f t="shared" si="4"/>
        <v>0</v>
      </c>
      <c r="Q29" s="190">
        <f>資金繰り予定表!G28</f>
        <v>0</v>
      </c>
      <c r="R29" s="160">
        <f>資金繰り実績表!G25</f>
        <v>0</v>
      </c>
      <c r="S29" s="191">
        <f t="shared" si="5"/>
        <v>0</v>
      </c>
      <c r="T29" s="160">
        <f>資金繰り予定表!H28</f>
        <v>0</v>
      </c>
      <c r="U29" s="160">
        <f>資金繰り実績表!H25</f>
        <v>0</v>
      </c>
      <c r="V29" s="160">
        <f t="shared" si="6"/>
        <v>0</v>
      </c>
      <c r="W29" s="190">
        <f>資金繰り予定表!I28</f>
        <v>0</v>
      </c>
      <c r="X29" s="160">
        <f>資金繰り実績表!I25</f>
        <v>0</v>
      </c>
      <c r="Y29" s="191">
        <f t="shared" si="7"/>
        <v>0</v>
      </c>
      <c r="Z29" s="160">
        <f>資金繰り予定表!J28</f>
        <v>0</v>
      </c>
      <c r="AA29" s="160">
        <f>資金繰り実績表!J25</f>
        <v>0</v>
      </c>
      <c r="AB29" s="160">
        <f t="shared" si="8"/>
        <v>0</v>
      </c>
      <c r="AC29" s="190">
        <f>資金繰り予定表!K28</f>
        <v>0</v>
      </c>
      <c r="AD29" s="160">
        <f>資金繰り実績表!K25</f>
        <v>0</v>
      </c>
      <c r="AE29" s="191">
        <f t="shared" si="9"/>
        <v>0</v>
      </c>
      <c r="AF29" s="160">
        <f>資金繰り予定表!L28</f>
        <v>0</v>
      </c>
      <c r="AG29" s="160">
        <f>資金繰り実績表!L25</f>
        <v>0</v>
      </c>
      <c r="AH29" s="160">
        <f t="shared" si="10"/>
        <v>0</v>
      </c>
      <c r="AI29" s="190">
        <f>資金繰り予定表!M28</f>
        <v>0</v>
      </c>
      <c r="AJ29" s="160">
        <f>資金繰り実績表!M25</f>
        <v>0</v>
      </c>
      <c r="AK29" s="160">
        <f t="shared" si="11"/>
        <v>0</v>
      </c>
    </row>
    <row r="30" spans="1:37" ht="15.75" customHeight="1">
      <c r="A30" s="299" t="str">
        <f>'資金繰り実績予定表（詳細）'!A29</f>
        <v>固定資産売却</v>
      </c>
      <c r="B30" s="160">
        <f>資金繰り予定表!B29</f>
        <v>0</v>
      </c>
      <c r="C30" s="160">
        <f>資金繰り実績表!B25</f>
        <v>0</v>
      </c>
      <c r="D30" s="160">
        <f t="shared" si="0"/>
        <v>0</v>
      </c>
      <c r="E30" s="190">
        <f>資金繰り予定表!C29</f>
        <v>0</v>
      </c>
      <c r="F30" s="160">
        <f>資金繰り実績表!C25</f>
        <v>0</v>
      </c>
      <c r="G30" s="191">
        <f t="shared" si="1"/>
        <v>0</v>
      </c>
      <c r="H30" s="160">
        <f>資金繰り予定表!D29</f>
        <v>0</v>
      </c>
      <c r="I30" s="160">
        <f>資金繰り実績表!D25</f>
        <v>0</v>
      </c>
      <c r="J30" s="160">
        <f t="shared" si="2"/>
        <v>0</v>
      </c>
      <c r="K30" s="190">
        <f>資金繰り予定表!E29</f>
        <v>0</v>
      </c>
      <c r="L30" s="160">
        <f>資金繰り実績表!E26</f>
        <v>0</v>
      </c>
      <c r="M30" s="191">
        <f>L29-K30</f>
        <v>0</v>
      </c>
      <c r="N30" s="160">
        <f>資金繰り予定表!F29</f>
        <v>0</v>
      </c>
      <c r="O30" s="160">
        <f>資金繰り実績表!F26</f>
        <v>0</v>
      </c>
      <c r="P30" s="160">
        <f>O29-N30</f>
        <v>0</v>
      </c>
      <c r="Q30" s="190">
        <f>資金繰り予定表!G29</f>
        <v>0</v>
      </c>
      <c r="R30" s="160">
        <f>資金繰り実績表!G26</f>
        <v>0</v>
      </c>
      <c r="S30" s="191">
        <f>R29-Q30</f>
        <v>0</v>
      </c>
      <c r="T30" s="160">
        <f>資金繰り予定表!H29</f>
        <v>0</v>
      </c>
      <c r="U30" s="160">
        <f>資金繰り実績表!H26</f>
        <v>0</v>
      </c>
      <c r="V30" s="160">
        <f>U29-T30</f>
        <v>0</v>
      </c>
      <c r="W30" s="190">
        <f>資金繰り予定表!I29</f>
        <v>0</v>
      </c>
      <c r="X30" s="160">
        <f>資金繰り実績表!I26</f>
        <v>0</v>
      </c>
      <c r="Y30" s="191">
        <f>X29-W30</f>
        <v>0</v>
      </c>
      <c r="Z30" s="160">
        <f>資金繰り予定表!J29</f>
        <v>0</v>
      </c>
      <c r="AA30" s="160">
        <f>資金繰り実績表!J26</f>
        <v>0</v>
      </c>
      <c r="AB30" s="160">
        <f>AA29-Z30</f>
        <v>0</v>
      </c>
      <c r="AC30" s="190">
        <f>資金繰り予定表!K29</f>
        <v>0</v>
      </c>
      <c r="AD30" s="160">
        <f>資金繰り実績表!K26</f>
        <v>0</v>
      </c>
      <c r="AE30" s="191">
        <f>AD29-AC30</f>
        <v>0</v>
      </c>
      <c r="AF30" s="160">
        <f>資金繰り予定表!L29</f>
        <v>0</v>
      </c>
      <c r="AG30" s="160">
        <f>資金繰り実績表!L26</f>
        <v>0</v>
      </c>
      <c r="AH30" s="160">
        <f>AG29-AF30</f>
        <v>0</v>
      </c>
      <c r="AI30" s="190">
        <f>資金繰り予定表!M29</f>
        <v>0</v>
      </c>
      <c r="AJ30" s="160">
        <f>資金繰り実績表!M26</f>
        <v>0</v>
      </c>
      <c r="AK30" s="160">
        <f>AJ29-AI30</f>
        <v>0</v>
      </c>
    </row>
    <row r="31" spans="1:37" ht="15.75" customHeight="1">
      <c r="A31" s="299" t="str">
        <f>'資金繰り実績予定表（詳細）'!A30</f>
        <v>補助金・助成金等</v>
      </c>
      <c r="B31" s="160">
        <f>資金繰り予定表!B30</f>
        <v>0</v>
      </c>
      <c r="C31" s="160">
        <f>資金繰り実績表!B26</f>
        <v>0</v>
      </c>
      <c r="D31" s="160">
        <f t="shared" si="0"/>
        <v>0</v>
      </c>
      <c r="E31" s="190">
        <f>資金繰り予定表!C30</f>
        <v>0</v>
      </c>
      <c r="F31" s="160">
        <f>資金繰り実績表!C26</f>
        <v>0</v>
      </c>
      <c r="G31" s="191">
        <f t="shared" si="1"/>
        <v>0</v>
      </c>
      <c r="H31" s="160">
        <f>資金繰り予定表!D30</f>
        <v>0</v>
      </c>
      <c r="I31" s="160">
        <f>資金繰り実績表!D26</f>
        <v>0</v>
      </c>
      <c r="J31" s="160">
        <f t="shared" si="2"/>
        <v>0</v>
      </c>
      <c r="K31" s="190">
        <f>資金繰り予定表!E30</f>
        <v>0</v>
      </c>
      <c r="L31" s="160">
        <f>資金繰り実績表!E27</f>
        <v>600000</v>
      </c>
      <c r="M31" s="191">
        <f t="shared" ref="M31:M54" si="12">L31-K31</f>
        <v>600000</v>
      </c>
      <c r="N31" s="160">
        <f>資金繰り予定表!F30</f>
        <v>0</v>
      </c>
      <c r="O31" s="160">
        <f>資金繰り実績表!F27</f>
        <v>152000</v>
      </c>
      <c r="P31" s="160">
        <f t="shared" ref="P31:P54" si="13">O31-N31</f>
        <v>152000</v>
      </c>
      <c r="Q31" s="190">
        <f>資金繰り予定表!G30</f>
        <v>0</v>
      </c>
      <c r="R31" s="160">
        <f>資金繰り実績表!G27</f>
        <v>0</v>
      </c>
      <c r="S31" s="191">
        <f t="shared" ref="S31:S54" si="14">R31-Q31</f>
        <v>0</v>
      </c>
      <c r="T31" s="160">
        <f>資金繰り予定表!H30</f>
        <v>0</v>
      </c>
      <c r="U31" s="160">
        <f>資金繰り実績表!H27</f>
        <v>0</v>
      </c>
      <c r="V31" s="160">
        <f t="shared" ref="V31:V54" si="15">U31-T31</f>
        <v>0</v>
      </c>
      <c r="W31" s="190">
        <f>資金繰り予定表!I30</f>
        <v>0</v>
      </c>
      <c r="X31" s="160">
        <f>資金繰り実績表!I27</f>
        <v>0</v>
      </c>
      <c r="Y31" s="191">
        <f t="shared" ref="Y31:Y54" si="16">X31-W31</f>
        <v>0</v>
      </c>
      <c r="Z31" s="160">
        <f>資金繰り予定表!J30</f>
        <v>0</v>
      </c>
      <c r="AA31" s="160">
        <f>資金繰り実績表!J27</f>
        <v>0</v>
      </c>
      <c r="AB31" s="160">
        <f t="shared" ref="AB31:AB54" si="17">AA31-Z31</f>
        <v>0</v>
      </c>
      <c r="AC31" s="190">
        <f>資金繰り予定表!K30</f>
        <v>0</v>
      </c>
      <c r="AD31" s="160">
        <f>資金繰り実績表!K27</f>
        <v>0</v>
      </c>
      <c r="AE31" s="191">
        <f t="shared" ref="AE31:AE54" si="18">AD31-AC31</f>
        <v>0</v>
      </c>
      <c r="AF31" s="160">
        <f>資金繰り予定表!L30</f>
        <v>0</v>
      </c>
      <c r="AG31" s="160">
        <f>資金繰り実績表!L27</f>
        <v>0</v>
      </c>
      <c r="AH31" s="160">
        <f t="shared" ref="AH31:AH54" si="19">AG31-AF31</f>
        <v>0</v>
      </c>
      <c r="AI31" s="190">
        <f>資金繰り予定表!M30</f>
        <v>0</v>
      </c>
      <c r="AJ31" s="160">
        <f>資金繰り実績表!M27</f>
        <v>0</v>
      </c>
      <c r="AK31" s="160">
        <f t="shared" ref="AK31:AK54" si="20">AJ31-AI31</f>
        <v>0</v>
      </c>
    </row>
    <row r="32" spans="1:37" ht="15.75" customHeight="1">
      <c r="A32" s="299" t="str">
        <f>'資金繰り実績予定表（詳細）'!A31</f>
        <v>その他経常外収入</v>
      </c>
      <c r="B32" s="160">
        <f>資金繰り予定表!B31</f>
        <v>0</v>
      </c>
      <c r="C32" s="160">
        <f>資金繰り実績表!B27</f>
        <v>0</v>
      </c>
      <c r="D32" s="160">
        <f t="shared" si="0"/>
        <v>0</v>
      </c>
      <c r="E32" s="190">
        <f>資金繰り予定表!C31</f>
        <v>0</v>
      </c>
      <c r="F32" s="160">
        <f>資金繰り実績表!C27</f>
        <v>0</v>
      </c>
      <c r="G32" s="191">
        <f t="shared" si="1"/>
        <v>0</v>
      </c>
      <c r="H32" s="160">
        <f>資金繰り予定表!D31</f>
        <v>72000</v>
      </c>
      <c r="I32" s="160">
        <f>資金繰り実績表!D27</f>
        <v>72000</v>
      </c>
      <c r="J32" s="160">
        <f t="shared" si="2"/>
        <v>0</v>
      </c>
      <c r="K32" s="190">
        <f>資金繰り予定表!E31</f>
        <v>600000</v>
      </c>
      <c r="L32" s="160">
        <f>資金繰り実績表!E28</f>
        <v>0</v>
      </c>
      <c r="M32" s="191">
        <f t="shared" si="12"/>
        <v>-600000</v>
      </c>
      <c r="N32" s="160">
        <f>資金繰り予定表!F31</f>
        <v>152000</v>
      </c>
      <c r="O32" s="160">
        <f>資金繰り実績表!F28</f>
        <v>0</v>
      </c>
      <c r="P32" s="160">
        <f t="shared" si="13"/>
        <v>-152000</v>
      </c>
      <c r="Q32" s="190">
        <f>資金繰り予定表!G31</f>
        <v>0</v>
      </c>
      <c r="R32" s="160">
        <f>資金繰り実績表!G28</f>
        <v>0</v>
      </c>
      <c r="S32" s="191">
        <f t="shared" si="14"/>
        <v>0</v>
      </c>
      <c r="T32" s="160">
        <f>資金繰り予定表!H31</f>
        <v>0</v>
      </c>
      <c r="U32" s="160">
        <f>資金繰り実績表!H28</f>
        <v>0</v>
      </c>
      <c r="V32" s="160">
        <f t="shared" si="15"/>
        <v>0</v>
      </c>
      <c r="W32" s="190">
        <f>資金繰り予定表!I31</f>
        <v>0</v>
      </c>
      <c r="X32" s="160">
        <f>資金繰り実績表!I28</f>
        <v>0</v>
      </c>
      <c r="Y32" s="191">
        <f t="shared" si="16"/>
        <v>0</v>
      </c>
      <c r="Z32" s="160">
        <f>資金繰り予定表!J31</f>
        <v>0</v>
      </c>
      <c r="AA32" s="160">
        <f>資金繰り実績表!J28</f>
        <v>0</v>
      </c>
      <c r="AB32" s="160">
        <f t="shared" si="17"/>
        <v>0</v>
      </c>
      <c r="AC32" s="190">
        <f>資金繰り予定表!K31</f>
        <v>0</v>
      </c>
      <c r="AD32" s="160">
        <f>資金繰り実績表!K28</f>
        <v>0</v>
      </c>
      <c r="AE32" s="191">
        <f t="shared" si="18"/>
        <v>0</v>
      </c>
      <c r="AF32" s="160">
        <f>資金繰り予定表!L31</f>
        <v>0</v>
      </c>
      <c r="AG32" s="160">
        <f>資金繰り実績表!L28</f>
        <v>0</v>
      </c>
      <c r="AH32" s="160">
        <f t="shared" si="19"/>
        <v>0</v>
      </c>
      <c r="AI32" s="190">
        <f>資金繰り予定表!M31</f>
        <v>0</v>
      </c>
      <c r="AJ32" s="160">
        <f>資金繰り実績表!M28</f>
        <v>0</v>
      </c>
      <c r="AK32" s="160">
        <f t="shared" si="20"/>
        <v>0</v>
      </c>
    </row>
    <row r="33" spans="1:37" ht="15.75" customHeight="1">
      <c r="A33" s="184" t="s">
        <v>52</v>
      </c>
      <c r="B33" s="165">
        <f>資金繰り予定表!B32</f>
        <v>0</v>
      </c>
      <c r="C33" s="165">
        <f>SUM(C29:C32)</f>
        <v>0</v>
      </c>
      <c r="D33" s="165">
        <f t="shared" si="0"/>
        <v>0</v>
      </c>
      <c r="E33" s="192">
        <f>資金繰り予定表!C32</f>
        <v>0</v>
      </c>
      <c r="F33" s="165">
        <f>SUM(F29:F32)</f>
        <v>0</v>
      </c>
      <c r="G33" s="193">
        <f t="shared" si="1"/>
        <v>0</v>
      </c>
      <c r="H33" s="165">
        <f>資金繰り予定表!D32</f>
        <v>72000</v>
      </c>
      <c r="I33" s="165">
        <f>SUM(I29:I32)</f>
        <v>72000</v>
      </c>
      <c r="J33" s="165">
        <f t="shared" si="2"/>
        <v>0</v>
      </c>
      <c r="K33" s="192">
        <f>資金繰り予定表!E32</f>
        <v>600000</v>
      </c>
      <c r="L33" s="165">
        <f>SUM(L29:L32)</f>
        <v>600000</v>
      </c>
      <c r="M33" s="193">
        <f t="shared" si="12"/>
        <v>0</v>
      </c>
      <c r="N33" s="165">
        <f>資金繰り予定表!F32</f>
        <v>152000</v>
      </c>
      <c r="O33" s="165">
        <f>SUM(O29:O32)</f>
        <v>152000</v>
      </c>
      <c r="P33" s="165">
        <f t="shared" si="13"/>
        <v>0</v>
      </c>
      <c r="Q33" s="192">
        <f>資金繰り予定表!G32</f>
        <v>0</v>
      </c>
      <c r="R33" s="165">
        <f>SUM(R29:R32)</f>
        <v>0</v>
      </c>
      <c r="S33" s="193">
        <f t="shared" si="14"/>
        <v>0</v>
      </c>
      <c r="T33" s="165">
        <f>資金繰り予定表!H32</f>
        <v>0</v>
      </c>
      <c r="U33" s="165">
        <f>SUM(U29:U32)</f>
        <v>0</v>
      </c>
      <c r="V33" s="165">
        <f t="shared" si="15"/>
        <v>0</v>
      </c>
      <c r="W33" s="192">
        <f>資金繰り予定表!I32</f>
        <v>0</v>
      </c>
      <c r="X33" s="165">
        <f>SUM(X29:X32)</f>
        <v>0</v>
      </c>
      <c r="Y33" s="193">
        <f t="shared" si="16"/>
        <v>0</v>
      </c>
      <c r="Z33" s="165">
        <f>資金繰り予定表!J32</f>
        <v>0</v>
      </c>
      <c r="AA33" s="165">
        <f>SUM(AA29:AA32)</f>
        <v>0</v>
      </c>
      <c r="AB33" s="165">
        <f t="shared" si="17"/>
        <v>0</v>
      </c>
      <c r="AC33" s="192">
        <f>資金繰り予定表!K32</f>
        <v>0</v>
      </c>
      <c r="AD33" s="165">
        <f>SUM(AD29:AD32)</f>
        <v>0</v>
      </c>
      <c r="AE33" s="193">
        <f t="shared" si="18"/>
        <v>0</v>
      </c>
      <c r="AF33" s="165">
        <f>資金繰り予定表!L32</f>
        <v>0</v>
      </c>
      <c r="AG33" s="165">
        <f>SUM(AG29:AG32)</f>
        <v>0</v>
      </c>
      <c r="AH33" s="165">
        <f t="shared" si="19"/>
        <v>0</v>
      </c>
      <c r="AI33" s="192">
        <f>資金繰り予定表!M32</f>
        <v>0</v>
      </c>
      <c r="AJ33" s="165">
        <f>SUM(AJ29:AJ32)</f>
        <v>0</v>
      </c>
      <c r="AK33" s="165">
        <f t="shared" si="20"/>
        <v>0</v>
      </c>
    </row>
    <row r="34" spans="1:37" ht="15.75" customHeight="1">
      <c r="A34" s="299" t="str">
        <f>'資金繰り実績予定表（詳細）'!A33</f>
        <v>定期預金・投資等</v>
      </c>
      <c r="B34" s="160">
        <f>資金繰り予定表!B33</f>
        <v>0</v>
      </c>
      <c r="C34" s="160">
        <f>資金繰り実績表!B28</f>
        <v>0</v>
      </c>
      <c r="D34" s="160">
        <f t="shared" si="0"/>
        <v>0</v>
      </c>
      <c r="E34" s="190">
        <f>資金繰り予定表!C33</f>
        <v>0</v>
      </c>
      <c r="F34" s="160">
        <f>資金繰り実績表!C28</f>
        <v>0</v>
      </c>
      <c r="G34" s="191">
        <f t="shared" si="1"/>
        <v>0</v>
      </c>
      <c r="H34" s="160">
        <f>資金繰り予定表!D33</f>
        <v>0</v>
      </c>
      <c r="I34" s="160">
        <f>資金繰り実績表!D28</f>
        <v>0</v>
      </c>
      <c r="J34" s="160">
        <f t="shared" si="2"/>
        <v>0</v>
      </c>
      <c r="K34" s="190">
        <f>資金繰り予定表!E33</f>
        <v>0</v>
      </c>
      <c r="L34" s="160">
        <f>資金繰り実績表!E28</f>
        <v>0</v>
      </c>
      <c r="M34" s="191">
        <f t="shared" si="12"/>
        <v>0</v>
      </c>
      <c r="N34" s="160">
        <f>資金繰り予定表!F33</f>
        <v>0</v>
      </c>
      <c r="O34" s="160">
        <f>資金繰り実績表!F28</f>
        <v>0</v>
      </c>
      <c r="P34" s="160">
        <f t="shared" si="13"/>
        <v>0</v>
      </c>
      <c r="Q34" s="190">
        <f>資金繰り予定表!G33</f>
        <v>0</v>
      </c>
      <c r="R34" s="160">
        <f>資金繰り実績表!G28</f>
        <v>0</v>
      </c>
      <c r="S34" s="191">
        <f t="shared" si="14"/>
        <v>0</v>
      </c>
      <c r="T34" s="160">
        <f>資金繰り予定表!H33</f>
        <v>0</v>
      </c>
      <c r="U34" s="160">
        <f>資金繰り実績表!H28</f>
        <v>0</v>
      </c>
      <c r="V34" s="160">
        <f t="shared" si="15"/>
        <v>0</v>
      </c>
      <c r="W34" s="190">
        <f>資金繰り予定表!I33</f>
        <v>0</v>
      </c>
      <c r="X34" s="160">
        <f>資金繰り実績表!I28</f>
        <v>0</v>
      </c>
      <c r="Y34" s="191">
        <f t="shared" si="16"/>
        <v>0</v>
      </c>
      <c r="Z34" s="160">
        <f>資金繰り予定表!J33</f>
        <v>0</v>
      </c>
      <c r="AA34" s="160">
        <f>資金繰り実績表!J28</f>
        <v>0</v>
      </c>
      <c r="AB34" s="160">
        <f t="shared" si="17"/>
        <v>0</v>
      </c>
      <c r="AC34" s="190">
        <f>資金繰り予定表!K33</f>
        <v>0</v>
      </c>
      <c r="AD34" s="160">
        <f>資金繰り実績表!K28</f>
        <v>0</v>
      </c>
      <c r="AE34" s="191">
        <f t="shared" si="18"/>
        <v>0</v>
      </c>
      <c r="AF34" s="160">
        <f>資金繰り予定表!L33</f>
        <v>0</v>
      </c>
      <c r="AG34" s="160">
        <f>資金繰り実績表!L28</f>
        <v>0</v>
      </c>
      <c r="AH34" s="160">
        <f t="shared" si="19"/>
        <v>0</v>
      </c>
      <c r="AI34" s="190">
        <f>資金繰り予定表!M33</f>
        <v>0</v>
      </c>
      <c r="AJ34" s="160">
        <f>資金繰り実績表!M28</f>
        <v>0</v>
      </c>
      <c r="AK34" s="160">
        <f t="shared" si="20"/>
        <v>0</v>
      </c>
    </row>
    <row r="35" spans="1:37" ht="15.75" customHeight="1">
      <c r="A35" s="299" t="str">
        <f>'資金繰り実績予定表（詳細）'!A34</f>
        <v>固定資産の取得</v>
      </c>
      <c r="B35" s="160">
        <f>資金繰り予定表!B34</f>
        <v>0</v>
      </c>
      <c r="C35" s="160">
        <f>資金繰り実績表!B29</f>
        <v>0</v>
      </c>
      <c r="D35" s="160">
        <f t="shared" si="0"/>
        <v>0</v>
      </c>
      <c r="E35" s="190">
        <f>資金繰り予定表!C34</f>
        <v>0</v>
      </c>
      <c r="F35" s="160">
        <f>資金繰り実績表!C29</f>
        <v>0</v>
      </c>
      <c r="G35" s="191">
        <f t="shared" si="1"/>
        <v>0</v>
      </c>
      <c r="H35" s="160">
        <f>資金繰り予定表!D34</f>
        <v>0</v>
      </c>
      <c r="I35" s="160">
        <f>資金繰り実績表!D29</f>
        <v>0</v>
      </c>
      <c r="J35" s="160">
        <f t="shared" si="2"/>
        <v>0</v>
      </c>
      <c r="K35" s="190">
        <f>資金繰り予定表!E34</f>
        <v>0</v>
      </c>
      <c r="L35" s="160">
        <f>資金繰り実績表!E29</f>
        <v>0</v>
      </c>
      <c r="M35" s="191">
        <f t="shared" si="12"/>
        <v>0</v>
      </c>
      <c r="N35" s="160">
        <f>資金繰り予定表!F34</f>
        <v>0</v>
      </c>
      <c r="O35" s="160">
        <f>資金繰り実績表!F29</f>
        <v>0</v>
      </c>
      <c r="P35" s="160">
        <f t="shared" si="13"/>
        <v>0</v>
      </c>
      <c r="Q35" s="190">
        <f>資金繰り予定表!G34</f>
        <v>0</v>
      </c>
      <c r="R35" s="160">
        <f>資金繰り実績表!G29</f>
        <v>0</v>
      </c>
      <c r="S35" s="191">
        <f t="shared" si="14"/>
        <v>0</v>
      </c>
      <c r="T35" s="160">
        <f>資金繰り予定表!H34</f>
        <v>0</v>
      </c>
      <c r="U35" s="160">
        <f>資金繰り実績表!H29</f>
        <v>0</v>
      </c>
      <c r="V35" s="160">
        <f t="shared" si="15"/>
        <v>0</v>
      </c>
      <c r="W35" s="190">
        <f>資金繰り予定表!I34</f>
        <v>0</v>
      </c>
      <c r="X35" s="160">
        <f>資金繰り実績表!I29</f>
        <v>0</v>
      </c>
      <c r="Y35" s="191">
        <f t="shared" si="16"/>
        <v>0</v>
      </c>
      <c r="Z35" s="160">
        <f>資金繰り予定表!J34</f>
        <v>0</v>
      </c>
      <c r="AA35" s="160">
        <f>資金繰り実績表!J29</f>
        <v>0</v>
      </c>
      <c r="AB35" s="160">
        <f t="shared" si="17"/>
        <v>0</v>
      </c>
      <c r="AC35" s="190">
        <f>資金繰り予定表!K34</f>
        <v>0</v>
      </c>
      <c r="AD35" s="160">
        <f>資金繰り実績表!K29</f>
        <v>0</v>
      </c>
      <c r="AE35" s="191">
        <f t="shared" si="18"/>
        <v>0</v>
      </c>
      <c r="AF35" s="160">
        <f>資金繰り予定表!L34</f>
        <v>0</v>
      </c>
      <c r="AG35" s="160">
        <f>資金繰り実績表!L29</f>
        <v>0</v>
      </c>
      <c r="AH35" s="160">
        <f t="shared" si="19"/>
        <v>0</v>
      </c>
      <c r="AI35" s="190">
        <f>資金繰り予定表!M34</f>
        <v>0</v>
      </c>
      <c r="AJ35" s="160">
        <f>資金繰り実績表!M29</f>
        <v>0</v>
      </c>
      <c r="AK35" s="160">
        <f t="shared" si="20"/>
        <v>0</v>
      </c>
    </row>
    <row r="36" spans="1:37" ht="15.75" customHeight="1">
      <c r="A36" s="299" t="str">
        <f>'資金繰り実績予定表（詳細）'!A35</f>
        <v>法人税等</v>
      </c>
      <c r="B36" s="160">
        <f>資金繰り予定表!B35</f>
        <v>0</v>
      </c>
      <c r="C36" s="160">
        <f>資金繰り実績表!B30</f>
        <v>0</v>
      </c>
      <c r="D36" s="160">
        <f t="shared" si="0"/>
        <v>0</v>
      </c>
      <c r="E36" s="190">
        <f>資金繰り予定表!C35</f>
        <v>0</v>
      </c>
      <c r="F36" s="160">
        <f>資金繰り実績表!C30</f>
        <v>0</v>
      </c>
      <c r="G36" s="191">
        <f t="shared" si="1"/>
        <v>0</v>
      </c>
      <c r="H36" s="160">
        <f>資金繰り予定表!D35</f>
        <v>0</v>
      </c>
      <c r="I36" s="160">
        <f>資金繰り実績表!D30</f>
        <v>0</v>
      </c>
      <c r="J36" s="160">
        <f t="shared" si="2"/>
        <v>0</v>
      </c>
      <c r="K36" s="190">
        <f>資金繰り予定表!E35</f>
        <v>0</v>
      </c>
      <c r="L36" s="160">
        <f>資金繰り実績表!E30</f>
        <v>0</v>
      </c>
      <c r="M36" s="191">
        <f t="shared" si="12"/>
        <v>0</v>
      </c>
      <c r="N36" s="160">
        <f>資金繰り予定表!F35</f>
        <v>0</v>
      </c>
      <c r="O36" s="160">
        <f>資金繰り実績表!F30</f>
        <v>0</v>
      </c>
      <c r="P36" s="160">
        <f t="shared" si="13"/>
        <v>0</v>
      </c>
      <c r="Q36" s="190">
        <f>資金繰り予定表!G35</f>
        <v>0</v>
      </c>
      <c r="R36" s="160">
        <f>資金繰り実績表!G30</f>
        <v>0</v>
      </c>
      <c r="S36" s="191">
        <f t="shared" si="14"/>
        <v>0</v>
      </c>
      <c r="T36" s="160">
        <f>資金繰り予定表!H35</f>
        <v>0</v>
      </c>
      <c r="U36" s="160">
        <f>資金繰り実績表!H30</f>
        <v>0</v>
      </c>
      <c r="V36" s="160">
        <f t="shared" si="15"/>
        <v>0</v>
      </c>
      <c r="W36" s="190">
        <f>資金繰り予定表!I35</f>
        <v>0</v>
      </c>
      <c r="X36" s="160">
        <f>資金繰り実績表!I30</f>
        <v>0</v>
      </c>
      <c r="Y36" s="191">
        <f t="shared" si="16"/>
        <v>0</v>
      </c>
      <c r="Z36" s="160">
        <f>資金繰り予定表!J35</f>
        <v>0</v>
      </c>
      <c r="AA36" s="160">
        <f>資金繰り実績表!J30</f>
        <v>0</v>
      </c>
      <c r="AB36" s="160">
        <f t="shared" si="17"/>
        <v>0</v>
      </c>
      <c r="AC36" s="190">
        <f>資金繰り予定表!K35</f>
        <v>0</v>
      </c>
      <c r="AD36" s="160">
        <f>資金繰り実績表!K30</f>
        <v>0</v>
      </c>
      <c r="AE36" s="191">
        <f t="shared" si="18"/>
        <v>0</v>
      </c>
      <c r="AF36" s="160">
        <f>資金繰り予定表!L35</f>
        <v>0</v>
      </c>
      <c r="AG36" s="160">
        <f>資金繰り実績表!L30</f>
        <v>0</v>
      </c>
      <c r="AH36" s="160">
        <f t="shared" si="19"/>
        <v>0</v>
      </c>
      <c r="AI36" s="190">
        <f>資金繰り予定表!M35</f>
        <v>0</v>
      </c>
      <c r="AJ36" s="160">
        <f>資金繰り実績表!M30</f>
        <v>0</v>
      </c>
      <c r="AK36" s="160">
        <f t="shared" si="20"/>
        <v>0</v>
      </c>
    </row>
    <row r="37" spans="1:37" ht="15.75" customHeight="1">
      <c r="A37" s="299" t="str">
        <f>'資金繰り実績予定表（詳細）'!A36</f>
        <v>その他経常外支出</v>
      </c>
      <c r="B37" s="160">
        <f>資金繰り予定表!B36</f>
        <v>630990</v>
      </c>
      <c r="C37" s="160">
        <f>資金繰り実績表!B31</f>
        <v>630990</v>
      </c>
      <c r="D37" s="160"/>
      <c r="E37" s="190"/>
      <c r="F37" s="160">
        <f>資金繰り実績表!C31</f>
        <v>0</v>
      </c>
      <c r="G37" s="191">
        <f t="shared" si="1"/>
        <v>0</v>
      </c>
      <c r="H37" s="160">
        <f>資金繰り予定表!D36</f>
        <v>0</v>
      </c>
      <c r="I37" s="160">
        <f>資金繰り実績表!D31</f>
        <v>0</v>
      </c>
      <c r="J37" s="160">
        <f t="shared" si="2"/>
        <v>0</v>
      </c>
      <c r="K37" s="190">
        <f>資金繰り予定表!E36</f>
        <v>0</v>
      </c>
      <c r="L37" s="160">
        <f>資金繰り実績表!E31</f>
        <v>0</v>
      </c>
      <c r="M37" s="191">
        <f t="shared" si="12"/>
        <v>0</v>
      </c>
      <c r="N37" s="160">
        <f>資金繰り予定表!F36</f>
        <v>0</v>
      </c>
      <c r="O37" s="160">
        <f>資金繰り実績表!F31</f>
        <v>0</v>
      </c>
      <c r="P37" s="160">
        <f t="shared" si="13"/>
        <v>0</v>
      </c>
      <c r="Q37" s="190">
        <f>資金繰り予定表!G36</f>
        <v>0</v>
      </c>
      <c r="R37" s="160">
        <f>資金繰り実績表!G31</f>
        <v>0</v>
      </c>
      <c r="S37" s="191">
        <f t="shared" si="14"/>
        <v>0</v>
      </c>
      <c r="T37" s="160">
        <f>資金繰り予定表!H36</f>
        <v>0</v>
      </c>
      <c r="U37" s="160">
        <f>資金繰り実績表!H31</f>
        <v>0</v>
      </c>
      <c r="V37" s="160">
        <f t="shared" si="15"/>
        <v>0</v>
      </c>
      <c r="W37" s="190">
        <f>資金繰り予定表!I36</f>
        <v>0</v>
      </c>
      <c r="X37" s="160">
        <f>資金繰り実績表!I31</f>
        <v>0</v>
      </c>
      <c r="Y37" s="191">
        <f t="shared" si="16"/>
        <v>0</v>
      </c>
      <c r="Z37" s="160">
        <f>資金繰り予定表!J36</f>
        <v>0</v>
      </c>
      <c r="AA37" s="160">
        <f>資金繰り実績表!J31</f>
        <v>0</v>
      </c>
      <c r="AB37" s="160">
        <f t="shared" si="17"/>
        <v>0</v>
      </c>
      <c r="AC37" s="190">
        <f>資金繰り予定表!K36</f>
        <v>0</v>
      </c>
      <c r="AD37" s="160">
        <f>資金繰り実績表!K31</f>
        <v>0</v>
      </c>
      <c r="AE37" s="191">
        <f t="shared" si="18"/>
        <v>0</v>
      </c>
      <c r="AF37" s="160">
        <f>資金繰り予定表!L36</f>
        <v>0</v>
      </c>
      <c r="AG37" s="160">
        <f>資金繰り実績表!L31</f>
        <v>0</v>
      </c>
      <c r="AH37" s="160">
        <f t="shared" si="19"/>
        <v>0</v>
      </c>
      <c r="AI37" s="190">
        <f>資金繰り予定表!M36</f>
        <v>0</v>
      </c>
      <c r="AJ37" s="160">
        <f>資金繰り実績表!M31</f>
        <v>0</v>
      </c>
      <c r="AK37" s="160">
        <f t="shared" si="20"/>
        <v>0</v>
      </c>
    </row>
    <row r="38" spans="1:37" ht="15.75" customHeight="1">
      <c r="A38" s="184" t="s">
        <v>53</v>
      </c>
      <c r="B38" s="165">
        <f>資金繰り予定表!B37</f>
        <v>630990</v>
      </c>
      <c r="C38" s="165">
        <f>SUM(C34:C37)</f>
        <v>630990</v>
      </c>
      <c r="D38" s="165">
        <f t="shared" ref="D38:D43" si="21">C38-B38</f>
        <v>0</v>
      </c>
      <c r="E38" s="192">
        <f>資金繰り予定表!C37</f>
        <v>0</v>
      </c>
      <c r="F38" s="165">
        <f>SUM(F34:F37)</f>
        <v>0</v>
      </c>
      <c r="G38" s="193">
        <f t="shared" si="1"/>
        <v>0</v>
      </c>
      <c r="H38" s="165">
        <f>資金繰り予定表!D37</f>
        <v>0</v>
      </c>
      <c r="I38" s="165">
        <f>SUM(I34:I36)</f>
        <v>0</v>
      </c>
      <c r="J38" s="165">
        <f t="shared" si="2"/>
        <v>0</v>
      </c>
      <c r="K38" s="192">
        <f>資金繰り予定表!E37</f>
        <v>0</v>
      </c>
      <c r="L38" s="165">
        <f>SUM(L34:L36)</f>
        <v>0</v>
      </c>
      <c r="M38" s="193">
        <f t="shared" si="12"/>
        <v>0</v>
      </c>
      <c r="N38" s="165">
        <f>資金繰り予定表!F37</f>
        <v>0</v>
      </c>
      <c r="O38" s="165">
        <f>SUM(O34:O36)</f>
        <v>0</v>
      </c>
      <c r="P38" s="165">
        <f t="shared" si="13"/>
        <v>0</v>
      </c>
      <c r="Q38" s="192">
        <f>資金繰り予定表!G37</f>
        <v>0</v>
      </c>
      <c r="R38" s="165">
        <f>SUM(R34:R36)</f>
        <v>0</v>
      </c>
      <c r="S38" s="193">
        <f t="shared" si="14"/>
        <v>0</v>
      </c>
      <c r="T38" s="165">
        <f>資金繰り予定表!H37</f>
        <v>0</v>
      </c>
      <c r="U38" s="165">
        <f>SUM(U34:U36)</f>
        <v>0</v>
      </c>
      <c r="V38" s="165">
        <f t="shared" si="15"/>
        <v>0</v>
      </c>
      <c r="W38" s="192">
        <f>資金繰り予定表!I37</f>
        <v>0</v>
      </c>
      <c r="X38" s="165">
        <f>SUM(X34:X36)</f>
        <v>0</v>
      </c>
      <c r="Y38" s="193">
        <f t="shared" si="16"/>
        <v>0</v>
      </c>
      <c r="Z38" s="165">
        <f>資金繰り予定表!J37</f>
        <v>0</v>
      </c>
      <c r="AA38" s="165">
        <f>SUM(AA34:AA36)</f>
        <v>0</v>
      </c>
      <c r="AB38" s="165">
        <f t="shared" si="17"/>
        <v>0</v>
      </c>
      <c r="AC38" s="192">
        <f>資金繰り予定表!K37</f>
        <v>0</v>
      </c>
      <c r="AD38" s="165">
        <f>SUM(AD34:AD36)</f>
        <v>0</v>
      </c>
      <c r="AE38" s="193">
        <f t="shared" si="18"/>
        <v>0</v>
      </c>
      <c r="AF38" s="165">
        <f>資金繰り予定表!L37</f>
        <v>0</v>
      </c>
      <c r="AG38" s="165">
        <f>SUM(AG34:AG36)</f>
        <v>0</v>
      </c>
      <c r="AH38" s="165">
        <f t="shared" si="19"/>
        <v>0</v>
      </c>
      <c r="AI38" s="192">
        <f>資金繰り予定表!M37</f>
        <v>0</v>
      </c>
      <c r="AJ38" s="165">
        <f>SUM(AJ34:AJ36)</f>
        <v>0</v>
      </c>
      <c r="AK38" s="165">
        <f t="shared" si="20"/>
        <v>0</v>
      </c>
    </row>
    <row r="39" spans="1:37" ht="15.75" customHeight="1">
      <c r="A39" s="184" t="s">
        <v>54</v>
      </c>
      <c r="B39" s="165">
        <f>資金繰り予定表!B38</f>
        <v>-630990</v>
      </c>
      <c r="C39" s="165">
        <f>C33-C38</f>
        <v>-630990</v>
      </c>
      <c r="D39" s="165">
        <f t="shared" si="21"/>
        <v>0</v>
      </c>
      <c r="E39" s="192">
        <f>資金繰り予定表!C38</f>
        <v>0</v>
      </c>
      <c r="F39" s="165">
        <f>F33-F38</f>
        <v>0</v>
      </c>
      <c r="G39" s="193">
        <f t="shared" si="1"/>
        <v>0</v>
      </c>
      <c r="H39" s="165">
        <f>資金繰り予定表!D38</f>
        <v>72000</v>
      </c>
      <c r="I39" s="165">
        <f>I33-I38</f>
        <v>72000</v>
      </c>
      <c r="J39" s="165">
        <f t="shared" si="2"/>
        <v>0</v>
      </c>
      <c r="K39" s="192">
        <f>資金繰り予定表!E38</f>
        <v>600000</v>
      </c>
      <c r="L39" s="165">
        <f>L33-L38</f>
        <v>600000</v>
      </c>
      <c r="M39" s="193">
        <f t="shared" si="12"/>
        <v>0</v>
      </c>
      <c r="N39" s="165">
        <f>資金繰り予定表!F38</f>
        <v>152000</v>
      </c>
      <c r="O39" s="165">
        <f>O33-O38</f>
        <v>152000</v>
      </c>
      <c r="P39" s="165">
        <f t="shared" si="13"/>
        <v>0</v>
      </c>
      <c r="Q39" s="192">
        <f>資金繰り予定表!G38</f>
        <v>0</v>
      </c>
      <c r="R39" s="165">
        <f>R33-R38</f>
        <v>0</v>
      </c>
      <c r="S39" s="193">
        <f t="shared" si="14"/>
        <v>0</v>
      </c>
      <c r="T39" s="165">
        <f>資金繰り予定表!H38</f>
        <v>0</v>
      </c>
      <c r="U39" s="165">
        <f>U33-U38</f>
        <v>0</v>
      </c>
      <c r="V39" s="165">
        <f t="shared" si="15"/>
        <v>0</v>
      </c>
      <c r="W39" s="192">
        <f>資金繰り予定表!I38</f>
        <v>0</v>
      </c>
      <c r="X39" s="165">
        <f>X33-X38</f>
        <v>0</v>
      </c>
      <c r="Y39" s="193">
        <f t="shared" si="16"/>
        <v>0</v>
      </c>
      <c r="Z39" s="165">
        <f>資金繰り予定表!J38</f>
        <v>0</v>
      </c>
      <c r="AA39" s="165">
        <f>AA33-AA38</f>
        <v>0</v>
      </c>
      <c r="AB39" s="165">
        <f t="shared" si="17"/>
        <v>0</v>
      </c>
      <c r="AC39" s="192">
        <f>資金繰り予定表!K38</f>
        <v>0</v>
      </c>
      <c r="AD39" s="165">
        <f>AD33-AD38</f>
        <v>0</v>
      </c>
      <c r="AE39" s="193">
        <f t="shared" si="18"/>
        <v>0</v>
      </c>
      <c r="AF39" s="165">
        <f>資金繰り予定表!L38</f>
        <v>0</v>
      </c>
      <c r="AG39" s="165">
        <f>AG33-AG38</f>
        <v>0</v>
      </c>
      <c r="AH39" s="165">
        <f t="shared" si="19"/>
        <v>0</v>
      </c>
      <c r="AI39" s="192">
        <f>資金繰り予定表!M38</f>
        <v>0</v>
      </c>
      <c r="AJ39" s="165">
        <f>AJ33-AJ38</f>
        <v>0</v>
      </c>
      <c r="AK39" s="165">
        <f t="shared" si="20"/>
        <v>0</v>
      </c>
    </row>
    <row r="40" spans="1:37" ht="15.75" customHeight="1">
      <c r="A40" s="299" t="str">
        <f>'資金繰り実績予定表（詳細）'!A39</f>
        <v>短期借入金</v>
      </c>
      <c r="B40" s="160">
        <f>資金繰り予定表!B39</f>
        <v>0</v>
      </c>
      <c r="C40" s="160">
        <f>資金繰り実績表!B32</f>
        <v>0</v>
      </c>
      <c r="D40" s="160">
        <f t="shared" si="21"/>
        <v>0</v>
      </c>
      <c r="E40" s="190">
        <f>資金繰り予定表!C39</f>
        <v>0</v>
      </c>
      <c r="F40" s="160">
        <f>資金繰り実績表!C32</f>
        <v>0</v>
      </c>
      <c r="G40" s="191">
        <f t="shared" si="1"/>
        <v>0</v>
      </c>
      <c r="H40" s="160">
        <f>資金繰り予定表!D39</f>
        <v>0</v>
      </c>
      <c r="I40" s="160">
        <f>資金繰り実績表!D32</f>
        <v>0</v>
      </c>
      <c r="J40" s="160">
        <f t="shared" si="2"/>
        <v>0</v>
      </c>
      <c r="K40" s="190">
        <f>資金繰り予定表!E39</f>
        <v>0</v>
      </c>
      <c r="L40" s="160">
        <f>資金繰り実績表!E32</f>
        <v>0</v>
      </c>
      <c r="M40" s="191">
        <f t="shared" si="12"/>
        <v>0</v>
      </c>
      <c r="N40" s="160">
        <f>資金繰り予定表!F39</f>
        <v>0</v>
      </c>
      <c r="O40" s="160">
        <f>資金繰り実績表!F32</f>
        <v>0</v>
      </c>
      <c r="P40" s="160">
        <f t="shared" si="13"/>
        <v>0</v>
      </c>
      <c r="Q40" s="190">
        <f>資金繰り予定表!G39</f>
        <v>0</v>
      </c>
      <c r="R40" s="160">
        <f>資金繰り実績表!G32</f>
        <v>0</v>
      </c>
      <c r="S40" s="191">
        <f t="shared" si="14"/>
        <v>0</v>
      </c>
      <c r="T40" s="160">
        <f>資金繰り予定表!H39</f>
        <v>0</v>
      </c>
      <c r="U40" s="160">
        <f>資金繰り実績表!H32</f>
        <v>0</v>
      </c>
      <c r="V40" s="160">
        <f t="shared" si="15"/>
        <v>0</v>
      </c>
      <c r="W40" s="190">
        <f>資金繰り予定表!I39</f>
        <v>0</v>
      </c>
      <c r="X40" s="160">
        <f>資金繰り実績表!I32</f>
        <v>0</v>
      </c>
      <c r="Y40" s="191">
        <f t="shared" si="16"/>
        <v>0</v>
      </c>
      <c r="Z40" s="160">
        <f>資金繰り予定表!J39</f>
        <v>0</v>
      </c>
      <c r="AA40" s="160">
        <f>資金繰り実績表!J32</f>
        <v>0</v>
      </c>
      <c r="AB40" s="160">
        <f t="shared" si="17"/>
        <v>0</v>
      </c>
      <c r="AC40" s="190">
        <f>資金繰り予定表!K39</f>
        <v>0</v>
      </c>
      <c r="AD40" s="160">
        <f>資金繰り実績表!K32</f>
        <v>0</v>
      </c>
      <c r="AE40" s="191">
        <f t="shared" si="18"/>
        <v>0</v>
      </c>
      <c r="AF40" s="160">
        <f>資金繰り予定表!L39</f>
        <v>0</v>
      </c>
      <c r="AG40" s="160">
        <f>資金繰り実績表!L32</f>
        <v>0</v>
      </c>
      <c r="AH40" s="160">
        <f t="shared" si="19"/>
        <v>0</v>
      </c>
      <c r="AI40" s="190">
        <f>資金繰り予定表!M39</f>
        <v>0</v>
      </c>
      <c r="AJ40" s="160">
        <f>資金繰り実績表!M32</f>
        <v>0</v>
      </c>
      <c r="AK40" s="160">
        <f t="shared" si="20"/>
        <v>0</v>
      </c>
    </row>
    <row r="41" spans="1:37" ht="15.75" customHeight="1">
      <c r="A41" s="299" t="str">
        <f>'資金繰り実績予定表（詳細）'!A40</f>
        <v>長期借入金</v>
      </c>
      <c r="B41" s="160">
        <f>資金繰り予定表!B40</f>
        <v>0</v>
      </c>
      <c r="C41" s="160">
        <f>資金繰り実績表!B33</f>
        <v>0</v>
      </c>
      <c r="D41" s="160">
        <f t="shared" si="21"/>
        <v>0</v>
      </c>
      <c r="E41" s="190">
        <f>資金繰り予定表!C40</f>
        <v>0</v>
      </c>
      <c r="F41" s="160">
        <f>資金繰り実績表!C33</f>
        <v>0</v>
      </c>
      <c r="G41" s="191">
        <f t="shared" si="1"/>
        <v>0</v>
      </c>
      <c r="H41" s="160">
        <f>資金繰り予定表!D40</f>
        <v>0</v>
      </c>
      <c r="I41" s="160">
        <f>資金繰り実績表!D33</f>
        <v>0</v>
      </c>
      <c r="J41" s="160">
        <f t="shared" si="2"/>
        <v>0</v>
      </c>
      <c r="K41" s="190">
        <f>資金繰り予定表!E40</f>
        <v>0</v>
      </c>
      <c r="L41" s="160">
        <f>資金繰り実績表!E33</f>
        <v>0</v>
      </c>
      <c r="M41" s="191">
        <f t="shared" si="12"/>
        <v>0</v>
      </c>
      <c r="N41" s="160">
        <f>資金繰り予定表!F40</f>
        <v>0</v>
      </c>
      <c r="O41" s="160">
        <f>資金繰り実績表!F33</f>
        <v>0</v>
      </c>
      <c r="P41" s="160">
        <f t="shared" si="13"/>
        <v>0</v>
      </c>
      <c r="Q41" s="190">
        <f>資金繰り予定表!G40</f>
        <v>66051004</v>
      </c>
      <c r="R41" s="160">
        <f>資金繰り実績表!G33</f>
        <v>66051004</v>
      </c>
      <c r="S41" s="191">
        <f t="shared" si="14"/>
        <v>0</v>
      </c>
      <c r="T41" s="160">
        <f>資金繰り予定表!H40</f>
        <v>28867500</v>
      </c>
      <c r="U41" s="160">
        <f>資金繰り実績表!H33</f>
        <v>28867500</v>
      </c>
      <c r="V41" s="160">
        <f t="shared" si="15"/>
        <v>0</v>
      </c>
      <c r="W41" s="190">
        <f>資金繰り予定表!I40</f>
        <v>0</v>
      </c>
      <c r="X41" s="160">
        <f>資金繰り実績表!I33</f>
        <v>0</v>
      </c>
      <c r="Y41" s="191">
        <f t="shared" si="16"/>
        <v>0</v>
      </c>
      <c r="Z41" s="160">
        <f>資金繰り予定表!J40</f>
        <v>0</v>
      </c>
      <c r="AA41" s="160">
        <f>資金繰り実績表!J33</f>
        <v>0</v>
      </c>
      <c r="AB41" s="160">
        <f t="shared" si="17"/>
        <v>0</v>
      </c>
      <c r="AC41" s="190">
        <f>資金繰り予定表!K40</f>
        <v>0</v>
      </c>
      <c r="AD41" s="160">
        <f>資金繰り実績表!K33</f>
        <v>0</v>
      </c>
      <c r="AE41" s="191">
        <f t="shared" si="18"/>
        <v>0</v>
      </c>
      <c r="AF41" s="160">
        <f>資金繰り予定表!L40</f>
        <v>0</v>
      </c>
      <c r="AG41" s="160">
        <f>資金繰り実績表!L33</f>
        <v>0</v>
      </c>
      <c r="AH41" s="160">
        <f t="shared" si="19"/>
        <v>0</v>
      </c>
      <c r="AI41" s="190">
        <f>資金繰り予定表!M40</f>
        <v>0</v>
      </c>
      <c r="AJ41" s="160">
        <f>資金繰り実績表!M33</f>
        <v>0</v>
      </c>
      <c r="AK41" s="160">
        <f t="shared" si="20"/>
        <v>0</v>
      </c>
    </row>
    <row r="42" spans="1:37" ht="15.75" customHeight="1">
      <c r="A42" s="299" t="str">
        <f>'資金繰り実績予定表（詳細）'!A41</f>
        <v>役員・関係会社から入金</v>
      </c>
      <c r="B42" s="160">
        <f>資金繰り予定表!B41</f>
        <v>0</v>
      </c>
      <c r="C42" s="160">
        <f>資金繰り実績表!B34</f>
        <v>0</v>
      </c>
      <c r="D42" s="160">
        <f t="shared" si="21"/>
        <v>0</v>
      </c>
      <c r="E42" s="190">
        <f>資金繰り予定表!C41</f>
        <v>0</v>
      </c>
      <c r="F42" s="160">
        <f>資金繰り実績表!C34</f>
        <v>0</v>
      </c>
      <c r="G42" s="191">
        <f t="shared" si="1"/>
        <v>0</v>
      </c>
      <c r="H42" s="160">
        <f>資金繰り予定表!D41</f>
        <v>0</v>
      </c>
      <c r="I42" s="160">
        <f>資金繰り実績表!D34</f>
        <v>0</v>
      </c>
      <c r="J42" s="160">
        <f t="shared" si="2"/>
        <v>0</v>
      </c>
      <c r="K42" s="190">
        <f>資金繰り予定表!E41</f>
        <v>0</v>
      </c>
      <c r="L42" s="160">
        <f>資金繰り実績表!E34</f>
        <v>0</v>
      </c>
      <c r="M42" s="191">
        <f t="shared" si="12"/>
        <v>0</v>
      </c>
      <c r="N42" s="160">
        <f>資金繰り予定表!F41</f>
        <v>0</v>
      </c>
      <c r="O42" s="160">
        <f>資金繰り実績表!F34</f>
        <v>0</v>
      </c>
      <c r="P42" s="160">
        <f t="shared" si="13"/>
        <v>0</v>
      </c>
      <c r="Q42" s="190">
        <f>資金繰り予定表!G41</f>
        <v>0</v>
      </c>
      <c r="R42" s="160">
        <f>資金繰り実績表!G34</f>
        <v>0</v>
      </c>
      <c r="S42" s="191">
        <f t="shared" si="14"/>
        <v>0</v>
      </c>
      <c r="T42" s="160">
        <f>資金繰り予定表!H41</f>
        <v>0</v>
      </c>
      <c r="U42" s="160">
        <f>資金繰り実績表!H34</f>
        <v>0</v>
      </c>
      <c r="V42" s="160">
        <f t="shared" si="15"/>
        <v>0</v>
      </c>
      <c r="W42" s="190">
        <f>資金繰り予定表!I41</f>
        <v>0</v>
      </c>
      <c r="X42" s="160">
        <f>資金繰り実績表!I34</f>
        <v>0</v>
      </c>
      <c r="Y42" s="191">
        <f t="shared" si="16"/>
        <v>0</v>
      </c>
      <c r="Z42" s="160">
        <f>資金繰り予定表!J41</f>
        <v>0</v>
      </c>
      <c r="AA42" s="160">
        <f>資金繰り実績表!J34</f>
        <v>0</v>
      </c>
      <c r="AB42" s="160">
        <f t="shared" si="17"/>
        <v>0</v>
      </c>
      <c r="AC42" s="190">
        <f>資金繰り予定表!K41</f>
        <v>0</v>
      </c>
      <c r="AD42" s="160">
        <f>資金繰り実績表!K34</f>
        <v>0</v>
      </c>
      <c r="AE42" s="191">
        <f t="shared" si="18"/>
        <v>0</v>
      </c>
      <c r="AF42" s="160">
        <f>資金繰り予定表!L41</f>
        <v>0</v>
      </c>
      <c r="AG42" s="160">
        <f>資金繰り実績表!L34</f>
        <v>0</v>
      </c>
      <c r="AH42" s="160">
        <f t="shared" si="19"/>
        <v>0</v>
      </c>
      <c r="AI42" s="190">
        <f>資金繰り予定表!M41</f>
        <v>0</v>
      </c>
      <c r="AJ42" s="160">
        <f>資金繰り実績表!M34</f>
        <v>0</v>
      </c>
      <c r="AK42" s="160">
        <f t="shared" si="20"/>
        <v>0</v>
      </c>
    </row>
    <row r="43" spans="1:37" ht="15.75" customHeight="1">
      <c r="A43" s="299" t="str">
        <f>'資金繰り実績予定表（詳細）'!A42</f>
        <v>受取利息・配当</v>
      </c>
      <c r="B43" s="160">
        <f>資金繰り予定表!B42</f>
        <v>0</v>
      </c>
      <c r="C43" s="160">
        <f>資金繰り実績表!B35</f>
        <v>0</v>
      </c>
      <c r="D43" s="160">
        <f t="shared" si="21"/>
        <v>0</v>
      </c>
      <c r="E43" s="190">
        <f>資金繰り予定表!C42</f>
        <v>6823</v>
      </c>
      <c r="F43" s="160">
        <f>資金繰り実績表!C35</f>
        <v>6823</v>
      </c>
      <c r="G43" s="191">
        <f t="shared" si="1"/>
        <v>0</v>
      </c>
      <c r="H43" s="160">
        <f>資金繰り予定表!D42</f>
        <v>2446</v>
      </c>
      <c r="I43" s="160">
        <f>資金繰り実績表!D35</f>
        <v>2446</v>
      </c>
      <c r="J43" s="160">
        <f t="shared" si="2"/>
        <v>0</v>
      </c>
      <c r="K43" s="190">
        <f>資金繰り予定表!E42</f>
        <v>0</v>
      </c>
      <c r="L43" s="160">
        <f>資金繰り実績表!E35</f>
        <v>0</v>
      </c>
      <c r="M43" s="191">
        <f t="shared" si="12"/>
        <v>0</v>
      </c>
      <c r="N43" s="160">
        <f>資金繰り予定表!F42</f>
        <v>0</v>
      </c>
      <c r="O43" s="160">
        <f>資金繰り実績表!F35</f>
        <v>0</v>
      </c>
      <c r="P43" s="160">
        <f t="shared" si="13"/>
        <v>0</v>
      </c>
      <c r="Q43" s="190">
        <f>資金繰り予定表!G42</f>
        <v>0</v>
      </c>
      <c r="R43" s="160">
        <f>資金繰り実績表!G35</f>
        <v>0</v>
      </c>
      <c r="S43" s="191">
        <f t="shared" si="14"/>
        <v>0</v>
      </c>
      <c r="T43" s="160">
        <f>資金繰り予定表!H42</f>
        <v>0</v>
      </c>
      <c r="U43" s="160">
        <f>資金繰り実績表!H35</f>
        <v>0</v>
      </c>
      <c r="V43" s="160">
        <f t="shared" si="15"/>
        <v>0</v>
      </c>
      <c r="W43" s="190">
        <f>資金繰り予定表!I42</f>
        <v>5033</v>
      </c>
      <c r="X43" s="160">
        <f>資金繰り実績表!I35</f>
        <v>5033</v>
      </c>
      <c r="Y43" s="191">
        <f t="shared" si="16"/>
        <v>0</v>
      </c>
      <c r="Z43" s="160">
        <f>資金繰り予定表!J42</f>
        <v>1038</v>
      </c>
      <c r="AA43" s="160">
        <f>資金繰り実績表!J35</f>
        <v>1038</v>
      </c>
      <c r="AB43" s="160">
        <f t="shared" si="17"/>
        <v>0</v>
      </c>
      <c r="AC43" s="190">
        <f>資金繰り予定表!K42</f>
        <v>0</v>
      </c>
      <c r="AD43" s="160">
        <f>資金繰り実績表!K35</f>
        <v>0</v>
      </c>
      <c r="AE43" s="191">
        <f t="shared" si="18"/>
        <v>0</v>
      </c>
      <c r="AF43" s="160">
        <f>資金繰り予定表!L42</f>
        <v>0</v>
      </c>
      <c r="AG43" s="160">
        <f>資金繰り実績表!L35</f>
        <v>0</v>
      </c>
      <c r="AH43" s="160">
        <f t="shared" si="19"/>
        <v>0</v>
      </c>
      <c r="AI43" s="190">
        <f>資金繰り予定表!M42</f>
        <v>0</v>
      </c>
      <c r="AJ43" s="160">
        <f>資金繰り実績表!M35</f>
        <v>0</v>
      </c>
      <c r="AK43" s="160">
        <f t="shared" si="20"/>
        <v>0</v>
      </c>
    </row>
    <row r="44" spans="1:37" ht="15.75" customHeight="1">
      <c r="A44" s="299" t="str">
        <f>'資金繰り実績予定表（詳細）'!A43</f>
        <v>その他財務収入</v>
      </c>
      <c r="B44" s="160">
        <f>資金繰り予定表!B43</f>
        <v>11135384</v>
      </c>
      <c r="C44" s="160">
        <f>資金繰り実績表!B36</f>
        <v>11135384</v>
      </c>
      <c r="D44" s="160"/>
      <c r="E44" s="190"/>
      <c r="F44" s="160">
        <f>資金繰り実績表!C36</f>
        <v>0</v>
      </c>
      <c r="G44" s="191"/>
      <c r="H44" s="160"/>
      <c r="I44" s="160">
        <f>資金繰り実績表!D36</f>
        <v>0</v>
      </c>
      <c r="J44" s="160"/>
      <c r="K44" s="190">
        <f>資金繰り予定表!E43</f>
        <v>0</v>
      </c>
      <c r="L44" s="160">
        <f>資金繰り実績表!E36</f>
        <v>0</v>
      </c>
      <c r="M44" s="191">
        <f t="shared" si="12"/>
        <v>0</v>
      </c>
      <c r="N44" s="160">
        <f>資金繰り予定表!F43</f>
        <v>0</v>
      </c>
      <c r="O44" s="160">
        <f>資金繰り実績表!F36</f>
        <v>0</v>
      </c>
      <c r="P44" s="160">
        <f t="shared" si="13"/>
        <v>0</v>
      </c>
      <c r="Q44" s="190">
        <f>資金繰り予定表!G43</f>
        <v>0</v>
      </c>
      <c r="R44" s="160">
        <f>資金繰り実績表!G36</f>
        <v>0</v>
      </c>
      <c r="S44" s="191">
        <f t="shared" si="14"/>
        <v>0</v>
      </c>
      <c r="T44" s="160">
        <f>資金繰り予定表!H43</f>
        <v>0</v>
      </c>
      <c r="U44" s="160">
        <f>資金繰り実績表!H36</f>
        <v>0</v>
      </c>
      <c r="V44" s="160">
        <f t="shared" si="15"/>
        <v>0</v>
      </c>
      <c r="W44" s="190">
        <f>資金繰り予定表!I43</f>
        <v>0</v>
      </c>
      <c r="X44" s="160">
        <f>資金繰り実績表!I36</f>
        <v>0</v>
      </c>
      <c r="Y44" s="191">
        <f t="shared" si="16"/>
        <v>0</v>
      </c>
      <c r="Z44" s="160">
        <f>資金繰り予定表!J43</f>
        <v>0</v>
      </c>
      <c r="AA44" s="160">
        <f>資金繰り実績表!J36</f>
        <v>0</v>
      </c>
      <c r="AB44" s="160">
        <f t="shared" si="17"/>
        <v>0</v>
      </c>
      <c r="AC44" s="190">
        <f>資金繰り予定表!K43</f>
        <v>0</v>
      </c>
      <c r="AD44" s="160">
        <f>資金繰り実績表!K36</f>
        <v>0</v>
      </c>
      <c r="AE44" s="191">
        <f t="shared" si="18"/>
        <v>0</v>
      </c>
      <c r="AF44" s="160">
        <f>資金繰り予定表!L43</f>
        <v>0</v>
      </c>
      <c r="AG44" s="160">
        <f>資金繰り実績表!L36</f>
        <v>0</v>
      </c>
      <c r="AH44" s="160">
        <f t="shared" si="19"/>
        <v>0</v>
      </c>
      <c r="AI44" s="190">
        <f>資金繰り予定表!M43</f>
        <v>0</v>
      </c>
      <c r="AJ44" s="160">
        <f>資金繰り実績表!M36</f>
        <v>0</v>
      </c>
      <c r="AK44" s="160">
        <f t="shared" si="20"/>
        <v>0</v>
      </c>
    </row>
    <row r="45" spans="1:37" ht="15">
      <c r="A45" s="184" t="s">
        <v>55</v>
      </c>
      <c r="B45" s="165">
        <f>資金繰り予定表!B44</f>
        <v>11135384</v>
      </c>
      <c r="C45" s="165">
        <f>SUM(C40:C44)</f>
        <v>11135384</v>
      </c>
      <c r="D45" s="165">
        <f t="shared" ref="D45:D54" si="22">C45-B45</f>
        <v>0</v>
      </c>
      <c r="E45" s="192">
        <f>資金繰り予定表!C44</f>
        <v>6823</v>
      </c>
      <c r="F45" s="165">
        <f>SUM(F40:F44)</f>
        <v>6823</v>
      </c>
      <c r="G45" s="193">
        <f t="shared" ref="G45:G54" si="23">F45-E45</f>
        <v>0</v>
      </c>
      <c r="H45" s="165">
        <f>資金繰り予定表!D44</f>
        <v>2446</v>
      </c>
      <c r="I45" s="165">
        <f>SUM(I40:I43)</f>
        <v>2446</v>
      </c>
      <c r="J45" s="165">
        <f t="shared" ref="J45:J54" si="24">I45-H45</f>
        <v>0</v>
      </c>
      <c r="K45" s="192">
        <f>資金繰り予定表!E44</f>
        <v>0</v>
      </c>
      <c r="L45" s="165">
        <f>SUM(L40:L43)</f>
        <v>0</v>
      </c>
      <c r="M45" s="193">
        <f t="shared" si="12"/>
        <v>0</v>
      </c>
      <c r="N45" s="165">
        <f>資金繰り予定表!F44</f>
        <v>0</v>
      </c>
      <c r="O45" s="165">
        <f>SUM(O40:O43)</f>
        <v>0</v>
      </c>
      <c r="P45" s="165">
        <f t="shared" si="13"/>
        <v>0</v>
      </c>
      <c r="Q45" s="192">
        <f>資金繰り予定表!G44</f>
        <v>66051004</v>
      </c>
      <c r="R45" s="165">
        <f>SUM(R40:R43)</f>
        <v>66051004</v>
      </c>
      <c r="S45" s="193">
        <f t="shared" si="14"/>
        <v>0</v>
      </c>
      <c r="T45" s="165">
        <f>資金繰り予定表!H44</f>
        <v>28867500</v>
      </c>
      <c r="U45" s="165">
        <f>SUM(U40:U43)</f>
        <v>28867500</v>
      </c>
      <c r="V45" s="165">
        <f t="shared" si="15"/>
        <v>0</v>
      </c>
      <c r="W45" s="192">
        <f>資金繰り予定表!I44</f>
        <v>5033</v>
      </c>
      <c r="X45" s="165">
        <f>SUM(X40:X43)</f>
        <v>5033</v>
      </c>
      <c r="Y45" s="193">
        <f t="shared" si="16"/>
        <v>0</v>
      </c>
      <c r="Z45" s="165">
        <f>資金繰り予定表!J44</f>
        <v>1038</v>
      </c>
      <c r="AA45" s="165">
        <f>SUM(AA40:AA43)</f>
        <v>1038</v>
      </c>
      <c r="AB45" s="165">
        <f t="shared" si="17"/>
        <v>0</v>
      </c>
      <c r="AC45" s="192">
        <f>資金繰り予定表!K44</f>
        <v>0</v>
      </c>
      <c r="AD45" s="165">
        <f>SUM(AD40:AD43)</f>
        <v>0</v>
      </c>
      <c r="AE45" s="193">
        <f t="shared" si="18"/>
        <v>0</v>
      </c>
      <c r="AF45" s="165">
        <f>資金繰り予定表!L44</f>
        <v>0</v>
      </c>
      <c r="AG45" s="165">
        <f>SUM(AG40:AG43)</f>
        <v>0</v>
      </c>
      <c r="AH45" s="165">
        <f t="shared" si="19"/>
        <v>0</v>
      </c>
      <c r="AI45" s="192">
        <f>資金繰り予定表!M44</f>
        <v>0</v>
      </c>
      <c r="AJ45" s="165">
        <f>SUM(AJ40:AJ43)</f>
        <v>0</v>
      </c>
      <c r="AK45" s="165">
        <f t="shared" si="20"/>
        <v>0</v>
      </c>
    </row>
    <row r="46" spans="1:37" ht="15">
      <c r="A46" s="299" t="str">
        <f>'資金繰り実績予定表（詳細）'!A45</f>
        <v>短期借入金返済</v>
      </c>
      <c r="B46" s="160">
        <f>資金繰り予定表!B45</f>
        <v>0</v>
      </c>
      <c r="C46" s="160">
        <f>資金繰り実績表!B37</f>
        <v>0</v>
      </c>
      <c r="D46" s="160">
        <f t="shared" si="22"/>
        <v>0</v>
      </c>
      <c r="E46" s="190">
        <f>資金繰り予定表!C45</f>
        <v>0</v>
      </c>
      <c r="F46" s="160">
        <f>資金繰り実績表!C37</f>
        <v>0</v>
      </c>
      <c r="G46" s="191">
        <f t="shared" si="23"/>
        <v>0</v>
      </c>
      <c r="H46" s="160">
        <f>資金繰り予定表!D45</f>
        <v>0</v>
      </c>
      <c r="I46" s="160">
        <f>資金繰り実績表!D37</f>
        <v>0</v>
      </c>
      <c r="J46" s="160">
        <f t="shared" si="24"/>
        <v>0</v>
      </c>
      <c r="K46" s="190">
        <f>資金繰り予定表!E45</f>
        <v>0</v>
      </c>
      <c r="L46" s="160">
        <f>資金繰り実績表!E37</f>
        <v>0</v>
      </c>
      <c r="M46" s="191">
        <f t="shared" si="12"/>
        <v>0</v>
      </c>
      <c r="N46" s="160">
        <f>資金繰り予定表!F45</f>
        <v>0</v>
      </c>
      <c r="O46" s="160">
        <f>資金繰り実績表!F37</f>
        <v>0</v>
      </c>
      <c r="P46" s="160">
        <f t="shared" si="13"/>
        <v>0</v>
      </c>
      <c r="Q46" s="190">
        <f>資金繰り予定表!G45</f>
        <v>0</v>
      </c>
      <c r="R46" s="160">
        <f>資金繰り実績表!G37</f>
        <v>0</v>
      </c>
      <c r="S46" s="191">
        <f t="shared" si="14"/>
        <v>0</v>
      </c>
      <c r="T46" s="160">
        <f>資金繰り予定表!H45</f>
        <v>0</v>
      </c>
      <c r="U46" s="160">
        <f>資金繰り実績表!H37</f>
        <v>0</v>
      </c>
      <c r="V46" s="160">
        <f t="shared" si="15"/>
        <v>0</v>
      </c>
      <c r="W46" s="190">
        <f>資金繰り予定表!I45</f>
        <v>0</v>
      </c>
      <c r="X46" s="160">
        <f>資金繰り実績表!I37</f>
        <v>0</v>
      </c>
      <c r="Y46" s="191">
        <f t="shared" si="16"/>
        <v>0</v>
      </c>
      <c r="Z46" s="160">
        <f>資金繰り予定表!J45</f>
        <v>0</v>
      </c>
      <c r="AA46" s="160">
        <f>資金繰り実績表!J37</f>
        <v>0</v>
      </c>
      <c r="AB46" s="160">
        <f t="shared" si="17"/>
        <v>0</v>
      </c>
      <c r="AC46" s="190">
        <f>資金繰り予定表!K45</f>
        <v>0</v>
      </c>
      <c r="AD46" s="160">
        <f>資金繰り実績表!K37</f>
        <v>0</v>
      </c>
      <c r="AE46" s="191">
        <f t="shared" si="18"/>
        <v>0</v>
      </c>
      <c r="AF46" s="160">
        <f>資金繰り予定表!L45</f>
        <v>0</v>
      </c>
      <c r="AG46" s="160">
        <f>資金繰り実績表!L37</f>
        <v>0</v>
      </c>
      <c r="AH46" s="160">
        <f t="shared" si="19"/>
        <v>0</v>
      </c>
      <c r="AI46" s="190">
        <f>資金繰り予定表!M45</f>
        <v>0</v>
      </c>
      <c r="AJ46" s="160">
        <f>資金繰り実績表!M37</f>
        <v>0</v>
      </c>
      <c r="AK46" s="160">
        <f t="shared" si="20"/>
        <v>0</v>
      </c>
    </row>
    <row r="47" spans="1:37" ht="15">
      <c r="A47" s="299" t="str">
        <f>'資金繰り実績予定表（詳細）'!A46</f>
        <v>長期借入金返済</v>
      </c>
      <c r="B47" s="160">
        <f>資金繰り予定表!B46</f>
        <v>1689913</v>
      </c>
      <c r="C47" s="160">
        <f>資金繰り実績表!B38</f>
        <v>1689913</v>
      </c>
      <c r="D47" s="160">
        <f t="shared" si="22"/>
        <v>0</v>
      </c>
      <c r="E47" s="190">
        <f>資金繰り予定表!C46</f>
        <v>0</v>
      </c>
      <c r="F47" s="160">
        <f>資金繰り実績表!C38</f>
        <v>0</v>
      </c>
      <c r="G47" s="191">
        <f t="shared" si="23"/>
        <v>0</v>
      </c>
      <c r="H47" s="160">
        <f>資金繰り予定表!D46</f>
        <v>4006170</v>
      </c>
      <c r="I47" s="160">
        <f>資金繰り実績表!D38</f>
        <v>4006170</v>
      </c>
      <c r="J47" s="160">
        <f t="shared" si="24"/>
        <v>0</v>
      </c>
      <c r="K47" s="190">
        <f>資金繰り予定表!E46</f>
        <v>2003083</v>
      </c>
      <c r="L47" s="160">
        <f>資金繰り実績表!E38</f>
        <v>2003083</v>
      </c>
      <c r="M47" s="191">
        <f t="shared" si="12"/>
        <v>0</v>
      </c>
      <c r="N47" s="160">
        <f>資金繰り予定表!F46</f>
        <v>0</v>
      </c>
      <c r="O47" s="160">
        <f>資金繰り実績表!F38</f>
        <v>0</v>
      </c>
      <c r="P47" s="160">
        <f t="shared" si="13"/>
        <v>0</v>
      </c>
      <c r="Q47" s="190">
        <f>資金繰り予定表!G46</f>
        <v>43408783</v>
      </c>
      <c r="R47" s="160">
        <f>資金繰り実績表!G38</f>
        <v>43408783</v>
      </c>
      <c r="S47" s="191">
        <f t="shared" si="14"/>
        <v>0</v>
      </c>
      <c r="T47" s="160">
        <f>資金繰り予定表!H46</f>
        <v>32246230</v>
      </c>
      <c r="U47" s="160">
        <f>資金繰り実績表!H38</f>
        <v>32246230</v>
      </c>
      <c r="V47" s="160">
        <f t="shared" si="15"/>
        <v>0</v>
      </c>
      <c r="W47" s="190">
        <f>資金繰り予定表!I46</f>
        <v>2242348</v>
      </c>
      <c r="X47" s="160">
        <f>資金繰り実績表!I38</f>
        <v>2242348</v>
      </c>
      <c r="Y47" s="191">
        <f t="shared" si="16"/>
        <v>0</v>
      </c>
      <c r="Z47" s="160">
        <f>資金繰り予定表!J46</f>
        <v>3522286</v>
      </c>
      <c r="AA47" s="160">
        <f>資金繰り実績表!J38</f>
        <v>3522286</v>
      </c>
      <c r="AB47" s="160">
        <f t="shared" si="17"/>
        <v>0</v>
      </c>
      <c r="AC47" s="190">
        <f>資金繰り予定表!K46</f>
        <v>0</v>
      </c>
      <c r="AD47" s="160">
        <f>資金繰り実績表!K38</f>
        <v>0</v>
      </c>
      <c r="AE47" s="191">
        <f t="shared" si="18"/>
        <v>0</v>
      </c>
      <c r="AF47" s="160">
        <f>資金繰り予定表!L46</f>
        <v>0</v>
      </c>
      <c r="AG47" s="160">
        <f>資金繰り実績表!L38</f>
        <v>0</v>
      </c>
      <c r="AH47" s="160">
        <f t="shared" si="19"/>
        <v>0</v>
      </c>
      <c r="AI47" s="190">
        <f>資金繰り予定表!M46</f>
        <v>0</v>
      </c>
      <c r="AJ47" s="160">
        <f>資金繰り実績表!M38</f>
        <v>0</v>
      </c>
      <c r="AK47" s="160">
        <f t="shared" si="20"/>
        <v>0</v>
      </c>
    </row>
    <row r="48" spans="1:37" ht="15">
      <c r="A48" s="299" t="str">
        <f>'資金繰り実績予定表（詳細）'!A47</f>
        <v>役員・関係会社へ支出</v>
      </c>
      <c r="B48" s="160">
        <f>資金繰り予定表!B47</f>
        <v>150550</v>
      </c>
      <c r="C48" s="160">
        <f>資金繰り実績表!B39</f>
        <v>150550</v>
      </c>
      <c r="D48" s="160">
        <f t="shared" si="22"/>
        <v>0</v>
      </c>
      <c r="E48" s="190">
        <f>資金繰り予定表!C47</f>
        <v>0</v>
      </c>
      <c r="F48" s="160">
        <f>資金繰り実績表!C39</f>
        <v>0</v>
      </c>
      <c r="G48" s="191">
        <f t="shared" si="23"/>
        <v>0</v>
      </c>
      <c r="H48" s="160">
        <f>資金繰り予定表!D47</f>
        <v>150000</v>
      </c>
      <c r="I48" s="160">
        <f>資金繰り実績表!D39</f>
        <v>150000</v>
      </c>
      <c r="J48" s="160">
        <f t="shared" si="24"/>
        <v>0</v>
      </c>
      <c r="K48" s="190">
        <f>資金繰り予定表!E47</f>
        <v>0</v>
      </c>
      <c r="L48" s="160">
        <f>資金繰り実績表!E39</f>
        <v>0</v>
      </c>
      <c r="M48" s="191">
        <f t="shared" si="12"/>
        <v>0</v>
      </c>
      <c r="N48" s="160">
        <f>資金繰り予定表!F47</f>
        <v>0</v>
      </c>
      <c r="O48" s="160">
        <f>資金繰り実績表!F39</f>
        <v>0</v>
      </c>
      <c r="P48" s="160">
        <f t="shared" si="13"/>
        <v>0</v>
      </c>
      <c r="Q48" s="190">
        <f>資金繰り予定表!G47</f>
        <v>450900</v>
      </c>
      <c r="R48" s="160">
        <f>資金繰り実績表!G39</f>
        <v>450900</v>
      </c>
      <c r="S48" s="191">
        <f t="shared" si="14"/>
        <v>0</v>
      </c>
      <c r="T48" s="160">
        <f>資金繰り予定表!H47</f>
        <v>0</v>
      </c>
      <c r="U48" s="160">
        <f>資金繰り実績表!H39</f>
        <v>0</v>
      </c>
      <c r="V48" s="160">
        <f t="shared" si="15"/>
        <v>0</v>
      </c>
      <c r="W48" s="190">
        <f>資金繰り予定表!I47</f>
        <v>0</v>
      </c>
      <c r="X48" s="160">
        <f>資金繰り実績表!I39</f>
        <v>0</v>
      </c>
      <c r="Y48" s="191">
        <f t="shared" si="16"/>
        <v>0</v>
      </c>
      <c r="Z48" s="160">
        <f>資金繰り予定表!J47</f>
        <v>0</v>
      </c>
      <c r="AA48" s="160">
        <f>資金繰り実績表!J39</f>
        <v>0</v>
      </c>
      <c r="AB48" s="160">
        <f t="shared" si="17"/>
        <v>0</v>
      </c>
      <c r="AC48" s="190">
        <f>資金繰り予定表!K47</f>
        <v>0</v>
      </c>
      <c r="AD48" s="160">
        <f>資金繰り実績表!K39</f>
        <v>0</v>
      </c>
      <c r="AE48" s="191">
        <f t="shared" si="18"/>
        <v>0</v>
      </c>
      <c r="AF48" s="160">
        <f>資金繰り予定表!L47</f>
        <v>0</v>
      </c>
      <c r="AG48" s="160">
        <f>資金繰り実績表!L39</f>
        <v>0</v>
      </c>
      <c r="AH48" s="160">
        <f t="shared" si="19"/>
        <v>0</v>
      </c>
      <c r="AI48" s="190">
        <f>資金繰り予定表!M47</f>
        <v>0</v>
      </c>
      <c r="AJ48" s="160">
        <f>資金繰り実績表!M39</f>
        <v>0</v>
      </c>
      <c r="AK48" s="160">
        <f t="shared" si="20"/>
        <v>0</v>
      </c>
    </row>
    <row r="49" spans="1:37" ht="15">
      <c r="A49" s="299" t="str">
        <f>'資金繰り実績予定表（詳細）'!A48</f>
        <v>支払利息・保証料</v>
      </c>
      <c r="B49" s="160">
        <f>資金繰り予定表!B48</f>
        <v>135045</v>
      </c>
      <c r="C49" s="160">
        <f>資金繰り実績表!B40</f>
        <v>135045</v>
      </c>
      <c r="D49" s="160">
        <f t="shared" si="22"/>
        <v>0</v>
      </c>
      <c r="E49" s="190">
        <f>資金繰り予定表!C48</f>
        <v>0</v>
      </c>
      <c r="F49" s="160">
        <f>資金繰り実績表!C40</f>
        <v>0</v>
      </c>
      <c r="G49" s="191">
        <f t="shared" si="23"/>
        <v>0</v>
      </c>
      <c r="H49" s="160">
        <f>資金繰り予定表!D48</f>
        <v>173666</v>
      </c>
      <c r="I49" s="160">
        <f>資金繰り実績表!D40</f>
        <v>173666</v>
      </c>
      <c r="J49" s="160">
        <f t="shared" si="24"/>
        <v>0</v>
      </c>
      <c r="K49" s="190">
        <f>資金繰り予定表!E48</f>
        <v>88038</v>
      </c>
      <c r="L49" s="160">
        <f>資金繰り実績表!E40</f>
        <v>88038</v>
      </c>
      <c r="M49" s="191">
        <f t="shared" si="12"/>
        <v>0</v>
      </c>
      <c r="N49" s="160">
        <f>資金繰り予定表!F48</f>
        <v>0</v>
      </c>
      <c r="O49" s="160">
        <f>資金繰り実績表!F40</f>
        <v>0</v>
      </c>
      <c r="P49" s="160">
        <f t="shared" si="13"/>
        <v>0</v>
      </c>
      <c r="Q49" s="190">
        <f>資金繰り予定表!G48</f>
        <v>1632975</v>
      </c>
      <c r="R49" s="160">
        <f>資金繰り実績表!G40</f>
        <v>1632975</v>
      </c>
      <c r="S49" s="191">
        <f t="shared" si="14"/>
        <v>0</v>
      </c>
      <c r="T49" s="160">
        <f>資金繰り予定表!H48</f>
        <v>77461</v>
      </c>
      <c r="U49" s="160">
        <f>資金繰り実績表!H40</f>
        <v>77461</v>
      </c>
      <c r="V49" s="160">
        <f t="shared" si="15"/>
        <v>0</v>
      </c>
      <c r="W49" s="190">
        <f>資金繰り予定表!I48</f>
        <v>76432</v>
      </c>
      <c r="X49" s="160">
        <f>資金繰り実績表!I40</f>
        <v>76432</v>
      </c>
      <c r="Y49" s="191">
        <f t="shared" si="16"/>
        <v>0</v>
      </c>
      <c r="Z49" s="160">
        <f>資金繰り予定表!J48</f>
        <v>174878</v>
      </c>
      <c r="AA49" s="160">
        <f>資金繰り実績表!J40</f>
        <v>174878</v>
      </c>
      <c r="AB49" s="160">
        <f t="shared" si="17"/>
        <v>0</v>
      </c>
      <c r="AC49" s="190">
        <f>資金繰り予定表!K48</f>
        <v>0</v>
      </c>
      <c r="AD49" s="160">
        <f>資金繰り実績表!K40</f>
        <v>0</v>
      </c>
      <c r="AE49" s="191">
        <f t="shared" si="18"/>
        <v>0</v>
      </c>
      <c r="AF49" s="160">
        <f>資金繰り予定表!L48</f>
        <v>0</v>
      </c>
      <c r="AG49" s="160">
        <f>資金繰り実績表!L40</f>
        <v>0</v>
      </c>
      <c r="AH49" s="160">
        <f t="shared" si="19"/>
        <v>0</v>
      </c>
      <c r="AI49" s="190">
        <f>資金繰り予定表!M48</f>
        <v>0</v>
      </c>
      <c r="AJ49" s="160">
        <f>資金繰り実績表!M40</f>
        <v>0</v>
      </c>
      <c r="AK49" s="160">
        <f t="shared" si="20"/>
        <v>0</v>
      </c>
    </row>
    <row r="50" spans="1:37" ht="15">
      <c r="A50" s="299" t="str">
        <f>'資金繰り実績予定表（詳細）'!A49</f>
        <v>その他財務支出</v>
      </c>
      <c r="B50" s="160">
        <f>資金繰り予定表!B49</f>
        <v>0</v>
      </c>
      <c r="C50" s="160">
        <f>資金繰り実績表!B41</f>
        <v>0</v>
      </c>
      <c r="D50" s="160">
        <f t="shared" si="22"/>
        <v>0</v>
      </c>
      <c r="E50" s="190">
        <f>資金繰り予定表!C49</f>
        <v>0</v>
      </c>
      <c r="F50" s="160">
        <f>資金繰り実績表!C41</f>
        <v>0</v>
      </c>
      <c r="G50" s="191">
        <f t="shared" si="23"/>
        <v>0</v>
      </c>
      <c r="H50" s="160">
        <f>資金繰り予定表!D49</f>
        <v>0</v>
      </c>
      <c r="I50" s="160">
        <f>資金繰り実績表!D41</f>
        <v>0</v>
      </c>
      <c r="J50" s="160">
        <f t="shared" si="24"/>
        <v>0</v>
      </c>
      <c r="K50" s="190">
        <f>資金繰り予定表!E49</f>
        <v>0</v>
      </c>
      <c r="L50" s="160">
        <f>資金繰り実績表!E41</f>
        <v>0</v>
      </c>
      <c r="M50" s="191">
        <f t="shared" si="12"/>
        <v>0</v>
      </c>
      <c r="N50" s="160">
        <f>資金繰り予定表!F49</f>
        <v>0</v>
      </c>
      <c r="O50" s="160">
        <f>資金繰り実績表!F41</f>
        <v>0</v>
      </c>
      <c r="P50" s="160">
        <f t="shared" si="13"/>
        <v>0</v>
      </c>
      <c r="Q50" s="190">
        <f>資金繰り予定表!G49</f>
        <v>0</v>
      </c>
      <c r="R50" s="160">
        <f>資金繰り実績表!G41</f>
        <v>0</v>
      </c>
      <c r="S50" s="191">
        <f t="shared" si="14"/>
        <v>0</v>
      </c>
      <c r="T50" s="160">
        <f>資金繰り予定表!H49</f>
        <v>0</v>
      </c>
      <c r="U50" s="160">
        <f>資金繰り実績表!H41</f>
        <v>0</v>
      </c>
      <c r="V50" s="160">
        <f t="shared" si="15"/>
        <v>0</v>
      </c>
      <c r="W50" s="190">
        <f>資金繰り予定表!I49</f>
        <v>0</v>
      </c>
      <c r="X50" s="160">
        <f>資金繰り実績表!I41</f>
        <v>0</v>
      </c>
      <c r="Y50" s="191">
        <f t="shared" si="16"/>
        <v>0</v>
      </c>
      <c r="Z50" s="160">
        <f>資金繰り予定表!J49</f>
        <v>0</v>
      </c>
      <c r="AA50" s="160">
        <f>資金繰り実績表!J41</f>
        <v>0</v>
      </c>
      <c r="AB50" s="160">
        <f t="shared" si="17"/>
        <v>0</v>
      </c>
      <c r="AC50" s="190">
        <f>資金繰り予定表!K49</f>
        <v>0</v>
      </c>
      <c r="AD50" s="160">
        <f>資金繰り実績表!K41</f>
        <v>0</v>
      </c>
      <c r="AE50" s="191">
        <f t="shared" si="18"/>
        <v>0</v>
      </c>
      <c r="AF50" s="160">
        <f>資金繰り予定表!L49</f>
        <v>0</v>
      </c>
      <c r="AG50" s="160">
        <f>資金繰り実績表!L41</f>
        <v>0</v>
      </c>
      <c r="AH50" s="160">
        <f t="shared" si="19"/>
        <v>0</v>
      </c>
      <c r="AI50" s="190">
        <f>資金繰り予定表!M49</f>
        <v>0</v>
      </c>
      <c r="AJ50" s="160">
        <f>資金繰り実績表!M41</f>
        <v>0</v>
      </c>
      <c r="AK50" s="160">
        <f t="shared" si="20"/>
        <v>0</v>
      </c>
    </row>
    <row r="51" spans="1:37" ht="15">
      <c r="A51" s="184" t="s">
        <v>56</v>
      </c>
      <c r="B51" s="165">
        <f>資金繰り予定表!B50</f>
        <v>1975508</v>
      </c>
      <c r="C51" s="165">
        <f>SUM(C46:C50)</f>
        <v>1975508</v>
      </c>
      <c r="D51" s="165">
        <f t="shared" si="22"/>
        <v>0</v>
      </c>
      <c r="E51" s="192">
        <f>資金繰り予定表!C50</f>
        <v>0</v>
      </c>
      <c r="F51" s="165">
        <f>SUM(F46:F50)</f>
        <v>0</v>
      </c>
      <c r="G51" s="193">
        <f t="shared" si="23"/>
        <v>0</v>
      </c>
      <c r="H51" s="165">
        <f>資金繰り予定表!D50</f>
        <v>4329836</v>
      </c>
      <c r="I51" s="165">
        <f>SUM(I46:I49)</f>
        <v>4329836</v>
      </c>
      <c r="J51" s="165">
        <f t="shared" si="24"/>
        <v>0</v>
      </c>
      <c r="K51" s="192">
        <f>資金繰り予定表!E50</f>
        <v>2091121</v>
      </c>
      <c r="L51" s="165">
        <f>SUM(L46:L49)</f>
        <v>2091121</v>
      </c>
      <c r="M51" s="193">
        <f t="shared" si="12"/>
        <v>0</v>
      </c>
      <c r="N51" s="165">
        <f>資金繰り予定表!F50</f>
        <v>0</v>
      </c>
      <c r="O51" s="165">
        <f>SUM(O46:O49)</f>
        <v>0</v>
      </c>
      <c r="P51" s="165">
        <f t="shared" si="13"/>
        <v>0</v>
      </c>
      <c r="Q51" s="192">
        <f>資金繰り予定表!G50</f>
        <v>45492658</v>
      </c>
      <c r="R51" s="165">
        <f>SUM(R46:R49)</f>
        <v>45492658</v>
      </c>
      <c r="S51" s="193">
        <f t="shared" si="14"/>
        <v>0</v>
      </c>
      <c r="T51" s="165">
        <f>資金繰り予定表!H50</f>
        <v>32323691</v>
      </c>
      <c r="U51" s="165">
        <f>SUM(U46:U49)</f>
        <v>32323691</v>
      </c>
      <c r="V51" s="165">
        <f t="shared" si="15"/>
        <v>0</v>
      </c>
      <c r="W51" s="192">
        <f>資金繰り予定表!I50</f>
        <v>2318780</v>
      </c>
      <c r="X51" s="165">
        <f>SUM(X46:X49)</f>
        <v>2318780</v>
      </c>
      <c r="Y51" s="193">
        <f t="shared" si="16"/>
        <v>0</v>
      </c>
      <c r="Z51" s="165">
        <f>資金繰り予定表!J50</f>
        <v>3697164</v>
      </c>
      <c r="AA51" s="165">
        <f>SUM(AA46:AA49)</f>
        <v>3697164</v>
      </c>
      <c r="AB51" s="165">
        <f t="shared" si="17"/>
        <v>0</v>
      </c>
      <c r="AC51" s="192">
        <f>資金繰り予定表!K50</f>
        <v>0</v>
      </c>
      <c r="AD51" s="165">
        <f>SUM(AD46:AD49)</f>
        <v>0</v>
      </c>
      <c r="AE51" s="193">
        <f t="shared" si="18"/>
        <v>0</v>
      </c>
      <c r="AF51" s="165">
        <f>資金繰り予定表!L50</f>
        <v>0</v>
      </c>
      <c r="AG51" s="165">
        <f>SUM(AG46:AG49)</f>
        <v>0</v>
      </c>
      <c r="AH51" s="165">
        <f t="shared" si="19"/>
        <v>0</v>
      </c>
      <c r="AI51" s="192">
        <f>資金繰り予定表!M50</f>
        <v>0</v>
      </c>
      <c r="AJ51" s="165">
        <f>SUM(AJ46:AJ49)</f>
        <v>0</v>
      </c>
      <c r="AK51" s="165">
        <f t="shared" si="20"/>
        <v>0</v>
      </c>
    </row>
    <row r="52" spans="1:37" ht="15">
      <c r="A52" s="184" t="s">
        <v>57</v>
      </c>
      <c r="B52" s="165">
        <f>資金繰り予定表!B51</f>
        <v>9159876</v>
      </c>
      <c r="C52" s="165">
        <f>C45-C51</f>
        <v>9159876</v>
      </c>
      <c r="D52" s="165">
        <f t="shared" si="22"/>
        <v>0</v>
      </c>
      <c r="E52" s="192">
        <f>資金繰り予定表!C51</f>
        <v>6823</v>
      </c>
      <c r="F52" s="165">
        <f>F45-F51</f>
        <v>6823</v>
      </c>
      <c r="G52" s="193">
        <f t="shared" si="23"/>
        <v>0</v>
      </c>
      <c r="H52" s="165">
        <f>資金繰り予定表!D51</f>
        <v>-4327390</v>
      </c>
      <c r="I52" s="165">
        <f>I45-I51</f>
        <v>-4327390</v>
      </c>
      <c r="J52" s="165">
        <f t="shared" si="24"/>
        <v>0</v>
      </c>
      <c r="K52" s="192">
        <f>資金繰り予定表!E51</f>
        <v>-2091121</v>
      </c>
      <c r="L52" s="165">
        <f>L45-L51</f>
        <v>-2091121</v>
      </c>
      <c r="M52" s="193">
        <f t="shared" si="12"/>
        <v>0</v>
      </c>
      <c r="N52" s="165">
        <f>資金繰り予定表!F51</f>
        <v>0</v>
      </c>
      <c r="O52" s="165">
        <f>O45-O51</f>
        <v>0</v>
      </c>
      <c r="P52" s="165">
        <f t="shared" si="13"/>
        <v>0</v>
      </c>
      <c r="Q52" s="192">
        <f>資金繰り予定表!G51</f>
        <v>20558346</v>
      </c>
      <c r="R52" s="165">
        <f>R45-R51</f>
        <v>20558346</v>
      </c>
      <c r="S52" s="193">
        <f t="shared" si="14"/>
        <v>0</v>
      </c>
      <c r="T52" s="165">
        <f>資金繰り予定表!H51</f>
        <v>-3456191</v>
      </c>
      <c r="U52" s="165">
        <f>U45-U51</f>
        <v>-3456191</v>
      </c>
      <c r="V52" s="165">
        <f t="shared" si="15"/>
        <v>0</v>
      </c>
      <c r="W52" s="192">
        <f>資金繰り予定表!I51</f>
        <v>-2313747</v>
      </c>
      <c r="X52" s="165">
        <f>X45-X51</f>
        <v>-2313747</v>
      </c>
      <c r="Y52" s="193">
        <f t="shared" si="16"/>
        <v>0</v>
      </c>
      <c r="Z52" s="165">
        <f>資金繰り予定表!J51</f>
        <v>-3696126</v>
      </c>
      <c r="AA52" s="165">
        <f>AA45-AA51</f>
        <v>-3696126</v>
      </c>
      <c r="AB52" s="165">
        <f t="shared" si="17"/>
        <v>0</v>
      </c>
      <c r="AC52" s="192">
        <f>資金繰り予定表!K51</f>
        <v>0</v>
      </c>
      <c r="AD52" s="165">
        <f>AD45-AD51</f>
        <v>0</v>
      </c>
      <c r="AE52" s="193">
        <f t="shared" si="18"/>
        <v>0</v>
      </c>
      <c r="AF52" s="165">
        <f>資金繰り予定表!L51</f>
        <v>0</v>
      </c>
      <c r="AG52" s="165">
        <f>AG45-AG51</f>
        <v>0</v>
      </c>
      <c r="AH52" s="165">
        <f t="shared" si="19"/>
        <v>0</v>
      </c>
      <c r="AI52" s="192">
        <f>資金繰り予定表!M51</f>
        <v>0</v>
      </c>
      <c r="AJ52" s="165">
        <f>AJ45-AJ51</f>
        <v>0</v>
      </c>
      <c r="AK52" s="165">
        <f t="shared" si="20"/>
        <v>0</v>
      </c>
    </row>
    <row r="53" spans="1:37" ht="15">
      <c r="A53" s="300" t="s">
        <v>58</v>
      </c>
      <c r="B53" s="194">
        <f>資金繰り予定表!B52</f>
        <v>4299814</v>
      </c>
      <c r="C53" s="194">
        <f>C28+C39+C52</f>
        <v>4081944</v>
      </c>
      <c r="D53" s="194">
        <f t="shared" si="22"/>
        <v>-217870</v>
      </c>
      <c r="E53" s="195">
        <f>資金繰り予定表!C52</f>
        <v>3146715</v>
      </c>
      <c r="F53" s="194">
        <f>F28+F39+F52</f>
        <v>2909616</v>
      </c>
      <c r="G53" s="196">
        <f t="shared" si="23"/>
        <v>-237099</v>
      </c>
      <c r="H53" s="194">
        <f>資金繰り予定表!D52</f>
        <v>-5299572</v>
      </c>
      <c r="I53" s="194">
        <f>I28+I39+I52</f>
        <v>-5525527</v>
      </c>
      <c r="J53" s="194">
        <f t="shared" si="24"/>
        <v>-225955</v>
      </c>
      <c r="K53" s="195">
        <f>資金繰り予定表!E52</f>
        <v>4905759</v>
      </c>
      <c r="L53" s="194">
        <f>L28+L39+L52</f>
        <v>4643356</v>
      </c>
      <c r="M53" s="196">
        <f t="shared" si="12"/>
        <v>-262403</v>
      </c>
      <c r="N53" s="194">
        <f>資金繰り予定表!F52</f>
        <v>-1103433</v>
      </c>
      <c r="O53" s="194">
        <f>O28+O39+O52</f>
        <v>-1338466</v>
      </c>
      <c r="P53" s="194">
        <f t="shared" si="13"/>
        <v>-235033</v>
      </c>
      <c r="Q53" s="195">
        <f>資金繰り予定表!G52</f>
        <v>6233713</v>
      </c>
      <c r="R53" s="194">
        <f>R28+R39+R52</f>
        <v>6010484</v>
      </c>
      <c r="S53" s="196">
        <f t="shared" si="14"/>
        <v>-223229</v>
      </c>
      <c r="T53" s="194">
        <f>資金繰り予定表!H52</f>
        <v>10620510</v>
      </c>
      <c r="U53" s="194">
        <f>U28+U39+U52</f>
        <v>10300145</v>
      </c>
      <c r="V53" s="194">
        <f t="shared" si="15"/>
        <v>-320365</v>
      </c>
      <c r="W53" s="195">
        <f>資金繰り予定表!I52</f>
        <v>13143521</v>
      </c>
      <c r="X53" s="194">
        <f>X28+X39+X52</f>
        <v>12783032</v>
      </c>
      <c r="Y53" s="196">
        <f t="shared" si="16"/>
        <v>-360489</v>
      </c>
      <c r="Z53" s="194">
        <f>資金繰り予定表!J52</f>
        <v>-12825613</v>
      </c>
      <c r="AA53" s="194">
        <f>AA28+AA39+AA52</f>
        <v>-13039228</v>
      </c>
      <c r="AB53" s="194">
        <f t="shared" si="17"/>
        <v>-213615</v>
      </c>
      <c r="AC53" s="195">
        <f>資金繰り予定表!K52</f>
        <v>0</v>
      </c>
      <c r="AD53" s="194">
        <f>AD28+AD39+AD52</f>
        <v>0</v>
      </c>
      <c r="AE53" s="196">
        <f t="shared" si="18"/>
        <v>0</v>
      </c>
      <c r="AF53" s="194">
        <f>資金繰り予定表!L52</f>
        <v>0</v>
      </c>
      <c r="AG53" s="194">
        <f>AG28+AG39+AG52</f>
        <v>0</v>
      </c>
      <c r="AH53" s="194">
        <f t="shared" si="19"/>
        <v>0</v>
      </c>
      <c r="AI53" s="195">
        <f>資金繰り予定表!M52</f>
        <v>0</v>
      </c>
      <c r="AJ53" s="194">
        <f>AJ28+AJ39+AJ52</f>
        <v>0</v>
      </c>
      <c r="AK53" s="194">
        <f t="shared" si="20"/>
        <v>0</v>
      </c>
    </row>
    <row r="54" spans="1:37" ht="15">
      <c r="A54" s="300" t="s">
        <v>59</v>
      </c>
      <c r="B54" s="194">
        <f>資金繰り予定表!B53</f>
        <v>4299814</v>
      </c>
      <c r="C54" s="194">
        <f>資金繰り実績表!B42+C53</f>
        <v>4081944</v>
      </c>
      <c r="D54" s="194">
        <f t="shared" si="22"/>
        <v>-217870</v>
      </c>
      <c r="E54" s="195">
        <f>資金繰り予定表!C53</f>
        <v>7446529</v>
      </c>
      <c r="F54" s="194">
        <f>C54+F53</f>
        <v>6991560</v>
      </c>
      <c r="G54" s="196">
        <f t="shared" si="23"/>
        <v>-454969</v>
      </c>
      <c r="H54" s="194">
        <f>資金繰り予定表!D53</f>
        <v>2146957</v>
      </c>
      <c r="I54" s="194">
        <f>F54+I53</f>
        <v>1466033</v>
      </c>
      <c r="J54" s="194">
        <f t="shared" si="24"/>
        <v>-680924</v>
      </c>
      <c r="K54" s="195">
        <f>資金繰り予定表!E53</f>
        <v>7052716</v>
      </c>
      <c r="L54" s="194">
        <f>I54+L53</f>
        <v>6109389</v>
      </c>
      <c r="M54" s="196">
        <f t="shared" si="12"/>
        <v>-943327</v>
      </c>
      <c r="N54" s="194">
        <f>資金繰り予定表!F53</f>
        <v>5949283</v>
      </c>
      <c r="O54" s="194">
        <f>L54+O53</f>
        <v>4770923</v>
      </c>
      <c r="P54" s="194">
        <f t="shared" si="13"/>
        <v>-1178360</v>
      </c>
      <c r="Q54" s="195">
        <f>資金繰り予定表!G53</f>
        <v>12182996</v>
      </c>
      <c r="R54" s="194">
        <f>O54+R53</f>
        <v>10781407</v>
      </c>
      <c r="S54" s="196">
        <f t="shared" si="14"/>
        <v>-1401589</v>
      </c>
      <c r="T54" s="194">
        <f>資金繰り予定表!H53</f>
        <v>22803506</v>
      </c>
      <c r="U54" s="194">
        <f>R54+U53</f>
        <v>21081552</v>
      </c>
      <c r="V54" s="194">
        <f t="shared" si="15"/>
        <v>-1721954</v>
      </c>
      <c r="W54" s="195">
        <f>資金繰り予定表!I53</f>
        <v>35947027</v>
      </c>
      <c r="X54" s="194">
        <f>U54+X53</f>
        <v>33864584</v>
      </c>
      <c r="Y54" s="196">
        <f t="shared" si="16"/>
        <v>-2082443</v>
      </c>
      <c r="Z54" s="194">
        <f>資金繰り予定表!J53</f>
        <v>23121414</v>
      </c>
      <c r="AA54" s="194">
        <f>X54+AA53</f>
        <v>20825356</v>
      </c>
      <c r="AB54" s="194">
        <f t="shared" si="17"/>
        <v>-2296058</v>
      </c>
      <c r="AC54" s="195">
        <f>資金繰り予定表!K53</f>
        <v>23121414</v>
      </c>
      <c r="AD54" s="194">
        <f>AA54+AD53</f>
        <v>20825356</v>
      </c>
      <c r="AE54" s="196">
        <f t="shared" si="18"/>
        <v>-2296058</v>
      </c>
      <c r="AF54" s="194">
        <f>資金繰り予定表!L53</f>
        <v>23121414</v>
      </c>
      <c r="AG54" s="194">
        <f>AD54+AG53</f>
        <v>20825356</v>
      </c>
      <c r="AH54" s="194">
        <f t="shared" si="19"/>
        <v>-2296058</v>
      </c>
      <c r="AI54" s="195">
        <f>資金繰り予定表!M53</f>
        <v>23121414</v>
      </c>
      <c r="AJ54" s="194">
        <f>AG54+AJ53</f>
        <v>20825356</v>
      </c>
      <c r="AK54" s="194">
        <f t="shared" si="20"/>
        <v>-2296058</v>
      </c>
    </row>
    <row r="55" spans="1:37" ht="15">
      <c r="AE55" s="153"/>
      <c r="AF55" s="153"/>
      <c r="AG55" s="153"/>
      <c r="AH55" s="153"/>
      <c r="AI55" s="153"/>
      <c r="AJ55" s="153"/>
      <c r="AK55" s="153"/>
    </row>
  </sheetData>
  <phoneticPr fontId="14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FF00"/>
    <outlinePr summaryBelow="0" summaryRight="0"/>
  </sheetPr>
  <dimension ref="A1:M42"/>
  <sheetViews>
    <sheetView workbookViewId="0"/>
  </sheetViews>
  <sheetFormatPr defaultColWidth="12.6640625" defaultRowHeight="15.75" customHeight="1"/>
  <cols>
    <col min="1" max="1" width="29.44140625" customWidth="1"/>
  </cols>
  <sheetData>
    <row r="1" spans="1:13" ht="15.75" customHeight="1">
      <c r="A1" s="1" t="s">
        <v>43</v>
      </c>
      <c r="B1" s="2">
        <v>45474</v>
      </c>
      <c r="C1" s="2">
        <v>45505</v>
      </c>
      <c r="D1" s="2">
        <v>45536</v>
      </c>
      <c r="E1" s="2">
        <v>45566</v>
      </c>
      <c r="F1" s="2">
        <v>45597</v>
      </c>
      <c r="G1" s="2">
        <v>45627</v>
      </c>
      <c r="H1" s="2">
        <v>45658</v>
      </c>
      <c r="I1" s="2">
        <v>45689</v>
      </c>
      <c r="J1" s="2">
        <v>45717</v>
      </c>
      <c r="K1" s="2">
        <v>45748</v>
      </c>
      <c r="L1" s="2">
        <v>45778</v>
      </c>
      <c r="M1" s="2">
        <v>45809</v>
      </c>
    </row>
    <row r="2" spans="1:13" ht="15.75" customHeight="1">
      <c r="A2" s="1" t="s">
        <v>2</v>
      </c>
      <c r="B2" s="1">
        <v>5467668</v>
      </c>
      <c r="C2" s="1">
        <v>5241766</v>
      </c>
      <c r="D2" s="1">
        <v>5982156</v>
      </c>
      <c r="E2" s="1">
        <v>6099324</v>
      </c>
      <c r="F2" s="1">
        <v>5879537</v>
      </c>
      <c r="G2" s="1">
        <v>6638153</v>
      </c>
      <c r="H2" s="1">
        <v>6318372</v>
      </c>
      <c r="I2" s="1">
        <v>6273273</v>
      </c>
      <c r="J2" s="1">
        <v>6201491</v>
      </c>
      <c r="K2" s="1">
        <v>8339894</v>
      </c>
      <c r="L2" s="1">
        <v>6117159</v>
      </c>
      <c r="M2" s="1">
        <v>6134060</v>
      </c>
    </row>
    <row r="3" spans="1:13" ht="15.75" customHeight="1">
      <c r="A3" s="1" t="s">
        <v>3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</row>
    <row r="4" spans="1:13" ht="15.75" customHeight="1">
      <c r="A4" s="1" t="s">
        <v>4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</row>
    <row r="5" spans="1:13" ht="15.75" customHeight="1">
      <c r="A5" s="1" t="s">
        <v>5</v>
      </c>
      <c r="B5" s="1">
        <v>1227871</v>
      </c>
      <c r="C5" s="1">
        <v>1208692</v>
      </c>
      <c r="D5" s="1">
        <v>1184090</v>
      </c>
      <c r="E5" s="1">
        <v>1418042</v>
      </c>
      <c r="F5" s="1">
        <v>1229568</v>
      </c>
      <c r="G5" s="1">
        <v>1258576</v>
      </c>
      <c r="H5" s="1">
        <v>1146290</v>
      </c>
      <c r="I5" s="1">
        <v>1364381</v>
      </c>
      <c r="J5" s="1">
        <v>1286468</v>
      </c>
      <c r="K5" s="1">
        <v>1333162</v>
      </c>
      <c r="L5" s="1">
        <v>1346457</v>
      </c>
      <c r="M5" s="1">
        <v>1362225</v>
      </c>
    </row>
    <row r="6" spans="1:13" ht="15.75" customHeight="1">
      <c r="A6" s="1" t="s">
        <v>6</v>
      </c>
      <c r="B6" s="1">
        <v>960788</v>
      </c>
      <c r="C6" s="1">
        <v>858888</v>
      </c>
      <c r="D6" s="1">
        <v>1082218</v>
      </c>
      <c r="E6" s="1">
        <v>1282218</v>
      </c>
      <c r="F6" s="1">
        <v>1042218</v>
      </c>
      <c r="G6" s="1">
        <v>1861079</v>
      </c>
      <c r="H6" s="1">
        <v>1015684</v>
      </c>
      <c r="I6" s="1">
        <v>1140448</v>
      </c>
      <c r="J6" s="1">
        <v>1127668</v>
      </c>
      <c r="K6" s="1">
        <v>1105543</v>
      </c>
      <c r="L6" s="1">
        <v>1491579</v>
      </c>
      <c r="M6" s="1">
        <v>1090673</v>
      </c>
    </row>
    <row r="7" spans="1:13" ht="15.75" customHeight="1">
      <c r="A7" s="1" t="s">
        <v>7</v>
      </c>
      <c r="B7" s="1">
        <v>1218398</v>
      </c>
      <c r="C7" s="1">
        <v>0</v>
      </c>
      <c r="D7" s="1">
        <v>472488</v>
      </c>
      <c r="E7" s="1">
        <v>236244</v>
      </c>
      <c r="F7" s="1">
        <v>0</v>
      </c>
      <c r="G7" s="1">
        <v>236244</v>
      </c>
      <c r="H7" s="1">
        <v>1309022</v>
      </c>
      <c r="I7" s="1">
        <v>285518</v>
      </c>
      <c r="J7" s="1">
        <v>285518</v>
      </c>
      <c r="K7" s="1">
        <v>313029</v>
      </c>
      <c r="L7" s="1">
        <v>0</v>
      </c>
      <c r="M7" s="1">
        <v>568258</v>
      </c>
    </row>
    <row r="8" spans="1:13" ht="15.75" customHeight="1">
      <c r="A8" s="1" t="s">
        <v>8</v>
      </c>
      <c r="B8" s="1">
        <v>2129339</v>
      </c>
      <c r="C8" s="1">
        <v>1811721</v>
      </c>
      <c r="D8" s="1">
        <v>1516787</v>
      </c>
      <c r="E8" s="1">
        <v>1629145</v>
      </c>
      <c r="F8" s="1">
        <v>1671595</v>
      </c>
      <c r="G8" s="1">
        <v>1911518</v>
      </c>
      <c r="H8" s="1">
        <v>2005211</v>
      </c>
      <c r="I8" s="1">
        <v>1774520</v>
      </c>
      <c r="J8" s="1">
        <v>1927026</v>
      </c>
      <c r="K8" s="1">
        <v>1907837</v>
      </c>
      <c r="L8" s="1">
        <v>1906290</v>
      </c>
      <c r="M8" s="1">
        <v>1877681</v>
      </c>
    </row>
    <row r="9" spans="1:13" ht="15.75" customHeight="1">
      <c r="A9" s="1" t="s">
        <v>9</v>
      </c>
      <c r="B9" s="1">
        <v>16500</v>
      </c>
      <c r="C9" s="1">
        <v>15270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</row>
    <row r="10" spans="1:13" ht="15.75" customHeight="1">
      <c r="A10" s="1" t="s">
        <v>10</v>
      </c>
      <c r="B10" s="1">
        <v>0</v>
      </c>
      <c r="C10" s="1">
        <v>74000</v>
      </c>
      <c r="D10" s="1">
        <v>74250</v>
      </c>
      <c r="E10" s="1">
        <v>14080</v>
      </c>
      <c r="F10" s="1">
        <v>37100</v>
      </c>
      <c r="G10" s="1">
        <v>0</v>
      </c>
      <c r="H10" s="1">
        <v>75700</v>
      </c>
      <c r="I10" s="1">
        <v>81660</v>
      </c>
      <c r="J10" s="1">
        <v>36700</v>
      </c>
      <c r="K10" s="1">
        <v>0</v>
      </c>
      <c r="L10" s="1">
        <v>0</v>
      </c>
      <c r="M10" s="1">
        <v>32230</v>
      </c>
    </row>
    <row r="11" spans="1:13" ht="15.75" customHeight="1">
      <c r="A11" s="1" t="s">
        <v>11</v>
      </c>
      <c r="B11" s="1">
        <v>12300</v>
      </c>
      <c r="C11" s="1">
        <v>12300</v>
      </c>
      <c r="D11" s="1">
        <v>12300</v>
      </c>
      <c r="E11" s="1">
        <v>12300</v>
      </c>
      <c r="F11" s="1">
        <v>12300</v>
      </c>
      <c r="G11" s="1">
        <v>12300</v>
      </c>
      <c r="H11" s="1">
        <v>0</v>
      </c>
      <c r="I11" s="1">
        <v>3300</v>
      </c>
      <c r="J11" s="1">
        <v>3300</v>
      </c>
      <c r="K11" s="1">
        <v>0</v>
      </c>
      <c r="L11" s="1">
        <v>6600</v>
      </c>
      <c r="M11" s="1">
        <v>3300</v>
      </c>
    </row>
    <row r="12" spans="1:13" ht="15.75" customHeight="1">
      <c r="A12" s="1" t="s">
        <v>12</v>
      </c>
      <c r="B12" s="1">
        <v>12860</v>
      </c>
      <c r="C12" s="1">
        <v>66780</v>
      </c>
      <c r="D12" s="1">
        <v>12750</v>
      </c>
      <c r="E12" s="1">
        <v>12750</v>
      </c>
      <c r="F12" s="1">
        <v>12750</v>
      </c>
      <c r="G12" s="1">
        <v>12750</v>
      </c>
      <c r="H12" s="1">
        <v>12750</v>
      </c>
      <c r="I12" s="1">
        <v>12750</v>
      </c>
      <c r="J12" s="1">
        <v>12750</v>
      </c>
      <c r="K12" s="1">
        <v>12750</v>
      </c>
      <c r="L12" s="1">
        <v>12750</v>
      </c>
      <c r="M12" s="1">
        <v>88770</v>
      </c>
    </row>
    <row r="13" spans="1:13" ht="15.75" customHeight="1">
      <c r="A13" s="1" t="s">
        <v>13</v>
      </c>
      <c r="B13" s="1">
        <v>37720</v>
      </c>
      <c r="C13" s="1">
        <v>238300</v>
      </c>
      <c r="D13" s="1">
        <v>238300</v>
      </c>
      <c r="E13" s="1">
        <v>238300</v>
      </c>
      <c r="F13" s="1">
        <v>238300</v>
      </c>
      <c r="G13" s="1">
        <v>188405</v>
      </c>
      <c r="H13" s="1">
        <v>193905</v>
      </c>
      <c r="I13" s="1">
        <v>243405</v>
      </c>
      <c r="J13" s="1">
        <v>214585</v>
      </c>
      <c r="K13" s="1">
        <v>206885</v>
      </c>
      <c r="L13" s="1">
        <v>242085</v>
      </c>
      <c r="M13" s="1">
        <v>212385</v>
      </c>
    </row>
    <row r="14" spans="1:13" ht="15.75" customHeight="1">
      <c r="A14" s="1" t="s">
        <v>14</v>
      </c>
      <c r="B14" s="1">
        <v>1908580</v>
      </c>
      <c r="C14" s="1">
        <v>10000</v>
      </c>
      <c r="D14" s="1">
        <v>10000</v>
      </c>
      <c r="E14" s="1">
        <v>10000</v>
      </c>
      <c r="F14" s="1">
        <v>10000</v>
      </c>
      <c r="G14" s="1">
        <v>10000</v>
      </c>
      <c r="H14" s="1">
        <v>10000</v>
      </c>
      <c r="I14" s="1">
        <v>10000</v>
      </c>
      <c r="J14" s="1">
        <v>10000</v>
      </c>
      <c r="K14" s="1">
        <v>10000</v>
      </c>
      <c r="L14" s="1">
        <v>10000</v>
      </c>
      <c r="M14" s="1">
        <v>43000</v>
      </c>
    </row>
    <row r="15" spans="1:13" ht="15.75" customHeight="1">
      <c r="A15" s="1" t="s">
        <v>15</v>
      </c>
      <c r="B15" s="1">
        <v>65800</v>
      </c>
      <c r="C15" s="1">
        <v>65800</v>
      </c>
      <c r="D15" s="1">
        <v>65800</v>
      </c>
      <c r="E15" s="1">
        <v>65800</v>
      </c>
      <c r="F15" s="1">
        <v>82960</v>
      </c>
      <c r="G15" s="1">
        <v>65800</v>
      </c>
      <c r="H15" s="1">
        <v>65800</v>
      </c>
      <c r="I15" s="1">
        <v>65800</v>
      </c>
      <c r="J15" s="1">
        <v>65800</v>
      </c>
      <c r="K15" s="1">
        <v>65800</v>
      </c>
      <c r="L15" s="1">
        <v>65800</v>
      </c>
      <c r="M15" s="1">
        <v>65800</v>
      </c>
    </row>
    <row r="16" spans="1:13" ht="15.75" customHeight="1">
      <c r="A16" s="1" t="s">
        <v>16</v>
      </c>
      <c r="B16" s="1">
        <v>0</v>
      </c>
      <c r="C16" s="1">
        <v>0</v>
      </c>
      <c r="D16" s="1">
        <v>135410</v>
      </c>
      <c r="E16" s="1">
        <v>0</v>
      </c>
      <c r="F16" s="1">
        <v>0</v>
      </c>
      <c r="G16" s="1">
        <v>72659</v>
      </c>
      <c r="H16" s="1">
        <v>0</v>
      </c>
      <c r="I16" s="1">
        <v>0</v>
      </c>
      <c r="J16" s="1">
        <v>21835</v>
      </c>
      <c r="K16" s="1">
        <v>590810</v>
      </c>
      <c r="L16" s="1">
        <v>0</v>
      </c>
      <c r="M16" s="1">
        <v>1100</v>
      </c>
    </row>
    <row r="17" spans="1:13" ht="15.75" customHeight="1">
      <c r="A17" s="1" t="s">
        <v>17</v>
      </c>
      <c r="B17" s="1">
        <v>5960</v>
      </c>
      <c r="C17" s="1">
        <v>4825</v>
      </c>
      <c r="D17" s="1">
        <v>5890</v>
      </c>
      <c r="E17" s="1">
        <v>4930</v>
      </c>
      <c r="F17" s="1">
        <v>4610</v>
      </c>
      <c r="G17" s="1">
        <v>5090</v>
      </c>
      <c r="H17" s="1">
        <v>5035</v>
      </c>
      <c r="I17" s="1">
        <v>5570</v>
      </c>
      <c r="J17" s="1">
        <v>5410</v>
      </c>
      <c r="K17" s="1">
        <v>5250</v>
      </c>
      <c r="L17" s="1">
        <v>5360</v>
      </c>
      <c r="M17" s="1">
        <v>4665</v>
      </c>
    </row>
    <row r="18" spans="1:13" ht="15.75" customHeight="1">
      <c r="A18" s="1" t="s">
        <v>18</v>
      </c>
      <c r="B18" s="1">
        <v>71950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23400</v>
      </c>
      <c r="M18" s="1">
        <v>0</v>
      </c>
    </row>
    <row r="19" spans="1:13" ht="15.75" customHeight="1">
      <c r="A19" s="1" t="s">
        <v>19</v>
      </c>
      <c r="B19" s="1">
        <v>115500</v>
      </c>
      <c r="C19" s="1">
        <v>0</v>
      </c>
      <c r="D19" s="1">
        <v>64680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</row>
    <row r="20" spans="1:13" ht="15.75" customHeight="1">
      <c r="A20" s="1" t="s">
        <v>20</v>
      </c>
      <c r="B20" s="1">
        <v>60000</v>
      </c>
      <c r="C20" s="1">
        <v>102000</v>
      </c>
      <c r="D20" s="1">
        <v>0</v>
      </c>
      <c r="E20" s="1">
        <v>131000</v>
      </c>
      <c r="F20" s="1">
        <v>0</v>
      </c>
      <c r="G20" s="1">
        <v>203000</v>
      </c>
      <c r="H20" s="1">
        <v>127000</v>
      </c>
      <c r="I20" s="1">
        <v>203000</v>
      </c>
      <c r="J20" s="1">
        <v>30000</v>
      </c>
      <c r="K20" s="1">
        <v>0</v>
      </c>
      <c r="L20" s="1">
        <v>0</v>
      </c>
      <c r="M20" s="1">
        <v>0</v>
      </c>
    </row>
    <row r="21" spans="1:13" ht="15.75" customHeight="1">
      <c r="A21" s="1" t="s">
        <v>21</v>
      </c>
      <c r="B21" s="1">
        <v>577969</v>
      </c>
      <c r="C21" s="1">
        <v>681452</v>
      </c>
      <c r="D21" s="1">
        <v>564856</v>
      </c>
      <c r="E21" s="1">
        <v>2427731</v>
      </c>
      <c r="F21" s="1">
        <v>523042</v>
      </c>
      <c r="G21" s="1">
        <v>502377</v>
      </c>
      <c r="H21" s="1">
        <v>594457</v>
      </c>
      <c r="I21" s="1">
        <v>1040015</v>
      </c>
      <c r="J21" s="1">
        <v>549594</v>
      </c>
      <c r="K21" s="1">
        <v>443953</v>
      </c>
      <c r="L21" s="1">
        <v>669040</v>
      </c>
      <c r="M21" s="1">
        <v>900002</v>
      </c>
    </row>
    <row r="22" spans="1:13" ht="15.75" customHeight="1">
      <c r="A22" s="1" t="s">
        <v>22</v>
      </c>
      <c r="B22" s="1">
        <v>0</v>
      </c>
      <c r="C22" s="1">
        <v>0</v>
      </c>
      <c r="D22" s="1">
        <v>0</v>
      </c>
      <c r="E22" s="1">
        <v>200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101500</v>
      </c>
      <c r="L22" s="1">
        <v>132000</v>
      </c>
      <c r="M22" s="1">
        <v>101500</v>
      </c>
    </row>
    <row r="23" spans="1:13" ht="15.75" customHeight="1">
      <c r="A23" s="1" t="s">
        <v>23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</row>
    <row r="24" spans="1:13" ht="15.75" customHeight="1">
      <c r="A24" s="1" t="s">
        <v>24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</row>
    <row r="25" spans="1:13" ht="15.75" customHeight="1">
      <c r="A25" s="1" t="s">
        <v>25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</row>
    <row r="26" spans="1:13" ht="15.75" customHeight="1">
      <c r="A26" s="1" t="s">
        <v>26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</row>
    <row r="27" spans="1:13" ht="15.75" customHeight="1">
      <c r="A27" s="1" t="s">
        <v>27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36300</v>
      </c>
      <c r="H27" s="1">
        <v>30833</v>
      </c>
      <c r="I27" s="1">
        <v>24600</v>
      </c>
      <c r="J27" s="1">
        <v>0</v>
      </c>
      <c r="K27" s="1">
        <v>0</v>
      </c>
      <c r="L27" s="1">
        <v>0</v>
      </c>
      <c r="M27" s="1">
        <v>0</v>
      </c>
    </row>
    <row r="28" spans="1:13" ht="15.75" customHeight="1">
      <c r="A28" s="1" t="s">
        <v>28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</row>
    <row r="29" spans="1:13" ht="15.75" customHeight="1">
      <c r="A29" s="1" t="s">
        <v>29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</row>
    <row r="30" spans="1:13" ht="15.75" customHeight="1">
      <c r="A30" s="1" t="s">
        <v>30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779200</v>
      </c>
      <c r="J30" s="1">
        <v>0</v>
      </c>
      <c r="K30" s="1">
        <v>0</v>
      </c>
      <c r="L30" s="1">
        <v>0</v>
      </c>
      <c r="M30" s="1">
        <v>0</v>
      </c>
    </row>
    <row r="31" spans="1:13" ht="15.75" customHeight="1">
      <c r="A31" s="1" t="s">
        <v>31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726000</v>
      </c>
    </row>
    <row r="32" spans="1:13" ht="15.75" customHeight="1">
      <c r="A32" s="1" t="s">
        <v>32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</row>
    <row r="33" spans="1:13" ht="15.75" customHeight="1">
      <c r="A33" s="1" t="s">
        <v>33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5051464</v>
      </c>
    </row>
    <row r="34" spans="1:13" ht="15.75" customHeight="1">
      <c r="A34" s="1" t="s">
        <v>34</v>
      </c>
      <c r="B34" s="1">
        <v>101900</v>
      </c>
      <c r="C34" s="1">
        <v>0</v>
      </c>
      <c r="D34" s="1">
        <v>202300</v>
      </c>
      <c r="E34" s="1">
        <v>280000</v>
      </c>
      <c r="F34" s="1">
        <v>60000</v>
      </c>
      <c r="G34" s="1">
        <v>228980</v>
      </c>
      <c r="H34" s="1">
        <v>30000</v>
      </c>
      <c r="I34" s="1">
        <v>30000</v>
      </c>
      <c r="J34" s="1">
        <v>1000000</v>
      </c>
      <c r="K34" s="1">
        <v>30000</v>
      </c>
      <c r="L34" s="1">
        <v>30000</v>
      </c>
      <c r="M34" s="1">
        <v>797800</v>
      </c>
    </row>
    <row r="35" spans="1:13" ht="15.75" customHeight="1">
      <c r="A35" s="1" t="s">
        <v>35</v>
      </c>
      <c r="B35" s="1">
        <v>37</v>
      </c>
      <c r="C35" s="1">
        <v>58</v>
      </c>
      <c r="D35" s="1">
        <v>441</v>
      </c>
      <c r="E35" s="1">
        <v>35</v>
      </c>
      <c r="F35" s="1">
        <v>126</v>
      </c>
      <c r="G35" s="1">
        <v>110</v>
      </c>
      <c r="H35" s="1">
        <v>162</v>
      </c>
      <c r="I35" s="1">
        <v>165</v>
      </c>
      <c r="J35" s="1">
        <v>1136</v>
      </c>
      <c r="K35" s="1">
        <v>293</v>
      </c>
      <c r="L35" s="1">
        <v>405</v>
      </c>
      <c r="M35" s="1">
        <v>1084</v>
      </c>
    </row>
    <row r="36" spans="1:13" ht="15.75" customHeight="1">
      <c r="A36" s="1" t="s">
        <v>36</v>
      </c>
      <c r="B36" s="1">
        <v>0</v>
      </c>
      <c r="C36" s="1">
        <v>0</v>
      </c>
      <c r="D36" s="1">
        <v>262463</v>
      </c>
      <c r="E36" s="1">
        <v>67900</v>
      </c>
      <c r="F36" s="1">
        <v>19900</v>
      </c>
      <c r="G36" s="1">
        <v>0</v>
      </c>
      <c r="H36" s="1">
        <v>0</v>
      </c>
      <c r="I36" s="1">
        <v>0</v>
      </c>
      <c r="J36" s="1">
        <v>0</v>
      </c>
      <c r="K36" s="1">
        <v>15000</v>
      </c>
      <c r="L36" s="1">
        <v>0</v>
      </c>
      <c r="M36" s="1">
        <v>0</v>
      </c>
    </row>
    <row r="37" spans="1:13" ht="15.75" customHeight="1">
      <c r="A37" s="1" t="s">
        <v>37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</row>
    <row r="38" spans="1:13" ht="15.75" customHeight="1">
      <c r="A38" s="1" t="s">
        <v>38</v>
      </c>
      <c r="B38" s="1">
        <v>590232</v>
      </c>
      <c r="C38" s="1">
        <v>461413</v>
      </c>
      <c r="D38" s="1">
        <v>588726</v>
      </c>
      <c r="E38" s="1">
        <v>525591</v>
      </c>
      <c r="F38" s="1">
        <v>461308</v>
      </c>
      <c r="G38" s="1">
        <v>525763</v>
      </c>
      <c r="H38" s="1">
        <v>586731</v>
      </c>
      <c r="I38" s="1">
        <v>523750</v>
      </c>
      <c r="J38" s="1">
        <v>522348</v>
      </c>
      <c r="K38" s="1">
        <v>525404</v>
      </c>
      <c r="L38" s="1">
        <v>460461</v>
      </c>
      <c r="M38" s="1">
        <v>587252</v>
      </c>
    </row>
    <row r="39" spans="1:13" ht="15.75" customHeight="1">
      <c r="A39" s="1" t="s">
        <v>39</v>
      </c>
      <c r="B39" s="1">
        <v>0</v>
      </c>
      <c r="C39" s="1">
        <v>0</v>
      </c>
      <c r="D39" s="1">
        <v>416723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</row>
    <row r="40" spans="1:13" ht="15.75" customHeight="1">
      <c r="A40" s="1" t="s">
        <v>40</v>
      </c>
      <c r="B40" s="1">
        <v>6575</v>
      </c>
      <c r="C40" s="1">
        <v>7013</v>
      </c>
      <c r="D40" s="1">
        <v>6575</v>
      </c>
      <c r="E40" s="1">
        <v>6575</v>
      </c>
      <c r="F40" s="1">
        <v>7431</v>
      </c>
      <c r="G40" s="1">
        <v>7191</v>
      </c>
      <c r="H40" s="1">
        <v>7910</v>
      </c>
      <c r="I40" s="1">
        <v>6952</v>
      </c>
      <c r="J40" s="1">
        <v>6712</v>
      </c>
      <c r="K40" s="1">
        <v>7431</v>
      </c>
      <c r="L40" s="1">
        <v>8493</v>
      </c>
      <c r="M40" s="1">
        <v>8219</v>
      </c>
    </row>
    <row r="41" spans="1:13" ht="15.75" customHeight="1">
      <c r="A41" s="1" t="s">
        <v>41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</row>
    <row r="42" spans="1:13" ht="13.2">
      <c r="A42" s="1" t="s">
        <v>42</v>
      </c>
      <c r="B42" s="1">
        <v>7879295</v>
      </c>
    </row>
  </sheetData>
  <phoneticPr fontId="1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X1000"/>
  <sheetViews>
    <sheetView showGridLines="0" workbookViewId="0"/>
  </sheetViews>
  <sheetFormatPr defaultColWidth="12.6640625" defaultRowHeight="15.75" customHeight="1"/>
  <cols>
    <col min="1" max="1" width="3.109375" customWidth="1"/>
    <col min="2" max="2" width="27.44140625" customWidth="1"/>
    <col min="3" max="3" width="13.44140625" customWidth="1"/>
    <col min="4" max="4" width="12.109375" customWidth="1"/>
    <col min="5" max="5" width="15.109375" customWidth="1"/>
    <col min="6" max="11" width="12.109375" customWidth="1"/>
    <col min="12" max="12" width="13.6640625" customWidth="1"/>
    <col min="13" max="13" width="7.88671875" customWidth="1"/>
    <col min="14" max="14" width="11.21875" customWidth="1"/>
    <col min="15" max="24" width="7.88671875" customWidth="1"/>
    <col min="25" max="25" width="5.6640625" customWidth="1"/>
    <col min="26" max="26" width="7.88671875" customWidth="1"/>
    <col min="27" max="27" width="4.77734375" customWidth="1"/>
    <col min="28" max="28" width="11.77734375" customWidth="1"/>
    <col min="29" max="50" width="7.88671875" customWidth="1"/>
  </cols>
  <sheetData>
    <row r="1" spans="1:50" ht="24.75" customHeight="1">
      <c r="A1" s="16"/>
      <c r="B1" s="17"/>
      <c r="C1" s="17"/>
      <c r="D1" s="17"/>
      <c r="E1" s="17"/>
      <c r="F1" s="17"/>
      <c r="G1" s="18"/>
      <c r="H1" s="19"/>
      <c r="I1" s="17"/>
      <c r="J1" s="18"/>
      <c r="K1" s="17"/>
      <c r="L1" s="18"/>
      <c r="M1" s="20"/>
      <c r="N1" s="18"/>
      <c r="O1" s="18"/>
      <c r="P1" s="18"/>
      <c r="Q1" s="17"/>
      <c r="R1" s="18"/>
      <c r="S1" s="18"/>
      <c r="T1" s="18"/>
      <c r="U1" s="18"/>
      <c r="V1" s="18"/>
      <c r="W1" s="18"/>
      <c r="X1" s="18"/>
      <c r="Y1" s="18"/>
      <c r="Z1" s="18"/>
      <c r="AA1" s="18"/>
      <c r="AB1" s="17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</row>
    <row r="2" spans="1:50" ht="20.25" customHeight="1">
      <c r="A2" s="16"/>
      <c r="B2" s="19" t="s">
        <v>112</v>
      </c>
      <c r="C2" s="17"/>
      <c r="D2" s="18"/>
      <c r="E2" s="17"/>
      <c r="F2" s="17"/>
      <c r="G2" s="17"/>
      <c r="H2" s="17"/>
      <c r="I2" s="17"/>
      <c r="J2" s="21"/>
      <c r="K2" s="22"/>
      <c r="L2" s="18"/>
      <c r="M2" s="20"/>
      <c r="N2" s="18"/>
      <c r="O2" s="18"/>
      <c r="P2" s="18"/>
      <c r="Q2" s="17"/>
      <c r="R2" s="18"/>
      <c r="S2" s="18"/>
      <c r="T2" s="18"/>
      <c r="U2" s="18"/>
      <c r="V2" s="18"/>
      <c r="W2" s="18"/>
      <c r="X2" s="18"/>
      <c r="Y2" s="18"/>
      <c r="Z2" s="18"/>
      <c r="AA2" s="18"/>
      <c r="AB2" s="17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</row>
    <row r="3" spans="1:50" ht="18.75" customHeight="1">
      <c r="A3" s="17"/>
      <c r="B3" s="23" t="s">
        <v>113</v>
      </c>
      <c r="C3" s="24">
        <v>10000000</v>
      </c>
      <c r="D3" s="21"/>
      <c r="E3" s="330" t="s">
        <v>114</v>
      </c>
      <c r="F3" s="331"/>
      <c r="G3" s="25" t="s">
        <v>115</v>
      </c>
      <c r="H3" s="25" t="s">
        <v>116</v>
      </c>
      <c r="I3" s="25" t="s">
        <v>117</v>
      </c>
      <c r="J3" s="21"/>
      <c r="K3" s="17"/>
      <c r="L3" s="18"/>
      <c r="M3" s="20"/>
      <c r="N3" s="18"/>
      <c r="O3" s="18"/>
      <c r="P3" s="18"/>
      <c r="Q3" s="17"/>
      <c r="R3" s="18"/>
      <c r="S3" s="18"/>
      <c r="T3" s="18"/>
      <c r="U3" s="18"/>
      <c r="V3" s="18"/>
      <c r="W3" s="18"/>
      <c r="X3" s="18"/>
      <c r="Y3" s="18"/>
      <c r="Z3" s="18"/>
      <c r="AA3" s="18"/>
      <c r="AB3" s="17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</row>
    <row r="4" spans="1:50" ht="18.75" customHeight="1">
      <c r="A4" s="17"/>
      <c r="B4" s="26" t="s">
        <v>118</v>
      </c>
      <c r="C4" s="27"/>
      <c r="D4" s="21"/>
      <c r="E4" s="28" t="s">
        <v>119</v>
      </c>
      <c r="F4" s="29">
        <f>C25</f>
        <v>10000048</v>
      </c>
      <c r="G4" s="30"/>
      <c r="H4" s="30"/>
      <c r="I4" s="30"/>
      <c r="J4" s="21"/>
      <c r="K4" s="17"/>
      <c r="L4" s="18"/>
      <c r="M4" s="20"/>
      <c r="N4" s="18"/>
      <c r="O4" s="18"/>
      <c r="P4" s="18"/>
      <c r="Q4" s="17"/>
      <c r="R4" s="18"/>
      <c r="S4" s="18"/>
      <c r="T4" s="18"/>
      <c r="U4" s="18"/>
      <c r="V4" s="18"/>
      <c r="W4" s="18"/>
      <c r="X4" s="18"/>
      <c r="Y4" s="18"/>
      <c r="Z4" s="18"/>
      <c r="AA4" s="18"/>
      <c r="AB4" s="17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</row>
    <row r="5" spans="1:50" ht="18.75" customHeight="1">
      <c r="A5" s="31"/>
      <c r="B5" s="32" t="s">
        <v>120</v>
      </c>
      <c r="C5" s="33"/>
      <c r="D5" s="21"/>
      <c r="E5" s="34" t="s">
        <v>121</v>
      </c>
      <c r="F5" s="29">
        <f>IF(AV78&lt;0,0,AV78)</f>
        <v>1678000</v>
      </c>
      <c r="G5" s="30"/>
      <c r="H5" s="30"/>
      <c r="I5" s="30"/>
      <c r="J5" s="21"/>
      <c r="K5" s="16"/>
      <c r="L5" s="18"/>
      <c r="M5" s="20"/>
      <c r="N5" s="18"/>
      <c r="O5" s="18"/>
      <c r="P5" s="18"/>
      <c r="Q5" s="17"/>
      <c r="R5" s="18"/>
      <c r="S5" s="18"/>
      <c r="T5" s="18"/>
      <c r="U5" s="18"/>
      <c r="V5" s="18"/>
      <c r="W5" s="18"/>
      <c r="X5" s="18"/>
      <c r="Y5" s="18"/>
      <c r="Z5" s="18"/>
      <c r="AA5" s="18"/>
      <c r="AB5" s="17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</row>
    <row r="6" spans="1:50" ht="18.75" customHeight="1">
      <c r="A6" s="31"/>
      <c r="B6" s="35" t="s">
        <v>122</v>
      </c>
      <c r="C6" s="33">
        <v>11</v>
      </c>
      <c r="D6" s="21"/>
      <c r="E6" s="34" t="s">
        <v>123</v>
      </c>
      <c r="F6" s="17"/>
      <c r="G6" s="30"/>
      <c r="H6" s="30"/>
      <c r="I6" s="30"/>
      <c r="J6" s="21"/>
      <c r="K6" s="17"/>
      <c r="L6" s="18"/>
      <c r="M6" s="20"/>
      <c r="N6" s="18"/>
      <c r="O6" s="18"/>
      <c r="P6" s="18"/>
      <c r="Q6" s="17"/>
      <c r="R6" s="18"/>
      <c r="S6" s="18"/>
      <c r="T6" s="18"/>
      <c r="U6" s="18"/>
      <c r="V6" s="18"/>
      <c r="W6" s="18"/>
      <c r="X6" s="18"/>
      <c r="Y6" s="18"/>
      <c r="Z6" s="18"/>
      <c r="AA6" s="18"/>
      <c r="AB6" s="17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</row>
    <row r="7" spans="1:50" ht="18.75" customHeight="1">
      <c r="A7" s="17"/>
      <c r="B7" s="35" t="s">
        <v>124</v>
      </c>
      <c r="C7" s="33"/>
      <c r="D7" s="21"/>
      <c r="E7" s="34" t="s">
        <v>125</v>
      </c>
      <c r="F7" s="36">
        <v>37</v>
      </c>
      <c r="G7" s="30"/>
      <c r="H7" s="30"/>
      <c r="I7" s="30"/>
      <c r="J7" s="21"/>
      <c r="K7" s="17"/>
      <c r="L7" s="18"/>
      <c r="M7" s="20"/>
      <c r="N7" s="18"/>
      <c r="O7" s="18"/>
      <c r="P7" s="18"/>
      <c r="Q7" s="17"/>
      <c r="R7" s="18"/>
      <c r="S7" s="18"/>
      <c r="T7" s="18"/>
      <c r="U7" s="18"/>
      <c r="V7" s="18"/>
      <c r="W7" s="18"/>
      <c r="X7" s="18"/>
      <c r="Y7" s="18"/>
      <c r="Z7" s="18"/>
      <c r="AA7" s="18"/>
      <c r="AB7" s="17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</row>
    <row r="8" spans="1:50" ht="18.75" customHeight="1">
      <c r="A8" s="17"/>
      <c r="B8" s="32"/>
      <c r="C8" s="33"/>
      <c r="D8" s="21"/>
      <c r="E8" s="34" t="s">
        <v>126</v>
      </c>
      <c r="F8" s="29">
        <f>IF((F5-F6-F7)&gt;0,INT((F5-F6-F7)/100),0)*100</f>
        <v>1677900</v>
      </c>
      <c r="G8" s="37">
        <v>500000</v>
      </c>
      <c r="H8" s="30">
        <f t="shared" ref="H8:H12" si="0">F8-G8</f>
        <v>1177900</v>
      </c>
      <c r="I8" s="30">
        <f t="shared" ref="I8:I12" si="1">IF($F$8&gt;=200000,INT(ROUNDDOWN(F8/12,2)*6/100)*100,0)</f>
        <v>838900</v>
      </c>
      <c r="J8" s="21"/>
      <c r="K8" s="38"/>
      <c r="L8" s="18"/>
      <c r="M8" s="20"/>
      <c r="N8" s="18"/>
      <c r="O8" s="18"/>
      <c r="P8" s="18"/>
      <c r="Q8" s="17"/>
      <c r="R8" s="18"/>
      <c r="S8" s="18"/>
      <c r="T8" s="18"/>
      <c r="U8" s="18"/>
      <c r="V8" s="18"/>
      <c r="W8" s="18"/>
      <c r="X8" s="18"/>
      <c r="Y8" s="18"/>
      <c r="Z8" s="18"/>
      <c r="AA8" s="18"/>
      <c r="AB8" s="17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</row>
    <row r="9" spans="1:50" ht="18.75" customHeight="1">
      <c r="A9" s="17"/>
      <c r="B9" s="32"/>
      <c r="C9" s="33"/>
      <c r="D9" s="21"/>
      <c r="E9" s="34" t="s">
        <v>127</v>
      </c>
      <c r="F9" s="29">
        <f>ROUNDDOWN(ROUNDDOWN(F8,-3)*I17,-2)</f>
        <v>172700</v>
      </c>
      <c r="G9" s="37">
        <v>10000</v>
      </c>
      <c r="H9" s="30">
        <f t="shared" si="0"/>
        <v>162700</v>
      </c>
      <c r="I9" s="30">
        <f t="shared" si="1"/>
        <v>86300</v>
      </c>
      <c r="J9" s="21"/>
      <c r="K9" s="17"/>
      <c r="L9" s="18"/>
      <c r="M9" s="20"/>
      <c r="N9" s="18"/>
      <c r="O9" s="18"/>
      <c r="P9" s="18"/>
      <c r="Q9" s="17"/>
      <c r="R9" s="18"/>
      <c r="S9" s="18"/>
      <c r="T9" s="18"/>
      <c r="U9" s="18"/>
      <c r="V9" s="18"/>
      <c r="W9" s="18"/>
      <c r="X9" s="18"/>
      <c r="Y9" s="18"/>
      <c r="Z9" s="18"/>
      <c r="AA9" s="18"/>
      <c r="AB9" s="17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</row>
    <row r="10" spans="1:50" ht="18.75" customHeight="1">
      <c r="A10" s="17"/>
      <c r="B10" s="32"/>
      <c r="C10" s="33"/>
      <c r="D10" s="21"/>
      <c r="E10" s="34" t="s">
        <v>128</v>
      </c>
      <c r="F10" s="29">
        <f>IF(AV86&lt;0,0,AV86)</f>
        <v>492000</v>
      </c>
      <c r="G10" s="37">
        <v>150000</v>
      </c>
      <c r="H10" s="30">
        <f t="shared" si="0"/>
        <v>342000</v>
      </c>
      <c r="I10" s="30">
        <f t="shared" si="1"/>
        <v>246000</v>
      </c>
      <c r="J10" s="21"/>
      <c r="K10" s="17"/>
      <c r="L10" s="18"/>
      <c r="M10" s="20"/>
      <c r="N10" s="18"/>
      <c r="O10" s="18"/>
      <c r="P10" s="18"/>
      <c r="Q10" s="17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7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</row>
    <row r="11" spans="1:50" ht="18.75" customHeight="1">
      <c r="A11" s="17"/>
      <c r="B11" s="32"/>
      <c r="C11" s="33"/>
      <c r="D11" s="21"/>
      <c r="E11" s="34" t="s">
        <v>129</v>
      </c>
      <c r="F11" s="29">
        <f>INT(F10*I21/100)*100</f>
        <v>182000</v>
      </c>
      <c r="G11" s="37">
        <v>125000</v>
      </c>
      <c r="H11" s="30">
        <f t="shared" si="0"/>
        <v>57000</v>
      </c>
      <c r="I11" s="30">
        <f t="shared" si="1"/>
        <v>90900</v>
      </c>
      <c r="J11" s="21"/>
      <c r="K11" s="16"/>
      <c r="L11" s="18"/>
      <c r="M11" s="20"/>
      <c r="N11" s="18"/>
      <c r="O11" s="18"/>
      <c r="P11" s="18"/>
      <c r="Q11" s="17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7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</row>
    <row r="12" spans="1:50" ht="18.75" customHeight="1">
      <c r="A12" s="16"/>
      <c r="B12" s="32"/>
      <c r="C12" s="33"/>
      <c r="D12" s="21"/>
      <c r="E12" s="34" t="s">
        <v>130</v>
      </c>
      <c r="F12" s="29">
        <f>ROUNDDOWN(ROUNDDOWN(F8,-3)*F25,-2)+ROUNDDOWN(ROUNDDOWN(F8,-3)*F26,-2)+F27</f>
        <v>237500</v>
      </c>
      <c r="G12" s="37">
        <v>98000</v>
      </c>
      <c r="H12" s="30">
        <f t="shared" si="0"/>
        <v>139500</v>
      </c>
      <c r="I12" s="30">
        <f t="shared" si="1"/>
        <v>118700</v>
      </c>
      <c r="J12" s="21"/>
      <c r="K12" s="17"/>
      <c r="L12" s="18"/>
      <c r="M12" s="20"/>
      <c r="N12" s="18">
        <v>111</v>
      </c>
      <c r="O12" s="18"/>
      <c r="P12" s="18"/>
      <c r="Q12" s="17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7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</row>
    <row r="13" spans="1:50" ht="18.75" customHeight="1">
      <c r="A13" s="17"/>
      <c r="B13" s="23" t="s">
        <v>131</v>
      </c>
      <c r="C13" s="39">
        <f>SUM(C5:C12)</f>
        <v>11</v>
      </c>
      <c r="D13" s="21"/>
      <c r="E13" s="40" t="s">
        <v>132</v>
      </c>
      <c r="F13" s="41">
        <f t="shared" ref="F13:I13" si="2">SUM(F8:F12)</f>
        <v>2762100</v>
      </c>
      <c r="G13" s="41">
        <f t="shared" si="2"/>
        <v>883000</v>
      </c>
      <c r="H13" s="42">
        <f t="shared" si="2"/>
        <v>1879100</v>
      </c>
      <c r="I13" s="42">
        <f t="shared" si="2"/>
        <v>1380800</v>
      </c>
      <c r="J13" s="21"/>
      <c r="K13" s="17"/>
      <c r="L13" s="18"/>
      <c r="M13" s="20"/>
      <c r="N13" s="18"/>
      <c r="O13" s="18"/>
      <c r="P13" s="18"/>
      <c r="Q13" s="17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7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</row>
    <row r="14" spans="1:50" ht="18.75" customHeight="1">
      <c r="A14" s="17"/>
      <c r="B14" s="43" t="s">
        <v>133</v>
      </c>
      <c r="C14" s="27"/>
      <c r="D14" s="21"/>
      <c r="E14" s="44" t="s">
        <v>134</v>
      </c>
      <c r="F14" s="45">
        <f>IF(ISERROR(F13/F4),"",F13/F4)</f>
        <v>0.27620867419836387</v>
      </c>
      <c r="G14" s="46"/>
      <c r="H14" s="17"/>
      <c r="I14" s="17"/>
      <c r="J14" s="21"/>
      <c r="K14" s="17"/>
      <c r="L14" s="18"/>
      <c r="M14" s="20"/>
      <c r="N14" s="18"/>
      <c r="O14" s="18"/>
      <c r="P14" s="18"/>
      <c r="Q14" s="17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7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</row>
    <row r="15" spans="1:50" ht="18.75" customHeight="1">
      <c r="A15" s="17"/>
      <c r="B15" s="32" t="s">
        <v>135</v>
      </c>
      <c r="C15" s="33"/>
      <c r="D15" s="21"/>
      <c r="E15" s="17" t="s">
        <v>136</v>
      </c>
      <c r="F15" s="17" t="s">
        <v>137</v>
      </c>
      <c r="G15" s="17"/>
      <c r="H15" s="17"/>
      <c r="I15" s="17"/>
      <c r="J15" s="21"/>
      <c r="K15" s="17"/>
      <c r="L15" s="18"/>
      <c r="M15" s="20"/>
      <c r="N15" s="18"/>
      <c r="O15" s="18"/>
      <c r="P15" s="18"/>
      <c r="Q15" s="17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7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</row>
    <row r="16" spans="1:50" ht="18.75" customHeight="1">
      <c r="A16" s="16"/>
      <c r="B16" s="47" t="s">
        <v>138</v>
      </c>
      <c r="C16" s="33"/>
      <c r="D16" s="21"/>
      <c r="E16" s="48" t="s">
        <v>126</v>
      </c>
      <c r="F16" s="48"/>
      <c r="G16" s="17"/>
      <c r="H16" s="17" t="s">
        <v>127</v>
      </c>
      <c r="I16" s="17"/>
      <c r="J16" s="21"/>
      <c r="K16" s="17"/>
      <c r="L16" s="18"/>
      <c r="M16" s="20"/>
      <c r="N16" s="18"/>
      <c r="O16" s="18"/>
      <c r="P16" s="18"/>
      <c r="Q16" s="17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7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</row>
    <row r="17" spans="1:50" ht="18.75" customHeight="1">
      <c r="A17" s="17"/>
      <c r="B17" s="47" t="s">
        <v>139</v>
      </c>
      <c r="C17" s="33"/>
      <c r="D17" s="21"/>
      <c r="E17" s="49" t="s">
        <v>140</v>
      </c>
      <c r="F17" s="50">
        <v>0.15</v>
      </c>
      <c r="G17" s="17"/>
      <c r="H17" s="51"/>
      <c r="I17" s="52">
        <v>0.10299999999999999</v>
      </c>
      <c r="J17" s="21"/>
      <c r="K17" s="17"/>
      <c r="L17" s="18"/>
      <c r="M17" s="20"/>
      <c r="N17" s="18"/>
      <c r="O17" s="18"/>
      <c r="P17" s="18"/>
      <c r="Q17" s="17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7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</row>
    <row r="18" spans="1:50" ht="18.75" customHeight="1">
      <c r="A18" s="17"/>
      <c r="B18" s="32" t="s">
        <v>141</v>
      </c>
      <c r="C18" s="33"/>
      <c r="D18" s="21"/>
      <c r="E18" s="53" t="s">
        <v>142</v>
      </c>
      <c r="F18" s="54">
        <v>0.23899999999999999</v>
      </c>
      <c r="G18" s="18" t="s">
        <v>143</v>
      </c>
      <c r="H18" s="17"/>
      <c r="I18" s="17"/>
      <c r="J18" s="21"/>
      <c r="K18" s="17"/>
      <c r="L18" s="18"/>
      <c r="M18" s="20"/>
      <c r="N18" s="18"/>
      <c r="O18" s="18"/>
      <c r="P18" s="18"/>
      <c r="Q18" s="17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7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</row>
    <row r="19" spans="1:50" ht="18.75" customHeight="1">
      <c r="A19" s="17"/>
      <c r="B19" s="32"/>
      <c r="C19" s="33"/>
      <c r="D19" s="21"/>
      <c r="E19" s="48"/>
      <c r="F19" s="17"/>
      <c r="G19" s="17"/>
      <c r="H19" s="17"/>
      <c r="I19" s="17"/>
      <c r="J19" s="21"/>
      <c r="K19" s="17"/>
      <c r="L19" s="18"/>
      <c r="M19" s="20"/>
      <c r="N19" s="18"/>
      <c r="O19" s="18"/>
      <c r="P19" s="18"/>
      <c r="Q19" s="17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7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</row>
    <row r="20" spans="1:50" ht="18.75" customHeight="1">
      <c r="A20" s="17"/>
      <c r="B20" s="32"/>
      <c r="C20" s="33"/>
      <c r="D20" s="21"/>
      <c r="E20" s="17" t="s">
        <v>128</v>
      </c>
      <c r="F20" s="17"/>
      <c r="G20" s="17"/>
      <c r="H20" s="17" t="s">
        <v>144</v>
      </c>
      <c r="I20" s="17"/>
      <c r="J20" s="21"/>
      <c r="K20" s="17"/>
      <c r="L20" s="17"/>
      <c r="M20" s="20"/>
      <c r="N20" s="18"/>
      <c r="O20" s="18"/>
      <c r="P20" s="18"/>
      <c r="Q20" s="17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7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</row>
    <row r="21" spans="1:50" ht="18.75" customHeight="1">
      <c r="A21" s="17"/>
      <c r="B21" s="32"/>
      <c r="C21" s="33"/>
      <c r="D21" s="21"/>
      <c r="E21" s="49" t="s">
        <v>145</v>
      </c>
      <c r="F21" s="50">
        <v>3.5000000000000003E-2</v>
      </c>
      <c r="G21" s="17"/>
      <c r="H21" s="51"/>
      <c r="I21" s="52">
        <v>0.37</v>
      </c>
      <c r="J21" s="21"/>
      <c r="K21" s="17"/>
      <c r="L21" s="55"/>
      <c r="M21" s="20"/>
      <c r="N21" s="18"/>
      <c r="O21" s="18"/>
      <c r="P21" s="18"/>
      <c r="Q21" s="17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7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</row>
    <row r="22" spans="1:50" ht="18.75" customHeight="1">
      <c r="A22" s="17"/>
      <c r="B22" s="56" t="s">
        <v>146</v>
      </c>
      <c r="C22" s="39">
        <f>SUM(C15:C21)</f>
        <v>0</v>
      </c>
      <c r="D22" s="21"/>
      <c r="E22" s="57" t="s">
        <v>140</v>
      </c>
      <c r="F22" s="58">
        <v>5.2999999999999999E-2</v>
      </c>
      <c r="G22" s="17"/>
      <c r="H22" s="17"/>
      <c r="I22" s="17"/>
      <c r="J22" s="21"/>
      <c r="K22" s="17"/>
      <c r="L22" s="18"/>
      <c r="M22" s="20"/>
      <c r="N22" s="18"/>
      <c r="O22" s="18"/>
      <c r="P22" s="18"/>
      <c r="Q22" s="17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7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</row>
    <row r="23" spans="1:50" ht="21" customHeight="1">
      <c r="A23" s="17"/>
      <c r="B23" s="56" t="s">
        <v>147</v>
      </c>
      <c r="C23" s="59">
        <f>F7</f>
        <v>37</v>
      </c>
      <c r="D23" s="21"/>
      <c r="E23" s="53" t="s">
        <v>142</v>
      </c>
      <c r="F23" s="54">
        <v>7.0000000000000007E-2</v>
      </c>
      <c r="G23" s="17"/>
      <c r="H23" s="17"/>
      <c r="I23" s="17"/>
      <c r="J23" s="21"/>
      <c r="K23" s="17"/>
      <c r="L23" s="18"/>
      <c r="M23" s="20"/>
      <c r="N23" s="18"/>
      <c r="O23" s="18"/>
      <c r="P23" s="18"/>
      <c r="Q23" s="17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7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</row>
    <row r="24" spans="1:50" ht="23.25" customHeight="1">
      <c r="A24" s="19"/>
      <c r="B24" s="60" t="s">
        <v>148</v>
      </c>
      <c r="C24" s="61">
        <v>0</v>
      </c>
      <c r="D24" s="21"/>
      <c r="E24" s="48" t="s">
        <v>130</v>
      </c>
      <c r="F24" s="17"/>
      <c r="G24" s="17"/>
      <c r="H24" s="17"/>
      <c r="I24" s="17"/>
      <c r="J24" s="21"/>
      <c r="K24" s="17"/>
      <c r="L24" s="18"/>
      <c r="M24" s="20"/>
      <c r="N24" s="18"/>
      <c r="O24" s="18"/>
      <c r="P24" s="18"/>
      <c r="Q24" s="17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7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</row>
    <row r="25" spans="1:50" ht="17.25" customHeight="1">
      <c r="A25" s="18"/>
      <c r="B25" s="60" t="s">
        <v>149</v>
      </c>
      <c r="C25" s="62">
        <f>IF(C3+C13+C23-C22-C24&lt;0,0,C3+C13+C23-C22-C24)</f>
        <v>10000048</v>
      </c>
      <c r="D25" s="21"/>
      <c r="E25" s="49" t="s">
        <v>150</v>
      </c>
      <c r="F25" s="50">
        <v>0.01</v>
      </c>
      <c r="G25" s="17"/>
      <c r="H25" s="17"/>
      <c r="I25" s="17"/>
      <c r="J25" s="21"/>
      <c r="K25" s="17"/>
      <c r="L25" s="18"/>
      <c r="M25" s="20"/>
      <c r="N25" s="18"/>
      <c r="O25" s="18"/>
      <c r="P25" s="18"/>
      <c r="Q25" s="17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7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</row>
    <row r="26" spans="1:50" ht="17.25" customHeight="1">
      <c r="A26" s="19"/>
      <c r="B26" s="18"/>
      <c r="C26" s="63"/>
      <c r="D26" s="21"/>
      <c r="E26" s="64" t="s">
        <v>151</v>
      </c>
      <c r="F26" s="65">
        <v>8.4000000000000005E-2</v>
      </c>
      <c r="G26" s="17" t="s">
        <v>152</v>
      </c>
      <c r="H26" s="17"/>
      <c r="I26" s="17"/>
      <c r="J26" s="21"/>
      <c r="K26" s="17"/>
      <c r="L26" s="18"/>
      <c r="M26" s="20"/>
      <c r="N26" s="18"/>
      <c r="O26" s="18"/>
      <c r="P26" s="18"/>
      <c r="Q26" s="17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7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</row>
    <row r="27" spans="1:50" ht="17.25" customHeight="1">
      <c r="A27" s="18"/>
      <c r="B27" s="66"/>
      <c r="C27" s="63"/>
      <c r="D27" s="16"/>
      <c r="E27" s="67" t="s">
        <v>153</v>
      </c>
      <c r="F27" s="68">
        <v>80000</v>
      </c>
      <c r="G27" s="17"/>
      <c r="H27" s="18"/>
      <c r="I27" s="17"/>
      <c r="J27" s="21"/>
      <c r="K27" s="17"/>
      <c r="L27" s="18"/>
      <c r="M27" s="20"/>
      <c r="N27" s="18"/>
      <c r="O27" s="18"/>
      <c r="P27" s="18"/>
      <c r="Q27" s="17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7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</row>
    <row r="28" spans="1:50" ht="17.25" customHeight="1">
      <c r="A28" s="18"/>
      <c r="B28" s="69"/>
      <c r="C28" s="18"/>
      <c r="D28" s="17"/>
      <c r="E28" s="44"/>
      <c r="F28" s="70"/>
      <c r="G28" s="22"/>
      <c r="H28" s="18"/>
      <c r="I28" s="17"/>
      <c r="J28" s="21"/>
      <c r="K28" s="17"/>
      <c r="L28" s="18"/>
      <c r="M28" s="20"/>
      <c r="N28" s="18"/>
      <c r="O28" s="18"/>
      <c r="P28" s="18"/>
      <c r="Q28" s="17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7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</row>
    <row r="29" spans="1:50" ht="18.75" customHeight="1">
      <c r="A29" s="18"/>
      <c r="B29" s="71" t="s">
        <v>154</v>
      </c>
      <c r="C29" s="18"/>
      <c r="D29" s="17"/>
      <c r="E29" s="17"/>
      <c r="F29" s="17"/>
      <c r="G29" s="17"/>
      <c r="H29" s="17"/>
      <c r="I29" s="17"/>
      <c r="J29" s="17"/>
      <c r="K29" s="17"/>
      <c r="L29" s="18"/>
      <c r="M29" s="20"/>
      <c r="N29" s="18"/>
      <c r="O29" s="18"/>
      <c r="P29" s="18"/>
      <c r="Q29" s="17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7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</row>
    <row r="30" spans="1:50" ht="18.75" customHeight="1">
      <c r="A30" s="18"/>
      <c r="B30" s="72" t="s">
        <v>155</v>
      </c>
      <c r="C30" s="73"/>
      <c r="D30" s="17"/>
      <c r="E30" s="17"/>
      <c r="F30" s="17"/>
      <c r="G30" s="17"/>
      <c r="H30" s="17"/>
      <c r="I30" s="17"/>
      <c r="J30" s="18"/>
      <c r="K30" s="17"/>
      <c r="L30" s="18"/>
      <c r="M30" s="20"/>
      <c r="N30" s="18"/>
      <c r="O30" s="18"/>
      <c r="P30" s="18"/>
      <c r="Q30" s="17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7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</row>
    <row r="31" spans="1:50" ht="18.75" customHeight="1">
      <c r="A31" s="18"/>
      <c r="B31" s="17"/>
      <c r="C31" s="73"/>
      <c r="D31" s="18"/>
      <c r="E31" s="18"/>
      <c r="F31" s="18"/>
      <c r="G31" s="17"/>
      <c r="H31" s="17"/>
      <c r="I31" s="17"/>
      <c r="J31" s="18" t="s">
        <v>156</v>
      </c>
      <c r="K31" s="17"/>
      <c r="L31" s="18"/>
      <c r="M31" s="20" t="s">
        <v>157</v>
      </c>
      <c r="N31" s="18"/>
      <c r="O31" s="18"/>
      <c r="P31" s="18"/>
      <c r="Q31" s="17" t="s">
        <v>158</v>
      </c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7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</row>
    <row r="32" spans="1:50" ht="18.75" customHeight="1">
      <c r="A32" s="18"/>
      <c r="B32" s="49" t="s">
        <v>159</v>
      </c>
      <c r="C32" s="74"/>
      <c r="D32" s="75" t="s">
        <v>160</v>
      </c>
      <c r="E32" s="76" t="s">
        <v>161</v>
      </c>
      <c r="F32" s="76" t="s">
        <v>162</v>
      </c>
      <c r="G32" s="77" t="s">
        <v>163</v>
      </c>
      <c r="H32" s="78" t="s">
        <v>164</v>
      </c>
      <c r="I32" s="77" t="s">
        <v>165</v>
      </c>
      <c r="J32" s="79" t="s">
        <v>166</v>
      </c>
      <c r="K32" s="79" t="s">
        <v>167</v>
      </c>
      <c r="L32" s="80" t="s">
        <v>168</v>
      </c>
      <c r="M32" s="20" t="s">
        <v>169</v>
      </c>
      <c r="N32" s="18"/>
      <c r="O32" s="18"/>
      <c r="P32" s="18" t="s">
        <v>170</v>
      </c>
      <c r="Q32" s="81" t="s">
        <v>160</v>
      </c>
      <c r="R32" s="81" t="s">
        <v>161</v>
      </c>
      <c r="S32" s="81" t="s">
        <v>162</v>
      </c>
      <c r="T32" s="82" t="s">
        <v>163</v>
      </c>
      <c r="U32" s="82" t="s">
        <v>164</v>
      </c>
      <c r="V32" s="82" t="s">
        <v>165</v>
      </c>
      <c r="W32" s="82" t="s">
        <v>171</v>
      </c>
      <c r="X32" s="81" t="s">
        <v>167</v>
      </c>
      <c r="Y32" s="83"/>
      <c r="Z32" s="18" t="s">
        <v>172</v>
      </c>
      <c r="AA32" s="84"/>
      <c r="AB32" s="17"/>
      <c r="AC32" s="85">
        <v>7.8E-2</v>
      </c>
      <c r="AD32" s="85">
        <v>6.2399999999999997E-2</v>
      </c>
      <c r="AE32" s="85">
        <v>6.3E-2</v>
      </c>
      <c r="AF32" s="86" t="s">
        <v>48</v>
      </c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</row>
    <row r="33" spans="1:50" ht="18.75" customHeight="1">
      <c r="A33" s="18"/>
      <c r="B33" s="57" t="s">
        <v>173</v>
      </c>
      <c r="C33" s="87">
        <v>70000000</v>
      </c>
      <c r="D33" s="88"/>
      <c r="E33" s="89"/>
      <c r="F33" s="89">
        <v>500000</v>
      </c>
      <c r="G33" s="89">
        <v>5000000</v>
      </c>
      <c r="H33" s="89">
        <v>6000000</v>
      </c>
      <c r="I33" s="89"/>
      <c r="J33" s="90"/>
      <c r="K33" s="91">
        <f t="shared" ref="K33:K37" si="3">SUM(E33:I33)</f>
        <v>11500000</v>
      </c>
      <c r="L33" s="92">
        <f t="shared" ref="L33:L37" si="4">C33-K33</f>
        <v>58500000</v>
      </c>
      <c r="M33" s="20">
        <v>7.8E-2</v>
      </c>
      <c r="N33" s="17">
        <f t="shared" ref="N33:N35" si="5">INT(C33/1000)*1000*M33</f>
        <v>5460000</v>
      </c>
      <c r="O33" s="18"/>
      <c r="P33" s="20">
        <v>7.8E-2</v>
      </c>
      <c r="Q33" s="93">
        <f t="shared" ref="Q33:W33" si="6">D33</f>
        <v>0</v>
      </c>
      <c r="R33" s="93">
        <f t="shared" si="6"/>
        <v>0</v>
      </c>
      <c r="S33" s="93">
        <f t="shared" si="6"/>
        <v>500000</v>
      </c>
      <c r="T33" s="93">
        <f t="shared" si="6"/>
        <v>5000000</v>
      </c>
      <c r="U33" s="93">
        <f t="shared" si="6"/>
        <v>6000000</v>
      </c>
      <c r="V33" s="93">
        <f t="shared" si="6"/>
        <v>0</v>
      </c>
      <c r="W33" s="93">
        <f t="shared" si="6"/>
        <v>0</v>
      </c>
      <c r="X33" s="94">
        <f t="shared" ref="X33:X36" si="7">SUM(Q33:W33)</f>
        <v>11500000</v>
      </c>
      <c r="Y33" s="95"/>
      <c r="Z33" s="81" t="s">
        <v>160</v>
      </c>
      <c r="AA33" s="96">
        <v>0.9</v>
      </c>
      <c r="AB33" s="91">
        <f t="shared" ref="AB33:AB38" si="8">INT($N$33*AA33+$N$34*N35+$N$35*AA33)</f>
        <v>4914000</v>
      </c>
      <c r="AC33" s="97">
        <f t="shared" ref="AC33:AC38" si="9">INT($N$33*AA33)</f>
        <v>4914000</v>
      </c>
      <c r="AD33" s="97">
        <f t="shared" ref="AD33:AD38" si="10">INT($N$34*AA33)</f>
        <v>0</v>
      </c>
      <c r="AE33" s="97">
        <f t="shared" ref="AE33:AE38" si="11">INT($N$35*AA33)</f>
        <v>0</v>
      </c>
      <c r="AF33" s="97">
        <f t="shared" ref="AF33:AF38" si="12">SUM(AC33:AE33)</f>
        <v>4914000</v>
      </c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</row>
    <row r="34" spans="1:50" ht="18.75" customHeight="1">
      <c r="A34" s="18"/>
      <c r="B34" s="57" t="s">
        <v>174</v>
      </c>
      <c r="C34" s="87">
        <v>0</v>
      </c>
      <c r="D34" s="88"/>
      <c r="E34" s="89"/>
      <c r="F34" s="89"/>
      <c r="G34" s="89"/>
      <c r="H34" s="89"/>
      <c r="I34" s="89"/>
      <c r="J34" s="90"/>
      <c r="K34" s="91">
        <f t="shared" si="3"/>
        <v>0</v>
      </c>
      <c r="L34" s="92">
        <f t="shared" si="4"/>
        <v>0</v>
      </c>
      <c r="M34" s="20">
        <v>6.2399999999999997E-2</v>
      </c>
      <c r="N34" s="17">
        <f t="shared" si="5"/>
        <v>0</v>
      </c>
      <c r="O34" s="18"/>
      <c r="P34" s="20">
        <v>6.2399999999999997E-2</v>
      </c>
      <c r="Q34" s="93">
        <f t="shared" ref="Q34:W34" si="13">D34</f>
        <v>0</v>
      </c>
      <c r="R34" s="93">
        <f t="shared" si="13"/>
        <v>0</v>
      </c>
      <c r="S34" s="93">
        <f t="shared" si="13"/>
        <v>0</v>
      </c>
      <c r="T34" s="93">
        <f t="shared" si="13"/>
        <v>0</v>
      </c>
      <c r="U34" s="93">
        <f t="shared" si="13"/>
        <v>0</v>
      </c>
      <c r="V34" s="93">
        <f t="shared" si="13"/>
        <v>0</v>
      </c>
      <c r="W34" s="93">
        <f t="shared" si="13"/>
        <v>0</v>
      </c>
      <c r="X34" s="94">
        <f t="shared" si="7"/>
        <v>0</v>
      </c>
      <c r="Y34" s="95"/>
      <c r="Z34" s="81" t="s">
        <v>161</v>
      </c>
      <c r="AA34" s="96">
        <v>0.8</v>
      </c>
      <c r="AB34" s="91">
        <f t="shared" si="8"/>
        <v>4368000</v>
      </c>
      <c r="AC34" s="97">
        <f t="shared" si="9"/>
        <v>4368000</v>
      </c>
      <c r="AD34" s="97">
        <f t="shared" si="10"/>
        <v>0</v>
      </c>
      <c r="AE34" s="97">
        <f t="shared" si="11"/>
        <v>0</v>
      </c>
      <c r="AF34" s="97">
        <f t="shared" si="12"/>
        <v>4368000</v>
      </c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</row>
    <row r="35" spans="1:50" ht="18.75" customHeight="1">
      <c r="A35" s="18"/>
      <c r="B35" s="57"/>
      <c r="C35" s="98"/>
      <c r="D35" s="99"/>
      <c r="E35" s="97"/>
      <c r="F35" s="97"/>
      <c r="G35" s="97"/>
      <c r="H35" s="97"/>
      <c r="I35" s="97"/>
      <c r="J35" s="91"/>
      <c r="K35" s="91">
        <f t="shared" si="3"/>
        <v>0</v>
      </c>
      <c r="L35" s="92">
        <f t="shared" si="4"/>
        <v>0</v>
      </c>
      <c r="M35" s="20">
        <v>6.3E-2</v>
      </c>
      <c r="N35" s="17">
        <f t="shared" si="5"/>
        <v>0</v>
      </c>
      <c r="O35" s="18"/>
      <c r="P35" s="20">
        <v>6.3E-2</v>
      </c>
      <c r="Q35" s="93">
        <f t="shared" ref="Q35:W35" si="14">D35</f>
        <v>0</v>
      </c>
      <c r="R35" s="93">
        <f t="shared" si="14"/>
        <v>0</v>
      </c>
      <c r="S35" s="93">
        <f t="shared" si="14"/>
        <v>0</v>
      </c>
      <c r="T35" s="93">
        <f t="shared" si="14"/>
        <v>0</v>
      </c>
      <c r="U35" s="93">
        <f t="shared" si="14"/>
        <v>0</v>
      </c>
      <c r="V35" s="93">
        <f t="shared" si="14"/>
        <v>0</v>
      </c>
      <c r="W35" s="93">
        <f t="shared" si="14"/>
        <v>0</v>
      </c>
      <c r="X35" s="94">
        <f t="shared" si="7"/>
        <v>0</v>
      </c>
      <c r="Y35" s="95"/>
      <c r="Z35" s="81" t="s">
        <v>162</v>
      </c>
      <c r="AA35" s="96">
        <v>0.7</v>
      </c>
      <c r="AB35" s="91">
        <f t="shared" si="8"/>
        <v>3822000</v>
      </c>
      <c r="AC35" s="97">
        <f t="shared" si="9"/>
        <v>3822000</v>
      </c>
      <c r="AD35" s="97">
        <f t="shared" si="10"/>
        <v>0</v>
      </c>
      <c r="AE35" s="97">
        <f t="shared" si="11"/>
        <v>0</v>
      </c>
      <c r="AF35" s="97">
        <f t="shared" si="12"/>
        <v>3822000</v>
      </c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</row>
    <row r="36" spans="1:50" ht="18.75" customHeight="1">
      <c r="A36" s="18"/>
      <c r="B36" s="57"/>
      <c r="C36" s="100"/>
      <c r="D36" s="99"/>
      <c r="E36" s="97"/>
      <c r="F36" s="97"/>
      <c r="G36" s="97"/>
      <c r="H36" s="97"/>
      <c r="I36" s="97"/>
      <c r="J36" s="91"/>
      <c r="K36" s="91">
        <f t="shared" si="3"/>
        <v>0</v>
      </c>
      <c r="L36" s="92">
        <f t="shared" si="4"/>
        <v>0</v>
      </c>
      <c r="M36" s="20"/>
      <c r="N36" s="101">
        <f>SUM(N33:N35)</f>
        <v>5460000</v>
      </c>
      <c r="O36" s="18"/>
      <c r="P36" s="18"/>
      <c r="Q36" s="93"/>
      <c r="R36" s="93"/>
      <c r="S36" s="93"/>
      <c r="T36" s="93"/>
      <c r="U36" s="93"/>
      <c r="V36" s="93"/>
      <c r="W36" s="93"/>
      <c r="X36" s="94">
        <f t="shared" si="7"/>
        <v>0</v>
      </c>
      <c r="Y36" s="95"/>
      <c r="Z36" s="82" t="s">
        <v>163</v>
      </c>
      <c r="AA36" s="96">
        <v>0.6</v>
      </c>
      <c r="AB36" s="91">
        <f t="shared" si="8"/>
        <v>3276000</v>
      </c>
      <c r="AC36" s="97">
        <f t="shared" si="9"/>
        <v>3276000</v>
      </c>
      <c r="AD36" s="97">
        <f t="shared" si="10"/>
        <v>0</v>
      </c>
      <c r="AE36" s="97">
        <f t="shared" si="11"/>
        <v>0</v>
      </c>
      <c r="AF36" s="97">
        <f t="shared" si="12"/>
        <v>3276000</v>
      </c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</row>
    <row r="37" spans="1:50" ht="18.75" customHeight="1">
      <c r="A37" s="18"/>
      <c r="B37" s="67" t="s">
        <v>175</v>
      </c>
      <c r="C37" s="102">
        <f t="shared" ref="C37:J37" si="15">SUM(C33:C36)</f>
        <v>70000000</v>
      </c>
      <c r="D37" s="99">
        <f t="shared" si="15"/>
        <v>0</v>
      </c>
      <c r="E37" s="97">
        <f t="shared" si="15"/>
        <v>0</v>
      </c>
      <c r="F37" s="97">
        <f t="shared" si="15"/>
        <v>500000</v>
      </c>
      <c r="G37" s="97">
        <f t="shared" si="15"/>
        <v>5000000</v>
      </c>
      <c r="H37" s="97">
        <f t="shared" si="15"/>
        <v>6000000</v>
      </c>
      <c r="I37" s="97">
        <f t="shared" si="15"/>
        <v>0</v>
      </c>
      <c r="J37" s="97">
        <f t="shared" si="15"/>
        <v>0</v>
      </c>
      <c r="K37" s="91">
        <f t="shared" si="3"/>
        <v>11500000</v>
      </c>
      <c r="L37" s="92">
        <f t="shared" si="4"/>
        <v>58500000</v>
      </c>
      <c r="M37" s="20"/>
      <c r="N37" s="18"/>
      <c r="O37" s="18"/>
      <c r="P37" s="18"/>
      <c r="Q37" s="94">
        <f t="shared" ref="Q37:X37" si="16">SUM(Q33:Q36)</f>
        <v>0</v>
      </c>
      <c r="R37" s="94">
        <f t="shared" si="16"/>
        <v>0</v>
      </c>
      <c r="S37" s="94">
        <f t="shared" si="16"/>
        <v>500000</v>
      </c>
      <c r="T37" s="94">
        <f t="shared" si="16"/>
        <v>5000000</v>
      </c>
      <c r="U37" s="94">
        <f t="shared" si="16"/>
        <v>6000000</v>
      </c>
      <c r="V37" s="94">
        <f t="shared" si="16"/>
        <v>0</v>
      </c>
      <c r="W37" s="94">
        <f t="shared" si="16"/>
        <v>0</v>
      </c>
      <c r="X37" s="94">
        <f t="shared" si="16"/>
        <v>11500000</v>
      </c>
      <c r="Y37" s="95"/>
      <c r="Z37" s="82" t="s">
        <v>164</v>
      </c>
      <c r="AA37" s="96">
        <v>0.5</v>
      </c>
      <c r="AB37" s="91">
        <f t="shared" si="8"/>
        <v>2730000</v>
      </c>
      <c r="AC37" s="97">
        <f t="shared" si="9"/>
        <v>2730000</v>
      </c>
      <c r="AD37" s="97">
        <f t="shared" si="10"/>
        <v>0</v>
      </c>
      <c r="AE37" s="97">
        <f t="shared" si="11"/>
        <v>0</v>
      </c>
      <c r="AF37" s="97">
        <f t="shared" si="12"/>
        <v>2730000</v>
      </c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</row>
    <row r="38" spans="1:50" ht="18.75" customHeight="1">
      <c r="A38" s="18"/>
      <c r="B38" s="67" t="s">
        <v>176</v>
      </c>
      <c r="C38" s="103">
        <f>N36</f>
        <v>5460000</v>
      </c>
      <c r="D38" s="104" t="str">
        <f t="shared" ref="D38:J38" si="17">IFERROR(D37/$J$37,"")</f>
        <v/>
      </c>
      <c r="E38" s="104" t="str">
        <f t="shared" si="17"/>
        <v/>
      </c>
      <c r="F38" s="104" t="str">
        <f t="shared" si="17"/>
        <v/>
      </c>
      <c r="G38" s="104" t="str">
        <f t="shared" si="17"/>
        <v/>
      </c>
      <c r="H38" s="104" t="str">
        <f t="shared" si="17"/>
        <v/>
      </c>
      <c r="I38" s="104" t="str">
        <f t="shared" si="17"/>
        <v/>
      </c>
      <c r="J38" s="104" t="str">
        <f t="shared" si="17"/>
        <v/>
      </c>
      <c r="K38" s="105">
        <v>1</v>
      </c>
      <c r="L38" s="106"/>
      <c r="M38" s="20" t="s">
        <v>177</v>
      </c>
      <c r="N38" s="18"/>
      <c r="O38" s="18"/>
      <c r="P38" s="18"/>
      <c r="Q38" s="17"/>
      <c r="R38" s="18"/>
      <c r="S38" s="18"/>
      <c r="T38" s="18"/>
      <c r="U38" s="18"/>
      <c r="V38" s="18"/>
      <c r="W38" s="18"/>
      <c r="X38" s="18"/>
      <c r="Y38" s="18"/>
      <c r="Z38" s="82" t="s">
        <v>165</v>
      </c>
      <c r="AA38" s="96">
        <v>0.4</v>
      </c>
      <c r="AB38" s="91">
        <f t="shared" si="8"/>
        <v>2184000</v>
      </c>
      <c r="AC38" s="97">
        <f t="shared" si="9"/>
        <v>2184000</v>
      </c>
      <c r="AD38" s="97">
        <f t="shared" si="10"/>
        <v>0</v>
      </c>
      <c r="AE38" s="97">
        <f t="shared" si="11"/>
        <v>0</v>
      </c>
      <c r="AF38" s="97">
        <f t="shared" si="12"/>
        <v>2184000</v>
      </c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</row>
    <row r="39" spans="1:50" ht="18.75" customHeight="1">
      <c r="A39" s="18"/>
      <c r="B39" s="57" t="s">
        <v>178</v>
      </c>
      <c r="C39" s="107"/>
      <c r="D39" s="17"/>
      <c r="E39" s="17"/>
      <c r="F39" s="17"/>
      <c r="G39" s="17"/>
      <c r="H39" s="17"/>
      <c r="I39" s="17"/>
      <c r="J39" s="84"/>
      <c r="K39" s="17"/>
      <c r="L39" s="18"/>
      <c r="M39" s="20">
        <v>7.8E-2</v>
      </c>
      <c r="N39" s="17">
        <f>C40*7.8/100</f>
        <v>3510000</v>
      </c>
      <c r="O39" s="18"/>
      <c r="P39" s="18"/>
      <c r="Q39" s="17"/>
      <c r="R39" s="18"/>
      <c r="S39" s="18"/>
      <c r="T39" s="18"/>
      <c r="U39" s="18"/>
      <c r="V39" s="18"/>
      <c r="W39" s="18"/>
      <c r="X39" s="18"/>
      <c r="Y39" s="18"/>
      <c r="Z39" s="18"/>
      <c r="AA39" s="84"/>
      <c r="AB39" s="17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</row>
    <row r="40" spans="1:50" ht="18.75" customHeight="1">
      <c r="A40" s="18"/>
      <c r="B40" s="57" t="s">
        <v>179</v>
      </c>
      <c r="C40" s="108">
        <v>45000000</v>
      </c>
      <c r="D40" s="17"/>
      <c r="E40" s="17" t="s">
        <v>180</v>
      </c>
      <c r="F40" s="17"/>
      <c r="G40" s="17" t="s">
        <v>181</v>
      </c>
      <c r="H40" s="17"/>
      <c r="I40" s="17"/>
      <c r="J40" s="84"/>
      <c r="K40" s="17"/>
      <c r="L40" s="18"/>
      <c r="M40" s="20">
        <v>6.2399999999999997E-2</v>
      </c>
      <c r="N40" s="17">
        <f>C41*6.24/100</f>
        <v>0</v>
      </c>
      <c r="O40" s="18"/>
      <c r="P40" s="18"/>
      <c r="Q40" s="81" t="s">
        <v>160</v>
      </c>
      <c r="R40" s="81" t="s">
        <v>161</v>
      </c>
      <c r="S40" s="81" t="s">
        <v>162</v>
      </c>
      <c r="T40" s="82" t="s">
        <v>163</v>
      </c>
      <c r="U40" s="82" t="s">
        <v>164</v>
      </c>
      <c r="V40" s="82" t="s">
        <v>165</v>
      </c>
      <c r="W40" s="82" t="s">
        <v>166</v>
      </c>
      <c r="X40" s="81" t="s">
        <v>167</v>
      </c>
      <c r="Y40" s="83"/>
      <c r="Z40" s="18"/>
      <c r="AA40" s="84"/>
      <c r="AB40" s="17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</row>
    <row r="41" spans="1:50" ht="18.75" customHeight="1">
      <c r="A41" s="18"/>
      <c r="B41" s="57" t="s">
        <v>182</v>
      </c>
      <c r="C41" s="108">
        <v>0</v>
      </c>
      <c r="D41" s="17"/>
      <c r="E41" s="109"/>
      <c r="F41" s="17" t="s">
        <v>183</v>
      </c>
      <c r="G41" s="97" t="s">
        <v>161</v>
      </c>
      <c r="H41" s="109"/>
      <c r="I41" s="17" t="s">
        <v>183</v>
      </c>
      <c r="J41" s="84"/>
      <c r="K41" s="17"/>
      <c r="L41" s="18"/>
      <c r="M41" s="20">
        <v>6.3E-2</v>
      </c>
      <c r="N41" s="17">
        <f>C42*6.3/100</f>
        <v>0</v>
      </c>
      <c r="O41" s="18"/>
      <c r="P41" s="20">
        <v>7.8E-2</v>
      </c>
      <c r="Q41" s="93">
        <f t="shared" ref="Q41:W41" si="18">INT(Q33*$P$41)</f>
        <v>0</v>
      </c>
      <c r="R41" s="93">
        <f t="shared" si="18"/>
        <v>0</v>
      </c>
      <c r="S41" s="93">
        <f t="shared" si="18"/>
        <v>39000</v>
      </c>
      <c r="T41" s="93">
        <f t="shared" si="18"/>
        <v>390000</v>
      </c>
      <c r="U41" s="93">
        <f t="shared" si="18"/>
        <v>468000</v>
      </c>
      <c r="V41" s="93">
        <f t="shared" si="18"/>
        <v>0</v>
      </c>
      <c r="W41" s="93">
        <f t="shared" si="18"/>
        <v>0</v>
      </c>
      <c r="X41" s="94">
        <f t="shared" ref="X41:X44" si="19">INT(SUM(Q41:W41))</f>
        <v>897000</v>
      </c>
      <c r="Y41" s="110"/>
      <c r="Z41" s="18"/>
      <c r="AA41" s="84"/>
      <c r="AB41" s="17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</row>
    <row r="42" spans="1:50" ht="18.75" customHeight="1">
      <c r="A42" s="18"/>
      <c r="B42" s="57"/>
      <c r="C42" s="111"/>
      <c r="D42" s="17"/>
      <c r="E42" s="109"/>
      <c r="F42" s="17" t="s">
        <v>184</v>
      </c>
      <c r="G42" s="17"/>
      <c r="H42" s="109"/>
      <c r="I42" s="17" t="s">
        <v>184</v>
      </c>
      <c r="J42" s="84"/>
      <c r="K42" s="17"/>
      <c r="L42" s="18"/>
      <c r="M42" s="20" t="s">
        <v>185</v>
      </c>
      <c r="N42" s="112">
        <f>SUM(N39:N41)</f>
        <v>3510000</v>
      </c>
      <c r="O42" s="18"/>
      <c r="P42" s="20">
        <v>6.2399999999999997E-2</v>
      </c>
      <c r="Q42" s="93">
        <f t="shared" ref="Q42:W42" si="20">INT(Q34*$P$42)</f>
        <v>0</v>
      </c>
      <c r="R42" s="93">
        <f t="shared" si="20"/>
        <v>0</v>
      </c>
      <c r="S42" s="93">
        <f t="shared" si="20"/>
        <v>0</v>
      </c>
      <c r="T42" s="93">
        <f t="shared" si="20"/>
        <v>0</v>
      </c>
      <c r="U42" s="93">
        <f t="shared" si="20"/>
        <v>0</v>
      </c>
      <c r="V42" s="93">
        <f t="shared" si="20"/>
        <v>0</v>
      </c>
      <c r="W42" s="93">
        <f t="shared" si="20"/>
        <v>0</v>
      </c>
      <c r="X42" s="94">
        <f t="shared" si="19"/>
        <v>0</v>
      </c>
      <c r="Y42" s="110"/>
      <c r="Z42" s="18"/>
      <c r="AA42" s="18"/>
      <c r="AB42" s="17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</row>
    <row r="43" spans="1:50" ht="18.75" customHeight="1">
      <c r="A43" s="18"/>
      <c r="B43" s="57"/>
      <c r="C43" s="107"/>
      <c r="D43" s="17"/>
      <c r="E43" s="97">
        <f>SUM(E41:E42)</f>
        <v>0</v>
      </c>
      <c r="F43" s="17" t="s">
        <v>167</v>
      </c>
      <c r="G43" s="17"/>
      <c r="H43" s="97">
        <f>SUM(H41:H42)</f>
        <v>0</v>
      </c>
      <c r="I43" s="17" t="s">
        <v>167</v>
      </c>
      <c r="J43" s="84"/>
      <c r="K43" s="17"/>
      <c r="L43" s="18"/>
      <c r="M43" s="20"/>
      <c r="N43" s="18"/>
      <c r="O43" s="18"/>
      <c r="P43" s="20">
        <v>6.3E-2</v>
      </c>
      <c r="Q43" s="93">
        <f t="shared" ref="Q43:W43" si="21">INT(Q35*$P$43)</f>
        <v>0</v>
      </c>
      <c r="R43" s="93">
        <f t="shared" si="21"/>
        <v>0</v>
      </c>
      <c r="S43" s="93">
        <f t="shared" si="21"/>
        <v>0</v>
      </c>
      <c r="T43" s="93">
        <f t="shared" si="21"/>
        <v>0</v>
      </c>
      <c r="U43" s="93">
        <f t="shared" si="21"/>
        <v>0</v>
      </c>
      <c r="V43" s="93">
        <f t="shared" si="21"/>
        <v>0</v>
      </c>
      <c r="W43" s="93">
        <f t="shared" si="21"/>
        <v>0</v>
      </c>
      <c r="X43" s="94">
        <f t="shared" si="19"/>
        <v>0</v>
      </c>
      <c r="Y43" s="110"/>
      <c r="Z43" s="18"/>
      <c r="AA43" s="18"/>
      <c r="AB43" s="17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</row>
    <row r="44" spans="1:50" ht="18.75" customHeight="1">
      <c r="A44" s="18"/>
      <c r="B44" s="57"/>
      <c r="C44" s="107"/>
      <c r="D44" s="17"/>
      <c r="E44" s="17"/>
      <c r="F44" s="17"/>
      <c r="G44" s="17"/>
      <c r="H44" s="17"/>
      <c r="I44" s="17"/>
      <c r="J44" s="84"/>
      <c r="K44" s="17"/>
      <c r="L44" s="18"/>
      <c r="M44" s="20" t="s">
        <v>186</v>
      </c>
      <c r="N44" s="18"/>
      <c r="O44" s="18"/>
      <c r="P44" s="18"/>
      <c r="Q44" s="93"/>
      <c r="R44" s="93"/>
      <c r="S44" s="93"/>
      <c r="T44" s="93"/>
      <c r="U44" s="93"/>
      <c r="V44" s="93"/>
      <c r="W44" s="93"/>
      <c r="X44" s="94">
        <f t="shared" si="19"/>
        <v>0</v>
      </c>
      <c r="Y44" s="110"/>
      <c r="Z44" s="18"/>
      <c r="AA44" s="18"/>
      <c r="AB44" s="17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</row>
    <row r="45" spans="1:50" ht="18.75" customHeight="1">
      <c r="A45" s="18"/>
      <c r="B45" s="57"/>
      <c r="C45" s="107"/>
      <c r="D45" s="17"/>
      <c r="E45" s="17"/>
      <c r="F45" s="17"/>
      <c r="G45" s="17"/>
      <c r="H45" s="17"/>
      <c r="I45" s="17"/>
      <c r="J45" s="17"/>
      <c r="K45" s="17"/>
      <c r="L45" s="18"/>
      <c r="M45" s="20">
        <v>7.8E-2</v>
      </c>
      <c r="N45" s="17">
        <f t="shared" ref="N45:N47" si="22">N33-N39</f>
        <v>1950000</v>
      </c>
      <c r="O45" s="18"/>
      <c r="P45" s="18"/>
      <c r="Q45" s="94">
        <f t="shared" ref="Q45:X45" si="23">SUM(Q41:Q44)</f>
        <v>0</v>
      </c>
      <c r="R45" s="94">
        <f t="shared" si="23"/>
        <v>0</v>
      </c>
      <c r="S45" s="94">
        <f t="shared" si="23"/>
        <v>39000</v>
      </c>
      <c r="T45" s="94">
        <f t="shared" si="23"/>
        <v>390000</v>
      </c>
      <c r="U45" s="94">
        <f t="shared" si="23"/>
        <v>468000</v>
      </c>
      <c r="V45" s="94">
        <f t="shared" si="23"/>
        <v>0</v>
      </c>
      <c r="W45" s="94">
        <f t="shared" si="23"/>
        <v>0</v>
      </c>
      <c r="X45" s="94">
        <f t="shared" si="23"/>
        <v>897000</v>
      </c>
      <c r="Y45" s="110"/>
      <c r="Z45" s="18"/>
      <c r="AA45" s="18"/>
      <c r="AB45" s="17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</row>
    <row r="46" spans="1:50" ht="18.75" customHeight="1">
      <c r="A46" s="18"/>
      <c r="B46" s="67" t="s">
        <v>187</v>
      </c>
      <c r="C46" s="113">
        <f>SUM(C40:C45)</f>
        <v>45000000</v>
      </c>
      <c r="D46" s="16"/>
      <c r="E46" s="17"/>
      <c r="F46" s="17"/>
      <c r="G46" s="17"/>
      <c r="H46" s="17"/>
      <c r="I46" s="17"/>
      <c r="J46" s="17"/>
      <c r="K46" s="17"/>
      <c r="L46" s="18"/>
      <c r="M46" s="20">
        <v>6.2399999999999997E-2</v>
      </c>
      <c r="N46" s="17">
        <f t="shared" si="22"/>
        <v>0</v>
      </c>
      <c r="O46" s="18"/>
      <c r="P46" s="18"/>
      <c r="Q46" s="17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7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</row>
    <row r="47" spans="1:50" ht="18.75" customHeight="1">
      <c r="A47" s="18"/>
      <c r="B47" s="67" t="s">
        <v>188</v>
      </c>
      <c r="C47" s="103">
        <f>N42</f>
        <v>3510000</v>
      </c>
      <c r="D47" s="17"/>
      <c r="E47" s="17"/>
      <c r="F47" s="17"/>
      <c r="G47" s="17"/>
      <c r="H47" s="17"/>
      <c r="I47" s="17"/>
      <c r="J47" s="17"/>
      <c r="K47" s="17"/>
      <c r="L47" s="18"/>
      <c r="M47" s="20">
        <v>6.3E-2</v>
      </c>
      <c r="N47" s="17">
        <f t="shared" si="22"/>
        <v>0</v>
      </c>
      <c r="O47" s="18"/>
      <c r="P47" s="18"/>
      <c r="Q47" s="114" t="s">
        <v>189</v>
      </c>
      <c r="R47" s="69"/>
      <c r="S47" s="69" t="s">
        <v>190</v>
      </c>
      <c r="T47" s="18" t="s">
        <v>191</v>
      </c>
      <c r="U47" s="18"/>
      <c r="V47" s="18"/>
      <c r="W47" s="18"/>
      <c r="X47" s="18"/>
      <c r="Y47" s="18"/>
      <c r="Z47" s="18"/>
      <c r="AA47" s="18"/>
      <c r="AB47" s="17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</row>
    <row r="48" spans="1:50" ht="18.75" customHeight="1">
      <c r="A48" s="18"/>
      <c r="B48" s="67" t="s">
        <v>186</v>
      </c>
      <c r="C48" s="113">
        <f>INT((C38-C47)/100)*100</f>
        <v>1950000</v>
      </c>
      <c r="D48" s="115" t="s">
        <v>192</v>
      </c>
      <c r="E48" s="116" t="s">
        <v>193</v>
      </c>
      <c r="F48" s="116" t="s">
        <v>194</v>
      </c>
      <c r="G48" s="116" t="s">
        <v>116</v>
      </c>
      <c r="H48" s="116" t="s">
        <v>195</v>
      </c>
      <c r="I48" s="116" t="s">
        <v>196</v>
      </c>
      <c r="J48" s="117" t="s">
        <v>197</v>
      </c>
      <c r="K48" s="17"/>
      <c r="L48" s="18"/>
      <c r="M48" s="20"/>
      <c r="N48" s="101">
        <f>SUM(N45:N47)</f>
        <v>1950000</v>
      </c>
      <c r="O48" s="18"/>
      <c r="P48" s="20">
        <v>7.8E-2</v>
      </c>
      <c r="Q48" s="97">
        <f t="shared" ref="Q48:Q50" si="24">N33</f>
        <v>5460000</v>
      </c>
      <c r="R48" s="97">
        <f t="shared" ref="R48:R50" si="25">Q41*0.9+R41*0.8+S41*0.7+T41*0.6+U41*0.5+V41*0.4+W41*0.8</f>
        <v>495300</v>
      </c>
      <c r="S48" s="97">
        <f t="shared" ref="S48:S50" si="26">X41</f>
        <v>897000</v>
      </c>
      <c r="T48" s="118">
        <f t="shared" ref="T48:T50" si="27">INT(IFERROR(Q48*R48/S48,0))</f>
        <v>3014869</v>
      </c>
      <c r="U48" s="17"/>
      <c r="V48" s="17"/>
      <c r="W48" s="17"/>
      <c r="X48" s="17"/>
      <c r="Y48" s="17"/>
      <c r="Z48" s="18"/>
      <c r="AA48" s="18"/>
      <c r="AB48" s="17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</row>
    <row r="49" spans="1:50" ht="18.75" customHeight="1">
      <c r="A49" s="18"/>
      <c r="B49" s="67" t="s">
        <v>198</v>
      </c>
      <c r="C49" s="113">
        <f>N54</f>
        <v>550000</v>
      </c>
      <c r="D49" s="119">
        <v>350000</v>
      </c>
      <c r="E49" s="119">
        <v>350000</v>
      </c>
      <c r="F49" s="119">
        <v>350000</v>
      </c>
      <c r="G49" s="120">
        <f>C50-D49-E49-F49</f>
        <v>1450000</v>
      </c>
      <c r="H49" s="120">
        <f>IF(C48&lt;480000,0,IF(C48&gt;=4000000,INT(C50/4/100)*100,0))</f>
        <v>0</v>
      </c>
      <c r="I49" s="120">
        <f>IF(C48&lt;480000,0,IF(C48&gt;=4000000,INT(C50/4/100)*100,INT(C50/2/100)*100))</f>
        <v>1250000</v>
      </c>
      <c r="J49" s="121">
        <f>IF(C48&lt;480000,0,IF(C48&gt;=4000000,INT(C50/4/100)*100,0))</f>
        <v>0</v>
      </c>
      <c r="K49" s="17"/>
      <c r="L49" s="18"/>
      <c r="M49" s="20"/>
      <c r="N49" s="17"/>
      <c r="O49" s="18"/>
      <c r="P49" s="20">
        <v>6.2399999999999997E-2</v>
      </c>
      <c r="Q49" s="97">
        <f t="shared" si="24"/>
        <v>0</v>
      </c>
      <c r="R49" s="97">
        <f t="shared" si="25"/>
        <v>0</v>
      </c>
      <c r="S49" s="97">
        <f t="shared" si="26"/>
        <v>0</v>
      </c>
      <c r="T49" s="118">
        <f t="shared" si="27"/>
        <v>0</v>
      </c>
      <c r="U49" s="17"/>
      <c r="V49" s="17"/>
      <c r="W49" s="17"/>
      <c r="X49" s="17"/>
      <c r="Y49" s="17"/>
      <c r="Z49" s="18"/>
      <c r="AA49" s="18"/>
      <c r="AB49" s="17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</row>
    <row r="50" spans="1:50" ht="18" customHeight="1">
      <c r="A50" s="18"/>
      <c r="B50" s="122" t="s">
        <v>199</v>
      </c>
      <c r="C50" s="123">
        <f>C48+C49</f>
        <v>2500000</v>
      </c>
      <c r="D50" s="18"/>
      <c r="E50" s="18"/>
      <c r="F50" s="18"/>
      <c r="G50" s="18"/>
      <c r="H50" s="18"/>
      <c r="I50" s="17"/>
      <c r="J50" s="18"/>
      <c r="K50" s="17"/>
      <c r="L50" s="18"/>
      <c r="M50" s="20" t="s">
        <v>200</v>
      </c>
      <c r="N50" s="18"/>
      <c r="O50" s="18"/>
      <c r="P50" s="20">
        <v>6.3E-2</v>
      </c>
      <c r="Q50" s="97">
        <f t="shared" si="24"/>
        <v>0</v>
      </c>
      <c r="R50" s="97">
        <f t="shared" si="25"/>
        <v>0</v>
      </c>
      <c r="S50" s="97">
        <f t="shared" si="26"/>
        <v>0</v>
      </c>
      <c r="T50" s="118">
        <f t="shared" si="27"/>
        <v>0</v>
      </c>
      <c r="U50" s="17"/>
      <c r="V50" s="17"/>
      <c r="W50" s="17"/>
      <c r="X50" s="17"/>
      <c r="Y50" s="17"/>
      <c r="Z50" s="18"/>
      <c r="AA50" s="18"/>
      <c r="AB50" s="17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</row>
    <row r="51" spans="1:50" ht="16.5" customHeight="1">
      <c r="A51" s="18"/>
      <c r="B51" s="18"/>
      <c r="C51" s="18"/>
      <c r="D51" s="18"/>
      <c r="E51" s="18"/>
      <c r="F51" s="18"/>
      <c r="G51" s="18"/>
      <c r="H51" s="18"/>
      <c r="I51" s="17"/>
      <c r="J51" s="18"/>
      <c r="K51" s="17"/>
      <c r="L51" s="18"/>
      <c r="M51" s="18">
        <v>22</v>
      </c>
      <c r="N51" s="17">
        <f t="shared" ref="N51:N53" si="28">N45*M51/O51</f>
        <v>550000</v>
      </c>
      <c r="O51" s="18">
        <f>100-M51</f>
        <v>78</v>
      </c>
      <c r="P51" s="18"/>
      <c r="Q51" s="18" t="s">
        <v>188</v>
      </c>
      <c r="R51" s="18"/>
      <c r="S51" s="18" t="s">
        <v>201</v>
      </c>
      <c r="T51" s="124">
        <f>SUM(T48:T50)</f>
        <v>3014869</v>
      </c>
      <c r="U51" s="18"/>
      <c r="V51" s="18"/>
      <c r="W51" s="18"/>
      <c r="X51" s="18"/>
      <c r="Y51" s="18"/>
      <c r="Z51" s="18"/>
      <c r="AA51" s="18"/>
      <c r="AB51" s="17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</row>
    <row r="52" spans="1:50" ht="14.25" customHeight="1">
      <c r="A52" s="18"/>
      <c r="B52" s="19"/>
      <c r="C52" s="18"/>
      <c r="D52" s="18"/>
      <c r="E52" s="18"/>
      <c r="F52" s="18"/>
      <c r="G52" s="18"/>
      <c r="H52" s="18"/>
      <c r="I52" s="17"/>
      <c r="J52" s="18"/>
      <c r="K52" s="17"/>
      <c r="L52" s="18"/>
      <c r="M52" s="18">
        <v>22</v>
      </c>
      <c r="N52" s="17">
        <f t="shared" si="28"/>
        <v>0</v>
      </c>
      <c r="O52" s="18">
        <v>78</v>
      </c>
      <c r="P52" s="18"/>
      <c r="Q52" s="17"/>
      <c r="R52" s="18"/>
      <c r="S52" s="18"/>
      <c r="T52" s="20"/>
      <c r="U52" s="18"/>
      <c r="V52" s="18"/>
      <c r="W52" s="18"/>
      <c r="X52" s="18"/>
      <c r="Y52" s="18"/>
      <c r="Z52" s="18"/>
      <c r="AA52" s="18"/>
      <c r="AB52" s="17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</row>
    <row r="53" spans="1:50" ht="14.25" customHeight="1">
      <c r="A53" s="18"/>
      <c r="B53" s="18"/>
      <c r="C53" s="18"/>
      <c r="D53" s="18"/>
      <c r="E53" s="18"/>
      <c r="F53" s="18"/>
      <c r="G53" s="18"/>
      <c r="H53" s="18"/>
      <c r="I53" s="17"/>
      <c r="J53" s="18"/>
      <c r="K53" s="17"/>
      <c r="L53" s="18"/>
      <c r="M53" s="18">
        <v>17</v>
      </c>
      <c r="N53" s="17">
        <f t="shared" si="28"/>
        <v>0</v>
      </c>
      <c r="O53" s="18">
        <f>80-M53</f>
        <v>63</v>
      </c>
      <c r="P53" s="18"/>
      <c r="Q53" s="17"/>
      <c r="R53" s="18"/>
      <c r="S53" s="18"/>
      <c r="T53" s="18"/>
      <c r="U53" s="17"/>
      <c r="V53" s="18"/>
      <c r="W53" s="18"/>
      <c r="X53" s="18"/>
      <c r="Y53" s="18"/>
      <c r="Z53" s="18"/>
      <c r="AA53" s="18"/>
      <c r="AB53" s="17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</row>
    <row r="54" spans="1:50" ht="14.25" customHeight="1">
      <c r="A54" s="18"/>
      <c r="B54" s="18"/>
      <c r="C54" s="18"/>
      <c r="D54" s="18"/>
      <c r="E54" s="18"/>
      <c r="F54" s="18"/>
      <c r="G54" s="18"/>
      <c r="H54" s="18"/>
      <c r="I54" s="17"/>
      <c r="J54" s="18"/>
      <c r="K54" s="17"/>
      <c r="L54" s="18"/>
      <c r="M54" s="20" t="s">
        <v>185</v>
      </c>
      <c r="N54" s="112">
        <f>INT(SUM(N51:N53)/100)*100</f>
        <v>550000</v>
      </c>
      <c r="O54" s="18"/>
      <c r="P54" s="18"/>
      <c r="Q54" s="17"/>
      <c r="R54" s="18"/>
      <c r="S54" s="20" t="s">
        <v>186</v>
      </c>
      <c r="T54" s="18"/>
      <c r="U54" s="17"/>
      <c r="V54" s="18"/>
      <c r="W54" s="18"/>
      <c r="X54" s="18"/>
      <c r="Y54" s="18"/>
      <c r="Z54" s="18"/>
      <c r="AA54" s="20" t="s">
        <v>186</v>
      </c>
      <c r="AB54" s="18"/>
      <c r="AC54" s="17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</row>
    <row r="55" spans="1:50" ht="14.25" customHeight="1">
      <c r="A55" s="18"/>
      <c r="B55" s="18"/>
      <c r="C55" s="18"/>
      <c r="D55" s="18"/>
      <c r="E55" s="18"/>
      <c r="F55" s="18"/>
      <c r="G55" s="18"/>
      <c r="H55" s="18"/>
      <c r="I55" s="17"/>
      <c r="J55" s="18"/>
      <c r="K55" s="17"/>
      <c r="L55" s="18"/>
      <c r="M55" s="20"/>
      <c r="N55" s="18"/>
      <c r="O55" s="18"/>
      <c r="P55" s="18"/>
      <c r="Q55" s="17"/>
      <c r="R55" s="18"/>
      <c r="S55" s="20">
        <v>7.8E-2</v>
      </c>
      <c r="T55" s="17">
        <f t="shared" ref="T55:T57" si="29">X41-T48</f>
        <v>-2117869</v>
      </c>
      <c r="U55" s="17"/>
      <c r="V55" s="18"/>
      <c r="W55" s="18"/>
      <c r="X55" s="18"/>
      <c r="Y55" s="18"/>
      <c r="Z55" s="18"/>
      <c r="AA55" s="20">
        <v>7.8E-2</v>
      </c>
      <c r="AB55" s="17">
        <f>VLOOKUP($G$41,$Z$33:$AE$38,4,TRUE)</f>
        <v>4368000</v>
      </c>
      <c r="AC55" s="17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</row>
    <row r="56" spans="1:50" ht="14.25" customHeight="1">
      <c r="A56" s="18"/>
      <c r="B56" s="18"/>
      <c r="C56" s="18"/>
      <c r="D56" s="18"/>
      <c r="E56" s="18"/>
      <c r="F56" s="18"/>
      <c r="G56" s="18"/>
      <c r="H56" s="18"/>
      <c r="I56" s="17"/>
      <c r="J56" s="18"/>
      <c r="K56" s="17"/>
      <c r="L56" s="18"/>
      <c r="M56" s="20"/>
      <c r="N56" s="18"/>
      <c r="O56" s="18"/>
      <c r="P56" s="18"/>
      <c r="Q56" s="17"/>
      <c r="R56" s="18"/>
      <c r="S56" s="20">
        <v>6.2399999999999997E-2</v>
      </c>
      <c r="T56" s="17">
        <f t="shared" si="29"/>
        <v>0</v>
      </c>
      <c r="U56" s="17"/>
      <c r="V56" s="18"/>
      <c r="W56" s="18"/>
      <c r="X56" s="18"/>
      <c r="Y56" s="18"/>
      <c r="Z56" s="18"/>
      <c r="AA56" s="20">
        <v>6.2399999999999997E-2</v>
      </c>
      <c r="AB56" s="17">
        <f>VLOOKUP($G$41,$Z$33:$AE$38,5,TRUE)</f>
        <v>0</v>
      </c>
      <c r="AC56" s="17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</row>
    <row r="57" spans="1:50" ht="14.25" customHeight="1">
      <c r="A57" s="18"/>
      <c r="B57" s="18"/>
      <c r="C57" s="18"/>
      <c r="D57" s="18"/>
      <c r="E57" s="18"/>
      <c r="F57" s="18"/>
      <c r="G57" s="18"/>
      <c r="H57" s="18"/>
      <c r="I57" s="17"/>
      <c r="J57" s="18"/>
      <c r="K57" s="17"/>
      <c r="L57" s="18"/>
      <c r="M57" s="20"/>
      <c r="N57" s="18"/>
      <c r="O57" s="18"/>
      <c r="P57" s="18"/>
      <c r="Q57" s="17"/>
      <c r="R57" s="18"/>
      <c r="S57" s="20">
        <v>6.3E-2</v>
      </c>
      <c r="T57" s="17">
        <f t="shared" si="29"/>
        <v>0</v>
      </c>
      <c r="U57" s="18"/>
      <c r="V57" s="18"/>
      <c r="W57" s="18"/>
      <c r="X57" s="18"/>
      <c r="Y57" s="18"/>
      <c r="Z57" s="18"/>
      <c r="AA57" s="20">
        <v>6.3E-2</v>
      </c>
      <c r="AB57" s="17">
        <f>VLOOKUP($G$41,$Z$33:$AE$38,6,TRUE)</f>
        <v>0</v>
      </c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</row>
    <row r="58" spans="1:50" ht="14.25" customHeight="1">
      <c r="A58" s="18"/>
      <c r="B58" s="18"/>
      <c r="C58" s="18"/>
      <c r="D58" s="18"/>
      <c r="E58" s="18"/>
      <c r="F58" s="18"/>
      <c r="G58" s="18"/>
      <c r="H58" s="18"/>
      <c r="I58" s="17"/>
      <c r="J58" s="18"/>
      <c r="K58" s="17"/>
      <c r="L58" s="18"/>
      <c r="M58" s="20"/>
      <c r="N58" s="18"/>
      <c r="O58" s="18"/>
      <c r="P58" s="18"/>
      <c r="Q58" s="17"/>
      <c r="R58" s="18"/>
      <c r="S58" s="20"/>
      <c r="T58" s="101">
        <f>SUM(T55:T57)</f>
        <v>-2117869</v>
      </c>
      <c r="U58" s="18"/>
      <c r="V58" s="18"/>
      <c r="W58" s="18"/>
      <c r="X58" s="18"/>
      <c r="Y58" s="18"/>
      <c r="Z58" s="18"/>
      <c r="AA58" s="20"/>
      <c r="AB58" s="101">
        <f>SUM(AB55:AB57)</f>
        <v>4368000</v>
      </c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</row>
    <row r="59" spans="1:50" ht="14.25" customHeight="1">
      <c r="A59" s="18"/>
      <c r="B59" s="18"/>
      <c r="C59" s="18"/>
      <c r="D59" s="18"/>
      <c r="E59" s="18"/>
      <c r="F59" s="18"/>
      <c r="G59" s="18"/>
      <c r="H59" s="18"/>
      <c r="I59" s="17"/>
      <c r="J59" s="18"/>
      <c r="K59" s="17"/>
      <c r="L59" s="18"/>
      <c r="M59" s="20"/>
      <c r="N59" s="18"/>
      <c r="O59" s="18"/>
      <c r="P59" s="18"/>
      <c r="Q59" s="17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</row>
    <row r="60" spans="1:50" ht="14.25" customHeight="1">
      <c r="A60" s="18"/>
      <c r="B60" s="18"/>
      <c r="C60" s="18"/>
      <c r="D60" s="18"/>
      <c r="E60" s="18"/>
      <c r="F60" s="18"/>
      <c r="G60" s="18"/>
      <c r="H60" s="18"/>
      <c r="I60" s="17"/>
      <c r="J60" s="18"/>
      <c r="K60" s="17"/>
      <c r="L60" s="18"/>
      <c r="M60" s="20"/>
      <c r="N60" s="18"/>
      <c r="O60" s="18"/>
      <c r="P60" s="18"/>
      <c r="Q60" s="17"/>
      <c r="R60" s="18"/>
      <c r="S60" s="20" t="s">
        <v>200</v>
      </c>
      <c r="T60" s="18"/>
      <c r="U60" s="18"/>
      <c r="V60" s="18"/>
      <c r="W60" s="18"/>
      <c r="X60" s="18"/>
      <c r="Y60" s="18"/>
      <c r="Z60" s="18"/>
      <c r="AA60" s="20" t="s">
        <v>200</v>
      </c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</row>
    <row r="61" spans="1:50" ht="14.25" customHeight="1">
      <c r="A61" s="18"/>
      <c r="B61" s="18"/>
      <c r="C61" s="18"/>
      <c r="D61" s="18"/>
      <c r="E61" s="18"/>
      <c r="F61" s="18"/>
      <c r="G61" s="18"/>
      <c r="H61" s="18"/>
      <c r="I61" s="17"/>
      <c r="J61" s="18"/>
      <c r="K61" s="17"/>
      <c r="L61" s="18"/>
      <c r="M61" s="20"/>
      <c r="N61" s="18"/>
      <c r="O61" s="18"/>
      <c r="P61" s="18"/>
      <c r="Q61" s="17"/>
      <c r="R61" s="18"/>
      <c r="S61" s="18">
        <v>22</v>
      </c>
      <c r="T61" s="17">
        <f t="shared" ref="T61:T63" si="30">T55*S61/U61</f>
        <v>-597347.66666666663</v>
      </c>
      <c r="U61" s="18">
        <f>100-S61</f>
        <v>78</v>
      </c>
      <c r="V61" s="18"/>
      <c r="W61" s="18"/>
      <c r="X61" s="18"/>
      <c r="Y61" s="18"/>
      <c r="Z61" s="18"/>
      <c r="AA61" s="18">
        <v>22</v>
      </c>
      <c r="AB61" s="17">
        <f t="shared" ref="AB61:AB63" si="31">AB55*AA61/AC61</f>
        <v>1232000</v>
      </c>
      <c r="AC61" s="18">
        <f>100-AA61</f>
        <v>78</v>
      </c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</row>
    <row r="62" spans="1:50" ht="14.25" customHeight="1">
      <c r="A62" s="18"/>
      <c r="B62" s="18"/>
      <c r="C62" s="18"/>
      <c r="D62" s="18"/>
      <c r="E62" s="18"/>
      <c r="F62" s="18"/>
      <c r="G62" s="18"/>
      <c r="H62" s="18"/>
      <c r="I62" s="17"/>
      <c r="J62" s="18"/>
      <c r="K62" s="17"/>
      <c r="L62" s="18"/>
      <c r="M62" s="20"/>
      <c r="N62" s="18"/>
      <c r="O62" s="18"/>
      <c r="P62" s="18"/>
      <c r="Q62" s="17"/>
      <c r="R62" s="18"/>
      <c r="S62" s="18">
        <v>17.600000000000001</v>
      </c>
      <c r="T62" s="17">
        <f t="shared" si="30"/>
        <v>0</v>
      </c>
      <c r="U62" s="18">
        <f t="shared" ref="U62:U63" si="32">80-S62</f>
        <v>62.4</v>
      </c>
      <c r="V62" s="18"/>
      <c r="W62" s="18"/>
      <c r="X62" s="18"/>
      <c r="Y62" s="18"/>
      <c r="Z62" s="18"/>
      <c r="AA62" s="18">
        <v>17.600000000000001</v>
      </c>
      <c r="AB62" s="17">
        <f t="shared" si="31"/>
        <v>0</v>
      </c>
      <c r="AC62" s="18">
        <f t="shared" ref="AC62:AC63" si="33">80-AA62</f>
        <v>62.4</v>
      </c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</row>
    <row r="63" spans="1:50" ht="14.25" customHeight="1">
      <c r="A63" s="18"/>
      <c r="B63" s="18"/>
      <c r="C63" s="18"/>
      <c r="D63" s="18"/>
      <c r="E63" s="18"/>
      <c r="F63" s="18"/>
      <c r="G63" s="18"/>
      <c r="H63" s="18"/>
      <c r="I63" s="17"/>
      <c r="J63" s="18"/>
      <c r="K63" s="17"/>
      <c r="L63" s="18"/>
      <c r="M63" s="20"/>
      <c r="N63" s="18"/>
      <c r="O63" s="18"/>
      <c r="P63" s="18"/>
      <c r="Q63" s="17"/>
      <c r="R63" s="18"/>
      <c r="S63" s="18">
        <v>17</v>
      </c>
      <c r="T63" s="17">
        <f t="shared" si="30"/>
        <v>0</v>
      </c>
      <c r="U63" s="18">
        <f t="shared" si="32"/>
        <v>63</v>
      </c>
      <c r="V63" s="18"/>
      <c r="W63" s="18"/>
      <c r="X63" s="18"/>
      <c r="Y63" s="18"/>
      <c r="Z63" s="18"/>
      <c r="AA63" s="18">
        <v>17</v>
      </c>
      <c r="AB63" s="17">
        <f t="shared" si="31"/>
        <v>0</v>
      </c>
      <c r="AC63" s="18">
        <f t="shared" si="33"/>
        <v>63</v>
      </c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</row>
    <row r="64" spans="1:50" ht="14.25" customHeight="1">
      <c r="A64" s="18"/>
      <c r="B64" s="18"/>
      <c r="C64" s="18"/>
      <c r="D64" s="18"/>
      <c r="E64" s="18"/>
      <c r="F64" s="18"/>
      <c r="G64" s="18"/>
      <c r="H64" s="18"/>
      <c r="I64" s="17"/>
      <c r="J64" s="18"/>
      <c r="K64" s="17"/>
      <c r="L64" s="18"/>
      <c r="M64" s="20"/>
      <c r="N64" s="18"/>
      <c r="O64" s="18"/>
      <c r="P64" s="18"/>
      <c r="Q64" s="17"/>
      <c r="R64" s="18"/>
      <c r="S64" s="20" t="s">
        <v>202</v>
      </c>
      <c r="T64" s="112">
        <f>INT(SUM(T61:T63)/100)*100</f>
        <v>-597400</v>
      </c>
      <c r="U64" s="18"/>
      <c r="V64" s="18"/>
      <c r="W64" s="18"/>
      <c r="X64" s="18"/>
      <c r="Y64" s="18"/>
      <c r="Z64" s="18"/>
      <c r="AA64" s="20" t="s">
        <v>202</v>
      </c>
      <c r="AB64" s="112">
        <f>INT(SUM(AB61:AB63)/100)*100</f>
        <v>1232000</v>
      </c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</row>
    <row r="65" spans="1:50" ht="15">
      <c r="A65" s="18"/>
      <c r="B65" s="18"/>
      <c r="C65" s="18"/>
      <c r="D65" s="18"/>
      <c r="E65" s="18"/>
      <c r="F65" s="18"/>
      <c r="G65" s="18"/>
      <c r="H65" s="18"/>
      <c r="I65" s="17"/>
      <c r="J65" s="18"/>
      <c r="K65" s="17"/>
      <c r="L65" s="18"/>
      <c r="M65" s="20"/>
      <c r="N65" s="18"/>
      <c r="O65" s="18"/>
      <c r="P65" s="18"/>
      <c r="Q65" s="17"/>
      <c r="R65" s="18"/>
      <c r="S65" s="18"/>
      <c r="T65" s="17"/>
      <c r="U65" s="18"/>
      <c r="V65" s="18"/>
      <c r="W65" s="18"/>
      <c r="X65" s="18"/>
      <c r="Y65" s="18"/>
      <c r="Z65" s="18"/>
      <c r="AA65" s="18"/>
      <c r="AB65" s="17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</row>
    <row r="66" spans="1:50" ht="15">
      <c r="A66" s="18"/>
      <c r="B66" s="18"/>
      <c r="C66" s="18"/>
      <c r="D66" s="18"/>
      <c r="E66" s="18"/>
      <c r="F66" s="18"/>
      <c r="G66" s="18"/>
      <c r="H66" s="18"/>
      <c r="I66" s="17"/>
      <c r="J66" s="18"/>
      <c r="K66" s="17"/>
      <c r="L66" s="18"/>
      <c r="M66" s="20"/>
      <c r="N66" s="18"/>
      <c r="O66" s="18"/>
      <c r="P66" s="18"/>
      <c r="Q66" s="17"/>
      <c r="R66" s="18"/>
      <c r="S66" s="18"/>
      <c r="T66" s="17"/>
      <c r="U66" s="18"/>
      <c r="V66" s="18"/>
      <c r="W66" s="18"/>
      <c r="X66" s="18"/>
      <c r="Y66" s="18"/>
      <c r="Z66" s="18"/>
      <c r="AA66" s="18"/>
      <c r="AB66" s="17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7"/>
      <c r="AS66" s="17"/>
      <c r="AT66" s="17"/>
      <c r="AU66" s="17"/>
      <c r="AV66" s="18"/>
      <c r="AW66" s="18"/>
      <c r="AX66" s="18"/>
    </row>
    <row r="67" spans="1:50" ht="15">
      <c r="A67" s="18"/>
      <c r="B67" s="18"/>
      <c r="C67" s="18"/>
      <c r="D67" s="18"/>
      <c r="E67" s="18"/>
      <c r="F67" s="18"/>
      <c r="G67" s="18"/>
      <c r="H67" s="18"/>
      <c r="I67" s="17"/>
      <c r="J67" s="18"/>
      <c r="K67" s="17"/>
      <c r="L67" s="18"/>
      <c r="M67" s="20"/>
      <c r="N67" s="18"/>
      <c r="O67" s="18"/>
      <c r="P67" s="18"/>
      <c r="Q67" s="17"/>
      <c r="R67" s="18"/>
      <c r="S67" s="20"/>
      <c r="T67" s="17"/>
      <c r="U67" s="18"/>
      <c r="V67" s="18"/>
      <c r="W67" s="18"/>
      <c r="X67" s="18"/>
      <c r="Y67" s="18"/>
      <c r="Z67" s="18"/>
      <c r="AA67" s="18"/>
      <c r="AB67" s="17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7"/>
      <c r="AS67" s="17"/>
      <c r="AT67" s="17"/>
      <c r="AU67" s="17"/>
      <c r="AV67" s="18"/>
      <c r="AW67" s="18"/>
      <c r="AX67" s="18"/>
    </row>
    <row r="68" spans="1:50" ht="15">
      <c r="A68" s="18"/>
      <c r="B68" s="18"/>
      <c r="C68" s="18"/>
      <c r="D68" s="18"/>
      <c r="E68" s="18"/>
      <c r="F68" s="18"/>
      <c r="G68" s="18"/>
      <c r="H68" s="18"/>
      <c r="I68" s="17"/>
      <c r="J68" s="18"/>
      <c r="K68" s="17"/>
      <c r="L68" s="18"/>
      <c r="M68" s="20"/>
      <c r="N68" s="18"/>
      <c r="O68" s="18"/>
      <c r="P68" s="18"/>
      <c r="Q68" s="17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7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7"/>
      <c r="AS68" s="17"/>
      <c r="AT68" s="17"/>
      <c r="AU68" s="17"/>
      <c r="AV68" s="18"/>
      <c r="AW68" s="18"/>
      <c r="AX68" s="18"/>
    </row>
    <row r="69" spans="1:50" ht="15">
      <c r="A69" s="18"/>
      <c r="B69" s="18"/>
      <c r="C69" s="18"/>
      <c r="D69" s="18"/>
      <c r="E69" s="18"/>
      <c r="F69" s="18"/>
      <c r="G69" s="18"/>
      <c r="H69" s="18"/>
      <c r="I69" s="17"/>
      <c r="J69" s="18"/>
      <c r="K69" s="17"/>
      <c r="L69" s="18"/>
      <c r="M69" s="20"/>
      <c r="N69" s="18"/>
      <c r="O69" s="18"/>
      <c r="P69" s="18"/>
      <c r="Q69" s="17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7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7"/>
      <c r="AS69" s="17"/>
      <c r="AT69" s="17"/>
      <c r="AU69" s="17"/>
      <c r="AV69" s="18"/>
      <c r="AW69" s="18"/>
      <c r="AX69" s="18"/>
    </row>
    <row r="70" spans="1:50" ht="15">
      <c r="A70" s="18"/>
      <c r="B70" s="18"/>
      <c r="C70" s="18"/>
      <c r="D70" s="18"/>
      <c r="E70" s="18"/>
      <c r="F70" s="18"/>
      <c r="G70" s="18"/>
      <c r="H70" s="18"/>
      <c r="I70" s="17"/>
      <c r="J70" s="18"/>
      <c r="K70" s="17"/>
      <c r="L70" s="18"/>
      <c r="M70" s="20"/>
      <c r="N70" s="18"/>
      <c r="O70" s="18"/>
      <c r="P70" s="18"/>
      <c r="Q70" s="17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7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7"/>
      <c r="AS70" s="17"/>
      <c r="AT70" s="17"/>
      <c r="AU70" s="17"/>
      <c r="AV70" s="18"/>
      <c r="AW70" s="18"/>
      <c r="AX70" s="18"/>
    </row>
    <row r="71" spans="1:50" ht="15">
      <c r="A71" s="18"/>
      <c r="B71" s="18"/>
      <c r="C71" s="18"/>
      <c r="D71" s="18"/>
      <c r="E71" s="18"/>
      <c r="F71" s="18"/>
      <c r="G71" s="18"/>
      <c r="H71" s="18"/>
      <c r="I71" s="17"/>
      <c r="J71" s="18"/>
      <c r="K71" s="17"/>
      <c r="L71" s="18"/>
      <c r="M71" s="20"/>
      <c r="N71" s="18"/>
      <c r="O71" s="18"/>
      <c r="P71" s="18"/>
      <c r="Q71" s="17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7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7"/>
      <c r="AU71" s="17"/>
      <c r="AV71" s="18"/>
      <c r="AW71" s="18"/>
      <c r="AX71" s="18"/>
    </row>
    <row r="72" spans="1:50" ht="15">
      <c r="A72" s="18"/>
      <c r="B72" s="18"/>
      <c r="C72" s="18"/>
      <c r="D72" s="18"/>
      <c r="E72" s="18"/>
      <c r="F72" s="18"/>
      <c r="G72" s="18"/>
      <c r="H72" s="18"/>
      <c r="I72" s="17"/>
      <c r="J72" s="18"/>
      <c r="K72" s="17"/>
      <c r="L72" s="18"/>
      <c r="M72" s="20"/>
      <c r="N72" s="18"/>
      <c r="O72" s="18"/>
      <c r="P72" s="18"/>
      <c r="Q72" s="17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7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25"/>
      <c r="AS72" s="126"/>
      <c r="AT72" s="126" t="s">
        <v>203</v>
      </c>
      <c r="AU72" s="126"/>
      <c r="AV72" s="126"/>
      <c r="AW72" s="126"/>
      <c r="AX72" s="127"/>
    </row>
    <row r="73" spans="1:50" ht="15">
      <c r="A73" s="18"/>
      <c r="B73" s="18"/>
      <c r="C73" s="18"/>
      <c r="D73" s="18"/>
      <c r="E73" s="18"/>
      <c r="F73" s="18"/>
      <c r="G73" s="18"/>
      <c r="H73" s="18"/>
      <c r="I73" s="17"/>
      <c r="J73" s="18"/>
      <c r="K73" s="17"/>
      <c r="L73" s="18"/>
      <c r="M73" s="20"/>
      <c r="N73" s="18"/>
      <c r="O73" s="18"/>
      <c r="P73" s="18"/>
      <c r="Q73" s="17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7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28"/>
      <c r="AS73" s="17"/>
      <c r="AT73" s="17"/>
      <c r="AU73" s="17"/>
      <c r="AV73" s="17"/>
      <c r="AW73" s="17"/>
      <c r="AX73" s="129"/>
    </row>
    <row r="74" spans="1:50" ht="15">
      <c r="A74" s="18"/>
      <c r="B74" s="18"/>
      <c r="C74" s="18"/>
      <c r="D74" s="18"/>
      <c r="E74" s="18"/>
      <c r="F74" s="18"/>
      <c r="G74" s="18"/>
      <c r="H74" s="18"/>
      <c r="I74" s="17"/>
      <c r="J74" s="18"/>
      <c r="K74" s="17"/>
      <c r="L74" s="18"/>
      <c r="M74" s="20"/>
      <c r="N74" s="18"/>
      <c r="O74" s="18"/>
      <c r="P74" s="18"/>
      <c r="Q74" s="17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7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28"/>
      <c r="AS74" s="17"/>
      <c r="AT74" s="17">
        <f>INT(C25/1000)*1000</f>
        <v>10000000</v>
      </c>
      <c r="AU74" s="17" t="s">
        <v>204</v>
      </c>
      <c r="AV74" s="17"/>
      <c r="AW74" s="17"/>
      <c r="AX74" s="129"/>
    </row>
    <row r="75" spans="1:50" ht="15">
      <c r="A75" s="18"/>
      <c r="B75" s="18"/>
      <c r="C75" s="18"/>
      <c r="D75" s="18"/>
      <c r="E75" s="18"/>
      <c r="F75" s="18"/>
      <c r="G75" s="18"/>
      <c r="H75" s="18"/>
      <c r="I75" s="17"/>
      <c r="J75" s="18"/>
      <c r="K75" s="17"/>
      <c r="L75" s="18"/>
      <c r="M75" s="20"/>
      <c r="N75" s="18"/>
      <c r="O75" s="18"/>
      <c r="P75" s="18"/>
      <c r="Q75" s="17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7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28"/>
      <c r="AS75" s="17"/>
      <c r="AT75" s="17"/>
      <c r="AU75" s="17"/>
      <c r="AV75" s="17"/>
      <c r="AW75" s="17"/>
      <c r="AX75" s="129"/>
    </row>
    <row r="76" spans="1:50" ht="15">
      <c r="A76" s="18"/>
      <c r="B76" s="18"/>
      <c r="C76" s="18"/>
      <c r="D76" s="18"/>
      <c r="E76" s="18"/>
      <c r="F76" s="18"/>
      <c r="G76" s="18"/>
      <c r="H76" s="18"/>
      <c r="I76" s="17"/>
      <c r="J76" s="18"/>
      <c r="K76" s="17"/>
      <c r="L76" s="18"/>
      <c r="M76" s="20"/>
      <c r="N76" s="18"/>
      <c r="O76" s="18"/>
      <c r="P76" s="18"/>
      <c r="Q76" s="17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7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28" t="s">
        <v>126</v>
      </c>
      <c r="AS76" s="17"/>
      <c r="AT76" s="17">
        <f>IF(AT74&lt;8000000,AT74,8000000)</f>
        <v>8000000</v>
      </c>
      <c r="AU76" s="20">
        <f t="shared" ref="AU76:AU77" si="34">F17</f>
        <v>0.15</v>
      </c>
      <c r="AV76" s="17">
        <f t="shared" ref="AV76:AV77" si="35">AT76*AU76</f>
        <v>1200000</v>
      </c>
      <c r="AW76" s="17"/>
      <c r="AX76" s="129"/>
    </row>
    <row r="77" spans="1:50" ht="15">
      <c r="A77" s="18"/>
      <c r="B77" s="18"/>
      <c r="C77" s="18"/>
      <c r="D77" s="18"/>
      <c r="E77" s="18"/>
      <c r="F77" s="18"/>
      <c r="G77" s="18"/>
      <c r="H77" s="18"/>
      <c r="I77" s="17"/>
      <c r="J77" s="18"/>
      <c r="K77" s="17"/>
      <c r="L77" s="18"/>
      <c r="M77" s="20"/>
      <c r="N77" s="18"/>
      <c r="O77" s="18"/>
      <c r="P77" s="18"/>
      <c r="Q77" s="17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7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28"/>
      <c r="AS77" s="17"/>
      <c r="AT77" s="17">
        <f>IF(AT74-8000000&lt;0,0,INT((AT74-8000000)/1000)*1000)</f>
        <v>2000000</v>
      </c>
      <c r="AU77" s="20">
        <f t="shared" si="34"/>
        <v>0.23899999999999999</v>
      </c>
      <c r="AV77" s="17">
        <f t="shared" si="35"/>
        <v>478000</v>
      </c>
      <c r="AW77" s="17"/>
      <c r="AX77" s="129"/>
    </row>
    <row r="78" spans="1:50" ht="15">
      <c r="A78" s="18"/>
      <c r="B78" s="18"/>
      <c r="C78" s="18"/>
      <c r="D78" s="18"/>
      <c r="E78" s="18"/>
      <c r="F78" s="18"/>
      <c r="G78" s="18"/>
      <c r="H78" s="18"/>
      <c r="I78" s="17"/>
      <c r="J78" s="18"/>
      <c r="K78" s="17"/>
      <c r="L78" s="18"/>
      <c r="M78" s="20"/>
      <c r="N78" s="18"/>
      <c r="O78" s="18"/>
      <c r="P78" s="18"/>
      <c r="Q78" s="17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7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28" t="s">
        <v>205</v>
      </c>
      <c r="AS78" s="17"/>
      <c r="AT78" s="17"/>
      <c r="AU78" s="20"/>
      <c r="AV78" s="101">
        <f>SUM(AV76:AV77)</f>
        <v>1678000</v>
      </c>
      <c r="AW78" s="17"/>
      <c r="AX78" s="129"/>
    </row>
    <row r="79" spans="1:50" ht="16.5" customHeight="1">
      <c r="A79" s="18"/>
      <c r="B79" s="18"/>
      <c r="C79" s="18"/>
      <c r="D79" s="18"/>
      <c r="E79" s="18"/>
      <c r="F79" s="18"/>
      <c r="G79" s="18"/>
      <c r="H79" s="18"/>
      <c r="I79" s="17"/>
      <c r="J79" s="18"/>
      <c r="K79" s="17"/>
      <c r="L79" s="18"/>
      <c r="M79" s="20"/>
      <c r="N79" s="18"/>
      <c r="O79" s="18"/>
      <c r="P79" s="18"/>
      <c r="Q79" s="17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7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30"/>
      <c r="AS79" s="131"/>
      <c r="AT79" s="131"/>
      <c r="AU79" s="132"/>
      <c r="AV79" s="131">
        <f>INT(AV78/1000)*1000</f>
        <v>1678000</v>
      </c>
      <c r="AW79" s="131"/>
      <c r="AX79" s="133"/>
    </row>
    <row r="80" spans="1:50" ht="15">
      <c r="A80" s="18"/>
      <c r="B80" s="18"/>
      <c r="C80" s="18"/>
      <c r="D80" s="18"/>
      <c r="E80" s="18"/>
      <c r="F80" s="18"/>
      <c r="G80" s="18"/>
      <c r="H80" s="18"/>
      <c r="I80" s="17"/>
      <c r="J80" s="18"/>
      <c r="K80" s="17"/>
      <c r="L80" s="18"/>
      <c r="M80" s="20"/>
      <c r="N80" s="18"/>
      <c r="O80" s="18"/>
      <c r="P80" s="18"/>
      <c r="Q80" s="17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7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7"/>
      <c r="AS80" s="17"/>
      <c r="AT80" s="17"/>
      <c r="AU80" s="20"/>
      <c r="AV80" s="17"/>
      <c r="AW80" s="17"/>
      <c r="AX80" s="17"/>
    </row>
    <row r="81" spans="1:50" ht="15">
      <c r="A81" s="18"/>
      <c r="B81" s="18"/>
      <c r="C81" s="18"/>
      <c r="D81" s="18"/>
      <c r="E81" s="18"/>
      <c r="F81" s="18"/>
      <c r="G81" s="18"/>
      <c r="H81" s="18"/>
      <c r="I81" s="17"/>
      <c r="J81" s="18"/>
      <c r="K81" s="17"/>
      <c r="L81" s="18"/>
      <c r="M81" s="20"/>
      <c r="N81" s="18"/>
      <c r="O81" s="18"/>
      <c r="P81" s="18"/>
      <c r="Q81" s="17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7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25"/>
      <c r="AS81" s="126"/>
      <c r="AT81" s="126" t="s">
        <v>206</v>
      </c>
      <c r="AU81" s="134"/>
      <c r="AV81" s="126"/>
      <c r="AW81" s="126"/>
      <c r="AX81" s="127"/>
    </row>
    <row r="82" spans="1:50" ht="15">
      <c r="A82" s="18"/>
      <c r="B82" s="18"/>
      <c r="C82" s="18"/>
      <c r="D82" s="18"/>
      <c r="E82" s="18"/>
      <c r="F82" s="18"/>
      <c r="G82" s="18"/>
      <c r="H82" s="18"/>
      <c r="I82" s="17"/>
      <c r="J82" s="18"/>
      <c r="K82" s="17"/>
      <c r="L82" s="18"/>
      <c r="M82" s="20"/>
      <c r="N82" s="18"/>
      <c r="O82" s="18"/>
      <c r="P82" s="18"/>
      <c r="Q82" s="17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7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28"/>
      <c r="AS82" s="17"/>
      <c r="AT82" s="17"/>
      <c r="AU82" s="20"/>
      <c r="AV82" s="17"/>
      <c r="AW82" s="17"/>
      <c r="AX82" s="129"/>
    </row>
    <row r="83" spans="1:50" ht="15">
      <c r="A83" s="18"/>
      <c r="B83" s="18"/>
      <c r="C83" s="18"/>
      <c r="D83" s="18"/>
      <c r="E83" s="18"/>
      <c r="F83" s="18"/>
      <c r="G83" s="18"/>
      <c r="H83" s="18"/>
      <c r="I83" s="17"/>
      <c r="J83" s="18"/>
      <c r="K83" s="17"/>
      <c r="L83" s="18"/>
      <c r="M83" s="20"/>
      <c r="N83" s="18"/>
      <c r="O83" s="18"/>
      <c r="P83" s="18"/>
      <c r="Q83" s="17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7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28">
        <v>1</v>
      </c>
      <c r="AS83" s="17"/>
      <c r="AT83" s="17">
        <f>IF(AT74&lt;4000000,AT74,4000000)</f>
        <v>4000000</v>
      </c>
      <c r="AU83" s="20">
        <f t="shared" ref="AU83:AU85" si="36">F21</f>
        <v>3.5000000000000003E-2</v>
      </c>
      <c r="AV83" s="17">
        <f>INT((AT83*AU83)/100)*100</f>
        <v>140000</v>
      </c>
      <c r="AW83" s="17"/>
      <c r="AX83" s="129"/>
    </row>
    <row r="84" spans="1:50" ht="15">
      <c r="A84" s="18"/>
      <c r="B84" s="18"/>
      <c r="C84" s="18"/>
      <c r="D84" s="18"/>
      <c r="E84" s="18"/>
      <c r="F84" s="18"/>
      <c r="G84" s="18"/>
      <c r="H84" s="18"/>
      <c r="I84" s="17"/>
      <c r="J84" s="18"/>
      <c r="K84" s="17"/>
      <c r="L84" s="18"/>
      <c r="M84" s="20"/>
      <c r="N84" s="18"/>
      <c r="O84" s="18"/>
      <c r="P84" s="18"/>
      <c r="Q84" s="17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7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28">
        <v>2</v>
      </c>
      <c r="AS84" s="17"/>
      <c r="AT84" s="17">
        <f>IF((AT74-AT83)&lt;4000000,(AT74-AT83),4000000)</f>
        <v>4000000</v>
      </c>
      <c r="AU84" s="20">
        <f t="shared" si="36"/>
        <v>5.2999999999999999E-2</v>
      </c>
      <c r="AV84" s="17">
        <f t="shared" ref="AV84:AV85" si="37">INT(AT84*AU84/100)*100</f>
        <v>212000</v>
      </c>
      <c r="AW84" s="17"/>
      <c r="AX84" s="129"/>
    </row>
    <row r="85" spans="1:50" ht="15">
      <c r="A85" s="18"/>
      <c r="B85" s="18"/>
      <c r="C85" s="18"/>
      <c r="D85" s="18"/>
      <c r="E85" s="18"/>
      <c r="F85" s="18"/>
      <c r="G85" s="18"/>
      <c r="H85" s="18"/>
      <c r="I85" s="17"/>
      <c r="J85" s="18"/>
      <c r="K85" s="17"/>
      <c r="L85" s="18"/>
      <c r="M85" s="20"/>
      <c r="N85" s="18"/>
      <c r="O85" s="18"/>
      <c r="P85" s="18"/>
      <c r="Q85" s="17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7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28">
        <v>3</v>
      </c>
      <c r="AS85" s="17"/>
      <c r="AT85" s="17">
        <f>INT((AT74-AT83-AT84)/1000)*1000</f>
        <v>2000000</v>
      </c>
      <c r="AU85" s="20">
        <f t="shared" si="36"/>
        <v>7.0000000000000007E-2</v>
      </c>
      <c r="AV85" s="17">
        <f t="shared" si="37"/>
        <v>140000</v>
      </c>
      <c r="AW85" s="17"/>
      <c r="AX85" s="129"/>
    </row>
    <row r="86" spans="1:50" ht="15">
      <c r="A86" s="18"/>
      <c r="B86" s="18"/>
      <c r="C86" s="18"/>
      <c r="D86" s="18"/>
      <c r="E86" s="18"/>
      <c r="F86" s="18"/>
      <c r="G86" s="18"/>
      <c r="H86" s="18"/>
      <c r="I86" s="17"/>
      <c r="J86" s="18"/>
      <c r="K86" s="17"/>
      <c r="L86" s="18"/>
      <c r="M86" s="20"/>
      <c r="N86" s="18"/>
      <c r="O86" s="18"/>
      <c r="P86" s="18"/>
      <c r="Q86" s="17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7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28"/>
      <c r="AS86" s="17"/>
      <c r="AT86" s="17"/>
      <c r="AU86" s="17"/>
      <c r="AV86" s="101">
        <f>SUM(AV83:AV85)</f>
        <v>492000</v>
      </c>
      <c r="AW86" s="17"/>
      <c r="AX86" s="129"/>
    </row>
    <row r="87" spans="1:50" ht="15">
      <c r="A87" s="18"/>
      <c r="B87" s="18"/>
      <c r="C87" s="18"/>
      <c r="D87" s="18"/>
      <c r="E87" s="18"/>
      <c r="F87" s="18"/>
      <c r="G87" s="18"/>
      <c r="H87" s="18"/>
      <c r="I87" s="17"/>
      <c r="J87" s="18"/>
      <c r="K87" s="17"/>
      <c r="L87" s="18"/>
      <c r="M87" s="20"/>
      <c r="N87" s="18"/>
      <c r="O87" s="18"/>
      <c r="P87" s="18"/>
      <c r="Q87" s="17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7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30"/>
      <c r="AS87" s="131"/>
      <c r="AT87" s="131"/>
      <c r="AU87" s="131"/>
      <c r="AV87" s="131"/>
      <c r="AW87" s="131"/>
      <c r="AX87" s="133"/>
    </row>
    <row r="88" spans="1:50" ht="15">
      <c r="A88" s="18"/>
      <c r="B88" s="18"/>
      <c r="C88" s="18"/>
      <c r="D88" s="18"/>
      <c r="E88" s="18"/>
      <c r="F88" s="18"/>
      <c r="G88" s="18"/>
      <c r="H88" s="18"/>
      <c r="I88" s="17"/>
      <c r="J88" s="18"/>
      <c r="K88" s="17"/>
      <c r="L88" s="18"/>
      <c r="M88" s="20"/>
      <c r="N88" s="18"/>
      <c r="O88" s="18"/>
      <c r="P88" s="18"/>
      <c r="Q88" s="17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7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</row>
    <row r="89" spans="1:50" ht="15">
      <c r="A89" s="18"/>
      <c r="B89" s="18"/>
      <c r="C89" s="18"/>
      <c r="D89" s="18"/>
      <c r="E89" s="18"/>
      <c r="F89" s="18"/>
      <c r="G89" s="18"/>
      <c r="H89" s="18"/>
      <c r="I89" s="17"/>
      <c r="J89" s="18"/>
      <c r="K89" s="17"/>
      <c r="L89" s="18"/>
      <c r="M89" s="20"/>
      <c r="N89" s="18"/>
      <c r="O89" s="18"/>
      <c r="P89" s="18"/>
      <c r="Q89" s="17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7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</row>
    <row r="90" spans="1:50" ht="15">
      <c r="A90" s="18"/>
      <c r="B90" s="18"/>
      <c r="C90" s="18"/>
      <c r="D90" s="18"/>
      <c r="E90" s="18"/>
      <c r="F90" s="18"/>
      <c r="G90" s="18"/>
      <c r="H90" s="18"/>
      <c r="I90" s="17"/>
      <c r="J90" s="18"/>
      <c r="K90" s="17"/>
      <c r="L90" s="18"/>
      <c r="M90" s="20"/>
      <c r="N90" s="18"/>
      <c r="O90" s="18"/>
      <c r="P90" s="18"/>
      <c r="Q90" s="17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7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</row>
    <row r="91" spans="1:50" ht="15">
      <c r="A91" s="18"/>
      <c r="B91" s="18"/>
      <c r="C91" s="18"/>
      <c r="D91" s="18"/>
      <c r="E91" s="18"/>
      <c r="F91" s="18"/>
      <c r="G91" s="18"/>
      <c r="H91" s="18"/>
      <c r="I91" s="17"/>
      <c r="J91" s="18"/>
      <c r="K91" s="17"/>
      <c r="L91" s="18"/>
      <c r="M91" s="20"/>
      <c r="N91" s="18"/>
      <c r="O91" s="18"/>
      <c r="P91" s="18"/>
      <c r="Q91" s="17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7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</row>
    <row r="92" spans="1:50" ht="15">
      <c r="A92" s="18"/>
      <c r="B92" s="18"/>
      <c r="C92" s="18"/>
      <c r="D92" s="18"/>
      <c r="E92" s="18"/>
      <c r="F92" s="18"/>
      <c r="G92" s="18"/>
      <c r="H92" s="18"/>
      <c r="I92" s="17"/>
      <c r="J92" s="18"/>
      <c r="K92" s="17"/>
      <c r="L92" s="18"/>
      <c r="M92" s="20"/>
      <c r="N92" s="18"/>
      <c r="O92" s="18"/>
      <c r="P92" s="18"/>
      <c r="Q92" s="17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7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</row>
    <row r="93" spans="1:50" ht="15">
      <c r="A93" s="18"/>
      <c r="B93" s="18"/>
      <c r="C93" s="18"/>
      <c r="D93" s="18"/>
      <c r="E93" s="18"/>
      <c r="F93" s="18"/>
      <c r="G93" s="18"/>
      <c r="H93" s="18"/>
      <c r="I93" s="17"/>
      <c r="J93" s="18"/>
      <c r="K93" s="17"/>
      <c r="L93" s="18"/>
      <c r="M93" s="20"/>
      <c r="N93" s="18"/>
      <c r="O93" s="18"/>
      <c r="P93" s="18"/>
      <c r="Q93" s="17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7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</row>
    <row r="94" spans="1:50" ht="15">
      <c r="A94" s="18"/>
      <c r="B94" s="18"/>
      <c r="C94" s="18"/>
      <c r="D94" s="18"/>
      <c r="E94" s="18"/>
      <c r="F94" s="18"/>
      <c r="G94" s="18"/>
      <c r="H94" s="18"/>
      <c r="I94" s="17"/>
      <c r="J94" s="18"/>
      <c r="K94" s="17"/>
      <c r="L94" s="18"/>
      <c r="M94" s="20"/>
      <c r="N94" s="18"/>
      <c r="O94" s="18"/>
      <c r="P94" s="18"/>
      <c r="Q94" s="17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7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</row>
    <row r="95" spans="1:50" ht="15">
      <c r="A95" s="18"/>
      <c r="B95" s="18"/>
      <c r="C95" s="18"/>
      <c r="D95" s="18"/>
      <c r="E95" s="18"/>
      <c r="F95" s="18"/>
      <c r="G95" s="18"/>
      <c r="H95" s="18"/>
      <c r="I95" s="17"/>
      <c r="J95" s="18"/>
      <c r="K95" s="17"/>
      <c r="L95" s="18"/>
      <c r="M95" s="20"/>
      <c r="N95" s="18"/>
      <c r="O95" s="18"/>
      <c r="P95" s="18"/>
      <c r="Q95" s="17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7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</row>
    <row r="96" spans="1:50" ht="15">
      <c r="A96" s="18"/>
      <c r="B96" s="18"/>
      <c r="C96" s="18"/>
      <c r="D96" s="18"/>
      <c r="E96" s="18"/>
      <c r="F96" s="18"/>
      <c r="G96" s="18"/>
      <c r="H96" s="18"/>
      <c r="I96" s="17"/>
      <c r="J96" s="18"/>
      <c r="K96" s="17"/>
      <c r="L96" s="18"/>
      <c r="M96" s="20"/>
      <c r="N96" s="18"/>
      <c r="O96" s="18"/>
      <c r="P96" s="18"/>
      <c r="Q96" s="17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7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</row>
    <row r="97" spans="1:50" ht="15">
      <c r="A97" s="18"/>
      <c r="B97" s="18"/>
      <c r="C97" s="18"/>
      <c r="D97" s="18"/>
      <c r="E97" s="18"/>
      <c r="F97" s="18"/>
      <c r="G97" s="18"/>
      <c r="H97" s="18"/>
      <c r="I97" s="17"/>
      <c r="J97" s="18"/>
      <c r="K97" s="17"/>
      <c r="L97" s="18"/>
      <c r="M97" s="20"/>
      <c r="N97" s="18"/>
      <c r="O97" s="18"/>
      <c r="P97" s="18"/>
      <c r="Q97" s="17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7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</row>
    <row r="98" spans="1:50" ht="15">
      <c r="A98" s="18"/>
      <c r="B98" s="18"/>
      <c r="C98" s="18"/>
      <c r="D98" s="18"/>
      <c r="E98" s="18"/>
      <c r="F98" s="18"/>
      <c r="G98" s="18"/>
      <c r="H98" s="18"/>
      <c r="I98" s="17"/>
      <c r="J98" s="18"/>
      <c r="K98" s="17"/>
      <c r="L98" s="18"/>
      <c r="M98" s="20"/>
      <c r="N98" s="18"/>
      <c r="O98" s="18"/>
      <c r="P98" s="18"/>
      <c r="Q98" s="17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7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</row>
    <row r="99" spans="1:50" ht="15">
      <c r="A99" s="18"/>
      <c r="B99" s="18"/>
      <c r="C99" s="18"/>
      <c r="D99" s="18"/>
      <c r="E99" s="18"/>
      <c r="F99" s="18"/>
      <c r="G99" s="18"/>
      <c r="H99" s="18"/>
      <c r="I99" s="17"/>
      <c r="J99" s="18"/>
      <c r="K99" s="17"/>
      <c r="L99" s="18"/>
      <c r="M99" s="20"/>
      <c r="N99" s="18"/>
      <c r="O99" s="18"/>
      <c r="P99" s="18"/>
      <c r="Q99" s="17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7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</row>
    <row r="100" spans="1:50" ht="15">
      <c r="A100" s="18"/>
      <c r="B100" s="18"/>
      <c r="C100" s="18"/>
      <c r="D100" s="18"/>
      <c r="E100" s="18"/>
      <c r="F100" s="18"/>
      <c r="G100" s="18"/>
      <c r="H100" s="18"/>
      <c r="I100" s="17"/>
      <c r="J100" s="18"/>
      <c r="K100" s="17"/>
      <c r="L100" s="18"/>
      <c r="M100" s="20"/>
      <c r="N100" s="18"/>
      <c r="O100" s="18"/>
      <c r="P100" s="18"/>
      <c r="Q100" s="17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7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</row>
    <row r="101" spans="1:50" ht="15">
      <c r="A101" s="18"/>
      <c r="B101" s="18"/>
      <c r="C101" s="18"/>
      <c r="D101" s="18"/>
      <c r="E101" s="18"/>
      <c r="F101" s="18"/>
      <c r="G101" s="18"/>
      <c r="H101" s="18"/>
      <c r="I101" s="17"/>
      <c r="J101" s="18"/>
      <c r="K101" s="17"/>
      <c r="L101" s="18"/>
      <c r="M101" s="20"/>
      <c r="N101" s="18"/>
      <c r="O101" s="18"/>
      <c r="P101" s="18"/>
      <c r="Q101" s="17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7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</row>
    <row r="102" spans="1:50" ht="15">
      <c r="A102" s="18"/>
      <c r="B102" s="18"/>
      <c r="C102" s="18"/>
      <c r="D102" s="18"/>
      <c r="E102" s="18"/>
      <c r="F102" s="18"/>
      <c r="G102" s="18"/>
      <c r="H102" s="18"/>
      <c r="I102" s="17"/>
      <c r="J102" s="18"/>
      <c r="K102" s="17"/>
      <c r="L102" s="18"/>
      <c r="M102" s="20"/>
      <c r="N102" s="18"/>
      <c r="O102" s="18"/>
      <c r="P102" s="18"/>
      <c r="Q102" s="17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7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</row>
    <row r="103" spans="1:50" ht="15">
      <c r="A103" s="18"/>
      <c r="B103" s="18"/>
      <c r="C103" s="18"/>
      <c r="D103" s="18"/>
      <c r="E103" s="18"/>
      <c r="F103" s="18"/>
      <c r="G103" s="18"/>
      <c r="H103" s="18"/>
      <c r="I103" s="17"/>
      <c r="J103" s="18"/>
      <c r="K103" s="17"/>
      <c r="L103" s="18"/>
      <c r="M103" s="20"/>
      <c r="N103" s="18"/>
      <c r="O103" s="18"/>
      <c r="P103" s="18"/>
      <c r="Q103" s="17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7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</row>
    <row r="104" spans="1:50" ht="15">
      <c r="A104" s="18"/>
      <c r="B104" s="18"/>
      <c r="C104" s="18"/>
      <c r="D104" s="18"/>
      <c r="E104" s="18"/>
      <c r="F104" s="18"/>
      <c r="G104" s="18"/>
      <c r="H104" s="18"/>
      <c r="I104" s="17"/>
      <c r="J104" s="18"/>
      <c r="K104" s="17"/>
      <c r="L104" s="18"/>
      <c r="M104" s="20"/>
      <c r="N104" s="18"/>
      <c r="O104" s="18"/>
      <c r="P104" s="18"/>
      <c r="Q104" s="17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7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</row>
    <row r="105" spans="1:50" ht="15">
      <c r="A105" s="18"/>
      <c r="B105" s="18"/>
      <c r="C105" s="18"/>
      <c r="D105" s="18"/>
      <c r="E105" s="18"/>
      <c r="F105" s="18"/>
      <c r="G105" s="18"/>
      <c r="H105" s="18"/>
      <c r="I105" s="17"/>
      <c r="J105" s="18"/>
      <c r="K105" s="17"/>
      <c r="L105" s="18"/>
      <c r="M105" s="20"/>
      <c r="N105" s="18"/>
      <c r="O105" s="18"/>
      <c r="P105" s="18"/>
      <c r="Q105" s="17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7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</row>
    <row r="106" spans="1:50" ht="15">
      <c r="A106" s="18"/>
      <c r="B106" s="18"/>
      <c r="C106" s="18"/>
      <c r="D106" s="18"/>
      <c r="E106" s="18"/>
      <c r="F106" s="18"/>
      <c r="G106" s="18"/>
      <c r="H106" s="18"/>
      <c r="I106" s="17"/>
      <c r="J106" s="18"/>
      <c r="K106" s="17"/>
      <c r="L106" s="18"/>
      <c r="M106" s="20"/>
      <c r="N106" s="18"/>
      <c r="O106" s="18"/>
      <c r="P106" s="18"/>
      <c r="Q106" s="17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7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</row>
    <row r="107" spans="1:50" ht="15">
      <c r="A107" s="18"/>
      <c r="B107" s="18"/>
      <c r="C107" s="18"/>
      <c r="D107" s="18"/>
      <c r="E107" s="18"/>
      <c r="F107" s="18"/>
      <c r="G107" s="18"/>
      <c r="H107" s="18"/>
      <c r="I107" s="17"/>
      <c r="J107" s="18"/>
      <c r="K107" s="17"/>
      <c r="L107" s="18"/>
      <c r="M107" s="20"/>
      <c r="N107" s="18"/>
      <c r="O107" s="18"/>
      <c r="P107" s="18"/>
      <c r="Q107" s="17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7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</row>
    <row r="108" spans="1:50" ht="15">
      <c r="A108" s="18"/>
      <c r="B108" s="18"/>
      <c r="C108" s="18"/>
      <c r="D108" s="18"/>
      <c r="E108" s="18"/>
      <c r="F108" s="18"/>
      <c r="G108" s="18"/>
      <c r="H108" s="18"/>
      <c r="I108" s="17"/>
      <c r="J108" s="18"/>
      <c r="K108" s="17"/>
      <c r="L108" s="18"/>
      <c r="M108" s="20"/>
      <c r="N108" s="18"/>
      <c r="O108" s="18"/>
      <c r="P108" s="18"/>
      <c r="Q108" s="17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7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</row>
    <row r="109" spans="1:50" ht="15">
      <c r="A109" s="18"/>
      <c r="B109" s="18"/>
      <c r="C109" s="18"/>
      <c r="D109" s="18"/>
      <c r="E109" s="18"/>
      <c r="F109" s="18"/>
      <c r="G109" s="18"/>
      <c r="H109" s="18"/>
      <c r="I109" s="17"/>
      <c r="J109" s="18"/>
      <c r="K109" s="17"/>
      <c r="L109" s="18"/>
      <c r="M109" s="20"/>
      <c r="N109" s="18"/>
      <c r="O109" s="18"/>
      <c r="P109" s="18"/>
      <c r="Q109" s="17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7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</row>
    <row r="110" spans="1:50" ht="15">
      <c r="A110" s="18"/>
      <c r="B110" s="18"/>
      <c r="C110" s="18"/>
      <c r="D110" s="18"/>
      <c r="E110" s="18"/>
      <c r="F110" s="18"/>
      <c r="G110" s="18"/>
      <c r="H110" s="18"/>
      <c r="I110" s="17"/>
      <c r="J110" s="18"/>
      <c r="K110" s="17"/>
      <c r="L110" s="18"/>
      <c r="M110" s="20"/>
      <c r="N110" s="18"/>
      <c r="O110" s="18"/>
      <c r="P110" s="18"/>
      <c r="Q110" s="17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7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</row>
    <row r="111" spans="1:50" ht="15">
      <c r="A111" s="18"/>
      <c r="B111" s="18"/>
      <c r="C111" s="18"/>
      <c r="D111" s="18"/>
      <c r="E111" s="18"/>
      <c r="F111" s="18"/>
      <c r="G111" s="18"/>
      <c r="H111" s="18"/>
      <c r="I111" s="17"/>
      <c r="J111" s="18"/>
      <c r="K111" s="17"/>
      <c r="L111" s="18"/>
      <c r="M111" s="20"/>
      <c r="N111" s="18"/>
      <c r="O111" s="18"/>
      <c r="P111" s="18"/>
      <c r="Q111" s="17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7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</row>
    <row r="112" spans="1:50" ht="15">
      <c r="A112" s="18"/>
      <c r="B112" s="18"/>
      <c r="C112" s="18"/>
      <c r="D112" s="18"/>
      <c r="E112" s="18"/>
      <c r="F112" s="18"/>
      <c r="G112" s="18"/>
      <c r="H112" s="18"/>
      <c r="I112" s="17"/>
      <c r="J112" s="18"/>
      <c r="K112" s="17"/>
      <c r="L112" s="18"/>
      <c r="M112" s="20"/>
      <c r="N112" s="18"/>
      <c r="O112" s="18"/>
      <c r="P112" s="18"/>
      <c r="Q112" s="17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7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</row>
    <row r="113" spans="1:50" ht="15">
      <c r="A113" s="18"/>
      <c r="B113" s="18"/>
      <c r="C113" s="18"/>
      <c r="D113" s="18"/>
      <c r="E113" s="18"/>
      <c r="F113" s="18"/>
      <c r="G113" s="18"/>
      <c r="H113" s="18"/>
      <c r="I113" s="17"/>
      <c r="J113" s="18"/>
      <c r="K113" s="17"/>
      <c r="L113" s="18"/>
      <c r="M113" s="20"/>
      <c r="N113" s="18"/>
      <c r="O113" s="18"/>
      <c r="P113" s="18"/>
      <c r="Q113" s="17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7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</row>
    <row r="114" spans="1:50" ht="15">
      <c r="A114" s="18"/>
      <c r="B114" s="18"/>
      <c r="C114" s="18"/>
      <c r="D114" s="18"/>
      <c r="E114" s="18"/>
      <c r="F114" s="18"/>
      <c r="G114" s="18"/>
      <c r="H114" s="18"/>
      <c r="I114" s="17"/>
      <c r="J114" s="18"/>
      <c r="K114" s="17"/>
      <c r="L114" s="18"/>
      <c r="M114" s="20"/>
      <c r="N114" s="18"/>
      <c r="O114" s="18"/>
      <c r="P114" s="18"/>
      <c r="Q114" s="17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7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</row>
    <row r="115" spans="1:50" ht="15">
      <c r="A115" s="18"/>
      <c r="B115" s="18"/>
      <c r="C115" s="18"/>
      <c r="D115" s="18"/>
      <c r="E115" s="18"/>
      <c r="F115" s="18"/>
      <c r="G115" s="18"/>
      <c r="H115" s="18"/>
      <c r="I115" s="17"/>
      <c r="J115" s="18"/>
      <c r="K115" s="17"/>
      <c r="L115" s="18"/>
      <c r="M115" s="20"/>
      <c r="N115" s="18"/>
      <c r="O115" s="18"/>
      <c r="P115" s="18"/>
      <c r="Q115" s="17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7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</row>
    <row r="116" spans="1:50" ht="15">
      <c r="A116" s="18"/>
      <c r="B116" s="18"/>
      <c r="C116" s="18"/>
      <c r="D116" s="18"/>
      <c r="E116" s="18"/>
      <c r="F116" s="18"/>
      <c r="G116" s="18"/>
      <c r="H116" s="18"/>
      <c r="I116" s="17"/>
      <c r="J116" s="18"/>
      <c r="K116" s="17"/>
      <c r="L116" s="18"/>
      <c r="M116" s="20"/>
      <c r="N116" s="18"/>
      <c r="O116" s="18"/>
      <c r="P116" s="18"/>
      <c r="Q116" s="17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7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</row>
    <row r="117" spans="1:50" ht="15">
      <c r="A117" s="18"/>
      <c r="B117" s="18"/>
      <c r="C117" s="18"/>
      <c r="D117" s="18"/>
      <c r="E117" s="18"/>
      <c r="F117" s="18"/>
      <c r="G117" s="18"/>
      <c r="H117" s="18"/>
      <c r="I117" s="17"/>
      <c r="J117" s="18"/>
      <c r="K117" s="17"/>
      <c r="L117" s="18"/>
      <c r="M117" s="20"/>
      <c r="N117" s="18"/>
      <c r="O117" s="18"/>
      <c r="P117" s="18"/>
      <c r="Q117" s="17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7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</row>
    <row r="118" spans="1:50" ht="15">
      <c r="A118" s="18"/>
      <c r="B118" s="18"/>
      <c r="C118" s="18"/>
      <c r="D118" s="18"/>
      <c r="E118" s="18"/>
      <c r="F118" s="18"/>
      <c r="G118" s="18"/>
      <c r="H118" s="18"/>
      <c r="I118" s="17"/>
      <c r="J118" s="18"/>
      <c r="K118" s="17"/>
      <c r="L118" s="18"/>
      <c r="M118" s="20"/>
      <c r="N118" s="18"/>
      <c r="O118" s="18"/>
      <c r="P118" s="18"/>
      <c r="Q118" s="17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7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</row>
    <row r="119" spans="1:50" ht="15">
      <c r="A119" s="18"/>
      <c r="B119" s="18"/>
      <c r="C119" s="18"/>
      <c r="D119" s="18"/>
      <c r="E119" s="18"/>
      <c r="F119" s="18"/>
      <c r="G119" s="18"/>
      <c r="H119" s="18"/>
      <c r="I119" s="17"/>
      <c r="J119" s="18"/>
      <c r="K119" s="17"/>
      <c r="L119" s="18"/>
      <c r="M119" s="20"/>
      <c r="N119" s="18"/>
      <c r="O119" s="18"/>
      <c r="P119" s="18"/>
      <c r="Q119" s="17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7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</row>
    <row r="120" spans="1:50" ht="15">
      <c r="A120" s="18"/>
      <c r="B120" s="18"/>
      <c r="C120" s="18"/>
      <c r="D120" s="18"/>
      <c r="E120" s="18"/>
      <c r="F120" s="18"/>
      <c r="G120" s="18"/>
      <c r="H120" s="18"/>
      <c r="I120" s="17"/>
      <c r="J120" s="18"/>
      <c r="K120" s="17"/>
      <c r="L120" s="18"/>
      <c r="M120" s="20"/>
      <c r="N120" s="18"/>
      <c r="O120" s="18"/>
      <c r="P120" s="18"/>
      <c r="Q120" s="17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7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</row>
    <row r="121" spans="1:50" ht="15">
      <c r="A121" s="18"/>
      <c r="B121" s="18"/>
      <c r="C121" s="18"/>
      <c r="D121" s="18"/>
      <c r="E121" s="18"/>
      <c r="F121" s="18"/>
      <c r="G121" s="18"/>
      <c r="H121" s="18"/>
      <c r="I121" s="17"/>
      <c r="J121" s="18"/>
      <c r="K121" s="17"/>
      <c r="L121" s="18"/>
      <c r="M121" s="20"/>
      <c r="N121" s="18"/>
      <c r="O121" s="18"/>
      <c r="P121" s="18"/>
      <c r="Q121" s="17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7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</row>
    <row r="122" spans="1:50" ht="15">
      <c r="A122" s="18"/>
      <c r="B122" s="18"/>
      <c r="C122" s="18"/>
      <c r="D122" s="18"/>
      <c r="E122" s="18"/>
      <c r="F122" s="18"/>
      <c r="G122" s="18"/>
      <c r="H122" s="18"/>
      <c r="I122" s="17"/>
      <c r="J122" s="18"/>
      <c r="K122" s="17"/>
      <c r="L122" s="18"/>
      <c r="M122" s="20"/>
      <c r="N122" s="18"/>
      <c r="O122" s="18"/>
      <c r="P122" s="18"/>
      <c r="Q122" s="17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7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</row>
    <row r="123" spans="1:50" ht="15">
      <c r="A123" s="18"/>
      <c r="B123" s="18"/>
      <c r="C123" s="18"/>
      <c r="D123" s="18"/>
      <c r="E123" s="18"/>
      <c r="F123" s="18"/>
      <c r="G123" s="18"/>
      <c r="H123" s="18"/>
      <c r="I123" s="17"/>
      <c r="J123" s="18"/>
      <c r="K123" s="17"/>
      <c r="L123" s="18"/>
      <c r="M123" s="20"/>
      <c r="N123" s="18"/>
      <c r="O123" s="18"/>
      <c r="P123" s="18"/>
      <c r="Q123" s="17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7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</row>
    <row r="124" spans="1:50" ht="15">
      <c r="A124" s="18"/>
      <c r="B124" s="18"/>
      <c r="C124" s="18"/>
      <c r="D124" s="18"/>
      <c r="E124" s="18"/>
      <c r="F124" s="18"/>
      <c r="G124" s="18"/>
      <c r="H124" s="18"/>
      <c r="I124" s="17"/>
      <c r="J124" s="18"/>
      <c r="K124" s="17"/>
      <c r="L124" s="18"/>
      <c r="M124" s="20"/>
      <c r="N124" s="18"/>
      <c r="O124" s="18"/>
      <c r="P124" s="18"/>
      <c r="Q124" s="17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7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</row>
    <row r="125" spans="1:50" ht="15">
      <c r="A125" s="18"/>
      <c r="B125" s="18"/>
      <c r="C125" s="18"/>
      <c r="D125" s="18"/>
      <c r="E125" s="18"/>
      <c r="F125" s="18"/>
      <c r="G125" s="18"/>
      <c r="H125" s="18"/>
      <c r="I125" s="17"/>
      <c r="J125" s="18"/>
      <c r="K125" s="17"/>
      <c r="L125" s="18"/>
      <c r="M125" s="20"/>
      <c r="N125" s="18"/>
      <c r="O125" s="18"/>
      <c r="P125" s="18"/>
      <c r="Q125" s="17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7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</row>
    <row r="126" spans="1:50" ht="15">
      <c r="A126" s="18"/>
      <c r="B126" s="18"/>
      <c r="C126" s="18"/>
      <c r="D126" s="18"/>
      <c r="E126" s="18"/>
      <c r="F126" s="18"/>
      <c r="G126" s="18"/>
      <c r="H126" s="18"/>
      <c r="I126" s="17"/>
      <c r="J126" s="18"/>
      <c r="K126" s="17"/>
      <c r="L126" s="18"/>
      <c r="M126" s="20"/>
      <c r="N126" s="18"/>
      <c r="O126" s="18"/>
      <c r="P126" s="18"/>
      <c r="Q126" s="17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7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</row>
    <row r="127" spans="1:50" ht="15">
      <c r="A127" s="18"/>
      <c r="B127" s="18"/>
      <c r="C127" s="18"/>
      <c r="D127" s="18"/>
      <c r="E127" s="18"/>
      <c r="F127" s="18"/>
      <c r="G127" s="18"/>
      <c r="H127" s="18"/>
      <c r="I127" s="17"/>
      <c r="J127" s="18"/>
      <c r="K127" s="17"/>
      <c r="L127" s="18"/>
      <c r="M127" s="20"/>
      <c r="N127" s="18"/>
      <c r="O127" s="18"/>
      <c r="P127" s="18"/>
      <c r="Q127" s="17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7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</row>
    <row r="128" spans="1:50" ht="15">
      <c r="A128" s="18"/>
      <c r="B128" s="18"/>
      <c r="C128" s="18"/>
      <c r="D128" s="18"/>
      <c r="E128" s="18"/>
      <c r="F128" s="18"/>
      <c r="G128" s="18"/>
      <c r="H128" s="18"/>
      <c r="I128" s="17"/>
      <c r="J128" s="18"/>
      <c r="K128" s="17"/>
      <c r="L128" s="18"/>
      <c r="M128" s="20"/>
      <c r="N128" s="18"/>
      <c r="O128" s="18"/>
      <c r="P128" s="18"/>
      <c r="Q128" s="17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7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</row>
    <row r="129" spans="1:50" ht="15">
      <c r="A129" s="18"/>
      <c r="B129" s="18"/>
      <c r="C129" s="18"/>
      <c r="D129" s="18"/>
      <c r="E129" s="18"/>
      <c r="F129" s="18"/>
      <c r="G129" s="18"/>
      <c r="H129" s="18"/>
      <c r="I129" s="17"/>
      <c r="J129" s="18"/>
      <c r="K129" s="17"/>
      <c r="L129" s="18"/>
      <c r="M129" s="20"/>
      <c r="N129" s="18"/>
      <c r="O129" s="18"/>
      <c r="P129" s="18"/>
      <c r="Q129" s="17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7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  <c r="AR129" s="18"/>
      <c r="AS129" s="18"/>
      <c r="AT129" s="18"/>
      <c r="AU129" s="18"/>
      <c r="AV129" s="18"/>
      <c r="AW129" s="18"/>
      <c r="AX129" s="18"/>
    </row>
    <row r="130" spans="1:50" ht="15">
      <c r="A130" s="18"/>
      <c r="B130" s="18"/>
      <c r="C130" s="18"/>
      <c r="D130" s="18"/>
      <c r="E130" s="18"/>
      <c r="F130" s="18"/>
      <c r="G130" s="18"/>
      <c r="H130" s="18"/>
      <c r="I130" s="17"/>
      <c r="J130" s="18"/>
      <c r="K130" s="17"/>
      <c r="L130" s="18"/>
      <c r="M130" s="20"/>
      <c r="N130" s="18"/>
      <c r="O130" s="18"/>
      <c r="P130" s="18"/>
      <c r="Q130" s="17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7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</row>
    <row r="131" spans="1:50" ht="15">
      <c r="A131" s="18"/>
      <c r="B131" s="18"/>
      <c r="C131" s="18"/>
      <c r="D131" s="18"/>
      <c r="E131" s="18"/>
      <c r="F131" s="18"/>
      <c r="G131" s="18"/>
      <c r="H131" s="18"/>
      <c r="I131" s="17"/>
      <c r="J131" s="18"/>
      <c r="K131" s="17"/>
      <c r="L131" s="18"/>
      <c r="M131" s="20"/>
      <c r="N131" s="18"/>
      <c r="O131" s="18"/>
      <c r="P131" s="18"/>
      <c r="Q131" s="17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7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</row>
    <row r="132" spans="1:50" ht="15">
      <c r="A132" s="18"/>
      <c r="B132" s="18"/>
      <c r="C132" s="18"/>
      <c r="D132" s="18"/>
      <c r="E132" s="18"/>
      <c r="F132" s="18"/>
      <c r="G132" s="18"/>
      <c r="H132" s="18"/>
      <c r="I132" s="17"/>
      <c r="J132" s="18"/>
      <c r="K132" s="17"/>
      <c r="L132" s="18"/>
      <c r="M132" s="20"/>
      <c r="N132" s="18"/>
      <c r="O132" s="18"/>
      <c r="P132" s="18"/>
      <c r="Q132" s="17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7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</row>
    <row r="133" spans="1:50" ht="15">
      <c r="A133" s="18"/>
      <c r="B133" s="18"/>
      <c r="C133" s="18"/>
      <c r="D133" s="18"/>
      <c r="E133" s="18"/>
      <c r="F133" s="18"/>
      <c r="G133" s="18"/>
      <c r="H133" s="18"/>
      <c r="I133" s="17"/>
      <c r="J133" s="18"/>
      <c r="K133" s="17"/>
      <c r="L133" s="18"/>
      <c r="M133" s="20"/>
      <c r="N133" s="18"/>
      <c r="O133" s="18"/>
      <c r="P133" s="18"/>
      <c r="Q133" s="17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7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  <c r="AS133" s="18"/>
      <c r="AT133" s="18"/>
      <c r="AU133" s="18"/>
      <c r="AV133" s="18"/>
      <c r="AW133" s="18"/>
      <c r="AX133" s="18"/>
    </row>
    <row r="134" spans="1:50" ht="15">
      <c r="A134" s="18"/>
      <c r="B134" s="18"/>
      <c r="C134" s="18"/>
      <c r="D134" s="18"/>
      <c r="E134" s="18"/>
      <c r="F134" s="18"/>
      <c r="G134" s="18"/>
      <c r="H134" s="18"/>
      <c r="I134" s="17"/>
      <c r="J134" s="18"/>
      <c r="K134" s="17"/>
      <c r="L134" s="18"/>
      <c r="M134" s="20"/>
      <c r="N134" s="18"/>
      <c r="O134" s="18"/>
      <c r="P134" s="18"/>
      <c r="Q134" s="17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7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  <c r="AS134" s="18"/>
      <c r="AT134" s="18"/>
      <c r="AU134" s="18"/>
      <c r="AV134" s="18"/>
      <c r="AW134" s="18"/>
      <c r="AX134" s="18"/>
    </row>
    <row r="135" spans="1:50" ht="15">
      <c r="A135" s="18"/>
      <c r="B135" s="18"/>
      <c r="C135" s="18"/>
      <c r="D135" s="18"/>
      <c r="E135" s="18"/>
      <c r="F135" s="18"/>
      <c r="G135" s="18"/>
      <c r="H135" s="18"/>
      <c r="I135" s="17"/>
      <c r="J135" s="18"/>
      <c r="K135" s="17"/>
      <c r="L135" s="18"/>
      <c r="M135" s="20"/>
      <c r="N135" s="18"/>
      <c r="O135" s="18"/>
      <c r="P135" s="18"/>
      <c r="Q135" s="17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7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  <c r="AS135" s="18"/>
      <c r="AT135" s="18"/>
      <c r="AU135" s="18"/>
      <c r="AV135" s="18"/>
      <c r="AW135" s="18"/>
      <c r="AX135" s="18"/>
    </row>
    <row r="136" spans="1:50" ht="15">
      <c r="A136" s="18"/>
      <c r="B136" s="18"/>
      <c r="C136" s="18"/>
      <c r="D136" s="18"/>
      <c r="E136" s="18"/>
      <c r="F136" s="18"/>
      <c r="G136" s="18"/>
      <c r="H136" s="18"/>
      <c r="I136" s="17"/>
      <c r="J136" s="18"/>
      <c r="K136" s="17"/>
      <c r="L136" s="18"/>
      <c r="M136" s="20"/>
      <c r="N136" s="18"/>
      <c r="O136" s="18"/>
      <c r="P136" s="18"/>
      <c r="Q136" s="17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7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</row>
    <row r="137" spans="1:50" ht="15">
      <c r="A137" s="18"/>
      <c r="B137" s="18"/>
      <c r="C137" s="18"/>
      <c r="D137" s="18"/>
      <c r="E137" s="18"/>
      <c r="F137" s="18"/>
      <c r="G137" s="18"/>
      <c r="H137" s="18"/>
      <c r="I137" s="17"/>
      <c r="J137" s="18"/>
      <c r="K137" s="17"/>
      <c r="L137" s="18"/>
      <c r="M137" s="20"/>
      <c r="N137" s="18"/>
      <c r="O137" s="18"/>
      <c r="P137" s="18"/>
      <c r="Q137" s="17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7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  <c r="AR137" s="18"/>
      <c r="AS137" s="18"/>
      <c r="AT137" s="18"/>
      <c r="AU137" s="18"/>
      <c r="AV137" s="18"/>
      <c r="AW137" s="18"/>
      <c r="AX137" s="18"/>
    </row>
    <row r="138" spans="1:50" ht="15">
      <c r="A138" s="18"/>
      <c r="B138" s="18"/>
      <c r="C138" s="18"/>
      <c r="D138" s="18"/>
      <c r="E138" s="18"/>
      <c r="F138" s="18"/>
      <c r="G138" s="18"/>
      <c r="H138" s="18"/>
      <c r="I138" s="17"/>
      <c r="J138" s="18"/>
      <c r="K138" s="17"/>
      <c r="L138" s="18"/>
      <c r="M138" s="20"/>
      <c r="N138" s="18"/>
      <c r="O138" s="18"/>
      <c r="P138" s="18"/>
      <c r="Q138" s="17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7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</row>
    <row r="139" spans="1:50" ht="15">
      <c r="A139" s="18"/>
      <c r="B139" s="18"/>
      <c r="C139" s="18"/>
      <c r="D139" s="18"/>
      <c r="E139" s="18"/>
      <c r="F139" s="18"/>
      <c r="G139" s="18"/>
      <c r="H139" s="18"/>
      <c r="I139" s="17"/>
      <c r="J139" s="18"/>
      <c r="K139" s="17"/>
      <c r="L139" s="18"/>
      <c r="M139" s="20"/>
      <c r="N139" s="18"/>
      <c r="O139" s="18"/>
      <c r="P139" s="18"/>
      <c r="Q139" s="17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7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</row>
    <row r="140" spans="1:50" ht="15">
      <c r="A140" s="18"/>
      <c r="B140" s="18"/>
      <c r="C140" s="18"/>
      <c r="D140" s="18"/>
      <c r="E140" s="18"/>
      <c r="F140" s="18"/>
      <c r="G140" s="18"/>
      <c r="H140" s="18"/>
      <c r="I140" s="17"/>
      <c r="J140" s="18"/>
      <c r="K140" s="17"/>
      <c r="L140" s="18"/>
      <c r="M140" s="20"/>
      <c r="N140" s="18"/>
      <c r="O140" s="18"/>
      <c r="P140" s="18"/>
      <c r="Q140" s="17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7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  <c r="AS140" s="18"/>
      <c r="AT140" s="18"/>
      <c r="AU140" s="18"/>
      <c r="AV140" s="18"/>
      <c r="AW140" s="18"/>
      <c r="AX140" s="18"/>
    </row>
    <row r="141" spans="1:50" ht="15">
      <c r="A141" s="18"/>
      <c r="B141" s="18"/>
      <c r="C141" s="18"/>
      <c r="D141" s="18"/>
      <c r="E141" s="18"/>
      <c r="F141" s="18"/>
      <c r="G141" s="18"/>
      <c r="H141" s="18"/>
      <c r="I141" s="17"/>
      <c r="J141" s="18"/>
      <c r="K141" s="17"/>
      <c r="L141" s="18"/>
      <c r="M141" s="20"/>
      <c r="N141" s="18"/>
      <c r="O141" s="18"/>
      <c r="P141" s="18"/>
      <c r="Q141" s="17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7"/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  <c r="AR141" s="18"/>
      <c r="AS141" s="18"/>
      <c r="AT141" s="18"/>
      <c r="AU141" s="18"/>
      <c r="AV141" s="18"/>
      <c r="AW141" s="18"/>
      <c r="AX141" s="18"/>
    </row>
    <row r="142" spans="1:50" ht="15">
      <c r="A142" s="18"/>
      <c r="B142" s="18"/>
      <c r="C142" s="18"/>
      <c r="D142" s="18"/>
      <c r="E142" s="18"/>
      <c r="F142" s="18"/>
      <c r="G142" s="18"/>
      <c r="H142" s="18"/>
      <c r="I142" s="17"/>
      <c r="J142" s="18"/>
      <c r="K142" s="17"/>
      <c r="L142" s="18"/>
      <c r="M142" s="20"/>
      <c r="N142" s="18"/>
      <c r="O142" s="18"/>
      <c r="P142" s="18"/>
      <c r="Q142" s="17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7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  <c r="AR142" s="18"/>
      <c r="AS142" s="18"/>
      <c r="AT142" s="18"/>
      <c r="AU142" s="18"/>
      <c r="AV142" s="18"/>
      <c r="AW142" s="18"/>
      <c r="AX142" s="18"/>
    </row>
    <row r="143" spans="1:50" ht="15">
      <c r="A143" s="18"/>
      <c r="B143" s="18"/>
      <c r="C143" s="18"/>
      <c r="D143" s="18"/>
      <c r="E143" s="18"/>
      <c r="F143" s="18"/>
      <c r="G143" s="18"/>
      <c r="H143" s="18"/>
      <c r="I143" s="17"/>
      <c r="J143" s="18"/>
      <c r="K143" s="17"/>
      <c r="L143" s="18"/>
      <c r="M143" s="20"/>
      <c r="N143" s="18"/>
      <c r="O143" s="18"/>
      <c r="P143" s="18"/>
      <c r="Q143" s="17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7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  <c r="AS143" s="18"/>
      <c r="AT143" s="18"/>
      <c r="AU143" s="18"/>
      <c r="AV143" s="18"/>
      <c r="AW143" s="18"/>
      <c r="AX143" s="18"/>
    </row>
    <row r="144" spans="1:50" ht="15">
      <c r="A144" s="18"/>
      <c r="B144" s="18"/>
      <c r="C144" s="18"/>
      <c r="D144" s="18"/>
      <c r="E144" s="18"/>
      <c r="F144" s="18"/>
      <c r="G144" s="18"/>
      <c r="H144" s="18"/>
      <c r="I144" s="17"/>
      <c r="J144" s="18"/>
      <c r="K144" s="17"/>
      <c r="L144" s="18"/>
      <c r="M144" s="20"/>
      <c r="N144" s="18"/>
      <c r="O144" s="18"/>
      <c r="P144" s="18"/>
      <c r="Q144" s="17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7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  <c r="AR144" s="18"/>
      <c r="AS144" s="18"/>
      <c r="AT144" s="18"/>
      <c r="AU144" s="18"/>
      <c r="AV144" s="18"/>
      <c r="AW144" s="18"/>
      <c r="AX144" s="18"/>
    </row>
    <row r="145" spans="1:50" ht="15">
      <c r="A145" s="18"/>
      <c r="B145" s="18"/>
      <c r="C145" s="18"/>
      <c r="D145" s="18"/>
      <c r="E145" s="18"/>
      <c r="F145" s="18"/>
      <c r="G145" s="18"/>
      <c r="H145" s="18"/>
      <c r="I145" s="17"/>
      <c r="J145" s="18"/>
      <c r="K145" s="17"/>
      <c r="L145" s="18"/>
      <c r="M145" s="20"/>
      <c r="N145" s="18"/>
      <c r="O145" s="18"/>
      <c r="P145" s="18"/>
      <c r="Q145" s="17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7"/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</row>
    <row r="146" spans="1:50" ht="15">
      <c r="A146" s="18"/>
      <c r="B146" s="18"/>
      <c r="C146" s="18"/>
      <c r="D146" s="18"/>
      <c r="E146" s="18"/>
      <c r="F146" s="18"/>
      <c r="G146" s="18"/>
      <c r="H146" s="18"/>
      <c r="I146" s="17"/>
      <c r="J146" s="18"/>
      <c r="K146" s="17"/>
      <c r="L146" s="18"/>
      <c r="M146" s="20"/>
      <c r="N146" s="18"/>
      <c r="O146" s="18"/>
      <c r="P146" s="18"/>
      <c r="Q146" s="17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7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</row>
    <row r="147" spans="1:50" ht="15">
      <c r="A147" s="18"/>
      <c r="B147" s="18"/>
      <c r="C147" s="18"/>
      <c r="D147" s="18"/>
      <c r="E147" s="18"/>
      <c r="F147" s="18"/>
      <c r="G147" s="18"/>
      <c r="H147" s="18"/>
      <c r="I147" s="17"/>
      <c r="J147" s="18"/>
      <c r="K147" s="17"/>
      <c r="L147" s="18"/>
      <c r="M147" s="20"/>
      <c r="N147" s="18"/>
      <c r="O147" s="18"/>
      <c r="P147" s="18"/>
      <c r="Q147" s="17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7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</row>
    <row r="148" spans="1:50" ht="15">
      <c r="A148" s="18"/>
      <c r="B148" s="18"/>
      <c r="C148" s="18"/>
      <c r="D148" s="18"/>
      <c r="E148" s="18"/>
      <c r="F148" s="18"/>
      <c r="G148" s="18"/>
      <c r="H148" s="18"/>
      <c r="I148" s="17"/>
      <c r="J148" s="18"/>
      <c r="K148" s="17"/>
      <c r="L148" s="18"/>
      <c r="M148" s="20"/>
      <c r="N148" s="18"/>
      <c r="O148" s="18"/>
      <c r="P148" s="18"/>
      <c r="Q148" s="17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7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</row>
    <row r="149" spans="1:50" ht="15">
      <c r="A149" s="18"/>
      <c r="B149" s="18"/>
      <c r="C149" s="18"/>
      <c r="D149" s="18"/>
      <c r="E149" s="18"/>
      <c r="F149" s="18"/>
      <c r="G149" s="18"/>
      <c r="H149" s="18"/>
      <c r="I149" s="17"/>
      <c r="J149" s="18"/>
      <c r="K149" s="17"/>
      <c r="L149" s="18"/>
      <c r="M149" s="20"/>
      <c r="N149" s="18"/>
      <c r="O149" s="18"/>
      <c r="P149" s="18"/>
      <c r="Q149" s="17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7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  <c r="AS149" s="18"/>
      <c r="AT149" s="18"/>
      <c r="AU149" s="18"/>
      <c r="AV149" s="18"/>
      <c r="AW149" s="18"/>
      <c r="AX149" s="18"/>
    </row>
    <row r="150" spans="1:50" ht="15">
      <c r="A150" s="18"/>
      <c r="B150" s="18"/>
      <c r="C150" s="18"/>
      <c r="D150" s="18"/>
      <c r="E150" s="18"/>
      <c r="F150" s="18"/>
      <c r="G150" s="18"/>
      <c r="H150" s="18"/>
      <c r="I150" s="17"/>
      <c r="J150" s="18"/>
      <c r="K150" s="17"/>
      <c r="L150" s="18"/>
      <c r="M150" s="20"/>
      <c r="N150" s="18"/>
      <c r="O150" s="18"/>
      <c r="P150" s="18"/>
      <c r="Q150" s="17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7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18"/>
      <c r="AX150" s="18"/>
    </row>
    <row r="151" spans="1:50" ht="15">
      <c r="A151" s="18"/>
      <c r="B151" s="18"/>
      <c r="C151" s="18"/>
      <c r="D151" s="18"/>
      <c r="E151" s="18"/>
      <c r="F151" s="18"/>
      <c r="G151" s="18"/>
      <c r="H151" s="18"/>
      <c r="I151" s="17"/>
      <c r="J151" s="18"/>
      <c r="K151" s="17"/>
      <c r="L151" s="18"/>
      <c r="M151" s="20"/>
      <c r="N151" s="18"/>
      <c r="O151" s="18"/>
      <c r="P151" s="18"/>
      <c r="Q151" s="17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7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  <c r="AS151" s="18"/>
      <c r="AT151" s="18"/>
      <c r="AU151" s="18"/>
      <c r="AV151" s="18"/>
      <c r="AW151" s="18"/>
      <c r="AX151" s="18"/>
    </row>
    <row r="152" spans="1:50" ht="15">
      <c r="A152" s="18"/>
      <c r="B152" s="18"/>
      <c r="C152" s="18"/>
      <c r="D152" s="18"/>
      <c r="E152" s="18"/>
      <c r="F152" s="18"/>
      <c r="G152" s="18"/>
      <c r="H152" s="18"/>
      <c r="I152" s="17"/>
      <c r="J152" s="18"/>
      <c r="K152" s="17"/>
      <c r="L152" s="18"/>
      <c r="M152" s="20"/>
      <c r="N152" s="18"/>
      <c r="O152" s="18"/>
      <c r="P152" s="18"/>
      <c r="Q152" s="17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7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</row>
    <row r="153" spans="1:50" ht="15">
      <c r="A153" s="18"/>
      <c r="B153" s="18"/>
      <c r="C153" s="18"/>
      <c r="D153" s="18"/>
      <c r="E153" s="18"/>
      <c r="F153" s="18"/>
      <c r="G153" s="18"/>
      <c r="H153" s="18"/>
      <c r="I153" s="17"/>
      <c r="J153" s="18"/>
      <c r="K153" s="17"/>
      <c r="L153" s="18"/>
      <c r="M153" s="20"/>
      <c r="N153" s="18"/>
      <c r="O153" s="18"/>
      <c r="P153" s="18"/>
      <c r="Q153" s="17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7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</row>
    <row r="154" spans="1:50" ht="15">
      <c r="A154" s="18"/>
      <c r="B154" s="18"/>
      <c r="C154" s="18"/>
      <c r="D154" s="18"/>
      <c r="E154" s="18"/>
      <c r="F154" s="18"/>
      <c r="G154" s="18"/>
      <c r="H154" s="18"/>
      <c r="I154" s="17"/>
      <c r="J154" s="18"/>
      <c r="K154" s="17"/>
      <c r="L154" s="18"/>
      <c r="M154" s="20"/>
      <c r="N154" s="18"/>
      <c r="O154" s="18"/>
      <c r="P154" s="18"/>
      <c r="Q154" s="17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7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</row>
    <row r="155" spans="1:50" ht="15">
      <c r="A155" s="18"/>
      <c r="B155" s="18"/>
      <c r="C155" s="18"/>
      <c r="D155" s="18"/>
      <c r="E155" s="18"/>
      <c r="F155" s="18"/>
      <c r="G155" s="18"/>
      <c r="H155" s="18"/>
      <c r="I155" s="17"/>
      <c r="J155" s="18"/>
      <c r="K155" s="17"/>
      <c r="L155" s="18"/>
      <c r="M155" s="20"/>
      <c r="N155" s="18"/>
      <c r="O155" s="18"/>
      <c r="P155" s="18"/>
      <c r="Q155" s="17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7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  <c r="AR155" s="18"/>
      <c r="AS155" s="18"/>
      <c r="AT155" s="18"/>
      <c r="AU155" s="18"/>
      <c r="AV155" s="18"/>
      <c r="AW155" s="18"/>
      <c r="AX155" s="18"/>
    </row>
    <row r="156" spans="1:50" ht="15">
      <c r="A156" s="18"/>
      <c r="B156" s="18"/>
      <c r="C156" s="18"/>
      <c r="D156" s="18"/>
      <c r="E156" s="18"/>
      <c r="F156" s="18"/>
      <c r="G156" s="18"/>
      <c r="H156" s="18"/>
      <c r="I156" s="17"/>
      <c r="J156" s="18"/>
      <c r="K156" s="17"/>
      <c r="L156" s="18"/>
      <c r="M156" s="20"/>
      <c r="N156" s="18"/>
      <c r="O156" s="18"/>
      <c r="P156" s="18"/>
      <c r="Q156" s="17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7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</row>
    <row r="157" spans="1:50" ht="15">
      <c r="A157" s="18"/>
      <c r="B157" s="18"/>
      <c r="C157" s="18"/>
      <c r="D157" s="18"/>
      <c r="E157" s="18"/>
      <c r="F157" s="18"/>
      <c r="G157" s="18"/>
      <c r="H157" s="18"/>
      <c r="I157" s="17"/>
      <c r="J157" s="18"/>
      <c r="K157" s="17"/>
      <c r="L157" s="18"/>
      <c r="M157" s="20"/>
      <c r="N157" s="18"/>
      <c r="O157" s="18"/>
      <c r="P157" s="18"/>
      <c r="Q157" s="17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7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  <c r="AR157" s="18"/>
      <c r="AS157" s="18"/>
      <c r="AT157" s="18"/>
      <c r="AU157" s="18"/>
      <c r="AV157" s="18"/>
      <c r="AW157" s="18"/>
      <c r="AX157" s="18"/>
    </row>
    <row r="158" spans="1:50" ht="15">
      <c r="A158" s="18"/>
      <c r="B158" s="18"/>
      <c r="C158" s="18"/>
      <c r="D158" s="18"/>
      <c r="E158" s="18"/>
      <c r="F158" s="18"/>
      <c r="G158" s="18"/>
      <c r="H158" s="18"/>
      <c r="I158" s="17"/>
      <c r="J158" s="18"/>
      <c r="K158" s="17"/>
      <c r="L158" s="18"/>
      <c r="M158" s="20"/>
      <c r="N158" s="18"/>
      <c r="O158" s="18"/>
      <c r="P158" s="18"/>
      <c r="Q158" s="17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7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  <c r="AR158" s="18"/>
      <c r="AS158" s="18"/>
      <c r="AT158" s="18"/>
      <c r="AU158" s="18"/>
      <c r="AV158" s="18"/>
      <c r="AW158" s="18"/>
      <c r="AX158" s="18"/>
    </row>
    <row r="159" spans="1:50" ht="15">
      <c r="A159" s="18"/>
      <c r="B159" s="18"/>
      <c r="C159" s="18"/>
      <c r="D159" s="18"/>
      <c r="E159" s="18"/>
      <c r="F159" s="18"/>
      <c r="G159" s="18"/>
      <c r="H159" s="18"/>
      <c r="I159" s="17"/>
      <c r="J159" s="18"/>
      <c r="K159" s="17"/>
      <c r="L159" s="18"/>
      <c r="M159" s="20"/>
      <c r="N159" s="18"/>
      <c r="O159" s="18"/>
      <c r="P159" s="18"/>
      <c r="Q159" s="17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7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  <c r="AR159" s="18"/>
      <c r="AS159" s="18"/>
      <c r="AT159" s="18"/>
      <c r="AU159" s="18"/>
      <c r="AV159" s="18"/>
      <c r="AW159" s="18"/>
      <c r="AX159" s="18"/>
    </row>
    <row r="160" spans="1:50" ht="15">
      <c r="A160" s="18"/>
      <c r="B160" s="18"/>
      <c r="C160" s="18"/>
      <c r="D160" s="18"/>
      <c r="E160" s="18"/>
      <c r="F160" s="18"/>
      <c r="G160" s="18"/>
      <c r="H160" s="18"/>
      <c r="I160" s="17"/>
      <c r="J160" s="18"/>
      <c r="K160" s="17"/>
      <c r="L160" s="18"/>
      <c r="M160" s="20"/>
      <c r="N160" s="18"/>
      <c r="O160" s="18"/>
      <c r="P160" s="18"/>
      <c r="Q160" s="17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7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</row>
    <row r="161" spans="1:50" ht="15">
      <c r="A161" s="18"/>
      <c r="B161" s="18"/>
      <c r="C161" s="18"/>
      <c r="D161" s="18"/>
      <c r="E161" s="18"/>
      <c r="F161" s="18"/>
      <c r="G161" s="18"/>
      <c r="H161" s="18"/>
      <c r="I161" s="17"/>
      <c r="J161" s="18"/>
      <c r="K161" s="17"/>
      <c r="L161" s="18"/>
      <c r="M161" s="20"/>
      <c r="N161" s="18"/>
      <c r="O161" s="18"/>
      <c r="P161" s="18"/>
      <c r="Q161" s="17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7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  <c r="AR161" s="18"/>
      <c r="AS161" s="18"/>
      <c r="AT161" s="18"/>
      <c r="AU161" s="18"/>
      <c r="AV161" s="18"/>
      <c r="AW161" s="18"/>
      <c r="AX161" s="18"/>
    </row>
    <row r="162" spans="1:50" ht="15">
      <c r="A162" s="18"/>
      <c r="B162" s="18"/>
      <c r="C162" s="18"/>
      <c r="D162" s="18"/>
      <c r="E162" s="18"/>
      <c r="F162" s="18"/>
      <c r="G162" s="18"/>
      <c r="H162" s="18"/>
      <c r="I162" s="17"/>
      <c r="J162" s="18"/>
      <c r="K162" s="17"/>
      <c r="L162" s="18"/>
      <c r="M162" s="20"/>
      <c r="N162" s="18"/>
      <c r="O162" s="18"/>
      <c r="P162" s="18"/>
      <c r="Q162" s="17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7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</row>
    <row r="163" spans="1:50" ht="15">
      <c r="A163" s="18"/>
      <c r="B163" s="18"/>
      <c r="C163" s="18"/>
      <c r="D163" s="18"/>
      <c r="E163" s="18"/>
      <c r="F163" s="18"/>
      <c r="G163" s="18"/>
      <c r="H163" s="18"/>
      <c r="I163" s="17"/>
      <c r="J163" s="18"/>
      <c r="K163" s="17"/>
      <c r="L163" s="18"/>
      <c r="M163" s="20"/>
      <c r="N163" s="18"/>
      <c r="O163" s="18"/>
      <c r="P163" s="18"/>
      <c r="Q163" s="17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7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</row>
    <row r="164" spans="1:50" ht="15">
      <c r="A164" s="18"/>
      <c r="B164" s="18"/>
      <c r="C164" s="18"/>
      <c r="D164" s="18"/>
      <c r="E164" s="18"/>
      <c r="F164" s="18"/>
      <c r="G164" s="18"/>
      <c r="H164" s="18"/>
      <c r="I164" s="17"/>
      <c r="J164" s="18"/>
      <c r="K164" s="17"/>
      <c r="L164" s="18"/>
      <c r="M164" s="20"/>
      <c r="N164" s="18"/>
      <c r="O164" s="18"/>
      <c r="P164" s="18"/>
      <c r="Q164" s="17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7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</row>
    <row r="165" spans="1:50" ht="15">
      <c r="A165" s="18"/>
      <c r="B165" s="18"/>
      <c r="C165" s="18"/>
      <c r="D165" s="18"/>
      <c r="E165" s="18"/>
      <c r="F165" s="18"/>
      <c r="G165" s="18"/>
      <c r="H165" s="18"/>
      <c r="I165" s="17"/>
      <c r="J165" s="18"/>
      <c r="K165" s="17"/>
      <c r="L165" s="18"/>
      <c r="M165" s="20"/>
      <c r="N165" s="18"/>
      <c r="O165" s="18"/>
      <c r="P165" s="18"/>
      <c r="Q165" s="17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7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</row>
    <row r="166" spans="1:50" ht="15">
      <c r="A166" s="18"/>
      <c r="B166" s="18"/>
      <c r="C166" s="18"/>
      <c r="D166" s="18"/>
      <c r="E166" s="18"/>
      <c r="F166" s="18"/>
      <c r="G166" s="18"/>
      <c r="H166" s="18"/>
      <c r="I166" s="17"/>
      <c r="J166" s="18"/>
      <c r="K166" s="17"/>
      <c r="L166" s="18"/>
      <c r="M166" s="20"/>
      <c r="N166" s="18"/>
      <c r="O166" s="18"/>
      <c r="P166" s="18"/>
      <c r="Q166" s="17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7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</row>
    <row r="167" spans="1:50" ht="15">
      <c r="A167" s="18"/>
      <c r="B167" s="18"/>
      <c r="C167" s="18"/>
      <c r="D167" s="18"/>
      <c r="E167" s="18"/>
      <c r="F167" s="18"/>
      <c r="G167" s="18"/>
      <c r="H167" s="18"/>
      <c r="I167" s="17"/>
      <c r="J167" s="18"/>
      <c r="K167" s="17"/>
      <c r="L167" s="18"/>
      <c r="M167" s="20"/>
      <c r="N167" s="18"/>
      <c r="O167" s="18"/>
      <c r="P167" s="18"/>
      <c r="Q167" s="17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7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</row>
    <row r="168" spans="1:50" ht="15">
      <c r="A168" s="18"/>
      <c r="B168" s="18"/>
      <c r="C168" s="18"/>
      <c r="D168" s="18"/>
      <c r="E168" s="18"/>
      <c r="F168" s="18"/>
      <c r="G168" s="18"/>
      <c r="H168" s="18"/>
      <c r="I168" s="17"/>
      <c r="J168" s="18"/>
      <c r="K168" s="17"/>
      <c r="L168" s="18"/>
      <c r="M168" s="20"/>
      <c r="N168" s="18"/>
      <c r="O168" s="18"/>
      <c r="P168" s="18"/>
      <c r="Q168" s="17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7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</row>
    <row r="169" spans="1:50" ht="15">
      <c r="A169" s="18"/>
      <c r="B169" s="18"/>
      <c r="C169" s="18"/>
      <c r="D169" s="18"/>
      <c r="E169" s="18"/>
      <c r="F169" s="18"/>
      <c r="G169" s="18"/>
      <c r="H169" s="18"/>
      <c r="I169" s="17"/>
      <c r="J169" s="18"/>
      <c r="K169" s="17"/>
      <c r="L169" s="18"/>
      <c r="M169" s="20"/>
      <c r="N169" s="18"/>
      <c r="O169" s="18"/>
      <c r="P169" s="18"/>
      <c r="Q169" s="17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7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</row>
    <row r="170" spans="1:50" ht="15">
      <c r="A170" s="18"/>
      <c r="B170" s="18"/>
      <c r="C170" s="18"/>
      <c r="D170" s="18"/>
      <c r="E170" s="18"/>
      <c r="F170" s="18"/>
      <c r="G170" s="18"/>
      <c r="H170" s="18"/>
      <c r="I170" s="17"/>
      <c r="J170" s="18"/>
      <c r="K170" s="17"/>
      <c r="L170" s="18"/>
      <c r="M170" s="20"/>
      <c r="N170" s="18"/>
      <c r="O170" s="18"/>
      <c r="P170" s="18"/>
      <c r="Q170" s="17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7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</row>
    <row r="171" spans="1:50" ht="15">
      <c r="A171" s="18"/>
      <c r="B171" s="18"/>
      <c r="C171" s="18"/>
      <c r="D171" s="18"/>
      <c r="E171" s="18"/>
      <c r="F171" s="18"/>
      <c r="G171" s="18"/>
      <c r="H171" s="18"/>
      <c r="I171" s="17"/>
      <c r="J171" s="18"/>
      <c r="K171" s="17"/>
      <c r="L171" s="18"/>
      <c r="M171" s="20"/>
      <c r="N171" s="18"/>
      <c r="O171" s="18"/>
      <c r="P171" s="18"/>
      <c r="Q171" s="17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7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</row>
    <row r="172" spans="1:50" ht="15">
      <c r="A172" s="18"/>
      <c r="B172" s="18"/>
      <c r="C172" s="18"/>
      <c r="D172" s="18"/>
      <c r="E172" s="18"/>
      <c r="F172" s="18"/>
      <c r="G172" s="18"/>
      <c r="H172" s="18"/>
      <c r="I172" s="17"/>
      <c r="J172" s="18"/>
      <c r="K172" s="17"/>
      <c r="L172" s="18"/>
      <c r="M172" s="20"/>
      <c r="N172" s="18"/>
      <c r="O172" s="18"/>
      <c r="P172" s="18"/>
      <c r="Q172" s="17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7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</row>
    <row r="173" spans="1:50" ht="15">
      <c r="A173" s="18"/>
      <c r="B173" s="18"/>
      <c r="C173" s="18"/>
      <c r="D173" s="18"/>
      <c r="E173" s="18"/>
      <c r="F173" s="18"/>
      <c r="G173" s="18"/>
      <c r="H173" s="18"/>
      <c r="I173" s="17"/>
      <c r="J173" s="18"/>
      <c r="K173" s="17"/>
      <c r="L173" s="18"/>
      <c r="M173" s="20"/>
      <c r="N173" s="18"/>
      <c r="O173" s="18"/>
      <c r="P173" s="18"/>
      <c r="Q173" s="17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7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 s="18"/>
      <c r="AV173" s="18"/>
      <c r="AW173" s="18"/>
      <c r="AX173" s="18"/>
    </row>
    <row r="174" spans="1:50" ht="15">
      <c r="A174" s="18"/>
      <c r="B174" s="18"/>
      <c r="C174" s="18"/>
      <c r="D174" s="18"/>
      <c r="E174" s="18"/>
      <c r="F174" s="18"/>
      <c r="G174" s="18"/>
      <c r="H174" s="18"/>
      <c r="I174" s="17"/>
      <c r="J174" s="18"/>
      <c r="K174" s="17"/>
      <c r="L174" s="18"/>
      <c r="M174" s="20"/>
      <c r="N174" s="18"/>
      <c r="O174" s="18"/>
      <c r="P174" s="18"/>
      <c r="Q174" s="17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7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8"/>
      <c r="AS174" s="18"/>
      <c r="AT174" s="18"/>
      <c r="AU174" s="18"/>
      <c r="AV174" s="18"/>
      <c r="AW174" s="18"/>
      <c r="AX174" s="18"/>
    </row>
    <row r="175" spans="1:50" ht="15">
      <c r="A175" s="18"/>
      <c r="B175" s="18"/>
      <c r="C175" s="18"/>
      <c r="D175" s="18"/>
      <c r="E175" s="18"/>
      <c r="F175" s="18"/>
      <c r="G175" s="18"/>
      <c r="H175" s="18"/>
      <c r="I175" s="17"/>
      <c r="J175" s="18"/>
      <c r="K175" s="17"/>
      <c r="L175" s="18"/>
      <c r="M175" s="20"/>
      <c r="N175" s="18"/>
      <c r="O175" s="18"/>
      <c r="P175" s="18"/>
      <c r="Q175" s="17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7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8"/>
      <c r="AS175" s="18"/>
      <c r="AT175" s="18"/>
      <c r="AU175" s="18"/>
      <c r="AV175" s="18"/>
      <c r="AW175" s="18"/>
      <c r="AX175" s="18"/>
    </row>
    <row r="176" spans="1:50" ht="15">
      <c r="A176" s="18"/>
      <c r="B176" s="18"/>
      <c r="C176" s="18"/>
      <c r="D176" s="18"/>
      <c r="E176" s="18"/>
      <c r="F176" s="18"/>
      <c r="G176" s="18"/>
      <c r="H176" s="18"/>
      <c r="I176" s="17"/>
      <c r="J176" s="18"/>
      <c r="K176" s="17"/>
      <c r="L176" s="18"/>
      <c r="M176" s="20"/>
      <c r="N176" s="18"/>
      <c r="O176" s="18"/>
      <c r="P176" s="18"/>
      <c r="Q176" s="17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7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8"/>
      <c r="AS176" s="18"/>
      <c r="AT176" s="18"/>
      <c r="AU176" s="18"/>
      <c r="AV176" s="18"/>
      <c r="AW176" s="18"/>
      <c r="AX176" s="18"/>
    </row>
    <row r="177" spans="1:50" ht="15">
      <c r="A177" s="18"/>
      <c r="B177" s="18"/>
      <c r="C177" s="18"/>
      <c r="D177" s="18"/>
      <c r="E177" s="18"/>
      <c r="F177" s="18"/>
      <c r="G177" s="18"/>
      <c r="H177" s="18"/>
      <c r="I177" s="17"/>
      <c r="J177" s="18"/>
      <c r="K177" s="17"/>
      <c r="L177" s="18"/>
      <c r="M177" s="20"/>
      <c r="N177" s="18"/>
      <c r="O177" s="18"/>
      <c r="P177" s="18"/>
      <c r="Q177" s="17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7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</row>
    <row r="178" spans="1:50" ht="15">
      <c r="A178" s="18"/>
      <c r="B178" s="18"/>
      <c r="C178" s="18"/>
      <c r="D178" s="18"/>
      <c r="E178" s="18"/>
      <c r="F178" s="18"/>
      <c r="G178" s="18"/>
      <c r="H178" s="18"/>
      <c r="I178" s="17"/>
      <c r="J178" s="18"/>
      <c r="K178" s="17"/>
      <c r="L178" s="18"/>
      <c r="M178" s="20"/>
      <c r="N178" s="18"/>
      <c r="O178" s="18"/>
      <c r="P178" s="18"/>
      <c r="Q178" s="17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7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</row>
    <row r="179" spans="1:50" ht="15">
      <c r="A179" s="18"/>
      <c r="B179" s="18"/>
      <c r="C179" s="18"/>
      <c r="D179" s="18"/>
      <c r="E179" s="18"/>
      <c r="F179" s="18"/>
      <c r="G179" s="18"/>
      <c r="H179" s="18"/>
      <c r="I179" s="17"/>
      <c r="J179" s="18"/>
      <c r="K179" s="17"/>
      <c r="L179" s="18"/>
      <c r="M179" s="20"/>
      <c r="N179" s="18"/>
      <c r="O179" s="18"/>
      <c r="P179" s="18"/>
      <c r="Q179" s="17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7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</row>
    <row r="180" spans="1:50" ht="15">
      <c r="A180" s="18"/>
      <c r="B180" s="18"/>
      <c r="C180" s="18"/>
      <c r="D180" s="18"/>
      <c r="E180" s="18"/>
      <c r="F180" s="18"/>
      <c r="G180" s="18"/>
      <c r="H180" s="18"/>
      <c r="I180" s="17"/>
      <c r="J180" s="18"/>
      <c r="K180" s="17"/>
      <c r="L180" s="18"/>
      <c r="M180" s="20"/>
      <c r="N180" s="18"/>
      <c r="O180" s="18"/>
      <c r="P180" s="18"/>
      <c r="Q180" s="17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7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</row>
    <row r="181" spans="1:50" ht="15">
      <c r="A181" s="18"/>
      <c r="B181" s="18"/>
      <c r="C181" s="18"/>
      <c r="D181" s="18"/>
      <c r="E181" s="18"/>
      <c r="F181" s="18"/>
      <c r="G181" s="18"/>
      <c r="H181" s="18"/>
      <c r="I181" s="17"/>
      <c r="J181" s="18"/>
      <c r="K181" s="17"/>
      <c r="L181" s="18"/>
      <c r="M181" s="20"/>
      <c r="N181" s="18"/>
      <c r="O181" s="18"/>
      <c r="P181" s="18"/>
      <c r="Q181" s="17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7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 s="18"/>
      <c r="AV181" s="18"/>
      <c r="AW181" s="18"/>
      <c r="AX181" s="18"/>
    </row>
    <row r="182" spans="1:50" ht="15">
      <c r="A182" s="18"/>
      <c r="B182" s="18"/>
      <c r="C182" s="18"/>
      <c r="D182" s="18"/>
      <c r="E182" s="18"/>
      <c r="F182" s="18"/>
      <c r="G182" s="18"/>
      <c r="H182" s="18"/>
      <c r="I182" s="17"/>
      <c r="J182" s="18"/>
      <c r="K182" s="17"/>
      <c r="L182" s="18"/>
      <c r="M182" s="20"/>
      <c r="N182" s="18"/>
      <c r="O182" s="18"/>
      <c r="P182" s="18"/>
      <c r="Q182" s="17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7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U182" s="18"/>
      <c r="AV182" s="18"/>
      <c r="AW182" s="18"/>
      <c r="AX182" s="18"/>
    </row>
    <row r="183" spans="1:50" ht="15">
      <c r="A183" s="18"/>
      <c r="B183" s="18"/>
      <c r="C183" s="18"/>
      <c r="D183" s="18"/>
      <c r="E183" s="18"/>
      <c r="F183" s="18"/>
      <c r="G183" s="18"/>
      <c r="H183" s="18"/>
      <c r="I183" s="17"/>
      <c r="J183" s="18"/>
      <c r="K183" s="17"/>
      <c r="L183" s="18"/>
      <c r="M183" s="20"/>
      <c r="N183" s="18"/>
      <c r="O183" s="18"/>
      <c r="P183" s="18"/>
      <c r="Q183" s="17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7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</row>
    <row r="184" spans="1:50" ht="15">
      <c r="A184" s="18"/>
      <c r="B184" s="18"/>
      <c r="C184" s="18"/>
      <c r="D184" s="18"/>
      <c r="E184" s="18"/>
      <c r="F184" s="18"/>
      <c r="G184" s="18"/>
      <c r="H184" s="18"/>
      <c r="I184" s="17"/>
      <c r="J184" s="18"/>
      <c r="K184" s="17"/>
      <c r="L184" s="18"/>
      <c r="M184" s="20"/>
      <c r="N184" s="18"/>
      <c r="O184" s="18"/>
      <c r="P184" s="18"/>
      <c r="Q184" s="17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7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  <c r="AS184" s="18"/>
      <c r="AT184" s="18"/>
      <c r="AU184" s="18"/>
      <c r="AV184" s="18"/>
      <c r="AW184" s="18"/>
      <c r="AX184" s="18"/>
    </row>
    <row r="185" spans="1:50" ht="15">
      <c r="A185" s="18"/>
      <c r="B185" s="18"/>
      <c r="C185" s="18"/>
      <c r="D185" s="18"/>
      <c r="E185" s="18"/>
      <c r="F185" s="18"/>
      <c r="G185" s="18"/>
      <c r="H185" s="18"/>
      <c r="I185" s="17"/>
      <c r="J185" s="18"/>
      <c r="K185" s="17"/>
      <c r="L185" s="18"/>
      <c r="M185" s="20"/>
      <c r="N185" s="18"/>
      <c r="O185" s="18"/>
      <c r="P185" s="18"/>
      <c r="Q185" s="17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7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  <c r="AS185" s="18"/>
      <c r="AT185" s="18"/>
      <c r="AU185" s="18"/>
      <c r="AV185" s="18"/>
      <c r="AW185" s="18"/>
      <c r="AX185" s="18"/>
    </row>
    <row r="186" spans="1:50" ht="15">
      <c r="A186" s="18"/>
      <c r="B186" s="18"/>
      <c r="C186" s="18"/>
      <c r="D186" s="18"/>
      <c r="E186" s="18"/>
      <c r="F186" s="18"/>
      <c r="G186" s="18"/>
      <c r="H186" s="18"/>
      <c r="I186" s="17"/>
      <c r="J186" s="18"/>
      <c r="K186" s="17"/>
      <c r="L186" s="18"/>
      <c r="M186" s="20"/>
      <c r="N186" s="18"/>
      <c r="O186" s="18"/>
      <c r="P186" s="18"/>
      <c r="Q186" s="17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7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  <c r="AS186" s="18"/>
      <c r="AT186" s="18"/>
      <c r="AU186" s="18"/>
      <c r="AV186" s="18"/>
      <c r="AW186" s="18"/>
      <c r="AX186" s="18"/>
    </row>
    <row r="187" spans="1:50" ht="15">
      <c r="A187" s="18"/>
      <c r="B187" s="18"/>
      <c r="C187" s="18"/>
      <c r="D187" s="18"/>
      <c r="E187" s="18"/>
      <c r="F187" s="18"/>
      <c r="G187" s="18"/>
      <c r="H187" s="18"/>
      <c r="I187" s="17"/>
      <c r="J187" s="18"/>
      <c r="K187" s="17"/>
      <c r="L187" s="18"/>
      <c r="M187" s="20"/>
      <c r="N187" s="18"/>
      <c r="O187" s="18"/>
      <c r="P187" s="18"/>
      <c r="Q187" s="17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7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  <c r="AS187" s="18"/>
      <c r="AT187" s="18"/>
      <c r="AU187" s="18"/>
      <c r="AV187" s="18"/>
      <c r="AW187" s="18"/>
      <c r="AX187" s="18"/>
    </row>
    <row r="188" spans="1:50" ht="15">
      <c r="A188" s="18"/>
      <c r="B188" s="18"/>
      <c r="C188" s="18"/>
      <c r="D188" s="18"/>
      <c r="E188" s="18"/>
      <c r="F188" s="18"/>
      <c r="G188" s="18"/>
      <c r="H188" s="18"/>
      <c r="I188" s="17"/>
      <c r="J188" s="18"/>
      <c r="K188" s="17"/>
      <c r="L188" s="18"/>
      <c r="M188" s="20"/>
      <c r="N188" s="18"/>
      <c r="O188" s="18"/>
      <c r="P188" s="18"/>
      <c r="Q188" s="17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7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U188" s="18"/>
      <c r="AV188" s="18"/>
      <c r="AW188" s="18"/>
      <c r="AX188" s="18"/>
    </row>
    <row r="189" spans="1:50" ht="15">
      <c r="A189" s="18"/>
      <c r="B189" s="18"/>
      <c r="C189" s="18"/>
      <c r="D189" s="18"/>
      <c r="E189" s="18"/>
      <c r="F189" s="18"/>
      <c r="G189" s="18"/>
      <c r="H189" s="18"/>
      <c r="I189" s="17"/>
      <c r="J189" s="18"/>
      <c r="K189" s="17"/>
      <c r="L189" s="18"/>
      <c r="M189" s="20"/>
      <c r="N189" s="18"/>
      <c r="O189" s="18"/>
      <c r="P189" s="18"/>
      <c r="Q189" s="17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7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  <c r="AS189" s="18"/>
      <c r="AT189" s="18"/>
      <c r="AU189" s="18"/>
      <c r="AV189" s="18"/>
      <c r="AW189" s="18"/>
      <c r="AX189" s="18"/>
    </row>
    <row r="190" spans="1:50" ht="15">
      <c r="A190" s="18"/>
      <c r="B190" s="18"/>
      <c r="C190" s="18"/>
      <c r="D190" s="18"/>
      <c r="E190" s="18"/>
      <c r="F190" s="18"/>
      <c r="G190" s="18"/>
      <c r="H190" s="18"/>
      <c r="I190" s="17"/>
      <c r="J190" s="18"/>
      <c r="K190" s="17"/>
      <c r="L190" s="18"/>
      <c r="M190" s="20"/>
      <c r="N190" s="18"/>
      <c r="O190" s="18"/>
      <c r="P190" s="18"/>
      <c r="Q190" s="17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7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 s="18"/>
      <c r="AV190" s="18"/>
      <c r="AW190" s="18"/>
      <c r="AX190" s="18"/>
    </row>
    <row r="191" spans="1:50" ht="15">
      <c r="A191" s="18"/>
      <c r="B191" s="18"/>
      <c r="C191" s="18"/>
      <c r="D191" s="18"/>
      <c r="E191" s="18"/>
      <c r="F191" s="18"/>
      <c r="G191" s="18"/>
      <c r="H191" s="18"/>
      <c r="I191" s="17"/>
      <c r="J191" s="18"/>
      <c r="K191" s="17"/>
      <c r="L191" s="18"/>
      <c r="M191" s="20"/>
      <c r="N191" s="18"/>
      <c r="O191" s="18"/>
      <c r="P191" s="18"/>
      <c r="Q191" s="17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7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  <c r="AS191" s="18"/>
      <c r="AT191" s="18"/>
      <c r="AU191" s="18"/>
      <c r="AV191" s="18"/>
      <c r="AW191" s="18"/>
      <c r="AX191" s="18"/>
    </row>
    <row r="192" spans="1:50" ht="15">
      <c r="A192" s="18"/>
      <c r="B192" s="18"/>
      <c r="C192" s="18"/>
      <c r="D192" s="18"/>
      <c r="E192" s="18"/>
      <c r="F192" s="18"/>
      <c r="G192" s="18"/>
      <c r="H192" s="18"/>
      <c r="I192" s="17"/>
      <c r="J192" s="18"/>
      <c r="K192" s="17"/>
      <c r="L192" s="18"/>
      <c r="M192" s="20"/>
      <c r="N192" s="18"/>
      <c r="O192" s="18"/>
      <c r="P192" s="18"/>
      <c r="Q192" s="17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7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  <c r="AS192" s="18"/>
      <c r="AT192" s="18"/>
      <c r="AU192" s="18"/>
      <c r="AV192" s="18"/>
      <c r="AW192" s="18"/>
      <c r="AX192" s="18"/>
    </row>
    <row r="193" spans="1:50" ht="15">
      <c r="A193" s="18"/>
      <c r="B193" s="18"/>
      <c r="C193" s="18"/>
      <c r="D193" s="18"/>
      <c r="E193" s="18"/>
      <c r="F193" s="18"/>
      <c r="G193" s="18"/>
      <c r="H193" s="18"/>
      <c r="I193" s="17"/>
      <c r="J193" s="18"/>
      <c r="K193" s="17"/>
      <c r="L193" s="18"/>
      <c r="M193" s="20"/>
      <c r="N193" s="18"/>
      <c r="O193" s="18"/>
      <c r="P193" s="18"/>
      <c r="Q193" s="17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7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8"/>
      <c r="AS193" s="18"/>
      <c r="AT193" s="18"/>
      <c r="AU193" s="18"/>
      <c r="AV193" s="18"/>
      <c r="AW193" s="18"/>
      <c r="AX193" s="18"/>
    </row>
    <row r="194" spans="1:50" ht="15">
      <c r="A194" s="18"/>
      <c r="B194" s="18"/>
      <c r="C194" s="18"/>
      <c r="D194" s="18"/>
      <c r="E194" s="18"/>
      <c r="F194" s="18"/>
      <c r="G194" s="18"/>
      <c r="H194" s="18"/>
      <c r="I194" s="17"/>
      <c r="J194" s="18"/>
      <c r="K194" s="17"/>
      <c r="L194" s="18"/>
      <c r="M194" s="20"/>
      <c r="N194" s="18"/>
      <c r="O194" s="18"/>
      <c r="P194" s="18"/>
      <c r="Q194" s="17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7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</row>
    <row r="195" spans="1:50" ht="15">
      <c r="A195" s="18"/>
      <c r="B195" s="18"/>
      <c r="C195" s="18"/>
      <c r="D195" s="18"/>
      <c r="E195" s="18"/>
      <c r="F195" s="18"/>
      <c r="G195" s="18"/>
      <c r="H195" s="18"/>
      <c r="I195" s="17"/>
      <c r="J195" s="18"/>
      <c r="K195" s="17"/>
      <c r="L195" s="18"/>
      <c r="M195" s="20"/>
      <c r="N195" s="18"/>
      <c r="O195" s="18"/>
      <c r="P195" s="18"/>
      <c r="Q195" s="17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7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U195" s="18"/>
      <c r="AV195" s="18"/>
      <c r="AW195" s="18"/>
      <c r="AX195" s="18"/>
    </row>
    <row r="196" spans="1:50" ht="15">
      <c r="A196" s="18"/>
      <c r="B196" s="18"/>
      <c r="C196" s="18"/>
      <c r="D196" s="18"/>
      <c r="E196" s="18"/>
      <c r="F196" s="18"/>
      <c r="G196" s="18"/>
      <c r="H196" s="18"/>
      <c r="I196" s="17"/>
      <c r="J196" s="18"/>
      <c r="K196" s="17"/>
      <c r="L196" s="18"/>
      <c r="M196" s="20"/>
      <c r="N196" s="18"/>
      <c r="O196" s="18"/>
      <c r="P196" s="18"/>
      <c r="Q196" s="17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7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V196" s="18"/>
      <c r="AW196" s="18"/>
      <c r="AX196" s="18"/>
    </row>
    <row r="197" spans="1:50" ht="15">
      <c r="A197" s="18"/>
      <c r="B197" s="18"/>
      <c r="C197" s="18"/>
      <c r="D197" s="18"/>
      <c r="E197" s="18"/>
      <c r="F197" s="18"/>
      <c r="G197" s="18"/>
      <c r="H197" s="18"/>
      <c r="I197" s="17"/>
      <c r="J197" s="18"/>
      <c r="K197" s="17"/>
      <c r="L197" s="18"/>
      <c r="M197" s="20"/>
      <c r="N197" s="18"/>
      <c r="O197" s="18"/>
      <c r="P197" s="18"/>
      <c r="Q197" s="17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7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</row>
    <row r="198" spans="1:50" ht="15">
      <c r="A198" s="18"/>
      <c r="B198" s="18"/>
      <c r="C198" s="18"/>
      <c r="D198" s="18"/>
      <c r="E198" s="18"/>
      <c r="F198" s="18"/>
      <c r="G198" s="18"/>
      <c r="H198" s="18"/>
      <c r="I198" s="17"/>
      <c r="J198" s="18"/>
      <c r="K198" s="17"/>
      <c r="L198" s="18"/>
      <c r="M198" s="20"/>
      <c r="N198" s="18"/>
      <c r="O198" s="18"/>
      <c r="P198" s="18"/>
      <c r="Q198" s="17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7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</row>
    <row r="199" spans="1:50" ht="15">
      <c r="A199" s="18"/>
      <c r="B199" s="18"/>
      <c r="C199" s="18"/>
      <c r="D199" s="18"/>
      <c r="E199" s="18"/>
      <c r="F199" s="18"/>
      <c r="G199" s="18"/>
      <c r="H199" s="18"/>
      <c r="I199" s="17"/>
      <c r="J199" s="18"/>
      <c r="K199" s="17"/>
      <c r="L199" s="18"/>
      <c r="M199" s="20"/>
      <c r="N199" s="18"/>
      <c r="O199" s="18"/>
      <c r="P199" s="18"/>
      <c r="Q199" s="17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7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V199" s="18"/>
      <c r="AW199" s="18"/>
      <c r="AX199" s="18"/>
    </row>
    <row r="200" spans="1:50" ht="15">
      <c r="A200" s="18"/>
      <c r="B200" s="18"/>
      <c r="C200" s="18"/>
      <c r="D200" s="18"/>
      <c r="E200" s="18"/>
      <c r="F200" s="18"/>
      <c r="G200" s="18"/>
      <c r="H200" s="18"/>
      <c r="I200" s="17"/>
      <c r="J200" s="18"/>
      <c r="K200" s="17"/>
      <c r="L200" s="18"/>
      <c r="M200" s="20"/>
      <c r="N200" s="18"/>
      <c r="O200" s="18"/>
      <c r="P200" s="18"/>
      <c r="Q200" s="17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7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</row>
    <row r="201" spans="1:50" ht="15">
      <c r="A201" s="18"/>
      <c r="B201" s="18"/>
      <c r="C201" s="18"/>
      <c r="D201" s="18"/>
      <c r="E201" s="18"/>
      <c r="F201" s="18"/>
      <c r="G201" s="18"/>
      <c r="H201" s="18"/>
      <c r="I201" s="17"/>
      <c r="J201" s="18"/>
      <c r="K201" s="17"/>
      <c r="L201" s="18"/>
      <c r="M201" s="20"/>
      <c r="N201" s="18"/>
      <c r="O201" s="18"/>
      <c r="P201" s="18"/>
      <c r="Q201" s="17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7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</row>
    <row r="202" spans="1:50" ht="15">
      <c r="A202" s="18"/>
      <c r="B202" s="18"/>
      <c r="C202" s="18"/>
      <c r="D202" s="18"/>
      <c r="E202" s="18"/>
      <c r="F202" s="18"/>
      <c r="G202" s="18"/>
      <c r="H202" s="18"/>
      <c r="I202" s="17"/>
      <c r="J202" s="18"/>
      <c r="K202" s="17"/>
      <c r="L202" s="18"/>
      <c r="M202" s="20"/>
      <c r="N202" s="18"/>
      <c r="O202" s="18"/>
      <c r="P202" s="18"/>
      <c r="Q202" s="17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7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</row>
    <row r="203" spans="1:50" ht="15">
      <c r="A203" s="18"/>
      <c r="B203" s="18"/>
      <c r="C203" s="18"/>
      <c r="D203" s="18"/>
      <c r="E203" s="18"/>
      <c r="F203" s="18"/>
      <c r="G203" s="18"/>
      <c r="H203" s="18"/>
      <c r="I203" s="17"/>
      <c r="J203" s="18"/>
      <c r="K203" s="17"/>
      <c r="L203" s="18"/>
      <c r="M203" s="20"/>
      <c r="N203" s="18"/>
      <c r="O203" s="18"/>
      <c r="P203" s="18"/>
      <c r="Q203" s="17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7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18"/>
      <c r="AR203" s="18"/>
      <c r="AS203" s="18"/>
      <c r="AT203" s="18"/>
      <c r="AU203" s="18"/>
      <c r="AV203" s="18"/>
      <c r="AW203" s="18"/>
      <c r="AX203" s="18"/>
    </row>
    <row r="204" spans="1:50" ht="15">
      <c r="A204" s="18"/>
      <c r="B204" s="18"/>
      <c r="C204" s="18"/>
      <c r="D204" s="18"/>
      <c r="E204" s="18"/>
      <c r="F204" s="18"/>
      <c r="G204" s="18"/>
      <c r="H204" s="18"/>
      <c r="I204" s="17"/>
      <c r="J204" s="18"/>
      <c r="K204" s="17"/>
      <c r="L204" s="18"/>
      <c r="M204" s="20"/>
      <c r="N204" s="18"/>
      <c r="O204" s="18"/>
      <c r="P204" s="18"/>
      <c r="Q204" s="17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7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 s="18"/>
      <c r="AV204" s="18"/>
      <c r="AW204" s="18"/>
      <c r="AX204" s="18"/>
    </row>
    <row r="205" spans="1:50" ht="15">
      <c r="A205" s="18"/>
      <c r="B205" s="18"/>
      <c r="C205" s="18"/>
      <c r="D205" s="18"/>
      <c r="E205" s="18"/>
      <c r="F205" s="18"/>
      <c r="G205" s="18"/>
      <c r="H205" s="18"/>
      <c r="I205" s="17"/>
      <c r="J205" s="18"/>
      <c r="K205" s="17"/>
      <c r="L205" s="18"/>
      <c r="M205" s="20"/>
      <c r="N205" s="18"/>
      <c r="O205" s="18"/>
      <c r="P205" s="18"/>
      <c r="Q205" s="17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7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  <c r="AS205" s="18"/>
      <c r="AT205" s="18"/>
      <c r="AU205" s="18"/>
      <c r="AV205" s="18"/>
      <c r="AW205" s="18"/>
      <c r="AX205" s="18"/>
    </row>
    <row r="206" spans="1:50" ht="15">
      <c r="A206" s="18"/>
      <c r="B206" s="18"/>
      <c r="C206" s="18"/>
      <c r="D206" s="18"/>
      <c r="E206" s="18"/>
      <c r="F206" s="18"/>
      <c r="G206" s="18"/>
      <c r="H206" s="18"/>
      <c r="I206" s="17"/>
      <c r="J206" s="18"/>
      <c r="K206" s="17"/>
      <c r="L206" s="18"/>
      <c r="M206" s="20"/>
      <c r="N206" s="18"/>
      <c r="O206" s="18"/>
      <c r="P206" s="18"/>
      <c r="Q206" s="17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7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  <c r="AS206" s="18"/>
      <c r="AT206" s="18"/>
      <c r="AU206" s="18"/>
      <c r="AV206" s="18"/>
      <c r="AW206" s="18"/>
      <c r="AX206" s="18"/>
    </row>
    <row r="207" spans="1:50" ht="15">
      <c r="A207" s="18"/>
      <c r="B207" s="18"/>
      <c r="C207" s="18"/>
      <c r="D207" s="18"/>
      <c r="E207" s="18"/>
      <c r="F207" s="18"/>
      <c r="G207" s="18"/>
      <c r="H207" s="18"/>
      <c r="I207" s="17"/>
      <c r="J207" s="18"/>
      <c r="K207" s="17"/>
      <c r="L207" s="18"/>
      <c r="M207" s="20"/>
      <c r="N207" s="18"/>
      <c r="O207" s="18"/>
      <c r="P207" s="18"/>
      <c r="Q207" s="17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7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</row>
    <row r="208" spans="1:50" ht="15">
      <c r="A208" s="18"/>
      <c r="B208" s="18"/>
      <c r="C208" s="18"/>
      <c r="D208" s="18"/>
      <c r="E208" s="18"/>
      <c r="F208" s="18"/>
      <c r="G208" s="18"/>
      <c r="H208" s="18"/>
      <c r="I208" s="17"/>
      <c r="J208" s="18"/>
      <c r="K208" s="17"/>
      <c r="L208" s="18"/>
      <c r="M208" s="20"/>
      <c r="N208" s="18"/>
      <c r="O208" s="18"/>
      <c r="P208" s="18"/>
      <c r="Q208" s="17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7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</row>
    <row r="209" spans="1:50" ht="15">
      <c r="A209" s="18"/>
      <c r="B209" s="18"/>
      <c r="C209" s="18"/>
      <c r="D209" s="18"/>
      <c r="E209" s="18"/>
      <c r="F209" s="18"/>
      <c r="G209" s="18"/>
      <c r="H209" s="18"/>
      <c r="I209" s="17"/>
      <c r="J209" s="18"/>
      <c r="K209" s="17"/>
      <c r="L209" s="18"/>
      <c r="M209" s="20"/>
      <c r="N209" s="18"/>
      <c r="O209" s="18"/>
      <c r="P209" s="18"/>
      <c r="Q209" s="17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7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</row>
    <row r="210" spans="1:50" ht="15">
      <c r="A210" s="18"/>
      <c r="B210" s="18"/>
      <c r="C210" s="18"/>
      <c r="D210" s="18"/>
      <c r="E210" s="18"/>
      <c r="F210" s="18"/>
      <c r="G210" s="18"/>
      <c r="H210" s="18"/>
      <c r="I210" s="17"/>
      <c r="J210" s="18"/>
      <c r="K210" s="17"/>
      <c r="L210" s="18"/>
      <c r="M210" s="20"/>
      <c r="N210" s="18"/>
      <c r="O210" s="18"/>
      <c r="P210" s="18"/>
      <c r="Q210" s="17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7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</row>
    <row r="211" spans="1:50" ht="15">
      <c r="A211" s="18"/>
      <c r="B211" s="18"/>
      <c r="C211" s="18"/>
      <c r="D211" s="18"/>
      <c r="E211" s="18"/>
      <c r="F211" s="18"/>
      <c r="G211" s="18"/>
      <c r="H211" s="18"/>
      <c r="I211" s="17"/>
      <c r="J211" s="18"/>
      <c r="K211" s="17"/>
      <c r="L211" s="18"/>
      <c r="M211" s="20"/>
      <c r="N211" s="18"/>
      <c r="O211" s="18"/>
      <c r="P211" s="18"/>
      <c r="Q211" s="17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7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</row>
    <row r="212" spans="1:50" ht="15">
      <c r="A212" s="18"/>
      <c r="B212" s="18"/>
      <c r="C212" s="18"/>
      <c r="D212" s="18"/>
      <c r="E212" s="18"/>
      <c r="F212" s="18"/>
      <c r="G212" s="18"/>
      <c r="H212" s="18"/>
      <c r="I212" s="17"/>
      <c r="J212" s="18"/>
      <c r="K212" s="17"/>
      <c r="L212" s="18"/>
      <c r="M212" s="20"/>
      <c r="N212" s="18"/>
      <c r="O212" s="18"/>
      <c r="P212" s="18"/>
      <c r="Q212" s="17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7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</row>
    <row r="213" spans="1:50" ht="15">
      <c r="A213" s="18"/>
      <c r="B213" s="18"/>
      <c r="C213" s="18"/>
      <c r="D213" s="18"/>
      <c r="E213" s="18"/>
      <c r="F213" s="18"/>
      <c r="G213" s="18"/>
      <c r="H213" s="18"/>
      <c r="I213" s="17"/>
      <c r="J213" s="18"/>
      <c r="K213" s="17"/>
      <c r="L213" s="18"/>
      <c r="M213" s="20"/>
      <c r="N213" s="18"/>
      <c r="O213" s="18"/>
      <c r="P213" s="18"/>
      <c r="Q213" s="17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7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18"/>
      <c r="AX213" s="18"/>
    </row>
    <row r="214" spans="1:50" ht="15">
      <c r="A214" s="18"/>
      <c r="B214" s="18"/>
      <c r="C214" s="18"/>
      <c r="D214" s="18"/>
      <c r="E214" s="18"/>
      <c r="F214" s="18"/>
      <c r="G214" s="18"/>
      <c r="H214" s="18"/>
      <c r="I214" s="17"/>
      <c r="J214" s="18"/>
      <c r="K214" s="17"/>
      <c r="L214" s="18"/>
      <c r="M214" s="20"/>
      <c r="N214" s="18"/>
      <c r="O214" s="18"/>
      <c r="P214" s="18"/>
      <c r="Q214" s="17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7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18"/>
      <c r="AX214" s="18"/>
    </row>
    <row r="215" spans="1:50" ht="15">
      <c r="A215" s="18"/>
      <c r="B215" s="18"/>
      <c r="C215" s="18"/>
      <c r="D215" s="18"/>
      <c r="E215" s="18"/>
      <c r="F215" s="18"/>
      <c r="G215" s="18"/>
      <c r="H215" s="18"/>
      <c r="I215" s="17"/>
      <c r="J215" s="18"/>
      <c r="K215" s="17"/>
      <c r="L215" s="18"/>
      <c r="M215" s="20"/>
      <c r="N215" s="18"/>
      <c r="O215" s="18"/>
      <c r="P215" s="18"/>
      <c r="Q215" s="17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7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18"/>
      <c r="AR215" s="18"/>
      <c r="AS215" s="18"/>
      <c r="AT215" s="18"/>
      <c r="AU215" s="18"/>
      <c r="AV215" s="18"/>
      <c r="AW215" s="18"/>
      <c r="AX215" s="18"/>
    </row>
    <row r="216" spans="1:50" ht="15">
      <c r="A216" s="18"/>
      <c r="B216" s="18"/>
      <c r="C216" s="18"/>
      <c r="D216" s="18"/>
      <c r="E216" s="18"/>
      <c r="F216" s="18"/>
      <c r="G216" s="18"/>
      <c r="H216" s="18"/>
      <c r="I216" s="17"/>
      <c r="J216" s="18"/>
      <c r="K216" s="17"/>
      <c r="L216" s="18"/>
      <c r="M216" s="20"/>
      <c r="N216" s="18"/>
      <c r="O216" s="18"/>
      <c r="P216" s="18"/>
      <c r="Q216" s="17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7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  <c r="AS216" s="18"/>
      <c r="AT216" s="18"/>
      <c r="AU216" s="18"/>
      <c r="AV216" s="18"/>
      <c r="AW216" s="18"/>
      <c r="AX216" s="18"/>
    </row>
    <row r="217" spans="1:50" ht="15">
      <c r="A217" s="18"/>
      <c r="B217" s="18"/>
      <c r="C217" s="18"/>
      <c r="D217" s="18"/>
      <c r="E217" s="18"/>
      <c r="F217" s="18"/>
      <c r="G217" s="18"/>
      <c r="H217" s="18"/>
      <c r="I217" s="17"/>
      <c r="J217" s="18"/>
      <c r="K217" s="17"/>
      <c r="L217" s="18"/>
      <c r="M217" s="20"/>
      <c r="N217" s="18"/>
      <c r="O217" s="18"/>
      <c r="P217" s="18"/>
      <c r="Q217" s="17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7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  <c r="AS217" s="18"/>
      <c r="AT217" s="18"/>
      <c r="AU217" s="18"/>
      <c r="AV217" s="18"/>
      <c r="AW217" s="18"/>
      <c r="AX217" s="18"/>
    </row>
    <row r="218" spans="1:50" ht="15">
      <c r="A218" s="18"/>
      <c r="B218" s="18"/>
      <c r="C218" s="18"/>
      <c r="D218" s="18"/>
      <c r="E218" s="18"/>
      <c r="F218" s="18"/>
      <c r="G218" s="18"/>
      <c r="H218" s="18"/>
      <c r="I218" s="17"/>
      <c r="J218" s="18"/>
      <c r="K218" s="17"/>
      <c r="L218" s="18"/>
      <c r="M218" s="20"/>
      <c r="N218" s="18"/>
      <c r="O218" s="18"/>
      <c r="P218" s="18"/>
      <c r="Q218" s="17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7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U218" s="18"/>
      <c r="AV218" s="18"/>
      <c r="AW218" s="18"/>
      <c r="AX218" s="18"/>
    </row>
    <row r="219" spans="1:50" ht="15">
      <c r="A219" s="18"/>
      <c r="B219" s="18"/>
      <c r="C219" s="18"/>
      <c r="D219" s="18"/>
      <c r="E219" s="18"/>
      <c r="F219" s="18"/>
      <c r="G219" s="18"/>
      <c r="H219" s="18"/>
      <c r="I219" s="17"/>
      <c r="J219" s="18"/>
      <c r="K219" s="17"/>
      <c r="L219" s="18"/>
      <c r="M219" s="20"/>
      <c r="N219" s="18"/>
      <c r="O219" s="18"/>
      <c r="P219" s="18"/>
      <c r="Q219" s="17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7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  <c r="AS219" s="18"/>
      <c r="AT219" s="18"/>
      <c r="AU219" s="18"/>
      <c r="AV219" s="18"/>
      <c r="AW219" s="18"/>
      <c r="AX219" s="18"/>
    </row>
    <row r="220" spans="1:50" ht="15">
      <c r="A220" s="18"/>
      <c r="B220" s="18"/>
      <c r="C220" s="18"/>
      <c r="D220" s="18"/>
      <c r="E220" s="18"/>
      <c r="F220" s="18"/>
      <c r="G220" s="18"/>
      <c r="H220" s="18"/>
      <c r="I220" s="17"/>
      <c r="J220" s="18"/>
      <c r="K220" s="17"/>
      <c r="L220" s="18"/>
      <c r="M220" s="20"/>
      <c r="N220" s="18"/>
      <c r="O220" s="18"/>
      <c r="P220" s="18"/>
      <c r="Q220" s="17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7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  <c r="AS220" s="18"/>
      <c r="AT220" s="18"/>
      <c r="AU220" s="18"/>
      <c r="AV220" s="18"/>
      <c r="AW220" s="18"/>
      <c r="AX220" s="18"/>
    </row>
    <row r="221" spans="1:50" ht="15">
      <c r="A221" s="18"/>
      <c r="B221" s="18"/>
      <c r="C221" s="18"/>
      <c r="D221" s="18"/>
      <c r="E221" s="18"/>
      <c r="F221" s="18"/>
      <c r="G221" s="18"/>
      <c r="H221" s="18"/>
      <c r="I221" s="17"/>
      <c r="J221" s="18"/>
      <c r="K221" s="17"/>
      <c r="L221" s="18"/>
      <c r="M221" s="20"/>
      <c r="N221" s="18"/>
      <c r="O221" s="18"/>
      <c r="P221" s="18"/>
      <c r="Q221" s="17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7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18"/>
      <c r="AR221" s="18"/>
      <c r="AS221" s="18"/>
      <c r="AT221" s="18"/>
      <c r="AU221" s="18"/>
      <c r="AV221" s="18"/>
      <c r="AW221" s="18"/>
      <c r="AX221" s="18"/>
    </row>
    <row r="222" spans="1:50" ht="15">
      <c r="A222" s="18"/>
      <c r="B222" s="18"/>
      <c r="C222" s="18"/>
      <c r="D222" s="18"/>
      <c r="E222" s="18"/>
      <c r="F222" s="18"/>
      <c r="G222" s="18"/>
      <c r="H222" s="18"/>
      <c r="I222" s="17"/>
      <c r="J222" s="18"/>
      <c r="K222" s="17"/>
      <c r="L222" s="18"/>
      <c r="M222" s="20"/>
      <c r="N222" s="18"/>
      <c r="O222" s="18"/>
      <c r="P222" s="18"/>
      <c r="Q222" s="17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7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  <c r="AS222" s="18"/>
      <c r="AT222" s="18"/>
      <c r="AU222" s="18"/>
      <c r="AV222" s="18"/>
      <c r="AW222" s="18"/>
      <c r="AX222" s="18"/>
    </row>
    <row r="223" spans="1:50" ht="15">
      <c r="A223" s="18"/>
      <c r="B223" s="18"/>
      <c r="C223" s="18"/>
      <c r="D223" s="18"/>
      <c r="E223" s="18"/>
      <c r="F223" s="18"/>
      <c r="G223" s="18"/>
      <c r="H223" s="18"/>
      <c r="I223" s="17"/>
      <c r="J223" s="18"/>
      <c r="K223" s="17"/>
      <c r="L223" s="18"/>
      <c r="M223" s="20"/>
      <c r="N223" s="18"/>
      <c r="O223" s="18"/>
      <c r="P223" s="18"/>
      <c r="Q223" s="17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7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  <c r="AS223" s="18"/>
      <c r="AT223" s="18"/>
      <c r="AU223" s="18"/>
      <c r="AV223" s="18"/>
      <c r="AW223" s="18"/>
      <c r="AX223" s="18"/>
    </row>
    <row r="224" spans="1:50" ht="15">
      <c r="A224" s="18"/>
      <c r="B224" s="18"/>
      <c r="C224" s="18"/>
      <c r="D224" s="18"/>
      <c r="E224" s="18"/>
      <c r="F224" s="18"/>
      <c r="G224" s="18"/>
      <c r="H224" s="18"/>
      <c r="I224" s="17"/>
      <c r="J224" s="18"/>
      <c r="K224" s="17"/>
      <c r="L224" s="18"/>
      <c r="M224" s="20"/>
      <c r="N224" s="18"/>
      <c r="O224" s="18"/>
      <c r="P224" s="18"/>
      <c r="Q224" s="17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7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  <c r="AS224" s="18"/>
      <c r="AT224" s="18"/>
      <c r="AU224" s="18"/>
      <c r="AV224" s="18"/>
      <c r="AW224" s="18"/>
      <c r="AX224" s="18"/>
    </row>
    <row r="225" spans="1:50" ht="15">
      <c r="A225" s="18"/>
      <c r="B225" s="18"/>
      <c r="C225" s="18"/>
      <c r="D225" s="18"/>
      <c r="E225" s="18"/>
      <c r="F225" s="18"/>
      <c r="G225" s="18"/>
      <c r="H225" s="18"/>
      <c r="I225" s="17"/>
      <c r="J225" s="18"/>
      <c r="K225" s="17"/>
      <c r="L225" s="18"/>
      <c r="M225" s="20"/>
      <c r="N225" s="18"/>
      <c r="O225" s="18"/>
      <c r="P225" s="18"/>
      <c r="Q225" s="17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7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</row>
    <row r="226" spans="1:50" ht="15">
      <c r="A226" s="18"/>
      <c r="B226" s="18"/>
      <c r="C226" s="18"/>
      <c r="D226" s="18"/>
      <c r="E226" s="18"/>
      <c r="F226" s="18"/>
      <c r="G226" s="18"/>
      <c r="H226" s="18"/>
      <c r="I226" s="17"/>
      <c r="J226" s="18"/>
      <c r="K226" s="17"/>
      <c r="L226" s="18"/>
      <c r="M226" s="20"/>
      <c r="N226" s="18"/>
      <c r="O226" s="18"/>
      <c r="P226" s="18"/>
      <c r="Q226" s="17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7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</row>
    <row r="227" spans="1:50" ht="15">
      <c r="A227" s="18"/>
      <c r="B227" s="18"/>
      <c r="C227" s="18"/>
      <c r="D227" s="18"/>
      <c r="E227" s="18"/>
      <c r="F227" s="18"/>
      <c r="G227" s="18"/>
      <c r="H227" s="18"/>
      <c r="I227" s="17"/>
      <c r="J227" s="18"/>
      <c r="K227" s="17"/>
      <c r="L227" s="18"/>
      <c r="M227" s="20"/>
      <c r="N227" s="18"/>
      <c r="O227" s="18"/>
      <c r="P227" s="18"/>
      <c r="Q227" s="17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7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  <c r="AS227" s="18"/>
      <c r="AT227" s="18"/>
      <c r="AU227" s="18"/>
      <c r="AV227" s="18"/>
      <c r="AW227" s="18"/>
      <c r="AX227" s="18"/>
    </row>
    <row r="228" spans="1:50" ht="15">
      <c r="A228" s="18"/>
      <c r="B228" s="18"/>
      <c r="C228" s="18"/>
      <c r="D228" s="18"/>
      <c r="E228" s="18"/>
      <c r="F228" s="18"/>
      <c r="G228" s="18"/>
      <c r="H228" s="18"/>
      <c r="I228" s="17"/>
      <c r="J228" s="18"/>
      <c r="K228" s="17"/>
      <c r="L228" s="18"/>
      <c r="M228" s="20"/>
      <c r="N228" s="18"/>
      <c r="O228" s="18"/>
      <c r="P228" s="18"/>
      <c r="Q228" s="17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7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U228" s="18"/>
      <c r="AV228" s="18"/>
      <c r="AW228" s="18"/>
      <c r="AX228" s="18"/>
    </row>
    <row r="229" spans="1:50" ht="15">
      <c r="A229" s="18"/>
      <c r="B229" s="18"/>
      <c r="C229" s="18"/>
      <c r="D229" s="18"/>
      <c r="E229" s="18"/>
      <c r="F229" s="18"/>
      <c r="G229" s="18"/>
      <c r="H229" s="18"/>
      <c r="I229" s="17"/>
      <c r="J229" s="18"/>
      <c r="K229" s="17"/>
      <c r="L229" s="18"/>
      <c r="M229" s="20"/>
      <c r="N229" s="18"/>
      <c r="O229" s="18"/>
      <c r="P229" s="18"/>
      <c r="Q229" s="17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7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  <c r="AS229" s="18"/>
      <c r="AT229" s="18"/>
      <c r="AU229" s="18"/>
      <c r="AV229" s="18"/>
      <c r="AW229" s="18"/>
      <c r="AX229" s="18"/>
    </row>
    <row r="230" spans="1:50" ht="15">
      <c r="A230" s="18"/>
      <c r="B230" s="18"/>
      <c r="C230" s="18"/>
      <c r="D230" s="18"/>
      <c r="E230" s="18"/>
      <c r="F230" s="18"/>
      <c r="G230" s="18"/>
      <c r="H230" s="18"/>
      <c r="I230" s="17"/>
      <c r="J230" s="18"/>
      <c r="K230" s="17"/>
      <c r="L230" s="18"/>
      <c r="M230" s="20"/>
      <c r="N230" s="18"/>
      <c r="O230" s="18"/>
      <c r="P230" s="18"/>
      <c r="Q230" s="17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7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U230" s="18"/>
      <c r="AV230" s="18"/>
      <c r="AW230" s="18"/>
      <c r="AX230" s="18"/>
    </row>
    <row r="231" spans="1:50" ht="15">
      <c r="A231" s="18"/>
      <c r="B231" s="18"/>
      <c r="C231" s="18"/>
      <c r="D231" s="18"/>
      <c r="E231" s="18"/>
      <c r="F231" s="18"/>
      <c r="G231" s="18"/>
      <c r="H231" s="18"/>
      <c r="I231" s="17"/>
      <c r="J231" s="18"/>
      <c r="K231" s="17"/>
      <c r="L231" s="18"/>
      <c r="M231" s="20"/>
      <c r="N231" s="18"/>
      <c r="O231" s="18"/>
      <c r="P231" s="18"/>
      <c r="Q231" s="17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7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  <c r="AS231" s="18"/>
      <c r="AT231" s="18"/>
      <c r="AU231" s="18"/>
      <c r="AV231" s="18"/>
      <c r="AW231" s="18"/>
      <c r="AX231" s="18"/>
    </row>
    <row r="232" spans="1:50" ht="15">
      <c r="A232" s="18"/>
      <c r="B232" s="18"/>
      <c r="C232" s="18"/>
      <c r="D232" s="18"/>
      <c r="E232" s="18"/>
      <c r="F232" s="18"/>
      <c r="G232" s="18"/>
      <c r="H232" s="18"/>
      <c r="I232" s="17"/>
      <c r="J232" s="18"/>
      <c r="K232" s="17"/>
      <c r="L232" s="18"/>
      <c r="M232" s="20"/>
      <c r="N232" s="18"/>
      <c r="O232" s="18"/>
      <c r="P232" s="18"/>
      <c r="Q232" s="17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7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  <c r="AS232" s="18"/>
      <c r="AT232" s="18"/>
      <c r="AU232" s="18"/>
      <c r="AV232" s="18"/>
      <c r="AW232" s="18"/>
      <c r="AX232" s="18"/>
    </row>
    <row r="233" spans="1:50" ht="15">
      <c r="A233" s="18"/>
      <c r="B233" s="18"/>
      <c r="C233" s="18"/>
      <c r="D233" s="18"/>
      <c r="E233" s="18"/>
      <c r="F233" s="18"/>
      <c r="G233" s="18"/>
      <c r="H233" s="18"/>
      <c r="I233" s="17"/>
      <c r="J233" s="18"/>
      <c r="K233" s="17"/>
      <c r="L233" s="18"/>
      <c r="M233" s="20"/>
      <c r="N233" s="18"/>
      <c r="O233" s="18"/>
      <c r="P233" s="18"/>
      <c r="Q233" s="17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7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  <c r="AS233" s="18"/>
      <c r="AT233" s="18"/>
      <c r="AU233" s="18"/>
      <c r="AV233" s="18"/>
      <c r="AW233" s="18"/>
      <c r="AX233" s="18"/>
    </row>
    <row r="234" spans="1:50" ht="15">
      <c r="A234" s="18"/>
      <c r="B234" s="18"/>
      <c r="C234" s="18"/>
      <c r="D234" s="18"/>
      <c r="E234" s="18"/>
      <c r="F234" s="18"/>
      <c r="G234" s="18"/>
      <c r="H234" s="18"/>
      <c r="I234" s="17"/>
      <c r="J234" s="18"/>
      <c r="K234" s="17"/>
      <c r="L234" s="18"/>
      <c r="M234" s="20"/>
      <c r="N234" s="18"/>
      <c r="O234" s="18"/>
      <c r="P234" s="18"/>
      <c r="Q234" s="17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7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  <c r="AS234" s="18"/>
      <c r="AT234" s="18"/>
      <c r="AU234" s="18"/>
      <c r="AV234" s="18"/>
      <c r="AW234" s="18"/>
      <c r="AX234" s="18"/>
    </row>
    <row r="235" spans="1:50" ht="15">
      <c r="A235" s="18"/>
      <c r="B235" s="18"/>
      <c r="C235" s="18"/>
      <c r="D235" s="18"/>
      <c r="E235" s="18"/>
      <c r="F235" s="18"/>
      <c r="G235" s="18"/>
      <c r="H235" s="18"/>
      <c r="I235" s="17"/>
      <c r="J235" s="18"/>
      <c r="K235" s="17"/>
      <c r="L235" s="18"/>
      <c r="M235" s="20"/>
      <c r="N235" s="18"/>
      <c r="O235" s="18"/>
      <c r="P235" s="18"/>
      <c r="Q235" s="17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7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  <c r="AS235" s="18"/>
      <c r="AT235" s="18"/>
      <c r="AU235" s="18"/>
      <c r="AV235" s="18"/>
      <c r="AW235" s="18"/>
      <c r="AX235" s="18"/>
    </row>
    <row r="236" spans="1:50" ht="15">
      <c r="A236" s="18"/>
      <c r="B236" s="18"/>
      <c r="C236" s="18"/>
      <c r="D236" s="18"/>
      <c r="E236" s="18"/>
      <c r="F236" s="18"/>
      <c r="G236" s="18"/>
      <c r="H236" s="18"/>
      <c r="I236" s="17"/>
      <c r="J236" s="18"/>
      <c r="K236" s="17"/>
      <c r="L236" s="18"/>
      <c r="M236" s="20"/>
      <c r="N236" s="18"/>
      <c r="O236" s="18"/>
      <c r="P236" s="18"/>
      <c r="Q236" s="17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7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  <c r="AS236" s="18"/>
      <c r="AT236" s="18"/>
      <c r="AU236" s="18"/>
      <c r="AV236" s="18"/>
      <c r="AW236" s="18"/>
      <c r="AX236" s="18"/>
    </row>
    <row r="237" spans="1:50" ht="15">
      <c r="A237" s="18"/>
      <c r="B237" s="18"/>
      <c r="C237" s="18"/>
      <c r="D237" s="18"/>
      <c r="E237" s="18"/>
      <c r="F237" s="18"/>
      <c r="G237" s="18"/>
      <c r="H237" s="18"/>
      <c r="I237" s="17"/>
      <c r="J237" s="18"/>
      <c r="K237" s="17"/>
      <c r="L237" s="18"/>
      <c r="M237" s="20"/>
      <c r="N237" s="18"/>
      <c r="O237" s="18"/>
      <c r="P237" s="18"/>
      <c r="Q237" s="17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7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  <c r="AS237" s="18"/>
      <c r="AT237" s="18"/>
      <c r="AU237" s="18"/>
      <c r="AV237" s="18"/>
      <c r="AW237" s="18"/>
      <c r="AX237" s="18"/>
    </row>
    <row r="238" spans="1:50" ht="15">
      <c r="A238" s="18"/>
      <c r="B238" s="18"/>
      <c r="C238" s="18"/>
      <c r="D238" s="18"/>
      <c r="E238" s="18"/>
      <c r="F238" s="18"/>
      <c r="G238" s="18"/>
      <c r="H238" s="18"/>
      <c r="I238" s="17"/>
      <c r="J238" s="18"/>
      <c r="K238" s="17"/>
      <c r="L238" s="18"/>
      <c r="M238" s="20"/>
      <c r="N238" s="18"/>
      <c r="O238" s="18"/>
      <c r="P238" s="18"/>
      <c r="Q238" s="17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7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</row>
    <row r="239" spans="1:50" ht="15">
      <c r="A239" s="18"/>
      <c r="B239" s="18"/>
      <c r="C239" s="18"/>
      <c r="D239" s="18"/>
      <c r="E239" s="18"/>
      <c r="F239" s="18"/>
      <c r="G239" s="18"/>
      <c r="H239" s="18"/>
      <c r="I239" s="17"/>
      <c r="J239" s="18"/>
      <c r="K239" s="17"/>
      <c r="L239" s="18"/>
      <c r="M239" s="20"/>
      <c r="N239" s="18"/>
      <c r="O239" s="18"/>
      <c r="P239" s="18"/>
      <c r="Q239" s="17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7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  <c r="AS239" s="18"/>
      <c r="AT239" s="18"/>
      <c r="AU239" s="18"/>
      <c r="AV239" s="18"/>
      <c r="AW239" s="18"/>
      <c r="AX239" s="18"/>
    </row>
    <row r="240" spans="1:50" ht="15">
      <c r="A240" s="18"/>
      <c r="B240" s="18"/>
      <c r="C240" s="18"/>
      <c r="D240" s="18"/>
      <c r="E240" s="18"/>
      <c r="F240" s="18"/>
      <c r="G240" s="18"/>
      <c r="H240" s="18"/>
      <c r="I240" s="17"/>
      <c r="J240" s="18"/>
      <c r="K240" s="17"/>
      <c r="L240" s="18"/>
      <c r="M240" s="20"/>
      <c r="N240" s="18"/>
      <c r="O240" s="18"/>
      <c r="P240" s="18"/>
      <c r="Q240" s="17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7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  <c r="AS240" s="18"/>
      <c r="AT240" s="18"/>
      <c r="AU240" s="18"/>
      <c r="AV240" s="18"/>
      <c r="AW240" s="18"/>
      <c r="AX240" s="18"/>
    </row>
    <row r="241" spans="1:50" ht="15">
      <c r="A241" s="18"/>
      <c r="B241" s="18"/>
      <c r="C241" s="18"/>
      <c r="D241" s="18"/>
      <c r="E241" s="18"/>
      <c r="F241" s="18"/>
      <c r="G241" s="18"/>
      <c r="H241" s="18"/>
      <c r="I241" s="17"/>
      <c r="J241" s="18"/>
      <c r="K241" s="17"/>
      <c r="L241" s="18"/>
      <c r="M241" s="20"/>
      <c r="N241" s="18"/>
      <c r="O241" s="18"/>
      <c r="P241" s="18"/>
      <c r="Q241" s="17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7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  <c r="AS241" s="18"/>
      <c r="AT241" s="18"/>
      <c r="AU241" s="18"/>
      <c r="AV241" s="18"/>
      <c r="AW241" s="18"/>
      <c r="AX241" s="18"/>
    </row>
    <row r="242" spans="1:50" ht="15">
      <c r="A242" s="18"/>
      <c r="B242" s="18"/>
      <c r="C242" s="18"/>
      <c r="D242" s="18"/>
      <c r="E242" s="18"/>
      <c r="F242" s="18"/>
      <c r="G242" s="18"/>
      <c r="H242" s="18"/>
      <c r="I242" s="17"/>
      <c r="J242" s="18"/>
      <c r="K242" s="17"/>
      <c r="L242" s="18"/>
      <c r="M242" s="20"/>
      <c r="N242" s="18"/>
      <c r="O242" s="18"/>
      <c r="P242" s="18"/>
      <c r="Q242" s="17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7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  <c r="AS242" s="18"/>
      <c r="AT242" s="18"/>
      <c r="AU242" s="18"/>
      <c r="AV242" s="18"/>
      <c r="AW242" s="18"/>
      <c r="AX242" s="18"/>
    </row>
    <row r="243" spans="1:50" ht="15">
      <c r="A243" s="18"/>
      <c r="B243" s="18"/>
      <c r="C243" s="18"/>
      <c r="D243" s="18"/>
      <c r="E243" s="18"/>
      <c r="F243" s="18"/>
      <c r="G243" s="18"/>
      <c r="H243" s="18"/>
      <c r="I243" s="17"/>
      <c r="J243" s="18"/>
      <c r="K243" s="17"/>
      <c r="L243" s="18"/>
      <c r="M243" s="20"/>
      <c r="N243" s="18"/>
      <c r="O243" s="18"/>
      <c r="P243" s="18"/>
      <c r="Q243" s="17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7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  <c r="AS243" s="18"/>
      <c r="AT243" s="18"/>
      <c r="AU243" s="18"/>
      <c r="AV243" s="18"/>
      <c r="AW243" s="18"/>
      <c r="AX243" s="18"/>
    </row>
    <row r="244" spans="1:50" ht="15">
      <c r="A244" s="18"/>
      <c r="B244" s="18"/>
      <c r="C244" s="18"/>
      <c r="D244" s="18"/>
      <c r="E244" s="18"/>
      <c r="F244" s="18"/>
      <c r="G244" s="18"/>
      <c r="H244" s="18"/>
      <c r="I244" s="17"/>
      <c r="J244" s="18"/>
      <c r="K244" s="17"/>
      <c r="L244" s="18"/>
      <c r="M244" s="20"/>
      <c r="N244" s="18"/>
      <c r="O244" s="18"/>
      <c r="P244" s="18"/>
      <c r="Q244" s="17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7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U244" s="18"/>
      <c r="AV244" s="18"/>
      <c r="AW244" s="18"/>
      <c r="AX244" s="18"/>
    </row>
    <row r="245" spans="1:50" ht="15">
      <c r="A245" s="18"/>
      <c r="B245" s="18"/>
      <c r="C245" s="18"/>
      <c r="D245" s="18"/>
      <c r="E245" s="18"/>
      <c r="F245" s="18"/>
      <c r="G245" s="18"/>
      <c r="H245" s="18"/>
      <c r="I245" s="17"/>
      <c r="J245" s="18"/>
      <c r="K245" s="17"/>
      <c r="L245" s="18"/>
      <c r="M245" s="20"/>
      <c r="N245" s="18"/>
      <c r="O245" s="18"/>
      <c r="P245" s="18"/>
      <c r="Q245" s="17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7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</row>
    <row r="246" spans="1:50" ht="15">
      <c r="A246" s="18"/>
      <c r="B246" s="18"/>
      <c r="C246" s="18"/>
      <c r="D246" s="18"/>
      <c r="E246" s="18"/>
      <c r="F246" s="18"/>
      <c r="G246" s="18"/>
      <c r="H246" s="18"/>
      <c r="I246" s="17"/>
      <c r="J246" s="18"/>
      <c r="K246" s="17"/>
      <c r="L246" s="18"/>
      <c r="M246" s="20"/>
      <c r="N246" s="18"/>
      <c r="O246" s="18"/>
      <c r="P246" s="18"/>
      <c r="Q246" s="17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7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</row>
    <row r="247" spans="1:50" ht="15">
      <c r="A247" s="18"/>
      <c r="B247" s="18"/>
      <c r="C247" s="18"/>
      <c r="D247" s="18"/>
      <c r="E247" s="18"/>
      <c r="F247" s="18"/>
      <c r="G247" s="18"/>
      <c r="H247" s="18"/>
      <c r="I247" s="17"/>
      <c r="J247" s="18"/>
      <c r="K247" s="17"/>
      <c r="L247" s="18"/>
      <c r="M247" s="20"/>
      <c r="N247" s="18"/>
      <c r="O247" s="18"/>
      <c r="P247" s="18"/>
      <c r="Q247" s="17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7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  <c r="AS247" s="18"/>
      <c r="AT247" s="18"/>
      <c r="AU247" s="18"/>
      <c r="AV247" s="18"/>
      <c r="AW247" s="18"/>
      <c r="AX247" s="18"/>
    </row>
    <row r="248" spans="1:50" ht="15">
      <c r="A248" s="18"/>
      <c r="B248" s="18"/>
      <c r="C248" s="18"/>
      <c r="D248" s="18"/>
      <c r="E248" s="18"/>
      <c r="F248" s="18"/>
      <c r="G248" s="18"/>
      <c r="H248" s="18"/>
      <c r="I248" s="17"/>
      <c r="J248" s="18"/>
      <c r="K248" s="17"/>
      <c r="L248" s="18"/>
      <c r="M248" s="20"/>
      <c r="N248" s="18"/>
      <c r="O248" s="18"/>
      <c r="P248" s="18"/>
      <c r="Q248" s="17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7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</row>
    <row r="249" spans="1:50" ht="15">
      <c r="A249" s="18"/>
      <c r="B249" s="18"/>
      <c r="C249" s="18"/>
      <c r="D249" s="18"/>
      <c r="E249" s="18"/>
      <c r="F249" s="18"/>
      <c r="G249" s="18"/>
      <c r="H249" s="18"/>
      <c r="I249" s="17"/>
      <c r="J249" s="18"/>
      <c r="K249" s="17"/>
      <c r="L249" s="18"/>
      <c r="M249" s="20"/>
      <c r="N249" s="18"/>
      <c r="O249" s="18"/>
      <c r="P249" s="18"/>
      <c r="Q249" s="17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7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V249" s="18"/>
      <c r="AW249" s="18"/>
      <c r="AX249" s="18"/>
    </row>
    <row r="250" spans="1:50" ht="15">
      <c r="A250" s="18"/>
      <c r="B250" s="18"/>
      <c r="C250" s="18"/>
      <c r="D250" s="18"/>
      <c r="E250" s="18"/>
      <c r="F250" s="18"/>
      <c r="G250" s="18"/>
      <c r="H250" s="18"/>
      <c r="I250" s="17"/>
      <c r="J250" s="18"/>
      <c r="K250" s="17"/>
      <c r="L250" s="18"/>
      <c r="M250" s="20"/>
      <c r="N250" s="18"/>
      <c r="O250" s="18"/>
      <c r="P250" s="18"/>
      <c r="Q250" s="17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7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U250" s="18"/>
      <c r="AV250" s="18"/>
      <c r="AW250" s="18"/>
      <c r="AX250" s="18"/>
    </row>
    <row r="251" spans="1:50" ht="15">
      <c r="A251" s="18"/>
      <c r="B251" s="18"/>
      <c r="C251" s="18"/>
      <c r="D251" s="18"/>
      <c r="E251" s="18"/>
      <c r="F251" s="18"/>
      <c r="G251" s="18"/>
      <c r="H251" s="18"/>
      <c r="I251" s="17"/>
      <c r="J251" s="18"/>
      <c r="K251" s="17"/>
      <c r="L251" s="18"/>
      <c r="M251" s="20"/>
      <c r="N251" s="18"/>
      <c r="O251" s="18"/>
      <c r="P251" s="18"/>
      <c r="Q251" s="17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7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  <c r="AS251" s="18"/>
      <c r="AT251" s="18"/>
      <c r="AU251" s="18"/>
      <c r="AV251" s="18"/>
      <c r="AW251" s="18"/>
      <c r="AX251" s="18"/>
    </row>
    <row r="252" spans="1:50" ht="15">
      <c r="A252" s="18"/>
      <c r="B252" s="18"/>
      <c r="C252" s="18"/>
      <c r="D252" s="18"/>
      <c r="E252" s="18"/>
      <c r="F252" s="18"/>
      <c r="G252" s="18"/>
      <c r="H252" s="18"/>
      <c r="I252" s="17"/>
      <c r="J252" s="18"/>
      <c r="K252" s="17"/>
      <c r="L252" s="18"/>
      <c r="M252" s="20"/>
      <c r="N252" s="18"/>
      <c r="O252" s="18"/>
      <c r="P252" s="18"/>
      <c r="Q252" s="17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7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  <c r="AS252" s="18"/>
      <c r="AT252" s="18"/>
      <c r="AU252" s="18"/>
      <c r="AV252" s="18"/>
      <c r="AW252" s="18"/>
      <c r="AX252" s="18"/>
    </row>
    <row r="253" spans="1:50" ht="15">
      <c r="A253" s="18"/>
      <c r="B253" s="18"/>
      <c r="C253" s="18"/>
      <c r="D253" s="18"/>
      <c r="E253" s="18"/>
      <c r="F253" s="18"/>
      <c r="G253" s="18"/>
      <c r="H253" s="18"/>
      <c r="I253" s="17"/>
      <c r="J253" s="18"/>
      <c r="K253" s="17"/>
      <c r="L253" s="18"/>
      <c r="M253" s="20"/>
      <c r="N253" s="18"/>
      <c r="O253" s="18"/>
      <c r="P253" s="18"/>
      <c r="Q253" s="17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7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U253" s="18"/>
      <c r="AV253" s="18"/>
      <c r="AW253" s="18"/>
      <c r="AX253" s="18"/>
    </row>
    <row r="254" spans="1:50" ht="15">
      <c r="A254" s="18"/>
      <c r="B254" s="18"/>
      <c r="C254" s="18"/>
      <c r="D254" s="18"/>
      <c r="E254" s="18"/>
      <c r="F254" s="18"/>
      <c r="G254" s="18"/>
      <c r="H254" s="18"/>
      <c r="I254" s="17"/>
      <c r="J254" s="18"/>
      <c r="K254" s="17"/>
      <c r="L254" s="18"/>
      <c r="M254" s="20"/>
      <c r="N254" s="18"/>
      <c r="O254" s="18"/>
      <c r="P254" s="18"/>
      <c r="Q254" s="17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7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</row>
    <row r="255" spans="1:50" ht="15">
      <c r="A255" s="18"/>
      <c r="B255" s="18"/>
      <c r="C255" s="18"/>
      <c r="D255" s="18"/>
      <c r="E255" s="18"/>
      <c r="F255" s="18"/>
      <c r="G255" s="18"/>
      <c r="H255" s="18"/>
      <c r="I255" s="17"/>
      <c r="J255" s="18"/>
      <c r="K255" s="17"/>
      <c r="L255" s="18"/>
      <c r="M255" s="20"/>
      <c r="N255" s="18"/>
      <c r="O255" s="18"/>
      <c r="P255" s="18"/>
      <c r="Q255" s="17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7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</row>
    <row r="256" spans="1:50" ht="15">
      <c r="A256" s="18"/>
      <c r="B256" s="18"/>
      <c r="C256" s="18"/>
      <c r="D256" s="18"/>
      <c r="E256" s="18"/>
      <c r="F256" s="18"/>
      <c r="G256" s="18"/>
      <c r="H256" s="18"/>
      <c r="I256" s="17"/>
      <c r="J256" s="18"/>
      <c r="K256" s="17"/>
      <c r="L256" s="18"/>
      <c r="M256" s="20"/>
      <c r="N256" s="18"/>
      <c r="O256" s="18"/>
      <c r="P256" s="18"/>
      <c r="Q256" s="17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7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U256" s="18"/>
      <c r="AV256" s="18"/>
      <c r="AW256" s="18"/>
      <c r="AX256" s="18"/>
    </row>
    <row r="257" spans="1:50" ht="15">
      <c r="A257" s="18"/>
      <c r="B257" s="18"/>
      <c r="C257" s="18"/>
      <c r="D257" s="18"/>
      <c r="E257" s="18"/>
      <c r="F257" s="18"/>
      <c r="G257" s="18"/>
      <c r="H257" s="18"/>
      <c r="I257" s="17"/>
      <c r="J257" s="18"/>
      <c r="K257" s="17"/>
      <c r="L257" s="18"/>
      <c r="M257" s="20"/>
      <c r="N257" s="18"/>
      <c r="O257" s="18"/>
      <c r="P257" s="18"/>
      <c r="Q257" s="17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7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U257" s="18"/>
      <c r="AV257" s="18"/>
      <c r="AW257" s="18"/>
      <c r="AX257" s="18"/>
    </row>
    <row r="258" spans="1:50" ht="15">
      <c r="A258" s="18"/>
      <c r="B258" s="18"/>
      <c r="C258" s="18"/>
      <c r="D258" s="18"/>
      <c r="E258" s="18"/>
      <c r="F258" s="18"/>
      <c r="G258" s="18"/>
      <c r="H258" s="18"/>
      <c r="I258" s="17"/>
      <c r="J258" s="18"/>
      <c r="K258" s="17"/>
      <c r="L258" s="18"/>
      <c r="M258" s="20"/>
      <c r="N258" s="18"/>
      <c r="O258" s="18"/>
      <c r="P258" s="18"/>
      <c r="Q258" s="17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7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V258" s="18"/>
      <c r="AW258" s="18"/>
      <c r="AX258" s="18"/>
    </row>
    <row r="259" spans="1:50" ht="15">
      <c r="A259" s="18"/>
      <c r="B259" s="18"/>
      <c r="C259" s="18"/>
      <c r="D259" s="18"/>
      <c r="E259" s="18"/>
      <c r="F259" s="18"/>
      <c r="G259" s="18"/>
      <c r="H259" s="18"/>
      <c r="I259" s="17"/>
      <c r="J259" s="18"/>
      <c r="K259" s="17"/>
      <c r="L259" s="18"/>
      <c r="M259" s="20"/>
      <c r="N259" s="18"/>
      <c r="O259" s="18"/>
      <c r="P259" s="18"/>
      <c r="Q259" s="17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7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 s="18"/>
      <c r="AV259" s="18"/>
      <c r="AW259" s="18"/>
      <c r="AX259" s="18"/>
    </row>
    <row r="260" spans="1:50" ht="15">
      <c r="A260" s="18"/>
      <c r="B260" s="18"/>
      <c r="C260" s="18"/>
      <c r="D260" s="18"/>
      <c r="E260" s="18"/>
      <c r="F260" s="18"/>
      <c r="G260" s="18"/>
      <c r="H260" s="18"/>
      <c r="I260" s="17"/>
      <c r="J260" s="18"/>
      <c r="K260" s="17"/>
      <c r="L260" s="18"/>
      <c r="M260" s="20"/>
      <c r="N260" s="18"/>
      <c r="O260" s="18"/>
      <c r="P260" s="18"/>
      <c r="Q260" s="17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7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U260" s="18"/>
      <c r="AV260" s="18"/>
      <c r="AW260" s="18"/>
      <c r="AX260" s="18"/>
    </row>
    <row r="261" spans="1:50" ht="15">
      <c r="A261" s="18"/>
      <c r="B261" s="18"/>
      <c r="C261" s="18"/>
      <c r="D261" s="18"/>
      <c r="E261" s="18"/>
      <c r="F261" s="18"/>
      <c r="G261" s="18"/>
      <c r="H261" s="18"/>
      <c r="I261" s="17"/>
      <c r="J261" s="18"/>
      <c r="K261" s="17"/>
      <c r="L261" s="18"/>
      <c r="M261" s="20"/>
      <c r="N261" s="18"/>
      <c r="O261" s="18"/>
      <c r="P261" s="18"/>
      <c r="Q261" s="17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7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  <c r="AS261" s="18"/>
      <c r="AT261" s="18"/>
      <c r="AU261" s="18"/>
      <c r="AV261" s="18"/>
      <c r="AW261" s="18"/>
      <c r="AX261" s="18"/>
    </row>
    <row r="262" spans="1:50" ht="15">
      <c r="A262" s="18"/>
      <c r="B262" s="18"/>
      <c r="C262" s="18"/>
      <c r="D262" s="18"/>
      <c r="E262" s="18"/>
      <c r="F262" s="18"/>
      <c r="G262" s="18"/>
      <c r="H262" s="18"/>
      <c r="I262" s="17"/>
      <c r="J262" s="18"/>
      <c r="K262" s="17"/>
      <c r="L262" s="18"/>
      <c r="M262" s="20"/>
      <c r="N262" s="18"/>
      <c r="O262" s="18"/>
      <c r="P262" s="18"/>
      <c r="Q262" s="17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7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  <c r="AS262" s="18"/>
      <c r="AT262" s="18"/>
      <c r="AU262" s="18"/>
      <c r="AV262" s="18"/>
      <c r="AW262" s="18"/>
      <c r="AX262" s="18"/>
    </row>
    <row r="263" spans="1:50" ht="15">
      <c r="A263" s="18"/>
      <c r="B263" s="18"/>
      <c r="C263" s="18"/>
      <c r="D263" s="18"/>
      <c r="E263" s="18"/>
      <c r="F263" s="18"/>
      <c r="G263" s="18"/>
      <c r="H263" s="18"/>
      <c r="I263" s="17"/>
      <c r="J263" s="18"/>
      <c r="K263" s="17"/>
      <c r="L263" s="18"/>
      <c r="M263" s="20"/>
      <c r="N263" s="18"/>
      <c r="O263" s="18"/>
      <c r="P263" s="18"/>
      <c r="Q263" s="17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7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  <c r="AS263" s="18"/>
      <c r="AT263" s="18"/>
      <c r="AU263" s="18"/>
      <c r="AV263" s="18"/>
      <c r="AW263" s="18"/>
      <c r="AX263" s="18"/>
    </row>
    <row r="264" spans="1:50" ht="15">
      <c r="A264" s="18"/>
      <c r="B264" s="18"/>
      <c r="C264" s="18"/>
      <c r="D264" s="18"/>
      <c r="E264" s="18"/>
      <c r="F264" s="18"/>
      <c r="G264" s="18"/>
      <c r="H264" s="18"/>
      <c r="I264" s="17"/>
      <c r="J264" s="18"/>
      <c r="K264" s="17"/>
      <c r="L264" s="18"/>
      <c r="M264" s="20"/>
      <c r="N264" s="18"/>
      <c r="O264" s="18"/>
      <c r="P264" s="18"/>
      <c r="Q264" s="17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7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  <c r="AS264" s="18"/>
      <c r="AT264" s="18"/>
      <c r="AU264" s="18"/>
      <c r="AV264" s="18"/>
      <c r="AW264" s="18"/>
      <c r="AX264" s="18"/>
    </row>
    <row r="265" spans="1:50" ht="15">
      <c r="A265" s="18"/>
      <c r="B265" s="18"/>
      <c r="C265" s="18"/>
      <c r="D265" s="18"/>
      <c r="E265" s="18"/>
      <c r="F265" s="18"/>
      <c r="G265" s="18"/>
      <c r="H265" s="18"/>
      <c r="I265" s="17"/>
      <c r="J265" s="18"/>
      <c r="K265" s="17"/>
      <c r="L265" s="18"/>
      <c r="M265" s="20"/>
      <c r="N265" s="18"/>
      <c r="O265" s="18"/>
      <c r="P265" s="18"/>
      <c r="Q265" s="17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7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  <c r="AS265" s="18"/>
      <c r="AT265" s="18"/>
      <c r="AU265" s="18"/>
      <c r="AV265" s="18"/>
      <c r="AW265" s="18"/>
      <c r="AX265" s="18"/>
    </row>
    <row r="266" spans="1:50" ht="15">
      <c r="A266" s="18"/>
      <c r="B266" s="18"/>
      <c r="C266" s="18"/>
      <c r="D266" s="18"/>
      <c r="E266" s="18"/>
      <c r="F266" s="18"/>
      <c r="G266" s="18"/>
      <c r="H266" s="18"/>
      <c r="I266" s="17"/>
      <c r="J266" s="18"/>
      <c r="K266" s="17"/>
      <c r="L266" s="18"/>
      <c r="M266" s="20"/>
      <c r="N266" s="18"/>
      <c r="O266" s="18"/>
      <c r="P266" s="18"/>
      <c r="Q266" s="17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7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U266" s="18"/>
      <c r="AV266" s="18"/>
      <c r="AW266" s="18"/>
      <c r="AX266" s="18"/>
    </row>
    <row r="267" spans="1:50" ht="15">
      <c r="A267" s="18"/>
      <c r="B267" s="18"/>
      <c r="C267" s="18"/>
      <c r="D267" s="18"/>
      <c r="E267" s="18"/>
      <c r="F267" s="18"/>
      <c r="G267" s="18"/>
      <c r="H267" s="18"/>
      <c r="I267" s="17"/>
      <c r="J267" s="18"/>
      <c r="K267" s="17"/>
      <c r="L267" s="18"/>
      <c r="M267" s="20"/>
      <c r="N267" s="18"/>
      <c r="O267" s="18"/>
      <c r="P267" s="18"/>
      <c r="Q267" s="17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7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  <c r="AS267" s="18"/>
      <c r="AT267" s="18"/>
      <c r="AU267" s="18"/>
      <c r="AV267" s="18"/>
      <c r="AW267" s="18"/>
      <c r="AX267" s="18"/>
    </row>
    <row r="268" spans="1:50" ht="15">
      <c r="A268" s="18"/>
      <c r="B268" s="18"/>
      <c r="C268" s="18"/>
      <c r="D268" s="18"/>
      <c r="E268" s="18"/>
      <c r="F268" s="18"/>
      <c r="G268" s="18"/>
      <c r="H268" s="18"/>
      <c r="I268" s="17"/>
      <c r="J268" s="18"/>
      <c r="K268" s="17"/>
      <c r="L268" s="18"/>
      <c r="M268" s="20"/>
      <c r="N268" s="18"/>
      <c r="O268" s="18"/>
      <c r="P268" s="18"/>
      <c r="Q268" s="17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7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</row>
    <row r="269" spans="1:50" ht="15">
      <c r="A269" s="18"/>
      <c r="B269" s="18"/>
      <c r="C269" s="18"/>
      <c r="D269" s="18"/>
      <c r="E269" s="18"/>
      <c r="F269" s="18"/>
      <c r="G269" s="18"/>
      <c r="H269" s="18"/>
      <c r="I269" s="17"/>
      <c r="J269" s="18"/>
      <c r="K269" s="17"/>
      <c r="L269" s="18"/>
      <c r="M269" s="20"/>
      <c r="N269" s="18"/>
      <c r="O269" s="18"/>
      <c r="P269" s="18"/>
      <c r="Q269" s="17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7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  <c r="AS269" s="18"/>
      <c r="AT269" s="18"/>
      <c r="AU269" s="18"/>
      <c r="AV269" s="18"/>
      <c r="AW269" s="18"/>
      <c r="AX269" s="18"/>
    </row>
    <row r="270" spans="1:50" ht="15">
      <c r="A270" s="18"/>
      <c r="B270" s="18"/>
      <c r="C270" s="18"/>
      <c r="D270" s="18"/>
      <c r="E270" s="18"/>
      <c r="F270" s="18"/>
      <c r="G270" s="18"/>
      <c r="H270" s="18"/>
      <c r="I270" s="17"/>
      <c r="J270" s="18"/>
      <c r="K270" s="17"/>
      <c r="L270" s="18"/>
      <c r="M270" s="20"/>
      <c r="N270" s="18"/>
      <c r="O270" s="18"/>
      <c r="P270" s="18"/>
      <c r="Q270" s="17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7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U270" s="18"/>
      <c r="AV270" s="18"/>
      <c r="AW270" s="18"/>
      <c r="AX270" s="18"/>
    </row>
    <row r="271" spans="1:50" ht="15">
      <c r="A271" s="18"/>
      <c r="B271" s="18"/>
      <c r="C271" s="18"/>
      <c r="D271" s="18"/>
      <c r="E271" s="18"/>
      <c r="F271" s="18"/>
      <c r="G271" s="18"/>
      <c r="H271" s="18"/>
      <c r="I271" s="17"/>
      <c r="J271" s="18"/>
      <c r="K271" s="17"/>
      <c r="L271" s="18"/>
      <c r="M271" s="20"/>
      <c r="N271" s="18"/>
      <c r="O271" s="18"/>
      <c r="P271" s="18"/>
      <c r="Q271" s="17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7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  <c r="AS271" s="18"/>
      <c r="AT271" s="18"/>
      <c r="AU271" s="18"/>
      <c r="AV271" s="18"/>
      <c r="AW271" s="18"/>
      <c r="AX271" s="18"/>
    </row>
    <row r="272" spans="1:50" ht="15">
      <c r="A272" s="18"/>
      <c r="B272" s="18"/>
      <c r="C272" s="18"/>
      <c r="D272" s="18"/>
      <c r="E272" s="18"/>
      <c r="F272" s="18"/>
      <c r="G272" s="18"/>
      <c r="H272" s="18"/>
      <c r="I272" s="17"/>
      <c r="J272" s="18"/>
      <c r="K272" s="17"/>
      <c r="L272" s="18"/>
      <c r="M272" s="20"/>
      <c r="N272" s="18"/>
      <c r="O272" s="18"/>
      <c r="P272" s="18"/>
      <c r="Q272" s="17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7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U272" s="18"/>
      <c r="AV272" s="18"/>
      <c r="AW272" s="18"/>
      <c r="AX272" s="18"/>
    </row>
    <row r="273" spans="1:50" ht="15">
      <c r="A273" s="18"/>
      <c r="B273" s="18"/>
      <c r="C273" s="18"/>
      <c r="D273" s="18"/>
      <c r="E273" s="18"/>
      <c r="F273" s="18"/>
      <c r="G273" s="18"/>
      <c r="H273" s="18"/>
      <c r="I273" s="17"/>
      <c r="J273" s="18"/>
      <c r="K273" s="17"/>
      <c r="L273" s="18"/>
      <c r="M273" s="20"/>
      <c r="N273" s="18"/>
      <c r="O273" s="18"/>
      <c r="P273" s="18"/>
      <c r="Q273" s="17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7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 s="18"/>
      <c r="AV273" s="18"/>
      <c r="AW273" s="18"/>
      <c r="AX273" s="18"/>
    </row>
    <row r="274" spans="1:50" ht="15">
      <c r="A274" s="18"/>
      <c r="B274" s="18"/>
      <c r="C274" s="18"/>
      <c r="D274" s="18"/>
      <c r="E274" s="18"/>
      <c r="F274" s="18"/>
      <c r="G274" s="18"/>
      <c r="H274" s="18"/>
      <c r="I274" s="17"/>
      <c r="J274" s="18"/>
      <c r="K274" s="17"/>
      <c r="L274" s="18"/>
      <c r="M274" s="20"/>
      <c r="N274" s="18"/>
      <c r="O274" s="18"/>
      <c r="P274" s="18"/>
      <c r="Q274" s="17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7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  <c r="AT274" s="18"/>
      <c r="AU274" s="18"/>
      <c r="AV274" s="18"/>
      <c r="AW274" s="18"/>
      <c r="AX274" s="18"/>
    </row>
    <row r="275" spans="1:50" ht="15">
      <c r="A275" s="18"/>
      <c r="B275" s="18"/>
      <c r="C275" s="18"/>
      <c r="D275" s="18"/>
      <c r="E275" s="18"/>
      <c r="F275" s="18"/>
      <c r="G275" s="18"/>
      <c r="H275" s="18"/>
      <c r="I275" s="17"/>
      <c r="J275" s="18"/>
      <c r="K275" s="17"/>
      <c r="L275" s="18"/>
      <c r="M275" s="20"/>
      <c r="N275" s="18"/>
      <c r="O275" s="18"/>
      <c r="P275" s="18"/>
      <c r="Q275" s="17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7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  <c r="AS275" s="18"/>
      <c r="AT275" s="18"/>
      <c r="AU275" s="18"/>
      <c r="AV275" s="18"/>
      <c r="AW275" s="18"/>
      <c r="AX275" s="18"/>
    </row>
    <row r="276" spans="1:50" ht="15">
      <c r="A276" s="18"/>
      <c r="B276" s="18"/>
      <c r="C276" s="18"/>
      <c r="D276" s="18"/>
      <c r="E276" s="18"/>
      <c r="F276" s="18"/>
      <c r="G276" s="18"/>
      <c r="H276" s="18"/>
      <c r="I276" s="17"/>
      <c r="J276" s="18"/>
      <c r="K276" s="17"/>
      <c r="L276" s="18"/>
      <c r="M276" s="20"/>
      <c r="N276" s="18"/>
      <c r="O276" s="18"/>
      <c r="P276" s="18"/>
      <c r="Q276" s="17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7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</row>
    <row r="277" spans="1:50" ht="15">
      <c r="A277" s="18"/>
      <c r="B277" s="18"/>
      <c r="C277" s="18"/>
      <c r="D277" s="18"/>
      <c r="E277" s="18"/>
      <c r="F277" s="18"/>
      <c r="G277" s="18"/>
      <c r="H277" s="18"/>
      <c r="I277" s="17"/>
      <c r="J277" s="18"/>
      <c r="K277" s="17"/>
      <c r="L277" s="18"/>
      <c r="M277" s="20"/>
      <c r="N277" s="18"/>
      <c r="O277" s="18"/>
      <c r="P277" s="18"/>
      <c r="Q277" s="17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7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</row>
    <row r="278" spans="1:50" ht="15">
      <c r="A278" s="18"/>
      <c r="B278" s="18"/>
      <c r="C278" s="18"/>
      <c r="D278" s="18"/>
      <c r="E278" s="18"/>
      <c r="F278" s="18"/>
      <c r="G278" s="18"/>
      <c r="H278" s="18"/>
      <c r="I278" s="17"/>
      <c r="J278" s="18"/>
      <c r="K278" s="17"/>
      <c r="L278" s="18"/>
      <c r="M278" s="20"/>
      <c r="N278" s="18"/>
      <c r="O278" s="18"/>
      <c r="P278" s="18"/>
      <c r="Q278" s="17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7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</row>
    <row r="279" spans="1:50" ht="15">
      <c r="A279" s="18"/>
      <c r="B279" s="18"/>
      <c r="C279" s="18"/>
      <c r="D279" s="18"/>
      <c r="E279" s="18"/>
      <c r="F279" s="18"/>
      <c r="G279" s="18"/>
      <c r="H279" s="18"/>
      <c r="I279" s="17"/>
      <c r="J279" s="18"/>
      <c r="K279" s="17"/>
      <c r="L279" s="18"/>
      <c r="M279" s="20"/>
      <c r="N279" s="18"/>
      <c r="O279" s="18"/>
      <c r="P279" s="18"/>
      <c r="Q279" s="17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7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  <c r="AS279" s="18"/>
      <c r="AT279" s="18"/>
      <c r="AU279" s="18"/>
      <c r="AV279" s="18"/>
      <c r="AW279" s="18"/>
      <c r="AX279" s="18"/>
    </row>
    <row r="280" spans="1:50" ht="15">
      <c r="A280" s="18"/>
      <c r="B280" s="18"/>
      <c r="C280" s="18"/>
      <c r="D280" s="18"/>
      <c r="E280" s="18"/>
      <c r="F280" s="18"/>
      <c r="G280" s="18"/>
      <c r="H280" s="18"/>
      <c r="I280" s="17"/>
      <c r="J280" s="18"/>
      <c r="K280" s="17"/>
      <c r="L280" s="18"/>
      <c r="M280" s="20"/>
      <c r="N280" s="18"/>
      <c r="O280" s="18"/>
      <c r="P280" s="18"/>
      <c r="Q280" s="17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7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U280" s="18"/>
      <c r="AV280" s="18"/>
      <c r="AW280" s="18"/>
      <c r="AX280" s="18"/>
    </row>
    <row r="281" spans="1:50" ht="15">
      <c r="A281" s="18"/>
      <c r="B281" s="18"/>
      <c r="C281" s="18"/>
      <c r="D281" s="18"/>
      <c r="E281" s="18"/>
      <c r="F281" s="18"/>
      <c r="G281" s="18"/>
      <c r="H281" s="18"/>
      <c r="I281" s="17"/>
      <c r="J281" s="18"/>
      <c r="K281" s="17"/>
      <c r="L281" s="18"/>
      <c r="M281" s="20"/>
      <c r="N281" s="18"/>
      <c r="O281" s="18"/>
      <c r="P281" s="18"/>
      <c r="Q281" s="17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7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  <c r="AS281" s="18"/>
      <c r="AT281" s="18"/>
      <c r="AU281" s="18"/>
      <c r="AV281" s="18"/>
      <c r="AW281" s="18"/>
      <c r="AX281" s="18"/>
    </row>
    <row r="282" spans="1:50" ht="15">
      <c r="A282" s="18"/>
      <c r="B282" s="18"/>
      <c r="C282" s="18"/>
      <c r="D282" s="18"/>
      <c r="E282" s="18"/>
      <c r="F282" s="18"/>
      <c r="G282" s="18"/>
      <c r="H282" s="18"/>
      <c r="I282" s="17"/>
      <c r="J282" s="18"/>
      <c r="K282" s="17"/>
      <c r="L282" s="18"/>
      <c r="M282" s="20"/>
      <c r="N282" s="18"/>
      <c r="O282" s="18"/>
      <c r="P282" s="18"/>
      <c r="Q282" s="17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7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</row>
    <row r="283" spans="1:50" ht="15">
      <c r="A283" s="18"/>
      <c r="B283" s="18"/>
      <c r="C283" s="18"/>
      <c r="D283" s="18"/>
      <c r="E283" s="18"/>
      <c r="F283" s="18"/>
      <c r="G283" s="18"/>
      <c r="H283" s="18"/>
      <c r="I283" s="17"/>
      <c r="J283" s="18"/>
      <c r="K283" s="17"/>
      <c r="L283" s="18"/>
      <c r="M283" s="20"/>
      <c r="N283" s="18"/>
      <c r="O283" s="18"/>
      <c r="P283" s="18"/>
      <c r="Q283" s="17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7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  <c r="AS283" s="18"/>
      <c r="AT283" s="18"/>
      <c r="AU283" s="18"/>
      <c r="AV283" s="18"/>
      <c r="AW283" s="18"/>
      <c r="AX283" s="18"/>
    </row>
    <row r="284" spans="1:50" ht="15">
      <c r="A284" s="18"/>
      <c r="B284" s="18"/>
      <c r="C284" s="18"/>
      <c r="D284" s="18"/>
      <c r="E284" s="18"/>
      <c r="F284" s="18"/>
      <c r="G284" s="18"/>
      <c r="H284" s="18"/>
      <c r="I284" s="17"/>
      <c r="J284" s="18"/>
      <c r="K284" s="17"/>
      <c r="L284" s="18"/>
      <c r="M284" s="20"/>
      <c r="N284" s="18"/>
      <c r="O284" s="18"/>
      <c r="P284" s="18"/>
      <c r="Q284" s="17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7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  <c r="AS284" s="18"/>
      <c r="AT284" s="18"/>
      <c r="AU284" s="18"/>
      <c r="AV284" s="18"/>
      <c r="AW284" s="18"/>
      <c r="AX284" s="18"/>
    </row>
    <row r="285" spans="1:50" ht="15">
      <c r="A285" s="18"/>
      <c r="B285" s="18"/>
      <c r="C285" s="18"/>
      <c r="D285" s="18"/>
      <c r="E285" s="18"/>
      <c r="F285" s="18"/>
      <c r="G285" s="18"/>
      <c r="H285" s="18"/>
      <c r="I285" s="17"/>
      <c r="J285" s="18"/>
      <c r="K285" s="17"/>
      <c r="L285" s="18"/>
      <c r="M285" s="20"/>
      <c r="N285" s="18"/>
      <c r="O285" s="18"/>
      <c r="P285" s="18"/>
      <c r="Q285" s="17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7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 s="18"/>
      <c r="AV285" s="18"/>
      <c r="AW285" s="18"/>
      <c r="AX285" s="18"/>
    </row>
    <row r="286" spans="1:50" ht="15">
      <c r="A286" s="18"/>
      <c r="B286" s="18"/>
      <c r="C286" s="18"/>
      <c r="D286" s="18"/>
      <c r="E286" s="18"/>
      <c r="F286" s="18"/>
      <c r="G286" s="18"/>
      <c r="H286" s="18"/>
      <c r="I286" s="17"/>
      <c r="J286" s="18"/>
      <c r="K286" s="17"/>
      <c r="L286" s="18"/>
      <c r="M286" s="20"/>
      <c r="N286" s="18"/>
      <c r="O286" s="18"/>
      <c r="P286" s="18"/>
      <c r="Q286" s="17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7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  <c r="AS286" s="18"/>
      <c r="AT286" s="18"/>
      <c r="AU286" s="18"/>
      <c r="AV286" s="18"/>
      <c r="AW286" s="18"/>
      <c r="AX286" s="18"/>
    </row>
    <row r="287" spans="1:50" ht="15">
      <c r="A287" s="18"/>
      <c r="B287" s="18"/>
      <c r="C287" s="18"/>
      <c r="D287" s="18"/>
      <c r="E287" s="18"/>
      <c r="F287" s="18"/>
      <c r="G287" s="18"/>
      <c r="H287" s="18"/>
      <c r="I287" s="17"/>
      <c r="J287" s="18"/>
      <c r="K287" s="17"/>
      <c r="L287" s="18"/>
      <c r="M287" s="20"/>
      <c r="N287" s="18"/>
      <c r="O287" s="18"/>
      <c r="P287" s="18"/>
      <c r="Q287" s="17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7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  <c r="AS287" s="18"/>
      <c r="AT287" s="18"/>
      <c r="AU287" s="18"/>
      <c r="AV287" s="18"/>
      <c r="AW287" s="18"/>
      <c r="AX287" s="18"/>
    </row>
    <row r="288" spans="1:50" ht="15">
      <c r="A288" s="18"/>
      <c r="B288" s="18"/>
      <c r="C288" s="18"/>
      <c r="D288" s="18"/>
      <c r="E288" s="18"/>
      <c r="F288" s="18"/>
      <c r="G288" s="18"/>
      <c r="H288" s="18"/>
      <c r="I288" s="17"/>
      <c r="J288" s="18"/>
      <c r="K288" s="17"/>
      <c r="L288" s="18"/>
      <c r="M288" s="20"/>
      <c r="N288" s="18"/>
      <c r="O288" s="18"/>
      <c r="P288" s="18"/>
      <c r="Q288" s="17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7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</row>
    <row r="289" spans="1:50" ht="15">
      <c r="A289" s="18"/>
      <c r="B289" s="18"/>
      <c r="C289" s="18"/>
      <c r="D289" s="18"/>
      <c r="E289" s="18"/>
      <c r="F289" s="18"/>
      <c r="G289" s="18"/>
      <c r="H289" s="18"/>
      <c r="I289" s="17"/>
      <c r="J289" s="18"/>
      <c r="K289" s="17"/>
      <c r="L289" s="18"/>
      <c r="M289" s="20"/>
      <c r="N289" s="18"/>
      <c r="O289" s="18"/>
      <c r="P289" s="18"/>
      <c r="Q289" s="17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7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  <c r="AS289" s="18"/>
      <c r="AT289" s="18"/>
      <c r="AU289" s="18"/>
      <c r="AV289" s="18"/>
      <c r="AW289" s="18"/>
      <c r="AX289" s="18"/>
    </row>
    <row r="290" spans="1:50" ht="15">
      <c r="A290" s="18"/>
      <c r="B290" s="18"/>
      <c r="C290" s="18"/>
      <c r="D290" s="18"/>
      <c r="E290" s="18"/>
      <c r="F290" s="18"/>
      <c r="G290" s="18"/>
      <c r="H290" s="18"/>
      <c r="I290" s="17"/>
      <c r="J290" s="18"/>
      <c r="K290" s="17"/>
      <c r="L290" s="18"/>
      <c r="M290" s="20"/>
      <c r="N290" s="18"/>
      <c r="O290" s="18"/>
      <c r="P290" s="18"/>
      <c r="Q290" s="17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7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</row>
    <row r="291" spans="1:50" ht="15">
      <c r="A291" s="18"/>
      <c r="B291" s="18"/>
      <c r="C291" s="18"/>
      <c r="D291" s="18"/>
      <c r="E291" s="18"/>
      <c r="F291" s="18"/>
      <c r="G291" s="18"/>
      <c r="H291" s="18"/>
      <c r="I291" s="17"/>
      <c r="J291" s="18"/>
      <c r="K291" s="17"/>
      <c r="L291" s="18"/>
      <c r="M291" s="20"/>
      <c r="N291" s="18"/>
      <c r="O291" s="18"/>
      <c r="P291" s="18"/>
      <c r="Q291" s="17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7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</row>
    <row r="292" spans="1:50" ht="15">
      <c r="A292" s="18"/>
      <c r="B292" s="18"/>
      <c r="C292" s="18"/>
      <c r="D292" s="18"/>
      <c r="E292" s="18"/>
      <c r="F292" s="18"/>
      <c r="G292" s="18"/>
      <c r="H292" s="18"/>
      <c r="I292" s="17"/>
      <c r="J292" s="18"/>
      <c r="K292" s="17"/>
      <c r="L292" s="18"/>
      <c r="M292" s="20"/>
      <c r="N292" s="18"/>
      <c r="O292" s="18"/>
      <c r="P292" s="18"/>
      <c r="Q292" s="17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7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</row>
    <row r="293" spans="1:50" ht="15">
      <c r="A293" s="18"/>
      <c r="B293" s="18"/>
      <c r="C293" s="18"/>
      <c r="D293" s="18"/>
      <c r="E293" s="18"/>
      <c r="F293" s="18"/>
      <c r="G293" s="18"/>
      <c r="H293" s="18"/>
      <c r="I293" s="17"/>
      <c r="J293" s="18"/>
      <c r="K293" s="17"/>
      <c r="L293" s="18"/>
      <c r="M293" s="20"/>
      <c r="N293" s="18"/>
      <c r="O293" s="18"/>
      <c r="P293" s="18"/>
      <c r="Q293" s="17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7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</row>
    <row r="294" spans="1:50" ht="15">
      <c r="A294" s="18"/>
      <c r="B294" s="18"/>
      <c r="C294" s="18"/>
      <c r="D294" s="18"/>
      <c r="E294" s="18"/>
      <c r="F294" s="18"/>
      <c r="G294" s="18"/>
      <c r="H294" s="18"/>
      <c r="I294" s="17"/>
      <c r="J294" s="18"/>
      <c r="K294" s="17"/>
      <c r="L294" s="18"/>
      <c r="M294" s="20"/>
      <c r="N294" s="18"/>
      <c r="O294" s="18"/>
      <c r="P294" s="18"/>
      <c r="Q294" s="17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7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</row>
    <row r="295" spans="1:50" ht="15">
      <c r="A295" s="18"/>
      <c r="B295" s="18"/>
      <c r="C295" s="18"/>
      <c r="D295" s="18"/>
      <c r="E295" s="18"/>
      <c r="F295" s="18"/>
      <c r="G295" s="18"/>
      <c r="H295" s="18"/>
      <c r="I295" s="17"/>
      <c r="J295" s="18"/>
      <c r="K295" s="17"/>
      <c r="L295" s="18"/>
      <c r="M295" s="20"/>
      <c r="N295" s="18"/>
      <c r="O295" s="18"/>
      <c r="P295" s="18"/>
      <c r="Q295" s="17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7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  <c r="AS295" s="18"/>
      <c r="AT295" s="18"/>
      <c r="AU295" s="18"/>
      <c r="AV295" s="18"/>
      <c r="AW295" s="18"/>
      <c r="AX295" s="18"/>
    </row>
    <row r="296" spans="1:50" ht="15">
      <c r="A296" s="18"/>
      <c r="B296" s="18"/>
      <c r="C296" s="18"/>
      <c r="D296" s="18"/>
      <c r="E296" s="18"/>
      <c r="F296" s="18"/>
      <c r="G296" s="18"/>
      <c r="H296" s="18"/>
      <c r="I296" s="17"/>
      <c r="J296" s="18"/>
      <c r="K296" s="17"/>
      <c r="L296" s="18"/>
      <c r="M296" s="20"/>
      <c r="N296" s="18"/>
      <c r="O296" s="18"/>
      <c r="P296" s="18"/>
      <c r="Q296" s="17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7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</row>
    <row r="297" spans="1:50" ht="15">
      <c r="A297" s="18"/>
      <c r="B297" s="18"/>
      <c r="C297" s="18"/>
      <c r="D297" s="18"/>
      <c r="E297" s="18"/>
      <c r="F297" s="18"/>
      <c r="G297" s="18"/>
      <c r="H297" s="18"/>
      <c r="I297" s="17"/>
      <c r="J297" s="18"/>
      <c r="K297" s="17"/>
      <c r="L297" s="18"/>
      <c r="M297" s="20"/>
      <c r="N297" s="18"/>
      <c r="O297" s="18"/>
      <c r="P297" s="18"/>
      <c r="Q297" s="17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7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  <c r="AS297" s="18"/>
      <c r="AT297" s="18"/>
      <c r="AU297" s="18"/>
      <c r="AV297" s="18"/>
      <c r="AW297" s="18"/>
      <c r="AX297" s="18"/>
    </row>
    <row r="298" spans="1:50" ht="15">
      <c r="A298" s="18"/>
      <c r="B298" s="18"/>
      <c r="C298" s="18"/>
      <c r="D298" s="18"/>
      <c r="E298" s="18"/>
      <c r="F298" s="18"/>
      <c r="G298" s="18"/>
      <c r="H298" s="18"/>
      <c r="I298" s="17"/>
      <c r="J298" s="18"/>
      <c r="K298" s="17"/>
      <c r="L298" s="18"/>
      <c r="M298" s="20"/>
      <c r="N298" s="18"/>
      <c r="O298" s="18"/>
      <c r="P298" s="18"/>
      <c r="Q298" s="17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7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</row>
    <row r="299" spans="1:50" ht="15">
      <c r="A299" s="18"/>
      <c r="B299" s="18"/>
      <c r="C299" s="18"/>
      <c r="D299" s="18"/>
      <c r="E299" s="18"/>
      <c r="F299" s="18"/>
      <c r="G299" s="18"/>
      <c r="H299" s="18"/>
      <c r="I299" s="17"/>
      <c r="J299" s="18"/>
      <c r="K299" s="17"/>
      <c r="L299" s="18"/>
      <c r="M299" s="20"/>
      <c r="N299" s="18"/>
      <c r="O299" s="18"/>
      <c r="P299" s="18"/>
      <c r="Q299" s="17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7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</row>
    <row r="300" spans="1:50" ht="15">
      <c r="A300" s="18"/>
      <c r="B300" s="18"/>
      <c r="C300" s="18"/>
      <c r="D300" s="18"/>
      <c r="E300" s="18"/>
      <c r="F300" s="18"/>
      <c r="G300" s="18"/>
      <c r="H300" s="18"/>
      <c r="I300" s="17"/>
      <c r="J300" s="18"/>
      <c r="K300" s="17"/>
      <c r="L300" s="18"/>
      <c r="M300" s="20"/>
      <c r="N300" s="18"/>
      <c r="O300" s="18"/>
      <c r="P300" s="18"/>
      <c r="Q300" s="17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7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</row>
    <row r="301" spans="1:50" ht="15">
      <c r="A301" s="18"/>
      <c r="B301" s="18"/>
      <c r="C301" s="18"/>
      <c r="D301" s="18"/>
      <c r="E301" s="18"/>
      <c r="F301" s="18"/>
      <c r="G301" s="18"/>
      <c r="H301" s="18"/>
      <c r="I301" s="17"/>
      <c r="J301" s="18"/>
      <c r="K301" s="17"/>
      <c r="L301" s="18"/>
      <c r="M301" s="20"/>
      <c r="N301" s="18"/>
      <c r="O301" s="18"/>
      <c r="P301" s="18"/>
      <c r="Q301" s="17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7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</row>
    <row r="302" spans="1:50" ht="15">
      <c r="A302" s="18"/>
      <c r="B302" s="18"/>
      <c r="C302" s="18"/>
      <c r="D302" s="18"/>
      <c r="E302" s="18"/>
      <c r="F302" s="18"/>
      <c r="G302" s="18"/>
      <c r="H302" s="18"/>
      <c r="I302" s="17"/>
      <c r="J302" s="18"/>
      <c r="K302" s="17"/>
      <c r="L302" s="18"/>
      <c r="M302" s="20"/>
      <c r="N302" s="18"/>
      <c r="O302" s="18"/>
      <c r="P302" s="18"/>
      <c r="Q302" s="17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7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</row>
    <row r="303" spans="1:50" ht="15">
      <c r="A303" s="18"/>
      <c r="B303" s="18"/>
      <c r="C303" s="18"/>
      <c r="D303" s="18"/>
      <c r="E303" s="18"/>
      <c r="F303" s="18"/>
      <c r="G303" s="18"/>
      <c r="H303" s="18"/>
      <c r="I303" s="17"/>
      <c r="J303" s="18"/>
      <c r="K303" s="17"/>
      <c r="L303" s="18"/>
      <c r="M303" s="20"/>
      <c r="N303" s="18"/>
      <c r="O303" s="18"/>
      <c r="P303" s="18"/>
      <c r="Q303" s="17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7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</row>
    <row r="304" spans="1:50" ht="15">
      <c r="A304" s="18"/>
      <c r="B304" s="18"/>
      <c r="C304" s="18"/>
      <c r="D304" s="18"/>
      <c r="E304" s="18"/>
      <c r="F304" s="18"/>
      <c r="G304" s="18"/>
      <c r="H304" s="18"/>
      <c r="I304" s="17"/>
      <c r="J304" s="18"/>
      <c r="K304" s="17"/>
      <c r="L304" s="18"/>
      <c r="M304" s="20"/>
      <c r="N304" s="18"/>
      <c r="O304" s="18"/>
      <c r="P304" s="18"/>
      <c r="Q304" s="17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7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</row>
    <row r="305" spans="1:50" ht="15">
      <c r="A305" s="18"/>
      <c r="B305" s="18"/>
      <c r="C305" s="18"/>
      <c r="D305" s="18"/>
      <c r="E305" s="18"/>
      <c r="F305" s="18"/>
      <c r="G305" s="18"/>
      <c r="H305" s="18"/>
      <c r="I305" s="17"/>
      <c r="J305" s="18"/>
      <c r="K305" s="17"/>
      <c r="L305" s="18"/>
      <c r="M305" s="20"/>
      <c r="N305" s="18"/>
      <c r="O305" s="18"/>
      <c r="P305" s="18"/>
      <c r="Q305" s="17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7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</row>
    <row r="306" spans="1:50" ht="15">
      <c r="A306" s="18"/>
      <c r="B306" s="18"/>
      <c r="C306" s="18"/>
      <c r="D306" s="18"/>
      <c r="E306" s="18"/>
      <c r="F306" s="18"/>
      <c r="G306" s="18"/>
      <c r="H306" s="18"/>
      <c r="I306" s="17"/>
      <c r="J306" s="18"/>
      <c r="K306" s="17"/>
      <c r="L306" s="18"/>
      <c r="M306" s="20"/>
      <c r="N306" s="18"/>
      <c r="O306" s="18"/>
      <c r="P306" s="18"/>
      <c r="Q306" s="17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7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U306" s="18"/>
      <c r="AV306" s="18"/>
      <c r="AW306" s="18"/>
      <c r="AX306" s="18"/>
    </row>
    <row r="307" spans="1:50" ht="15">
      <c r="A307" s="18"/>
      <c r="B307" s="18"/>
      <c r="C307" s="18"/>
      <c r="D307" s="18"/>
      <c r="E307" s="18"/>
      <c r="F307" s="18"/>
      <c r="G307" s="18"/>
      <c r="H307" s="18"/>
      <c r="I307" s="17"/>
      <c r="J307" s="18"/>
      <c r="K307" s="17"/>
      <c r="L307" s="18"/>
      <c r="M307" s="20"/>
      <c r="N307" s="18"/>
      <c r="O307" s="18"/>
      <c r="P307" s="18"/>
      <c r="Q307" s="17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7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</row>
    <row r="308" spans="1:50" ht="15">
      <c r="A308" s="18"/>
      <c r="B308" s="18"/>
      <c r="C308" s="18"/>
      <c r="D308" s="18"/>
      <c r="E308" s="18"/>
      <c r="F308" s="18"/>
      <c r="G308" s="18"/>
      <c r="H308" s="18"/>
      <c r="I308" s="17"/>
      <c r="J308" s="18"/>
      <c r="K308" s="17"/>
      <c r="L308" s="18"/>
      <c r="M308" s="20"/>
      <c r="N308" s="18"/>
      <c r="O308" s="18"/>
      <c r="P308" s="18"/>
      <c r="Q308" s="17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7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  <c r="AS308" s="18"/>
      <c r="AT308" s="18"/>
      <c r="AU308" s="18"/>
      <c r="AV308" s="18"/>
      <c r="AW308" s="18"/>
      <c r="AX308" s="18"/>
    </row>
    <row r="309" spans="1:50" ht="15">
      <c r="A309" s="18"/>
      <c r="B309" s="18"/>
      <c r="C309" s="18"/>
      <c r="D309" s="18"/>
      <c r="E309" s="18"/>
      <c r="F309" s="18"/>
      <c r="G309" s="18"/>
      <c r="H309" s="18"/>
      <c r="I309" s="17"/>
      <c r="J309" s="18"/>
      <c r="K309" s="17"/>
      <c r="L309" s="18"/>
      <c r="M309" s="20"/>
      <c r="N309" s="18"/>
      <c r="O309" s="18"/>
      <c r="P309" s="18"/>
      <c r="Q309" s="17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7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  <c r="AS309" s="18"/>
      <c r="AT309" s="18"/>
      <c r="AU309" s="18"/>
      <c r="AV309" s="18"/>
      <c r="AW309" s="18"/>
      <c r="AX309" s="18"/>
    </row>
    <row r="310" spans="1:50" ht="15">
      <c r="A310" s="18"/>
      <c r="B310" s="18"/>
      <c r="C310" s="18"/>
      <c r="D310" s="18"/>
      <c r="E310" s="18"/>
      <c r="F310" s="18"/>
      <c r="G310" s="18"/>
      <c r="H310" s="18"/>
      <c r="I310" s="17"/>
      <c r="J310" s="18"/>
      <c r="K310" s="17"/>
      <c r="L310" s="18"/>
      <c r="M310" s="20"/>
      <c r="N310" s="18"/>
      <c r="O310" s="18"/>
      <c r="P310" s="18"/>
      <c r="Q310" s="17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7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</row>
    <row r="311" spans="1:50" ht="15">
      <c r="A311" s="18"/>
      <c r="B311" s="18"/>
      <c r="C311" s="18"/>
      <c r="D311" s="18"/>
      <c r="E311" s="18"/>
      <c r="F311" s="18"/>
      <c r="G311" s="18"/>
      <c r="H311" s="18"/>
      <c r="I311" s="17"/>
      <c r="J311" s="18"/>
      <c r="K311" s="17"/>
      <c r="L311" s="18"/>
      <c r="M311" s="20"/>
      <c r="N311" s="18"/>
      <c r="O311" s="18"/>
      <c r="P311" s="18"/>
      <c r="Q311" s="17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7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U311" s="18"/>
      <c r="AV311" s="18"/>
      <c r="AW311" s="18"/>
      <c r="AX311" s="18"/>
    </row>
    <row r="312" spans="1:50" ht="15">
      <c r="A312" s="18"/>
      <c r="B312" s="18"/>
      <c r="C312" s="18"/>
      <c r="D312" s="18"/>
      <c r="E312" s="18"/>
      <c r="F312" s="18"/>
      <c r="G312" s="18"/>
      <c r="H312" s="18"/>
      <c r="I312" s="17"/>
      <c r="J312" s="18"/>
      <c r="K312" s="17"/>
      <c r="L312" s="18"/>
      <c r="M312" s="20"/>
      <c r="N312" s="18"/>
      <c r="O312" s="18"/>
      <c r="P312" s="18"/>
      <c r="Q312" s="17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7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  <c r="AS312" s="18"/>
      <c r="AT312" s="18"/>
      <c r="AU312" s="18"/>
      <c r="AV312" s="18"/>
      <c r="AW312" s="18"/>
      <c r="AX312" s="18"/>
    </row>
    <row r="313" spans="1:50" ht="15">
      <c r="A313" s="18"/>
      <c r="B313" s="18"/>
      <c r="C313" s="18"/>
      <c r="D313" s="18"/>
      <c r="E313" s="18"/>
      <c r="F313" s="18"/>
      <c r="G313" s="18"/>
      <c r="H313" s="18"/>
      <c r="I313" s="17"/>
      <c r="J313" s="18"/>
      <c r="K313" s="17"/>
      <c r="L313" s="18"/>
      <c r="M313" s="20"/>
      <c r="N313" s="18"/>
      <c r="O313" s="18"/>
      <c r="P313" s="18"/>
      <c r="Q313" s="17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7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  <c r="AS313" s="18"/>
      <c r="AT313" s="18"/>
      <c r="AU313" s="18"/>
      <c r="AV313" s="18"/>
      <c r="AW313" s="18"/>
      <c r="AX313" s="18"/>
    </row>
    <row r="314" spans="1:50" ht="15">
      <c r="A314" s="18"/>
      <c r="B314" s="18"/>
      <c r="C314" s="18"/>
      <c r="D314" s="18"/>
      <c r="E314" s="18"/>
      <c r="F314" s="18"/>
      <c r="G314" s="18"/>
      <c r="H314" s="18"/>
      <c r="I314" s="17"/>
      <c r="J314" s="18"/>
      <c r="K314" s="17"/>
      <c r="L314" s="18"/>
      <c r="M314" s="20"/>
      <c r="N314" s="18"/>
      <c r="O314" s="18"/>
      <c r="P314" s="18"/>
      <c r="Q314" s="17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7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  <c r="AS314" s="18"/>
      <c r="AT314" s="18"/>
      <c r="AU314" s="18"/>
      <c r="AV314" s="18"/>
      <c r="AW314" s="18"/>
      <c r="AX314" s="18"/>
    </row>
    <row r="315" spans="1:50" ht="15">
      <c r="A315" s="18"/>
      <c r="B315" s="18"/>
      <c r="C315" s="18"/>
      <c r="D315" s="18"/>
      <c r="E315" s="18"/>
      <c r="F315" s="18"/>
      <c r="G315" s="18"/>
      <c r="H315" s="18"/>
      <c r="I315" s="17"/>
      <c r="J315" s="18"/>
      <c r="K315" s="17"/>
      <c r="L315" s="18"/>
      <c r="M315" s="20"/>
      <c r="N315" s="18"/>
      <c r="O315" s="18"/>
      <c r="P315" s="18"/>
      <c r="Q315" s="17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7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</row>
    <row r="316" spans="1:50" ht="15">
      <c r="A316" s="18"/>
      <c r="B316" s="18"/>
      <c r="C316" s="18"/>
      <c r="D316" s="18"/>
      <c r="E316" s="18"/>
      <c r="F316" s="18"/>
      <c r="G316" s="18"/>
      <c r="H316" s="18"/>
      <c r="I316" s="17"/>
      <c r="J316" s="18"/>
      <c r="K316" s="17"/>
      <c r="L316" s="18"/>
      <c r="M316" s="20"/>
      <c r="N316" s="18"/>
      <c r="O316" s="18"/>
      <c r="P316" s="18"/>
      <c r="Q316" s="17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7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U316" s="18"/>
      <c r="AV316" s="18"/>
      <c r="AW316" s="18"/>
      <c r="AX316" s="18"/>
    </row>
    <row r="317" spans="1:50" ht="15">
      <c r="A317" s="18"/>
      <c r="B317" s="18"/>
      <c r="C317" s="18"/>
      <c r="D317" s="18"/>
      <c r="E317" s="18"/>
      <c r="F317" s="18"/>
      <c r="G317" s="18"/>
      <c r="H317" s="18"/>
      <c r="I317" s="17"/>
      <c r="J317" s="18"/>
      <c r="K317" s="17"/>
      <c r="L317" s="18"/>
      <c r="M317" s="20"/>
      <c r="N317" s="18"/>
      <c r="O317" s="18"/>
      <c r="P317" s="18"/>
      <c r="Q317" s="17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7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</row>
    <row r="318" spans="1:50" ht="15">
      <c r="A318" s="18"/>
      <c r="B318" s="18"/>
      <c r="C318" s="18"/>
      <c r="D318" s="18"/>
      <c r="E318" s="18"/>
      <c r="F318" s="18"/>
      <c r="G318" s="18"/>
      <c r="H318" s="18"/>
      <c r="I318" s="17"/>
      <c r="J318" s="18"/>
      <c r="K318" s="17"/>
      <c r="L318" s="18"/>
      <c r="M318" s="20"/>
      <c r="N318" s="18"/>
      <c r="O318" s="18"/>
      <c r="P318" s="18"/>
      <c r="Q318" s="17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7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</row>
    <row r="319" spans="1:50" ht="15">
      <c r="A319" s="18"/>
      <c r="B319" s="18"/>
      <c r="C319" s="18"/>
      <c r="D319" s="18"/>
      <c r="E319" s="18"/>
      <c r="F319" s="18"/>
      <c r="G319" s="18"/>
      <c r="H319" s="18"/>
      <c r="I319" s="17"/>
      <c r="J319" s="18"/>
      <c r="K319" s="17"/>
      <c r="L319" s="18"/>
      <c r="M319" s="20"/>
      <c r="N319" s="18"/>
      <c r="O319" s="18"/>
      <c r="P319" s="18"/>
      <c r="Q319" s="17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7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</row>
    <row r="320" spans="1:50" ht="15">
      <c r="A320" s="18"/>
      <c r="B320" s="18"/>
      <c r="C320" s="18"/>
      <c r="D320" s="18"/>
      <c r="E320" s="18"/>
      <c r="F320" s="18"/>
      <c r="G320" s="18"/>
      <c r="H320" s="18"/>
      <c r="I320" s="17"/>
      <c r="J320" s="18"/>
      <c r="K320" s="17"/>
      <c r="L320" s="18"/>
      <c r="M320" s="20"/>
      <c r="N320" s="18"/>
      <c r="O320" s="18"/>
      <c r="P320" s="18"/>
      <c r="Q320" s="17"/>
      <c r="R320" s="18"/>
      <c r="S320" s="18"/>
      <c r="T320" s="18"/>
      <c r="U320" s="18"/>
      <c r="V320" s="18"/>
      <c r="W320" s="18"/>
      <c r="X320" s="18"/>
      <c r="Y320" s="18"/>
      <c r="Z320" s="18"/>
      <c r="AA320" s="18"/>
      <c r="AB320" s="17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U320" s="18"/>
      <c r="AV320" s="18"/>
      <c r="AW320" s="18"/>
      <c r="AX320" s="18"/>
    </row>
    <row r="321" spans="1:50" ht="15">
      <c r="A321" s="18"/>
      <c r="B321" s="18"/>
      <c r="C321" s="18"/>
      <c r="D321" s="18"/>
      <c r="E321" s="18"/>
      <c r="F321" s="18"/>
      <c r="G321" s="18"/>
      <c r="H321" s="18"/>
      <c r="I321" s="17"/>
      <c r="J321" s="18"/>
      <c r="K321" s="17"/>
      <c r="L321" s="18"/>
      <c r="M321" s="20"/>
      <c r="N321" s="18"/>
      <c r="O321" s="18"/>
      <c r="P321" s="18"/>
      <c r="Q321" s="17"/>
      <c r="R321" s="18"/>
      <c r="S321" s="18"/>
      <c r="T321" s="18"/>
      <c r="U321" s="18"/>
      <c r="V321" s="18"/>
      <c r="W321" s="18"/>
      <c r="X321" s="18"/>
      <c r="Y321" s="18"/>
      <c r="Z321" s="18"/>
      <c r="AA321" s="18"/>
      <c r="AB321" s="17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 s="18"/>
      <c r="AV321" s="18"/>
      <c r="AW321" s="18"/>
      <c r="AX321" s="18"/>
    </row>
    <row r="322" spans="1:50" ht="15">
      <c r="A322" s="18"/>
      <c r="B322" s="18"/>
      <c r="C322" s="18"/>
      <c r="D322" s="18"/>
      <c r="E322" s="18"/>
      <c r="F322" s="18"/>
      <c r="G322" s="18"/>
      <c r="H322" s="18"/>
      <c r="I322" s="17"/>
      <c r="J322" s="18"/>
      <c r="K322" s="17"/>
      <c r="L322" s="18"/>
      <c r="M322" s="20"/>
      <c r="N322" s="18"/>
      <c r="O322" s="18"/>
      <c r="P322" s="18"/>
      <c r="Q322" s="17"/>
      <c r="R322" s="18"/>
      <c r="S322" s="18"/>
      <c r="T322" s="18"/>
      <c r="U322" s="18"/>
      <c r="V322" s="18"/>
      <c r="W322" s="18"/>
      <c r="X322" s="18"/>
      <c r="Y322" s="18"/>
      <c r="Z322" s="18"/>
      <c r="AA322" s="18"/>
      <c r="AB322" s="17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  <c r="AS322" s="18"/>
      <c r="AT322" s="18"/>
      <c r="AU322" s="18"/>
      <c r="AV322" s="18"/>
      <c r="AW322" s="18"/>
      <c r="AX322" s="18"/>
    </row>
    <row r="323" spans="1:50" ht="15">
      <c r="A323" s="18"/>
      <c r="B323" s="18"/>
      <c r="C323" s="18"/>
      <c r="D323" s="18"/>
      <c r="E323" s="18"/>
      <c r="F323" s="18"/>
      <c r="G323" s="18"/>
      <c r="H323" s="18"/>
      <c r="I323" s="17"/>
      <c r="J323" s="18"/>
      <c r="K323" s="17"/>
      <c r="L323" s="18"/>
      <c r="M323" s="20"/>
      <c r="N323" s="18"/>
      <c r="O323" s="18"/>
      <c r="P323" s="18"/>
      <c r="Q323" s="17"/>
      <c r="R323" s="18"/>
      <c r="S323" s="18"/>
      <c r="T323" s="18"/>
      <c r="U323" s="18"/>
      <c r="V323" s="18"/>
      <c r="W323" s="18"/>
      <c r="X323" s="18"/>
      <c r="Y323" s="18"/>
      <c r="Z323" s="18"/>
      <c r="AA323" s="18"/>
      <c r="AB323" s="17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</row>
    <row r="324" spans="1:50" ht="15">
      <c r="A324" s="18"/>
      <c r="B324" s="18"/>
      <c r="C324" s="18"/>
      <c r="D324" s="18"/>
      <c r="E324" s="18"/>
      <c r="F324" s="18"/>
      <c r="G324" s="18"/>
      <c r="H324" s="18"/>
      <c r="I324" s="17"/>
      <c r="J324" s="18"/>
      <c r="K324" s="17"/>
      <c r="L324" s="18"/>
      <c r="M324" s="20"/>
      <c r="N324" s="18"/>
      <c r="O324" s="18"/>
      <c r="P324" s="18"/>
      <c r="Q324" s="17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7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</row>
    <row r="325" spans="1:50" ht="15">
      <c r="A325" s="18"/>
      <c r="B325" s="18"/>
      <c r="C325" s="18"/>
      <c r="D325" s="18"/>
      <c r="E325" s="18"/>
      <c r="F325" s="18"/>
      <c r="G325" s="18"/>
      <c r="H325" s="18"/>
      <c r="I325" s="17"/>
      <c r="J325" s="18"/>
      <c r="K325" s="17"/>
      <c r="L325" s="18"/>
      <c r="M325" s="20"/>
      <c r="N325" s="18"/>
      <c r="O325" s="18"/>
      <c r="P325" s="18"/>
      <c r="Q325" s="17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7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</row>
    <row r="326" spans="1:50" ht="15">
      <c r="A326" s="18"/>
      <c r="B326" s="18"/>
      <c r="C326" s="18"/>
      <c r="D326" s="18"/>
      <c r="E326" s="18"/>
      <c r="F326" s="18"/>
      <c r="G326" s="18"/>
      <c r="H326" s="18"/>
      <c r="I326" s="17"/>
      <c r="J326" s="18"/>
      <c r="K326" s="17"/>
      <c r="L326" s="18"/>
      <c r="M326" s="20"/>
      <c r="N326" s="18"/>
      <c r="O326" s="18"/>
      <c r="P326" s="18"/>
      <c r="Q326" s="17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7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</row>
    <row r="327" spans="1:50" ht="15">
      <c r="A327" s="18"/>
      <c r="B327" s="18"/>
      <c r="C327" s="18"/>
      <c r="D327" s="18"/>
      <c r="E327" s="18"/>
      <c r="F327" s="18"/>
      <c r="G327" s="18"/>
      <c r="H327" s="18"/>
      <c r="I327" s="17"/>
      <c r="J327" s="18"/>
      <c r="K327" s="17"/>
      <c r="L327" s="18"/>
      <c r="M327" s="20"/>
      <c r="N327" s="18"/>
      <c r="O327" s="18"/>
      <c r="P327" s="18"/>
      <c r="Q327" s="17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7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U327" s="18"/>
      <c r="AV327" s="18"/>
      <c r="AW327" s="18"/>
      <c r="AX327" s="18"/>
    </row>
    <row r="328" spans="1:50" ht="15">
      <c r="A328" s="18"/>
      <c r="B328" s="18"/>
      <c r="C328" s="18"/>
      <c r="D328" s="18"/>
      <c r="E328" s="18"/>
      <c r="F328" s="18"/>
      <c r="G328" s="18"/>
      <c r="H328" s="18"/>
      <c r="I328" s="17"/>
      <c r="J328" s="18"/>
      <c r="K328" s="17"/>
      <c r="L328" s="18"/>
      <c r="M328" s="20"/>
      <c r="N328" s="18"/>
      <c r="O328" s="18"/>
      <c r="P328" s="18"/>
      <c r="Q328" s="17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7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  <c r="AS328" s="18"/>
      <c r="AT328" s="18"/>
      <c r="AU328" s="18"/>
      <c r="AV328" s="18"/>
      <c r="AW328" s="18"/>
      <c r="AX328" s="18"/>
    </row>
    <row r="329" spans="1:50" ht="15">
      <c r="A329" s="18"/>
      <c r="B329" s="18"/>
      <c r="C329" s="18"/>
      <c r="D329" s="18"/>
      <c r="E329" s="18"/>
      <c r="F329" s="18"/>
      <c r="G329" s="18"/>
      <c r="H329" s="18"/>
      <c r="I329" s="17"/>
      <c r="J329" s="18"/>
      <c r="K329" s="17"/>
      <c r="L329" s="18"/>
      <c r="M329" s="20"/>
      <c r="N329" s="18"/>
      <c r="O329" s="18"/>
      <c r="P329" s="18"/>
      <c r="Q329" s="17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7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  <c r="AS329" s="18"/>
      <c r="AT329" s="18"/>
      <c r="AU329" s="18"/>
      <c r="AV329" s="18"/>
      <c r="AW329" s="18"/>
      <c r="AX329" s="18"/>
    </row>
    <row r="330" spans="1:50" ht="15">
      <c r="A330" s="18"/>
      <c r="B330" s="18"/>
      <c r="C330" s="18"/>
      <c r="D330" s="18"/>
      <c r="E330" s="18"/>
      <c r="F330" s="18"/>
      <c r="G330" s="18"/>
      <c r="H330" s="18"/>
      <c r="I330" s="17"/>
      <c r="J330" s="18"/>
      <c r="K330" s="17"/>
      <c r="L330" s="18"/>
      <c r="M330" s="20"/>
      <c r="N330" s="18"/>
      <c r="O330" s="18"/>
      <c r="P330" s="18"/>
      <c r="Q330" s="17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7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  <c r="AS330" s="18"/>
      <c r="AT330" s="18"/>
      <c r="AU330" s="18"/>
      <c r="AV330" s="18"/>
      <c r="AW330" s="18"/>
      <c r="AX330" s="18"/>
    </row>
    <row r="331" spans="1:50" ht="15">
      <c r="A331" s="18"/>
      <c r="B331" s="18"/>
      <c r="C331" s="18"/>
      <c r="D331" s="18"/>
      <c r="E331" s="18"/>
      <c r="F331" s="18"/>
      <c r="G331" s="18"/>
      <c r="H331" s="18"/>
      <c r="I331" s="17"/>
      <c r="J331" s="18"/>
      <c r="K331" s="17"/>
      <c r="L331" s="18"/>
      <c r="M331" s="20"/>
      <c r="N331" s="18"/>
      <c r="O331" s="18"/>
      <c r="P331" s="18"/>
      <c r="Q331" s="17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7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  <c r="AS331" s="18"/>
      <c r="AT331" s="18"/>
      <c r="AU331" s="18"/>
      <c r="AV331" s="18"/>
      <c r="AW331" s="18"/>
      <c r="AX331" s="18"/>
    </row>
    <row r="332" spans="1:50" ht="15">
      <c r="A332" s="18"/>
      <c r="B332" s="18"/>
      <c r="C332" s="18"/>
      <c r="D332" s="18"/>
      <c r="E332" s="18"/>
      <c r="F332" s="18"/>
      <c r="G332" s="18"/>
      <c r="H332" s="18"/>
      <c r="I332" s="17"/>
      <c r="J332" s="18"/>
      <c r="K332" s="17"/>
      <c r="L332" s="18"/>
      <c r="M332" s="20"/>
      <c r="N332" s="18"/>
      <c r="O332" s="18"/>
      <c r="P332" s="18"/>
      <c r="Q332" s="17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7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</row>
    <row r="333" spans="1:50" ht="15">
      <c r="A333" s="18"/>
      <c r="B333" s="18"/>
      <c r="C333" s="18"/>
      <c r="D333" s="18"/>
      <c r="E333" s="18"/>
      <c r="F333" s="18"/>
      <c r="G333" s="18"/>
      <c r="H333" s="18"/>
      <c r="I333" s="17"/>
      <c r="J333" s="18"/>
      <c r="K333" s="17"/>
      <c r="L333" s="18"/>
      <c r="M333" s="20"/>
      <c r="N333" s="18"/>
      <c r="O333" s="18"/>
      <c r="P333" s="18"/>
      <c r="Q333" s="17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7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</row>
    <row r="334" spans="1:50" ht="15">
      <c r="A334" s="18"/>
      <c r="B334" s="18"/>
      <c r="C334" s="18"/>
      <c r="D334" s="18"/>
      <c r="E334" s="18"/>
      <c r="F334" s="18"/>
      <c r="G334" s="18"/>
      <c r="H334" s="18"/>
      <c r="I334" s="17"/>
      <c r="J334" s="18"/>
      <c r="K334" s="17"/>
      <c r="L334" s="18"/>
      <c r="M334" s="20"/>
      <c r="N334" s="18"/>
      <c r="O334" s="18"/>
      <c r="P334" s="18"/>
      <c r="Q334" s="17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7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  <c r="AS334" s="18"/>
      <c r="AT334" s="18"/>
      <c r="AU334" s="18"/>
      <c r="AV334" s="18"/>
      <c r="AW334" s="18"/>
      <c r="AX334" s="18"/>
    </row>
    <row r="335" spans="1:50" ht="15">
      <c r="A335" s="18"/>
      <c r="B335" s="18"/>
      <c r="C335" s="18"/>
      <c r="D335" s="18"/>
      <c r="E335" s="18"/>
      <c r="F335" s="18"/>
      <c r="G335" s="18"/>
      <c r="H335" s="18"/>
      <c r="I335" s="17"/>
      <c r="J335" s="18"/>
      <c r="K335" s="17"/>
      <c r="L335" s="18"/>
      <c r="M335" s="20"/>
      <c r="N335" s="18"/>
      <c r="O335" s="18"/>
      <c r="P335" s="18"/>
      <c r="Q335" s="17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7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U335" s="18"/>
      <c r="AV335" s="18"/>
      <c r="AW335" s="18"/>
      <c r="AX335" s="18"/>
    </row>
    <row r="336" spans="1:50" ht="15">
      <c r="A336" s="18"/>
      <c r="B336" s="18"/>
      <c r="C336" s="18"/>
      <c r="D336" s="18"/>
      <c r="E336" s="18"/>
      <c r="F336" s="18"/>
      <c r="G336" s="18"/>
      <c r="H336" s="18"/>
      <c r="I336" s="17"/>
      <c r="J336" s="18"/>
      <c r="K336" s="17"/>
      <c r="L336" s="18"/>
      <c r="M336" s="20"/>
      <c r="N336" s="18"/>
      <c r="O336" s="18"/>
      <c r="P336" s="18"/>
      <c r="Q336" s="17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7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U336" s="18"/>
      <c r="AV336" s="18"/>
      <c r="AW336" s="18"/>
      <c r="AX336" s="18"/>
    </row>
    <row r="337" spans="1:50" ht="15">
      <c r="A337" s="18"/>
      <c r="B337" s="18"/>
      <c r="C337" s="18"/>
      <c r="D337" s="18"/>
      <c r="E337" s="18"/>
      <c r="F337" s="18"/>
      <c r="G337" s="18"/>
      <c r="H337" s="18"/>
      <c r="I337" s="17"/>
      <c r="J337" s="18"/>
      <c r="K337" s="17"/>
      <c r="L337" s="18"/>
      <c r="M337" s="20"/>
      <c r="N337" s="18"/>
      <c r="O337" s="18"/>
      <c r="P337" s="18"/>
      <c r="Q337" s="17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7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</row>
    <row r="338" spans="1:50" ht="15">
      <c r="A338" s="18"/>
      <c r="B338" s="18"/>
      <c r="C338" s="18"/>
      <c r="D338" s="18"/>
      <c r="E338" s="18"/>
      <c r="F338" s="18"/>
      <c r="G338" s="18"/>
      <c r="H338" s="18"/>
      <c r="I338" s="17"/>
      <c r="J338" s="18"/>
      <c r="K338" s="17"/>
      <c r="L338" s="18"/>
      <c r="M338" s="20"/>
      <c r="N338" s="18"/>
      <c r="O338" s="18"/>
      <c r="P338" s="18"/>
      <c r="Q338" s="17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7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</row>
    <row r="339" spans="1:50" ht="15">
      <c r="A339" s="18"/>
      <c r="B339" s="18"/>
      <c r="C339" s="18"/>
      <c r="D339" s="18"/>
      <c r="E339" s="18"/>
      <c r="F339" s="18"/>
      <c r="G339" s="18"/>
      <c r="H339" s="18"/>
      <c r="I339" s="17"/>
      <c r="J339" s="18"/>
      <c r="K339" s="17"/>
      <c r="L339" s="18"/>
      <c r="M339" s="20"/>
      <c r="N339" s="18"/>
      <c r="O339" s="18"/>
      <c r="P339" s="18"/>
      <c r="Q339" s="17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7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</row>
    <row r="340" spans="1:50" ht="15">
      <c r="A340" s="18"/>
      <c r="B340" s="18"/>
      <c r="C340" s="18"/>
      <c r="D340" s="18"/>
      <c r="E340" s="18"/>
      <c r="F340" s="18"/>
      <c r="G340" s="18"/>
      <c r="H340" s="18"/>
      <c r="I340" s="17"/>
      <c r="J340" s="18"/>
      <c r="K340" s="17"/>
      <c r="L340" s="18"/>
      <c r="M340" s="20"/>
      <c r="N340" s="18"/>
      <c r="O340" s="18"/>
      <c r="P340" s="18"/>
      <c r="Q340" s="17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7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</row>
    <row r="341" spans="1:50" ht="15">
      <c r="A341" s="18"/>
      <c r="B341" s="18"/>
      <c r="C341" s="18"/>
      <c r="D341" s="18"/>
      <c r="E341" s="18"/>
      <c r="F341" s="18"/>
      <c r="G341" s="18"/>
      <c r="H341" s="18"/>
      <c r="I341" s="17"/>
      <c r="J341" s="18"/>
      <c r="K341" s="17"/>
      <c r="L341" s="18"/>
      <c r="M341" s="20"/>
      <c r="N341" s="18"/>
      <c r="O341" s="18"/>
      <c r="P341" s="18"/>
      <c r="Q341" s="17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7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  <c r="AS341" s="18"/>
      <c r="AT341" s="18"/>
      <c r="AU341" s="18"/>
      <c r="AV341" s="18"/>
      <c r="AW341" s="18"/>
      <c r="AX341" s="18"/>
    </row>
    <row r="342" spans="1:50" ht="15">
      <c r="A342" s="18"/>
      <c r="B342" s="18"/>
      <c r="C342" s="18"/>
      <c r="D342" s="18"/>
      <c r="E342" s="18"/>
      <c r="F342" s="18"/>
      <c r="G342" s="18"/>
      <c r="H342" s="18"/>
      <c r="I342" s="17"/>
      <c r="J342" s="18"/>
      <c r="K342" s="17"/>
      <c r="L342" s="18"/>
      <c r="M342" s="20"/>
      <c r="N342" s="18"/>
      <c r="O342" s="18"/>
      <c r="P342" s="18"/>
      <c r="Q342" s="17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7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 s="18"/>
      <c r="AV342" s="18"/>
      <c r="AW342" s="18"/>
      <c r="AX342" s="18"/>
    </row>
    <row r="343" spans="1:50" ht="15">
      <c r="A343" s="18"/>
      <c r="B343" s="18"/>
      <c r="C343" s="18"/>
      <c r="D343" s="18"/>
      <c r="E343" s="18"/>
      <c r="F343" s="18"/>
      <c r="G343" s="18"/>
      <c r="H343" s="18"/>
      <c r="I343" s="17"/>
      <c r="J343" s="18"/>
      <c r="K343" s="17"/>
      <c r="L343" s="18"/>
      <c r="M343" s="20"/>
      <c r="N343" s="18"/>
      <c r="O343" s="18"/>
      <c r="P343" s="18"/>
      <c r="Q343" s="17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7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 s="18"/>
      <c r="AV343" s="18"/>
      <c r="AW343" s="18"/>
      <c r="AX343" s="18"/>
    </row>
    <row r="344" spans="1:50" ht="15">
      <c r="A344" s="18"/>
      <c r="B344" s="18"/>
      <c r="C344" s="18"/>
      <c r="D344" s="18"/>
      <c r="E344" s="18"/>
      <c r="F344" s="18"/>
      <c r="G344" s="18"/>
      <c r="H344" s="18"/>
      <c r="I344" s="17"/>
      <c r="J344" s="18"/>
      <c r="K344" s="17"/>
      <c r="L344" s="18"/>
      <c r="M344" s="20"/>
      <c r="N344" s="18"/>
      <c r="O344" s="18"/>
      <c r="P344" s="18"/>
      <c r="Q344" s="17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7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U344" s="18"/>
      <c r="AV344" s="18"/>
      <c r="AW344" s="18"/>
      <c r="AX344" s="18"/>
    </row>
    <row r="345" spans="1:50" ht="15">
      <c r="A345" s="18"/>
      <c r="B345" s="18"/>
      <c r="C345" s="18"/>
      <c r="D345" s="18"/>
      <c r="E345" s="18"/>
      <c r="F345" s="18"/>
      <c r="G345" s="18"/>
      <c r="H345" s="18"/>
      <c r="I345" s="17"/>
      <c r="J345" s="18"/>
      <c r="K345" s="17"/>
      <c r="L345" s="18"/>
      <c r="M345" s="20"/>
      <c r="N345" s="18"/>
      <c r="O345" s="18"/>
      <c r="P345" s="18"/>
      <c r="Q345" s="17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7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  <c r="AT345" s="18"/>
      <c r="AU345" s="18"/>
      <c r="AV345" s="18"/>
      <c r="AW345" s="18"/>
      <c r="AX345" s="18"/>
    </row>
    <row r="346" spans="1:50" ht="15">
      <c r="A346" s="18"/>
      <c r="B346" s="18"/>
      <c r="C346" s="18"/>
      <c r="D346" s="18"/>
      <c r="E346" s="18"/>
      <c r="F346" s="18"/>
      <c r="G346" s="18"/>
      <c r="H346" s="18"/>
      <c r="I346" s="17"/>
      <c r="J346" s="18"/>
      <c r="K346" s="17"/>
      <c r="L346" s="18"/>
      <c r="M346" s="20"/>
      <c r="N346" s="18"/>
      <c r="O346" s="18"/>
      <c r="P346" s="18"/>
      <c r="Q346" s="17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7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U346" s="18"/>
      <c r="AV346" s="18"/>
      <c r="AW346" s="18"/>
      <c r="AX346" s="18"/>
    </row>
    <row r="347" spans="1:50" ht="15">
      <c r="A347" s="18"/>
      <c r="B347" s="18"/>
      <c r="C347" s="18"/>
      <c r="D347" s="18"/>
      <c r="E347" s="18"/>
      <c r="F347" s="18"/>
      <c r="G347" s="18"/>
      <c r="H347" s="18"/>
      <c r="I347" s="17"/>
      <c r="J347" s="18"/>
      <c r="K347" s="17"/>
      <c r="L347" s="18"/>
      <c r="M347" s="20"/>
      <c r="N347" s="18"/>
      <c r="O347" s="18"/>
      <c r="P347" s="18"/>
      <c r="Q347" s="17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7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  <c r="AS347" s="18"/>
      <c r="AT347" s="18"/>
      <c r="AU347" s="18"/>
      <c r="AV347" s="18"/>
      <c r="AW347" s="18"/>
      <c r="AX347" s="18"/>
    </row>
    <row r="348" spans="1:50" ht="15">
      <c r="A348" s="18"/>
      <c r="B348" s="18"/>
      <c r="C348" s="18"/>
      <c r="D348" s="18"/>
      <c r="E348" s="18"/>
      <c r="F348" s="18"/>
      <c r="G348" s="18"/>
      <c r="H348" s="18"/>
      <c r="I348" s="17"/>
      <c r="J348" s="18"/>
      <c r="K348" s="17"/>
      <c r="L348" s="18"/>
      <c r="M348" s="20"/>
      <c r="N348" s="18"/>
      <c r="O348" s="18"/>
      <c r="P348" s="18"/>
      <c r="Q348" s="17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7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U348" s="18"/>
      <c r="AV348" s="18"/>
      <c r="AW348" s="18"/>
      <c r="AX348" s="18"/>
    </row>
    <row r="349" spans="1:50" ht="15">
      <c r="A349" s="18"/>
      <c r="B349" s="18"/>
      <c r="C349" s="18"/>
      <c r="D349" s="18"/>
      <c r="E349" s="18"/>
      <c r="F349" s="18"/>
      <c r="G349" s="18"/>
      <c r="H349" s="18"/>
      <c r="I349" s="17"/>
      <c r="J349" s="18"/>
      <c r="K349" s="17"/>
      <c r="L349" s="18"/>
      <c r="M349" s="20"/>
      <c r="N349" s="18"/>
      <c r="O349" s="18"/>
      <c r="P349" s="18"/>
      <c r="Q349" s="17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7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  <c r="AS349" s="18"/>
      <c r="AT349" s="18"/>
      <c r="AU349" s="18"/>
      <c r="AV349" s="18"/>
      <c r="AW349" s="18"/>
      <c r="AX349" s="18"/>
    </row>
    <row r="350" spans="1:50" ht="15">
      <c r="A350" s="18"/>
      <c r="B350" s="18"/>
      <c r="C350" s="18"/>
      <c r="D350" s="18"/>
      <c r="E350" s="18"/>
      <c r="F350" s="18"/>
      <c r="G350" s="18"/>
      <c r="H350" s="18"/>
      <c r="I350" s="17"/>
      <c r="J350" s="18"/>
      <c r="K350" s="17"/>
      <c r="L350" s="18"/>
      <c r="M350" s="20"/>
      <c r="N350" s="18"/>
      <c r="O350" s="18"/>
      <c r="P350" s="18"/>
      <c r="Q350" s="17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7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  <c r="AS350" s="18"/>
      <c r="AT350" s="18"/>
      <c r="AU350" s="18"/>
      <c r="AV350" s="18"/>
      <c r="AW350" s="18"/>
      <c r="AX350" s="18"/>
    </row>
    <row r="351" spans="1:50" ht="15">
      <c r="A351" s="18"/>
      <c r="B351" s="18"/>
      <c r="C351" s="18"/>
      <c r="D351" s="18"/>
      <c r="E351" s="18"/>
      <c r="F351" s="18"/>
      <c r="G351" s="18"/>
      <c r="H351" s="18"/>
      <c r="I351" s="17"/>
      <c r="J351" s="18"/>
      <c r="K351" s="17"/>
      <c r="L351" s="18"/>
      <c r="M351" s="20"/>
      <c r="N351" s="18"/>
      <c r="O351" s="18"/>
      <c r="P351" s="18"/>
      <c r="Q351" s="17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7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  <c r="AS351" s="18"/>
      <c r="AT351" s="18"/>
      <c r="AU351" s="18"/>
      <c r="AV351" s="18"/>
      <c r="AW351" s="18"/>
      <c r="AX351" s="18"/>
    </row>
    <row r="352" spans="1:50" ht="15">
      <c r="A352" s="18"/>
      <c r="B352" s="18"/>
      <c r="C352" s="18"/>
      <c r="D352" s="18"/>
      <c r="E352" s="18"/>
      <c r="F352" s="18"/>
      <c r="G352" s="18"/>
      <c r="H352" s="18"/>
      <c r="I352" s="17"/>
      <c r="J352" s="18"/>
      <c r="K352" s="17"/>
      <c r="L352" s="18"/>
      <c r="M352" s="20"/>
      <c r="N352" s="18"/>
      <c r="O352" s="18"/>
      <c r="P352" s="18"/>
      <c r="Q352" s="17"/>
      <c r="R352" s="18"/>
      <c r="S352" s="18"/>
      <c r="T352" s="18"/>
      <c r="U352" s="18"/>
      <c r="V352" s="18"/>
      <c r="W352" s="18"/>
      <c r="X352" s="18"/>
      <c r="Y352" s="18"/>
      <c r="Z352" s="18"/>
      <c r="AA352" s="18"/>
      <c r="AB352" s="17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  <c r="AS352" s="18"/>
      <c r="AT352" s="18"/>
      <c r="AU352" s="18"/>
      <c r="AV352" s="18"/>
      <c r="AW352" s="18"/>
      <c r="AX352" s="18"/>
    </row>
    <row r="353" spans="1:50" ht="15">
      <c r="A353" s="18"/>
      <c r="B353" s="18"/>
      <c r="C353" s="18"/>
      <c r="D353" s="18"/>
      <c r="E353" s="18"/>
      <c r="F353" s="18"/>
      <c r="G353" s="18"/>
      <c r="H353" s="18"/>
      <c r="I353" s="17"/>
      <c r="J353" s="18"/>
      <c r="K353" s="17"/>
      <c r="L353" s="18"/>
      <c r="M353" s="20"/>
      <c r="N353" s="18"/>
      <c r="O353" s="18"/>
      <c r="P353" s="18"/>
      <c r="Q353" s="17"/>
      <c r="R353" s="18"/>
      <c r="S353" s="18"/>
      <c r="T353" s="18"/>
      <c r="U353" s="18"/>
      <c r="V353" s="18"/>
      <c r="W353" s="18"/>
      <c r="X353" s="18"/>
      <c r="Y353" s="18"/>
      <c r="Z353" s="18"/>
      <c r="AA353" s="18"/>
      <c r="AB353" s="17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  <c r="AS353" s="18"/>
      <c r="AT353" s="18"/>
      <c r="AU353" s="18"/>
      <c r="AV353" s="18"/>
      <c r="AW353" s="18"/>
      <c r="AX353" s="18"/>
    </row>
    <row r="354" spans="1:50" ht="15">
      <c r="A354" s="18"/>
      <c r="B354" s="18"/>
      <c r="C354" s="18"/>
      <c r="D354" s="18"/>
      <c r="E354" s="18"/>
      <c r="F354" s="18"/>
      <c r="G354" s="18"/>
      <c r="H354" s="18"/>
      <c r="I354" s="17"/>
      <c r="J354" s="18"/>
      <c r="K354" s="17"/>
      <c r="L354" s="18"/>
      <c r="M354" s="20"/>
      <c r="N354" s="18"/>
      <c r="O354" s="18"/>
      <c r="P354" s="18"/>
      <c r="Q354" s="17"/>
      <c r="R354" s="18"/>
      <c r="S354" s="18"/>
      <c r="T354" s="18"/>
      <c r="U354" s="18"/>
      <c r="V354" s="18"/>
      <c r="W354" s="18"/>
      <c r="X354" s="18"/>
      <c r="Y354" s="18"/>
      <c r="Z354" s="18"/>
      <c r="AA354" s="18"/>
      <c r="AB354" s="17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  <c r="AS354" s="18"/>
      <c r="AT354" s="18"/>
      <c r="AU354" s="18"/>
      <c r="AV354" s="18"/>
      <c r="AW354" s="18"/>
      <c r="AX354" s="18"/>
    </row>
    <row r="355" spans="1:50" ht="15">
      <c r="A355" s="18"/>
      <c r="B355" s="18"/>
      <c r="C355" s="18"/>
      <c r="D355" s="18"/>
      <c r="E355" s="18"/>
      <c r="F355" s="18"/>
      <c r="G355" s="18"/>
      <c r="H355" s="18"/>
      <c r="I355" s="17"/>
      <c r="J355" s="18"/>
      <c r="K355" s="17"/>
      <c r="L355" s="18"/>
      <c r="M355" s="20"/>
      <c r="N355" s="18"/>
      <c r="O355" s="18"/>
      <c r="P355" s="18"/>
      <c r="Q355" s="17"/>
      <c r="R355" s="18"/>
      <c r="S355" s="18"/>
      <c r="T355" s="18"/>
      <c r="U355" s="18"/>
      <c r="V355" s="18"/>
      <c r="W355" s="18"/>
      <c r="X355" s="18"/>
      <c r="Y355" s="18"/>
      <c r="Z355" s="18"/>
      <c r="AA355" s="18"/>
      <c r="AB355" s="17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U355" s="18"/>
      <c r="AV355" s="18"/>
      <c r="AW355" s="18"/>
      <c r="AX355" s="18"/>
    </row>
    <row r="356" spans="1:50" ht="15">
      <c r="A356" s="18"/>
      <c r="B356" s="18"/>
      <c r="C356" s="18"/>
      <c r="D356" s="18"/>
      <c r="E356" s="18"/>
      <c r="F356" s="18"/>
      <c r="G356" s="18"/>
      <c r="H356" s="18"/>
      <c r="I356" s="17"/>
      <c r="J356" s="18"/>
      <c r="K356" s="17"/>
      <c r="L356" s="18"/>
      <c r="M356" s="20"/>
      <c r="N356" s="18"/>
      <c r="O356" s="18"/>
      <c r="P356" s="18"/>
      <c r="Q356" s="17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7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</row>
    <row r="357" spans="1:50" ht="15">
      <c r="A357" s="18"/>
      <c r="B357" s="18"/>
      <c r="C357" s="18"/>
      <c r="D357" s="18"/>
      <c r="E357" s="18"/>
      <c r="F357" s="18"/>
      <c r="G357" s="18"/>
      <c r="H357" s="18"/>
      <c r="I357" s="17"/>
      <c r="J357" s="18"/>
      <c r="K357" s="17"/>
      <c r="L357" s="18"/>
      <c r="M357" s="20"/>
      <c r="N357" s="18"/>
      <c r="O357" s="18"/>
      <c r="P357" s="18"/>
      <c r="Q357" s="17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7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  <c r="AS357" s="18"/>
      <c r="AT357" s="18"/>
      <c r="AU357" s="18"/>
      <c r="AV357" s="18"/>
      <c r="AW357" s="18"/>
      <c r="AX357" s="18"/>
    </row>
    <row r="358" spans="1:50" ht="15">
      <c r="A358" s="18"/>
      <c r="B358" s="18"/>
      <c r="C358" s="18"/>
      <c r="D358" s="18"/>
      <c r="E358" s="18"/>
      <c r="F358" s="18"/>
      <c r="G358" s="18"/>
      <c r="H358" s="18"/>
      <c r="I358" s="17"/>
      <c r="J358" s="18"/>
      <c r="K358" s="17"/>
      <c r="L358" s="18"/>
      <c r="M358" s="20"/>
      <c r="N358" s="18"/>
      <c r="O358" s="18"/>
      <c r="P358" s="18"/>
      <c r="Q358" s="17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7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</row>
    <row r="359" spans="1:50" ht="15">
      <c r="A359" s="18"/>
      <c r="B359" s="18"/>
      <c r="C359" s="18"/>
      <c r="D359" s="18"/>
      <c r="E359" s="18"/>
      <c r="F359" s="18"/>
      <c r="G359" s="18"/>
      <c r="H359" s="18"/>
      <c r="I359" s="17"/>
      <c r="J359" s="18"/>
      <c r="K359" s="17"/>
      <c r="L359" s="18"/>
      <c r="M359" s="20"/>
      <c r="N359" s="18"/>
      <c r="O359" s="18"/>
      <c r="P359" s="18"/>
      <c r="Q359" s="17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7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  <c r="AS359" s="18"/>
      <c r="AT359" s="18"/>
      <c r="AU359" s="18"/>
      <c r="AV359" s="18"/>
      <c r="AW359" s="18"/>
      <c r="AX359" s="18"/>
    </row>
    <row r="360" spans="1:50" ht="15">
      <c r="A360" s="18"/>
      <c r="B360" s="18"/>
      <c r="C360" s="18"/>
      <c r="D360" s="18"/>
      <c r="E360" s="18"/>
      <c r="F360" s="18"/>
      <c r="G360" s="18"/>
      <c r="H360" s="18"/>
      <c r="I360" s="17"/>
      <c r="J360" s="18"/>
      <c r="K360" s="17"/>
      <c r="L360" s="18"/>
      <c r="M360" s="20"/>
      <c r="N360" s="18"/>
      <c r="O360" s="18"/>
      <c r="P360" s="18"/>
      <c r="Q360" s="17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7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</row>
    <row r="361" spans="1:50" ht="15">
      <c r="A361" s="18"/>
      <c r="B361" s="18"/>
      <c r="C361" s="18"/>
      <c r="D361" s="18"/>
      <c r="E361" s="18"/>
      <c r="F361" s="18"/>
      <c r="G361" s="18"/>
      <c r="H361" s="18"/>
      <c r="I361" s="17"/>
      <c r="J361" s="18"/>
      <c r="K361" s="17"/>
      <c r="L361" s="18"/>
      <c r="M361" s="20"/>
      <c r="N361" s="18"/>
      <c r="O361" s="18"/>
      <c r="P361" s="18"/>
      <c r="Q361" s="17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7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  <c r="AS361" s="18"/>
      <c r="AT361" s="18"/>
      <c r="AU361" s="18"/>
      <c r="AV361" s="18"/>
      <c r="AW361" s="18"/>
      <c r="AX361" s="18"/>
    </row>
    <row r="362" spans="1:50" ht="15">
      <c r="A362" s="18"/>
      <c r="B362" s="18"/>
      <c r="C362" s="18"/>
      <c r="D362" s="18"/>
      <c r="E362" s="18"/>
      <c r="F362" s="18"/>
      <c r="G362" s="18"/>
      <c r="H362" s="18"/>
      <c r="I362" s="17"/>
      <c r="J362" s="18"/>
      <c r="K362" s="17"/>
      <c r="L362" s="18"/>
      <c r="M362" s="20"/>
      <c r="N362" s="18"/>
      <c r="O362" s="18"/>
      <c r="P362" s="18"/>
      <c r="Q362" s="17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7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U362" s="18"/>
      <c r="AV362" s="18"/>
      <c r="AW362" s="18"/>
      <c r="AX362" s="18"/>
    </row>
    <row r="363" spans="1:50" ht="15">
      <c r="A363" s="18"/>
      <c r="B363" s="18"/>
      <c r="C363" s="18"/>
      <c r="D363" s="18"/>
      <c r="E363" s="18"/>
      <c r="F363" s="18"/>
      <c r="G363" s="18"/>
      <c r="H363" s="18"/>
      <c r="I363" s="17"/>
      <c r="J363" s="18"/>
      <c r="K363" s="17"/>
      <c r="L363" s="18"/>
      <c r="M363" s="20"/>
      <c r="N363" s="18"/>
      <c r="O363" s="18"/>
      <c r="P363" s="18"/>
      <c r="Q363" s="17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7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 s="18"/>
      <c r="AV363" s="18"/>
      <c r="AW363" s="18"/>
      <c r="AX363" s="18"/>
    </row>
    <row r="364" spans="1:50" ht="15">
      <c r="A364" s="18"/>
      <c r="B364" s="18"/>
      <c r="C364" s="18"/>
      <c r="D364" s="18"/>
      <c r="E364" s="18"/>
      <c r="F364" s="18"/>
      <c r="G364" s="18"/>
      <c r="H364" s="18"/>
      <c r="I364" s="17"/>
      <c r="J364" s="18"/>
      <c r="K364" s="17"/>
      <c r="L364" s="18"/>
      <c r="M364" s="20"/>
      <c r="N364" s="18"/>
      <c r="O364" s="18"/>
      <c r="P364" s="18"/>
      <c r="Q364" s="17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7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  <c r="AS364" s="18"/>
      <c r="AT364" s="18"/>
      <c r="AU364" s="18"/>
      <c r="AV364" s="18"/>
      <c r="AW364" s="18"/>
      <c r="AX364" s="18"/>
    </row>
    <row r="365" spans="1:50" ht="15">
      <c r="A365" s="18"/>
      <c r="B365" s="18"/>
      <c r="C365" s="18"/>
      <c r="D365" s="18"/>
      <c r="E365" s="18"/>
      <c r="F365" s="18"/>
      <c r="G365" s="18"/>
      <c r="H365" s="18"/>
      <c r="I365" s="17"/>
      <c r="J365" s="18"/>
      <c r="K365" s="17"/>
      <c r="L365" s="18"/>
      <c r="M365" s="20"/>
      <c r="N365" s="18"/>
      <c r="O365" s="18"/>
      <c r="P365" s="18"/>
      <c r="Q365" s="17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7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U365" s="18"/>
      <c r="AV365" s="18"/>
      <c r="AW365" s="18"/>
      <c r="AX365" s="18"/>
    </row>
    <row r="366" spans="1:50" ht="15">
      <c r="A366" s="18"/>
      <c r="B366" s="18"/>
      <c r="C366" s="18"/>
      <c r="D366" s="18"/>
      <c r="E366" s="18"/>
      <c r="F366" s="18"/>
      <c r="G366" s="18"/>
      <c r="H366" s="18"/>
      <c r="I366" s="17"/>
      <c r="J366" s="18"/>
      <c r="K366" s="17"/>
      <c r="L366" s="18"/>
      <c r="M366" s="20"/>
      <c r="N366" s="18"/>
      <c r="O366" s="18"/>
      <c r="P366" s="18"/>
      <c r="Q366" s="17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7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  <c r="AS366" s="18"/>
      <c r="AT366" s="18"/>
      <c r="AU366" s="18"/>
      <c r="AV366" s="18"/>
      <c r="AW366" s="18"/>
      <c r="AX366" s="18"/>
    </row>
    <row r="367" spans="1:50" ht="15">
      <c r="A367" s="18"/>
      <c r="B367" s="18"/>
      <c r="C367" s="18"/>
      <c r="D367" s="18"/>
      <c r="E367" s="18"/>
      <c r="F367" s="18"/>
      <c r="G367" s="18"/>
      <c r="H367" s="18"/>
      <c r="I367" s="17"/>
      <c r="J367" s="18"/>
      <c r="K367" s="17"/>
      <c r="L367" s="18"/>
      <c r="M367" s="20"/>
      <c r="N367" s="18"/>
      <c r="O367" s="18"/>
      <c r="P367" s="18"/>
      <c r="Q367" s="17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7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  <c r="AS367" s="18"/>
      <c r="AT367" s="18"/>
      <c r="AU367" s="18"/>
      <c r="AV367" s="18"/>
      <c r="AW367" s="18"/>
      <c r="AX367" s="18"/>
    </row>
    <row r="368" spans="1:50" ht="15">
      <c r="A368" s="18"/>
      <c r="B368" s="18"/>
      <c r="C368" s="18"/>
      <c r="D368" s="18"/>
      <c r="E368" s="18"/>
      <c r="F368" s="18"/>
      <c r="G368" s="18"/>
      <c r="H368" s="18"/>
      <c r="I368" s="17"/>
      <c r="J368" s="18"/>
      <c r="K368" s="17"/>
      <c r="L368" s="18"/>
      <c r="M368" s="20"/>
      <c r="N368" s="18"/>
      <c r="O368" s="18"/>
      <c r="P368" s="18"/>
      <c r="Q368" s="17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7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  <c r="AS368" s="18"/>
      <c r="AT368" s="18"/>
      <c r="AU368" s="18"/>
      <c r="AV368" s="18"/>
      <c r="AW368" s="18"/>
      <c r="AX368" s="18"/>
    </row>
    <row r="369" spans="1:50" ht="15">
      <c r="A369" s="18"/>
      <c r="B369" s="18"/>
      <c r="C369" s="18"/>
      <c r="D369" s="18"/>
      <c r="E369" s="18"/>
      <c r="F369" s="18"/>
      <c r="G369" s="18"/>
      <c r="H369" s="18"/>
      <c r="I369" s="17"/>
      <c r="J369" s="18"/>
      <c r="K369" s="17"/>
      <c r="L369" s="18"/>
      <c r="M369" s="20"/>
      <c r="N369" s="18"/>
      <c r="O369" s="18"/>
      <c r="P369" s="18"/>
      <c r="Q369" s="17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7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  <c r="AS369" s="18"/>
      <c r="AT369" s="18"/>
      <c r="AU369" s="18"/>
      <c r="AV369" s="18"/>
      <c r="AW369" s="18"/>
      <c r="AX369" s="18"/>
    </row>
    <row r="370" spans="1:50" ht="15">
      <c r="A370" s="18"/>
      <c r="B370" s="18"/>
      <c r="C370" s="18"/>
      <c r="D370" s="18"/>
      <c r="E370" s="18"/>
      <c r="F370" s="18"/>
      <c r="G370" s="18"/>
      <c r="H370" s="18"/>
      <c r="I370" s="17"/>
      <c r="J370" s="18"/>
      <c r="K370" s="17"/>
      <c r="L370" s="18"/>
      <c r="M370" s="20"/>
      <c r="N370" s="18"/>
      <c r="O370" s="18"/>
      <c r="P370" s="18"/>
      <c r="Q370" s="17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7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  <c r="AS370" s="18"/>
      <c r="AT370" s="18"/>
      <c r="AU370" s="18"/>
      <c r="AV370" s="18"/>
      <c r="AW370" s="18"/>
      <c r="AX370" s="18"/>
    </row>
    <row r="371" spans="1:50" ht="15">
      <c r="A371" s="18"/>
      <c r="B371" s="18"/>
      <c r="C371" s="18"/>
      <c r="D371" s="18"/>
      <c r="E371" s="18"/>
      <c r="F371" s="18"/>
      <c r="G371" s="18"/>
      <c r="H371" s="18"/>
      <c r="I371" s="17"/>
      <c r="J371" s="18"/>
      <c r="K371" s="17"/>
      <c r="L371" s="18"/>
      <c r="M371" s="20"/>
      <c r="N371" s="18"/>
      <c r="O371" s="18"/>
      <c r="P371" s="18"/>
      <c r="Q371" s="17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7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  <c r="AS371" s="18"/>
      <c r="AT371" s="18"/>
      <c r="AU371" s="18"/>
      <c r="AV371" s="18"/>
      <c r="AW371" s="18"/>
      <c r="AX371" s="18"/>
    </row>
    <row r="372" spans="1:50" ht="15">
      <c r="A372" s="18"/>
      <c r="B372" s="18"/>
      <c r="C372" s="18"/>
      <c r="D372" s="18"/>
      <c r="E372" s="18"/>
      <c r="F372" s="18"/>
      <c r="G372" s="18"/>
      <c r="H372" s="18"/>
      <c r="I372" s="17"/>
      <c r="J372" s="18"/>
      <c r="K372" s="17"/>
      <c r="L372" s="18"/>
      <c r="M372" s="20"/>
      <c r="N372" s="18"/>
      <c r="O372" s="18"/>
      <c r="P372" s="18"/>
      <c r="Q372" s="17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7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  <c r="AS372" s="18"/>
      <c r="AT372" s="18"/>
      <c r="AU372" s="18"/>
      <c r="AV372" s="18"/>
      <c r="AW372" s="18"/>
      <c r="AX372" s="18"/>
    </row>
    <row r="373" spans="1:50" ht="15">
      <c r="A373" s="18"/>
      <c r="B373" s="18"/>
      <c r="C373" s="18"/>
      <c r="D373" s="18"/>
      <c r="E373" s="18"/>
      <c r="F373" s="18"/>
      <c r="G373" s="18"/>
      <c r="H373" s="18"/>
      <c r="I373" s="17"/>
      <c r="J373" s="18"/>
      <c r="K373" s="17"/>
      <c r="L373" s="18"/>
      <c r="M373" s="20"/>
      <c r="N373" s="18"/>
      <c r="O373" s="18"/>
      <c r="P373" s="18"/>
      <c r="Q373" s="17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7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  <c r="AS373" s="18"/>
      <c r="AT373" s="18"/>
      <c r="AU373" s="18"/>
      <c r="AV373" s="18"/>
      <c r="AW373" s="18"/>
      <c r="AX373" s="18"/>
    </row>
    <row r="374" spans="1:50" ht="15">
      <c r="A374" s="18"/>
      <c r="B374" s="18"/>
      <c r="C374" s="18"/>
      <c r="D374" s="18"/>
      <c r="E374" s="18"/>
      <c r="F374" s="18"/>
      <c r="G374" s="18"/>
      <c r="H374" s="18"/>
      <c r="I374" s="17"/>
      <c r="J374" s="18"/>
      <c r="K374" s="17"/>
      <c r="L374" s="18"/>
      <c r="M374" s="20"/>
      <c r="N374" s="18"/>
      <c r="O374" s="18"/>
      <c r="P374" s="18"/>
      <c r="Q374" s="17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7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  <c r="AS374" s="18"/>
      <c r="AT374" s="18"/>
      <c r="AU374" s="18"/>
      <c r="AV374" s="18"/>
      <c r="AW374" s="18"/>
      <c r="AX374" s="18"/>
    </row>
    <row r="375" spans="1:50" ht="15">
      <c r="A375" s="18"/>
      <c r="B375" s="18"/>
      <c r="C375" s="18"/>
      <c r="D375" s="18"/>
      <c r="E375" s="18"/>
      <c r="F375" s="18"/>
      <c r="G375" s="18"/>
      <c r="H375" s="18"/>
      <c r="I375" s="17"/>
      <c r="J375" s="18"/>
      <c r="K375" s="17"/>
      <c r="L375" s="18"/>
      <c r="M375" s="20"/>
      <c r="N375" s="18"/>
      <c r="O375" s="18"/>
      <c r="P375" s="18"/>
      <c r="Q375" s="17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7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  <c r="AT375" s="18"/>
      <c r="AU375" s="18"/>
      <c r="AV375" s="18"/>
      <c r="AW375" s="18"/>
      <c r="AX375" s="18"/>
    </row>
    <row r="376" spans="1:50" ht="15">
      <c r="A376" s="18"/>
      <c r="B376" s="18"/>
      <c r="C376" s="18"/>
      <c r="D376" s="18"/>
      <c r="E376" s="18"/>
      <c r="F376" s="18"/>
      <c r="G376" s="18"/>
      <c r="H376" s="18"/>
      <c r="I376" s="17"/>
      <c r="J376" s="18"/>
      <c r="K376" s="17"/>
      <c r="L376" s="18"/>
      <c r="M376" s="20"/>
      <c r="N376" s="18"/>
      <c r="O376" s="18"/>
      <c r="P376" s="18"/>
      <c r="Q376" s="17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7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  <c r="AS376" s="18"/>
      <c r="AT376" s="18"/>
      <c r="AU376" s="18"/>
      <c r="AV376" s="18"/>
      <c r="AW376" s="18"/>
      <c r="AX376" s="18"/>
    </row>
    <row r="377" spans="1:50" ht="15">
      <c r="A377" s="18"/>
      <c r="B377" s="18"/>
      <c r="C377" s="18"/>
      <c r="D377" s="18"/>
      <c r="E377" s="18"/>
      <c r="F377" s="18"/>
      <c r="G377" s="18"/>
      <c r="H377" s="18"/>
      <c r="I377" s="17"/>
      <c r="J377" s="18"/>
      <c r="K377" s="17"/>
      <c r="L377" s="18"/>
      <c r="M377" s="20"/>
      <c r="N377" s="18"/>
      <c r="O377" s="18"/>
      <c r="P377" s="18"/>
      <c r="Q377" s="17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7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  <c r="AS377" s="18"/>
      <c r="AT377" s="18"/>
      <c r="AU377" s="18"/>
      <c r="AV377" s="18"/>
      <c r="AW377" s="18"/>
      <c r="AX377" s="18"/>
    </row>
    <row r="378" spans="1:50" ht="15">
      <c r="A378" s="18"/>
      <c r="B378" s="18"/>
      <c r="C378" s="18"/>
      <c r="D378" s="18"/>
      <c r="E378" s="18"/>
      <c r="F378" s="18"/>
      <c r="G378" s="18"/>
      <c r="H378" s="18"/>
      <c r="I378" s="17"/>
      <c r="J378" s="18"/>
      <c r="K378" s="17"/>
      <c r="L378" s="18"/>
      <c r="M378" s="20"/>
      <c r="N378" s="18"/>
      <c r="O378" s="18"/>
      <c r="P378" s="18"/>
      <c r="Q378" s="17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7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  <c r="AS378" s="18"/>
      <c r="AT378" s="18"/>
      <c r="AU378" s="18"/>
      <c r="AV378" s="18"/>
      <c r="AW378" s="18"/>
      <c r="AX378" s="18"/>
    </row>
    <row r="379" spans="1:50" ht="15">
      <c r="A379" s="18"/>
      <c r="B379" s="18"/>
      <c r="C379" s="18"/>
      <c r="D379" s="18"/>
      <c r="E379" s="18"/>
      <c r="F379" s="18"/>
      <c r="G379" s="18"/>
      <c r="H379" s="18"/>
      <c r="I379" s="17"/>
      <c r="J379" s="18"/>
      <c r="K379" s="17"/>
      <c r="L379" s="18"/>
      <c r="M379" s="20"/>
      <c r="N379" s="18"/>
      <c r="O379" s="18"/>
      <c r="P379" s="18"/>
      <c r="Q379" s="17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7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U379" s="18"/>
      <c r="AV379" s="18"/>
      <c r="AW379" s="18"/>
      <c r="AX379" s="18"/>
    </row>
    <row r="380" spans="1:50" ht="15">
      <c r="A380" s="18"/>
      <c r="B380" s="18"/>
      <c r="C380" s="18"/>
      <c r="D380" s="18"/>
      <c r="E380" s="18"/>
      <c r="F380" s="18"/>
      <c r="G380" s="18"/>
      <c r="H380" s="18"/>
      <c r="I380" s="17"/>
      <c r="J380" s="18"/>
      <c r="K380" s="17"/>
      <c r="L380" s="18"/>
      <c r="M380" s="20"/>
      <c r="N380" s="18"/>
      <c r="O380" s="18"/>
      <c r="P380" s="18"/>
      <c r="Q380" s="17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7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</row>
    <row r="381" spans="1:50" ht="15">
      <c r="A381" s="18"/>
      <c r="B381" s="18"/>
      <c r="C381" s="18"/>
      <c r="D381" s="18"/>
      <c r="E381" s="18"/>
      <c r="F381" s="18"/>
      <c r="G381" s="18"/>
      <c r="H381" s="18"/>
      <c r="I381" s="17"/>
      <c r="J381" s="18"/>
      <c r="K381" s="17"/>
      <c r="L381" s="18"/>
      <c r="M381" s="20"/>
      <c r="N381" s="18"/>
      <c r="O381" s="18"/>
      <c r="P381" s="18"/>
      <c r="Q381" s="17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7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  <c r="AS381" s="18"/>
      <c r="AT381" s="18"/>
      <c r="AU381" s="18"/>
      <c r="AV381" s="18"/>
      <c r="AW381" s="18"/>
      <c r="AX381" s="18"/>
    </row>
    <row r="382" spans="1:50" ht="15">
      <c r="A382" s="18"/>
      <c r="B382" s="18"/>
      <c r="C382" s="18"/>
      <c r="D382" s="18"/>
      <c r="E382" s="18"/>
      <c r="F382" s="18"/>
      <c r="G382" s="18"/>
      <c r="H382" s="18"/>
      <c r="I382" s="17"/>
      <c r="J382" s="18"/>
      <c r="K382" s="17"/>
      <c r="L382" s="18"/>
      <c r="M382" s="20"/>
      <c r="N382" s="18"/>
      <c r="O382" s="18"/>
      <c r="P382" s="18"/>
      <c r="Q382" s="17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7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</row>
    <row r="383" spans="1:50" ht="15">
      <c r="A383" s="18"/>
      <c r="B383" s="18"/>
      <c r="C383" s="18"/>
      <c r="D383" s="18"/>
      <c r="E383" s="18"/>
      <c r="F383" s="18"/>
      <c r="G383" s="18"/>
      <c r="H383" s="18"/>
      <c r="I383" s="17"/>
      <c r="J383" s="18"/>
      <c r="K383" s="17"/>
      <c r="L383" s="18"/>
      <c r="M383" s="20"/>
      <c r="N383" s="18"/>
      <c r="O383" s="18"/>
      <c r="P383" s="18"/>
      <c r="Q383" s="17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7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</row>
    <row r="384" spans="1:50" ht="15">
      <c r="A384" s="18"/>
      <c r="B384" s="18"/>
      <c r="C384" s="18"/>
      <c r="D384" s="18"/>
      <c r="E384" s="18"/>
      <c r="F384" s="18"/>
      <c r="G384" s="18"/>
      <c r="H384" s="18"/>
      <c r="I384" s="17"/>
      <c r="J384" s="18"/>
      <c r="K384" s="17"/>
      <c r="L384" s="18"/>
      <c r="M384" s="20"/>
      <c r="N384" s="18"/>
      <c r="O384" s="18"/>
      <c r="P384" s="18"/>
      <c r="Q384" s="17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7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  <c r="AS384" s="18"/>
      <c r="AT384" s="18"/>
      <c r="AU384" s="18"/>
      <c r="AV384" s="18"/>
      <c r="AW384" s="18"/>
      <c r="AX384" s="18"/>
    </row>
    <row r="385" spans="1:50" ht="15">
      <c r="A385" s="18"/>
      <c r="B385" s="18"/>
      <c r="C385" s="18"/>
      <c r="D385" s="18"/>
      <c r="E385" s="18"/>
      <c r="F385" s="18"/>
      <c r="G385" s="18"/>
      <c r="H385" s="18"/>
      <c r="I385" s="17"/>
      <c r="J385" s="18"/>
      <c r="K385" s="17"/>
      <c r="L385" s="18"/>
      <c r="M385" s="20"/>
      <c r="N385" s="18"/>
      <c r="O385" s="18"/>
      <c r="P385" s="18"/>
      <c r="Q385" s="17"/>
      <c r="R385" s="18"/>
      <c r="S385" s="18"/>
      <c r="T385" s="18"/>
      <c r="U385" s="18"/>
      <c r="V385" s="18"/>
      <c r="W385" s="18"/>
      <c r="X385" s="18"/>
      <c r="Y385" s="18"/>
      <c r="Z385" s="18"/>
      <c r="AA385" s="18"/>
      <c r="AB385" s="17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  <c r="AS385" s="18"/>
      <c r="AT385" s="18"/>
      <c r="AU385" s="18"/>
      <c r="AV385" s="18"/>
      <c r="AW385" s="18"/>
      <c r="AX385" s="18"/>
    </row>
    <row r="386" spans="1:50" ht="15">
      <c r="A386" s="18"/>
      <c r="B386" s="18"/>
      <c r="C386" s="18"/>
      <c r="D386" s="18"/>
      <c r="E386" s="18"/>
      <c r="F386" s="18"/>
      <c r="G386" s="18"/>
      <c r="H386" s="18"/>
      <c r="I386" s="17"/>
      <c r="J386" s="18"/>
      <c r="K386" s="17"/>
      <c r="L386" s="18"/>
      <c r="M386" s="20"/>
      <c r="N386" s="18"/>
      <c r="O386" s="18"/>
      <c r="P386" s="18"/>
      <c r="Q386" s="17"/>
      <c r="R386" s="18"/>
      <c r="S386" s="18"/>
      <c r="T386" s="18"/>
      <c r="U386" s="18"/>
      <c r="V386" s="18"/>
      <c r="W386" s="18"/>
      <c r="X386" s="18"/>
      <c r="Y386" s="18"/>
      <c r="Z386" s="18"/>
      <c r="AA386" s="18"/>
      <c r="AB386" s="17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  <c r="AS386" s="18"/>
      <c r="AT386" s="18"/>
      <c r="AU386" s="18"/>
      <c r="AV386" s="18"/>
      <c r="AW386" s="18"/>
      <c r="AX386" s="18"/>
    </row>
    <row r="387" spans="1:50" ht="15">
      <c r="A387" s="18"/>
      <c r="B387" s="18"/>
      <c r="C387" s="18"/>
      <c r="D387" s="18"/>
      <c r="E387" s="18"/>
      <c r="F387" s="18"/>
      <c r="G387" s="18"/>
      <c r="H387" s="18"/>
      <c r="I387" s="17"/>
      <c r="J387" s="18"/>
      <c r="K387" s="17"/>
      <c r="L387" s="18"/>
      <c r="M387" s="20"/>
      <c r="N387" s="18"/>
      <c r="O387" s="18"/>
      <c r="P387" s="18"/>
      <c r="Q387" s="17"/>
      <c r="R387" s="18"/>
      <c r="S387" s="18"/>
      <c r="T387" s="18"/>
      <c r="U387" s="18"/>
      <c r="V387" s="18"/>
      <c r="W387" s="18"/>
      <c r="X387" s="18"/>
      <c r="Y387" s="18"/>
      <c r="Z387" s="18"/>
      <c r="AA387" s="18"/>
      <c r="AB387" s="17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U387" s="18"/>
      <c r="AV387" s="18"/>
      <c r="AW387" s="18"/>
      <c r="AX387" s="18"/>
    </row>
    <row r="388" spans="1:50" ht="15">
      <c r="A388" s="18"/>
      <c r="B388" s="18"/>
      <c r="C388" s="18"/>
      <c r="D388" s="18"/>
      <c r="E388" s="18"/>
      <c r="F388" s="18"/>
      <c r="G388" s="18"/>
      <c r="H388" s="18"/>
      <c r="I388" s="17"/>
      <c r="J388" s="18"/>
      <c r="K388" s="17"/>
      <c r="L388" s="18"/>
      <c r="M388" s="20"/>
      <c r="N388" s="18"/>
      <c r="O388" s="18"/>
      <c r="P388" s="18"/>
      <c r="Q388" s="17"/>
      <c r="R388" s="18"/>
      <c r="S388" s="18"/>
      <c r="T388" s="18"/>
      <c r="U388" s="18"/>
      <c r="V388" s="18"/>
      <c r="W388" s="18"/>
      <c r="X388" s="18"/>
      <c r="Y388" s="18"/>
      <c r="Z388" s="18"/>
      <c r="AA388" s="18"/>
      <c r="AB388" s="17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</row>
    <row r="389" spans="1:50" ht="15">
      <c r="A389" s="18"/>
      <c r="B389" s="18"/>
      <c r="C389" s="18"/>
      <c r="D389" s="18"/>
      <c r="E389" s="18"/>
      <c r="F389" s="18"/>
      <c r="G389" s="18"/>
      <c r="H389" s="18"/>
      <c r="I389" s="17"/>
      <c r="J389" s="18"/>
      <c r="K389" s="17"/>
      <c r="L389" s="18"/>
      <c r="M389" s="20"/>
      <c r="N389" s="18"/>
      <c r="O389" s="18"/>
      <c r="P389" s="18"/>
      <c r="Q389" s="17"/>
      <c r="R389" s="18"/>
      <c r="S389" s="18"/>
      <c r="T389" s="18"/>
      <c r="U389" s="18"/>
      <c r="V389" s="18"/>
      <c r="W389" s="18"/>
      <c r="X389" s="18"/>
      <c r="Y389" s="18"/>
      <c r="Z389" s="18"/>
      <c r="AA389" s="18"/>
      <c r="AB389" s="17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U389" s="18"/>
      <c r="AV389" s="18"/>
      <c r="AW389" s="18"/>
      <c r="AX389" s="18"/>
    </row>
    <row r="390" spans="1:50" ht="15">
      <c r="A390" s="18"/>
      <c r="B390" s="18"/>
      <c r="C390" s="18"/>
      <c r="D390" s="18"/>
      <c r="E390" s="18"/>
      <c r="F390" s="18"/>
      <c r="G390" s="18"/>
      <c r="H390" s="18"/>
      <c r="I390" s="17"/>
      <c r="J390" s="18"/>
      <c r="K390" s="17"/>
      <c r="L390" s="18"/>
      <c r="M390" s="20"/>
      <c r="N390" s="18"/>
      <c r="O390" s="18"/>
      <c r="P390" s="18"/>
      <c r="Q390" s="17"/>
      <c r="R390" s="18"/>
      <c r="S390" s="18"/>
      <c r="T390" s="18"/>
      <c r="U390" s="18"/>
      <c r="V390" s="18"/>
      <c r="W390" s="18"/>
      <c r="X390" s="18"/>
      <c r="Y390" s="18"/>
      <c r="Z390" s="18"/>
      <c r="AA390" s="18"/>
      <c r="AB390" s="17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 s="18"/>
      <c r="AV390" s="18"/>
      <c r="AW390" s="18"/>
      <c r="AX390" s="18"/>
    </row>
    <row r="391" spans="1:50" ht="15">
      <c r="A391" s="18"/>
      <c r="B391" s="18"/>
      <c r="C391" s="18"/>
      <c r="D391" s="18"/>
      <c r="E391" s="18"/>
      <c r="F391" s="18"/>
      <c r="G391" s="18"/>
      <c r="H391" s="18"/>
      <c r="I391" s="17"/>
      <c r="J391" s="18"/>
      <c r="K391" s="17"/>
      <c r="L391" s="18"/>
      <c r="M391" s="20"/>
      <c r="N391" s="18"/>
      <c r="O391" s="18"/>
      <c r="P391" s="18"/>
      <c r="Q391" s="17"/>
      <c r="R391" s="18"/>
      <c r="S391" s="18"/>
      <c r="T391" s="18"/>
      <c r="U391" s="18"/>
      <c r="V391" s="18"/>
      <c r="W391" s="18"/>
      <c r="X391" s="18"/>
      <c r="Y391" s="18"/>
      <c r="Z391" s="18"/>
      <c r="AA391" s="18"/>
      <c r="AB391" s="17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 s="18"/>
      <c r="AV391" s="18"/>
      <c r="AW391" s="18"/>
      <c r="AX391" s="18"/>
    </row>
    <row r="392" spans="1:50" ht="15">
      <c r="A392" s="18"/>
      <c r="B392" s="18"/>
      <c r="C392" s="18"/>
      <c r="D392" s="18"/>
      <c r="E392" s="18"/>
      <c r="F392" s="18"/>
      <c r="G392" s="18"/>
      <c r="H392" s="18"/>
      <c r="I392" s="17"/>
      <c r="J392" s="18"/>
      <c r="K392" s="17"/>
      <c r="L392" s="18"/>
      <c r="M392" s="20"/>
      <c r="N392" s="18"/>
      <c r="O392" s="18"/>
      <c r="P392" s="18"/>
      <c r="Q392" s="17"/>
      <c r="R392" s="18"/>
      <c r="S392" s="18"/>
      <c r="T392" s="18"/>
      <c r="U392" s="18"/>
      <c r="V392" s="18"/>
      <c r="W392" s="18"/>
      <c r="X392" s="18"/>
      <c r="Y392" s="18"/>
      <c r="Z392" s="18"/>
      <c r="AA392" s="18"/>
      <c r="AB392" s="17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U392" s="18"/>
      <c r="AV392" s="18"/>
      <c r="AW392" s="18"/>
      <c r="AX392" s="18"/>
    </row>
    <row r="393" spans="1:50" ht="15">
      <c r="A393" s="18"/>
      <c r="B393" s="18"/>
      <c r="C393" s="18"/>
      <c r="D393" s="18"/>
      <c r="E393" s="18"/>
      <c r="F393" s="18"/>
      <c r="G393" s="18"/>
      <c r="H393" s="18"/>
      <c r="I393" s="17"/>
      <c r="J393" s="18"/>
      <c r="K393" s="17"/>
      <c r="L393" s="18"/>
      <c r="M393" s="20"/>
      <c r="N393" s="18"/>
      <c r="O393" s="18"/>
      <c r="P393" s="18"/>
      <c r="Q393" s="17"/>
      <c r="R393" s="18"/>
      <c r="S393" s="18"/>
      <c r="T393" s="18"/>
      <c r="U393" s="18"/>
      <c r="V393" s="18"/>
      <c r="W393" s="18"/>
      <c r="X393" s="18"/>
      <c r="Y393" s="18"/>
      <c r="Z393" s="18"/>
      <c r="AA393" s="18"/>
      <c r="AB393" s="17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U393" s="18"/>
      <c r="AV393" s="18"/>
      <c r="AW393" s="18"/>
      <c r="AX393" s="18"/>
    </row>
    <row r="394" spans="1:50" ht="15">
      <c r="A394" s="18"/>
      <c r="B394" s="18"/>
      <c r="C394" s="18"/>
      <c r="D394" s="18"/>
      <c r="E394" s="18"/>
      <c r="F394" s="18"/>
      <c r="G394" s="18"/>
      <c r="H394" s="18"/>
      <c r="I394" s="17"/>
      <c r="J394" s="18"/>
      <c r="K394" s="17"/>
      <c r="L394" s="18"/>
      <c r="M394" s="20"/>
      <c r="N394" s="18"/>
      <c r="O394" s="18"/>
      <c r="P394" s="18"/>
      <c r="Q394" s="17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7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U394" s="18"/>
      <c r="AV394" s="18"/>
      <c r="AW394" s="18"/>
      <c r="AX394" s="18"/>
    </row>
    <row r="395" spans="1:50" ht="15">
      <c r="A395" s="18"/>
      <c r="B395" s="18"/>
      <c r="C395" s="18"/>
      <c r="D395" s="18"/>
      <c r="E395" s="18"/>
      <c r="F395" s="18"/>
      <c r="G395" s="18"/>
      <c r="H395" s="18"/>
      <c r="I395" s="17"/>
      <c r="J395" s="18"/>
      <c r="K395" s="17"/>
      <c r="L395" s="18"/>
      <c r="M395" s="20"/>
      <c r="N395" s="18"/>
      <c r="O395" s="18"/>
      <c r="P395" s="18"/>
      <c r="Q395" s="17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7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</row>
    <row r="396" spans="1:50" ht="15">
      <c r="A396" s="18"/>
      <c r="B396" s="18"/>
      <c r="C396" s="18"/>
      <c r="D396" s="18"/>
      <c r="E396" s="18"/>
      <c r="F396" s="18"/>
      <c r="G396" s="18"/>
      <c r="H396" s="18"/>
      <c r="I396" s="17"/>
      <c r="J396" s="18"/>
      <c r="K396" s="17"/>
      <c r="L396" s="18"/>
      <c r="M396" s="20"/>
      <c r="N396" s="18"/>
      <c r="O396" s="18"/>
      <c r="P396" s="18"/>
      <c r="Q396" s="17"/>
      <c r="R396" s="18"/>
      <c r="S396" s="18"/>
      <c r="T396" s="18"/>
      <c r="U396" s="18"/>
      <c r="V396" s="18"/>
      <c r="W396" s="18"/>
      <c r="X396" s="18"/>
      <c r="Y396" s="18"/>
      <c r="Z396" s="18"/>
      <c r="AA396" s="18"/>
      <c r="AB396" s="17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 s="18"/>
      <c r="AV396" s="18"/>
      <c r="AW396" s="18"/>
      <c r="AX396" s="18"/>
    </row>
    <row r="397" spans="1:50" ht="15">
      <c r="A397" s="18"/>
      <c r="B397" s="18"/>
      <c r="C397" s="18"/>
      <c r="D397" s="18"/>
      <c r="E397" s="18"/>
      <c r="F397" s="18"/>
      <c r="G397" s="18"/>
      <c r="H397" s="18"/>
      <c r="I397" s="17"/>
      <c r="J397" s="18"/>
      <c r="K397" s="17"/>
      <c r="L397" s="18"/>
      <c r="M397" s="20"/>
      <c r="N397" s="18"/>
      <c r="O397" s="18"/>
      <c r="P397" s="18"/>
      <c r="Q397" s="17"/>
      <c r="R397" s="18"/>
      <c r="S397" s="18"/>
      <c r="T397" s="18"/>
      <c r="U397" s="18"/>
      <c r="V397" s="18"/>
      <c r="W397" s="18"/>
      <c r="X397" s="18"/>
      <c r="Y397" s="18"/>
      <c r="Z397" s="18"/>
      <c r="AA397" s="18"/>
      <c r="AB397" s="17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U397" s="18"/>
      <c r="AV397" s="18"/>
      <c r="AW397" s="18"/>
      <c r="AX397" s="18"/>
    </row>
    <row r="398" spans="1:50" ht="15">
      <c r="A398" s="18"/>
      <c r="B398" s="18"/>
      <c r="C398" s="18"/>
      <c r="D398" s="18"/>
      <c r="E398" s="18"/>
      <c r="F398" s="18"/>
      <c r="G398" s="18"/>
      <c r="H398" s="18"/>
      <c r="I398" s="17"/>
      <c r="J398" s="18"/>
      <c r="K398" s="17"/>
      <c r="L398" s="18"/>
      <c r="M398" s="20"/>
      <c r="N398" s="18"/>
      <c r="O398" s="18"/>
      <c r="P398" s="18"/>
      <c r="Q398" s="17"/>
      <c r="R398" s="18"/>
      <c r="S398" s="18"/>
      <c r="T398" s="18"/>
      <c r="U398" s="18"/>
      <c r="V398" s="18"/>
      <c r="W398" s="18"/>
      <c r="X398" s="18"/>
      <c r="Y398" s="18"/>
      <c r="Z398" s="18"/>
      <c r="AA398" s="18"/>
      <c r="AB398" s="17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U398" s="18"/>
      <c r="AV398" s="18"/>
      <c r="AW398" s="18"/>
      <c r="AX398" s="18"/>
    </row>
    <row r="399" spans="1:50" ht="15">
      <c r="A399" s="18"/>
      <c r="B399" s="18"/>
      <c r="C399" s="18"/>
      <c r="D399" s="18"/>
      <c r="E399" s="18"/>
      <c r="F399" s="18"/>
      <c r="G399" s="18"/>
      <c r="H399" s="18"/>
      <c r="I399" s="17"/>
      <c r="J399" s="18"/>
      <c r="K399" s="17"/>
      <c r="L399" s="18"/>
      <c r="M399" s="20"/>
      <c r="N399" s="18"/>
      <c r="O399" s="18"/>
      <c r="P399" s="18"/>
      <c r="Q399" s="17"/>
      <c r="R399" s="18"/>
      <c r="S399" s="18"/>
      <c r="T399" s="18"/>
      <c r="U399" s="18"/>
      <c r="V399" s="18"/>
      <c r="W399" s="18"/>
      <c r="X399" s="18"/>
      <c r="Y399" s="18"/>
      <c r="Z399" s="18"/>
      <c r="AA399" s="18"/>
      <c r="AB399" s="17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U399" s="18"/>
      <c r="AV399" s="18"/>
      <c r="AW399" s="18"/>
      <c r="AX399" s="18"/>
    </row>
    <row r="400" spans="1:50" ht="15">
      <c r="A400" s="18"/>
      <c r="B400" s="18"/>
      <c r="C400" s="18"/>
      <c r="D400" s="18"/>
      <c r="E400" s="18"/>
      <c r="F400" s="18"/>
      <c r="G400" s="18"/>
      <c r="H400" s="18"/>
      <c r="I400" s="17"/>
      <c r="J400" s="18"/>
      <c r="K400" s="17"/>
      <c r="L400" s="18"/>
      <c r="M400" s="20"/>
      <c r="N400" s="18"/>
      <c r="O400" s="18"/>
      <c r="P400" s="18"/>
      <c r="Q400" s="17"/>
      <c r="R400" s="18"/>
      <c r="S400" s="18"/>
      <c r="T400" s="18"/>
      <c r="U400" s="18"/>
      <c r="V400" s="18"/>
      <c r="W400" s="18"/>
      <c r="X400" s="18"/>
      <c r="Y400" s="18"/>
      <c r="Z400" s="18"/>
      <c r="AA400" s="18"/>
      <c r="AB400" s="17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  <c r="AS400" s="18"/>
      <c r="AT400" s="18"/>
      <c r="AU400" s="18"/>
      <c r="AV400" s="18"/>
      <c r="AW400" s="18"/>
      <c r="AX400" s="18"/>
    </row>
    <row r="401" spans="1:50" ht="15">
      <c r="A401" s="18"/>
      <c r="B401" s="18"/>
      <c r="C401" s="18"/>
      <c r="D401" s="18"/>
      <c r="E401" s="18"/>
      <c r="F401" s="18"/>
      <c r="G401" s="18"/>
      <c r="H401" s="18"/>
      <c r="I401" s="17"/>
      <c r="J401" s="18"/>
      <c r="K401" s="17"/>
      <c r="L401" s="18"/>
      <c r="M401" s="20"/>
      <c r="N401" s="18"/>
      <c r="O401" s="18"/>
      <c r="P401" s="18"/>
      <c r="Q401" s="17"/>
      <c r="R401" s="18"/>
      <c r="S401" s="18"/>
      <c r="T401" s="18"/>
      <c r="U401" s="18"/>
      <c r="V401" s="18"/>
      <c r="W401" s="18"/>
      <c r="X401" s="18"/>
      <c r="Y401" s="18"/>
      <c r="Z401" s="18"/>
      <c r="AA401" s="18"/>
      <c r="AB401" s="17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  <c r="AS401" s="18"/>
      <c r="AT401" s="18"/>
      <c r="AU401" s="18"/>
      <c r="AV401" s="18"/>
      <c r="AW401" s="18"/>
      <c r="AX401" s="18"/>
    </row>
    <row r="402" spans="1:50" ht="15">
      <c r="A402" s="18"/>
      <c r="B402" s="18"/>
      <c r="C402" s="18"/>
      <c r="D402" s="18"/>
      <c r="E402" s="18"/>
      <c r="F402" s="18"/>
      <c r="G402" s="18"/>
      <c r="H402" s="18"/>
      <c r="I402" s="17"/>
      <c r="J402" s="18"/>
      <c r="K402" s="17"/>
      <c r="L402" s="18"/>
      <c r="M402" s="20"/>
      <c r="N402" s="18"/>
      <c r="O402" s="18"/>
      <c r="P402" s="18"/>
      <c r="Q402" s="17"/>
      <c r="R402" s="18"/>
      <c r="S402" s="18"/>
      <c r="T402" s="18"/>
      <c r="U402" s="18"/>
      <c r="V402" s="18"/>
      <c r="W402" s="18"/>
      <c r="X402" s="18"/>
      <c r="Y402" s="18"/>
      <c r="Z402" s="18"/>
      <c r="AA402" s="18"/>
      <c r="AB402" s="17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 s="18"/>
      <c r="AV402" s="18"/>
      <c r="AW402" s="18"/>
      <c r="AX402" s="18"/>
    </row>
    <row r="403" spans="1:50" ht="15">
      <c r="A403" s="18"/>
      <c r="B403" s="18"/>
      <c r="C403" s="18"/>
      <c r="D403" s="18"/>
      <c r="E403" s="18"/>
      <c r="F403" s="18"/>
      <c r="G403" s="18"/>
      <c r="H403" s="18"/>
      <c r="I403" s="17"/>
      <c r="J403" s="18"/>
      <c r="K403" s="17"/>
      <c r="L403" s="18"/>
      <c r="M403" s="20"/>
      <c r="N403" s="18"/>
      <c r="O403" s="18"/>
      <c r="P403" s="18"/>
      <c r="Q403" s="17"/>
      <c r="R403" s="18"/>
      <c r="S403" s="18"/>
      <c r="T403" s="18"/>
      <c r="U403" s="18"/>
      <c r="V403" s="18"/>
      <c r="W403" s="18"/>
      <c r="X403" s="18"/>
      <c r="Y403" s="18"/>
      <c r="Z403" s="18"/>
      <c r="AA403" s="18"/>
      <c r="AB403" s="17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</row>
    <row r="404" spans="1:50" ht="15">
      <c r="A404" s="18"/>
      <c r="B404" s="18"/>
      <c r="C404" s="18"/>
      <c r="D404" s="18"/>
      <c r="E404" s="18"/>
      <c r="F404" s="18"/>
      <c r="G404" s="18"/>
      <c r="H404" s="18"/>
      <c r="I404" s="17"/>
      <c r="J404" s="18"/>
      <c r="K404" s="17"/>
      <c r="L404" s="18"/>
      <c r="M404" s="20"/>
      <c r="N404" s="18"/>
      <c r="O404" s="18"/>
      <c r="P404" s="18"/>
      <c r="Q404" s="17"/>
      <c r="R404" s="18"/>
      <c r="S404" s="18"/>
      <c r="T404" s="18"/>
      <c r="U404" s="18"/>
      <c r="V404" s="18"/>
      <c r="W404" s="18"/>
      <c r="X404" s="18"/>
      <c r="Y404" s="18"/>
      <c r="Z404" s="18"/>
      <c r="AA404" s="18"/>
      <c r="AB404" s="17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U404" s="18"/>
      <c r="AV404" s="18"/>
      <c r="AW404" s="18"/>
      <c r="AX404" s="18"/>
    </row>
    <row r="405" spans="1:50" ht="15">
      <c r="A405" s="18"/>
      <c r="B405" s="18"/>
      <c r="C405" s="18"/>
      <c r="D405" s="18"/>
      <c r="E405" s="18"/>
      <c r="F405" s="18"/>
      <c r="G405" s="18"/>
      <c r="H405" s="18"/>
      <c r="I405" s="17"/>
      <c r="J405" s="18"/>
      <c r="K405" s="17"/>
      <c r="L405" s="18"/>
      <c r="M405" s="20"/>
      <c r="N405" s="18"/>
      <c r="O405" s="18"/>
      <c r="P405" s="18"/>
      <c r="Q405" s="17"/>
      <c r="R405" s="18"/>
      <c r="S405" s="18"/>
      <c r="T405" s="18"/>
      <c r="U405" s="18"/>
      <c r="V405" s="18"/>
      <c r="W405" s="18"/>
      <c r="X405" s="18"/>
      <c r="Y405" s="18"/>
      <c r="Z405" s="18"/>
      <c r="AA405" s="18"/>
      <c r="AB405" s="17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U405" s="18"/>
      <c r="AV405" s="18"/>
      <c r="AW405" s="18"/>
      <c r="AX405" s="18"/>
    </row>
    <row r="406" spans="1:50" ht="15">
      <c r="A406" s="18"/>
      <c r="B406" s="18"/>
      <c r="C406" s="18"/>
      <c r="D406" s="18"/>
      <c r="E406" s="18"/>
      <c r="F406" s="18"/>
      <c r="G406" s="18"/>
      <c r="H406" s="18"/>
      <c r="I406" s="17"/>
      <c r="J406" s="18"/>
      <c r="K406" s="17"/>
      <c r="L406" s="18"/>
      <c r="M406" s="20"/>
      <c r="N406" s="18"/>
      <c r="O406" s="18"/>
      <c r="P406" s="18"/>
      <c r="Q406" s="17"/>
      <c r="R406" s="18"/>
      <c r="S406" s="18"/>
      <c r="T406" s="18"/>
      <c r="U406" s="18"/>
      <c r="V406" s="18"/>
      <c r="W406" s="18"/>
      <c r="X406" s="18"/>
      <c r="Y406" s="18"/>
      <c r="Z406" s="18"/>
      <c r="AA406" s="18"/>
      <c r="AB406" s="17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  <c r="AS406" s="18"/>
      <c r="AT406" s="18"/>
      <c r="AU406" s="18"/>
      <c r="AV406" s="18"/>
      <c r="AW406" s="18"/>
      <c r="AX406" s="18"/>
    </row>
    <row r="407" spans="1:50" ht="15">
      <c r="A407" s="18"/>
      <c r="B407" s="18"/>
      <c r="C407" s="18"/>
      <c r="D407" s="18"/>
      <c r="E407" s="18"/>
      <c r="F407" s="18"/>
      <c r="G407" s="18"/>
      <c r="H407" s="18"/>
      <c r="I407" s="17"/>
      <c r="J407" s="18"/>
      <c r="K407" s="17"/>
      <c r="L407" s="18"/>
      <c r="M407" s="20"/>
      <c r="N407" s="18"/>
      <c r="O407" s="18"/>
      <c r="P407" s="18"/>
      <c r="Q407" s="17"/>
      <c r="R407" s="18"/>
      <c r="S407" s="18"/>
      <c r="T407" s="18"/>
      <c r="U407" s="18"/>
      <c r="V407" s="18"/>
      <c r="W407" s="18"/>
      <c r="X407" s="18"/>
      <c r="Y407" s="18"/>
      <c r="Z407" s="18"/>
      <c r="AA407" s="18"/>
      <c r="AB407" s="17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 s="18"/>
      <c r="AV407" s="18"/>
      <c r="AW407" s="18"/>
      <c r="AX407" s="18"/>
    </row>
    <row r="408" spans="1:50" ht="15">
      <c r="A408" s="18"/>
      <c r="B408" s="18"/>
      <c r="C408" s="18"/>
      <c r="D408" s="18"/>
      <c r="E408" s="18"/>
      <c r="F408" s="18"/>
      <c r="G408" s="18"/>
      <c r="H408" s="18"/>
      <c r="I408" s="17"/>
      <c r="J408" s="18"/>
      <c r="K408" s="17"/>
      <c r="L408" s="18"/>
      <c r="M408" s="20"/>
      <c r="N408" s="18"/>
      <c r="O408" s="18"/>
      <c r="P408" s="18"/>
      <c r="Q408" s="17"/>
      <c r="R408" s="18"/>
      <c r="S408" s="18"/>
      <c r="T408" s="18"/>
      <c r="U408" s="18"/>
      <c r="V408" s="18"/>
      <c r="W408" s="18"/>
      <c r="X408" s="18"/>
      <c r="Y408" s="18"/>
      <c r="Z408" s="18"/>
      <c r="AA408" s="18"/>
      <c r="AB408" s="17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  <c r="AS408" s="18"/>
      <c r="AT408" s="18"/>
      <c r="AU408" s="18"/>
      <c r="AV408" s="18"/>
      <c r="AW408" s="18"/>
      <c r="AX408" s="18"/>
    </row>
    <row r="409" spans="1:50" ht="15">
      <c r="A409" s="18"/>
      <c r="B409" s="18"/>
      <c r="C409" s="18"/>
      <c r="D409" s="18"/>
      <c r="E409" s="18"/>
      <c r="F409" s="18"/>
      <c r="G409" s="18"/>
      <c r="H409" s="18"/>
      <c r="I409" s="17"/>
      <c r="J409" s="18"/>
      <c r="K409" s="17"/>
      <c r="L409" s="18"/>
      <c r="M409" s="20"/>
      <c r="N409" s="18"/>
      <c r="O409" s="18"/>
      <c r="P409" s="18"/>
      <c r="Q409" s="17"/>
      <c r="R409" s="18"/>
      <c r="S409" s="18"/>
      <c r="T409" s="18"/>
      <c r="U409" s="18"/>
      <c r="V409" s="18"/>
      <c r="W409" s="18"/>
      <c r="X409" s="18"/>
      <c r="Y409" s="18"/>
      <c r="Z409" s="18"/>
      <c r="AA409" s="18"/>
      <c r="AB409" s="17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  <c r="AS409" s="18"/>
      <c r="AT409" s="18"/>
      <c r="AU409" s="18"/>
      <c r="AV409" s="18"/>
      <c r="AW409" s="18"/>
      <c r="AX409" s="18"/>
    </row>
    <row r="410" spans="1:50" ht="15">
      <c r="A410" s="18"/>
      <c r="B410" s="18"/>
      <c r="C410" s="18"/>
      <c r="D410" s="18"/>
      <c r="E410" s="18"/>
      <c r="F410" s="18"/>
      <c r="G410" s="18"/>
      <c r="H410" s="18"/>
      <c r="I410" s="17"/>
      <c r="J410" s="18"/>
      <c r="K410" s="17"/>
      <c r="L410" s="18"/>
      <c r="M410" s="20"/>
      <c r="N410" s="18"/>
      <c r="O410" s="18"/>
      <c r="P410" s="18"/>
      <c r="Q410" s="17"/>
      <c r="R410" s="18"/>
      <c r="S410" s="18"/>
      <c r="T410" s="18"/>
      <c r="U410" s="18"/>
      <c r="V410" s="18"/>
      <c r="W410" s="18"/>
      <c r="X410" s="18"/>
      <c r="Y410" s="18"/>
      <c r="Z410" s="18"/>
      <c r="AA410" s="18"/>
      <c r="AB410" s="17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  <c r="AS410" s="18"/>
      <c r="AT410" s="18"/>
      <c r="AU410" s="18"/>
      <c r="AV410" s="18"/>
      <c r="AW410" s="18"/>
      <c r="AX410" s="18"/>
    </row>
    <row r="411" spans="1:50" ht="15">
      <c r="A411" s="18"/>
      <c r="B411" s="18"/>
      <c r="C411" s="18"/>
      <c r="D411" s="18"/>
      <c r="E411" s="18"/>
      <c r="F411" s="18"/>
      <c r="G411" s="18"/>
      <c r="H411" s="18"/>
      <c r="I411" s="17"/>
      <c r="J411" s="18"/>
      <c r="K411" s="17"/>
      <c r="L411" s="18"/>
      <c r="M411" s="20"/>
      <c r="N411" s="18"/>
      <c r="O411" s="18"/>
      <c r="P411" s="18"/>
      <c r="Q411" s="17"/>
      <c r="R411" s="18"/>
      <c r="S411" s="18"/>
      <c r="T411" s="18"/>
      <c r="U411" s="18"/>
      <c r="V411" s="18"/>
      <c r="W411" s="18"/>
      <c r="X411" s="18"/>
      <c r="Y411" s="18"/>
      <c r="Z411" s="18"/>
      <c r="AA411" s="18"/>
      <c r="AB411" s="17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  <c r="AS411" s="18"/>
      <c r="AT411" s="18"/>
      <c r="AU411" s="18"/>
      <c r="AV411" s="18"/>
      <c r="AW411" s="18"/>
      <c r="AX411" s="18"/>
    </row>
    <row r="412" spans="1:50" ht="15">
      <c r="A412" s="18"/>
      <c r="B412" s="18"/>
      <c r="C412" s="18"/>
      <c r="D412" s="18"/>
      <c r="E412" s="18"/>
      <c r="F412" s="18"/>
      <c r="G412" s="18"/>
      <c r="H412" s="18"/>
      <c r="I412" s="17"/>
      <c r="J412" s="18"/>
      <c r="K412" s="17"/>
      <c r="L412" s="18"/>
      <c r="M412" s="20"/>
      <c r="N412" s="18"/>
      <c r="O412" s="18"/>
      <c r="P412" s="18"/>
      <c r="Q412" s="17"/>
      <c r="R412" s="18"/>
      <c r="S412" s="18"/>
      <c r="T412" s="18"/>
      <c r="U412" s="18"/>
      <c r="V412" s="18"/>
      <c r="W412" s="18"/>
      <c r="X412" s="18"/>
      <c r="Y412" s="18"/>
      <c r="Z412" s="18"/>
      <c r="AA412" s="18"/>
      <c r="AB412" s="17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  <c r="AS412" s="18"/>
      <c r="AT412" s="18"/>
      <c r="AU412" s="18"/>
      <c r="AV412" s="18"/>
      <c r="AW412" s="18"/>
      <c r="AX412" s="18"/>
    </row>
    <row r="413" spans="1:50" ht="15">
      <c r="A413" s="18"/>
      <c r="B413" s="18"/>
      <c r="C413" s="18"/>
      <c r="D413" s="18"/>
      <c r="E413" s="18"/>
      <c r="F413" s="18"/>
      <c r="G413" s="18"/>
      <c r="H413" s="18"/>
      <c r="I413" s="17"/>
      <c r="J413" s="18"/>
      <c r="K413" s="17"/>
      <c r="L413" s="18"/>
      <c r="M413" s="20"/>
      <c r="N413" s="18"/>
      <c r="O413" s="18"/>
      <c r="P413" s="18"/>
      <c r="Q413" s="17"/>
      <c r="R413" s="18"/>
      <c r="S413" s="18"/>
      <c r="T413" s="18"/>
      <c r="U413" s="18"/>
      <c r="V413" s="18"/>
      <c r="W413" s="18"/>
      <c r="X413" s="18"/>
      <c r="Y413" s="18"/>
      <c r="Z413" s="18"/>
      <c r="AA413" s="18"/>
      <c r="AB413" s="17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  <c r="AS413" s="18"/>
      <c r="AT413" s="18"/>
      <c r="AU413" s="18"/>
      <c r="AV413" s="18"/>
      <c r="AW413" s="18"/>
      <c r="AX413" s="18"/>
    </row>
    <row r="414" spans="1:50" ht="15">
      <c r="A414" s="18"/>
      <c r="B414" s="18"/>
      <c r="C414" s="18"/>
      <c r="D414" s="18"/>
      <c r="E414" s="18"/>
      <c r="F414" s="18"/>
      <c r="G414" s="18"/>
      <c r="H414" s="18"/>
      <c r="I414" s="17"/>
      <c r="J414" s="18"/>
      <c r="K414" s="17"/>
      <c r="L414" s="18"/>
      <c r="M414" s="20"/>
      <c r="N414" s="18"/>
      <c r="O414" s="18"/>
      <c r="P414" s="18"/>
      <c r="Q414" s="17"/>
      <c r="R414" s="18"/>
      <c r="S414" s="18"/>
      <c r="T414" s="18"/>
      <c r="U414" s="18"/>
      <c r="V414" s="18"/>
      <c r="W414" s="18"/>
      <c r="X414" s="18"/>
      <c r="Y414" s="18"/>
      <c r="Z414" s="18"/>
      <c r="AA414" s="18"/>
      <c r="AB414" s="17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  <c r="AS414" s="18"/>
      <c r="AT414" s="18"/>
      <c r="AU414" s="18"/>
      <c r="AV414" s="18"/>
      <c r="AW414" s="18"/>
      <c r="AX414" s="18"/>
    </row>
    <row r="415" spans="1:50" ht="15">
      <c r="A415" s="18"/>
      <c r="B415" s="18"/>
      <c r="C415" s="18"/>
      <c r="D415" s="18"/>
      <c r="E415" s="18"/>
      <c r="F415" s="18"/>
      <c r="G415" s="18"/>
      <c r="H415" s="18"/>
      <c r="I415" s="17"/>
      <c r="J415" s="18"/>
      <c r="K415" s="17"/>
      <c r="L415" s="18"/>
      <c r="M415" s="20"/>
      <c r="N415" s="18"/>
      <c r="O415" s="18"/>
      <c r="P415" s="18"/>
      <c r="Q415" s="17"/>
      <c r="R415" s="18"/>
      <c r="S415" s="18"/>
      <c r="T415" s="18"/>
      <c r="U415" s="18"/>
      <c r="V415" s="18"/>
      <c r="W415" s="18"/>
      <c r="X415" s="18"/>
      <c r="Y415" s="18"/>
      <c r="Z415" s="18"/>
      <c r="AA415" s="18"/>
      <c r="AB415" s="17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  <c r="AS415" s="18"/>
      <c r="AT415" s="18"/>
      <c r="AU415" s="18"/>
      <c r="AV415" s="18"/>
      <c r="AW415" s="18"/>
      <c r="AX415" s="18"/>
    </row>
    <row r="416" spans="1:50" ht="15">
      <c r="A416" s="18"/>
      <c r="B416" s="18"/>
      <c r="C416" s="18"/>
      <c r="D416" s="18"/>
      <c r="E416" s="18"/>
      <c r="F416" s="18"/>
      <c r="G416" s="18"/>
      <c r="H416" s="18"/>
      <c r="I416" s="17"/>
      <c r="J416" s="18"/>
      <c r="K416" s="17"/>
      <c r="L416" s="18"/>
      <c r="M416" s="20"/>
      <c r="N416" s="18"/>
      <c r="O416" s="18"/>
      <c r="P416" s="18"/>
      <c r="Q416" s="17"/>
      <c r="R416" s="18"/>
      <c r="S416" s="18"/>
      <c r="T416" s="18"/>
      <c r="U416" s="18"/>
      <c r="V416" s="18"/>
      <c r="W416" s="18"/>
      <c r="X416" s="18"/>
      <c r="Y416" s="18"/>
      <c r="Z416" s="18"/>
      <c r="AA416" s="18"/>
      <c r="AB416" s="17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  <c r="AS416" s="18"/>
      <c r="AT416" s="18"/>
      <c r="AU416" s="18"/>
      <c r="AV416" s="18"/>
      <c r="AW416" s="18"/>
      <c r="AX416" s="18"/>
    </row>
    <row r="417" spans="1:50" ht="15">
      <c r="A417" s="18"/>
      <c r="B417" s="18"/>
      <c r="C417" s="18"/>
      <c r="D417" s="18"/>
      <c r="E417" s="18"/>
      <c r="F417" s="18"/>
      <c r="G417" s="18"/>
      <c r="H417" s="18"/>
      <c r="I417" s="17"/>
      <c r="J417" s="18"/>
      <c r="K417" s="17"/>
      <c r="L417" s="18"/>
      <c r="M417" s="20"/>
      <c r="N417" s="18"/>
      <c r="O417" s="18"/>
      <c r="P417" s="18"/>
      <c r="Q417" s="17"/>
      <c r="R417" s="18"/>
      <c r="S417" s="18"/>
      <c r="T417" s="18"/>
      <c r="U417" s="18"/>
      <c r="V417" s="18"/>
      <c r="W417" s="18"/>
      <c r="X417" s="18"/>
      <c r="Y417" s="18"/>
      <c r="Z417" s="18"/>
      <c r="AA417" s="18"/>
      <c r="AB417" s="17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  <c r="AS417" s="18"/>
      <c r="AT417" s="18"/>
      <c r="AU417" s="18"/>
      <c r="AV417" s="18"/>
      <c r="AW417" s="18"/>
      <c r="AX417" s="18"/>
    </row>
    <row r="418" spans="1:50" ht="15">
      <c r="A418" s="18"/>
      <c r="B418" s="18"/>
      <c r="C418" s="18"/>
      <c r="D418" s="18"/>
      <c r="E418" s="18"/>
      <c r="F418" s="18"/>
      <c r="G418" s="18"/>
      <c r="H418" s="18"/>
      <c r="I418" s="17"/>
      <c r="J418" s="18"/>
      <c r="K418" s="17"/>
      <c r="L418" s="18"/>
      <c r="M418" s="20"/>
      <c r="N418" s="18"/>
      <c r="O418" s="18"/>
      <c r="P418" s="18"/>
      <c r="Q418" s="17"/>
      <c r="R418" s="18"/>
      <c r="S418" s="18"/>
      <c r="T418" s="18"/>
      <c r="U418" s="18"/>
      <c r="V418" s="18"/>
      <c r="W418" s="18"/>
      <c r="X418" s="18"/>
      <c r="Y418" s="18"/>
      <c r="Z418" s="18"/>
      <c r="AA418" s="18"/>
      <c r="AB418" s="17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  <c r="AS418" s="18"/>
      <c r="AT418" s="18"/>
      <c r="AU418" s="18"/>
      <c r="AV418" s="18"/>
      <c r="AW418" s="18"/>
      <c r="AX418" s="18"/>
    </row>
    <row r="419" spans="1:50" ht="15">
      <c r="A419" s="18"/>
      <c r="B419" s="18"/>
      <c r="C419" s="18"/>
      <c r="D419" s="18"/>
      <c r="E419" s="18"/>
      <c r="F419" s="18"/>
      <c r="G419" s="18"/>
      <c r="H419" s="18"/>
      <c r="I419" s="17"/>
      <c r="J419" s="18"/>
      <c r="K419" s="17"/>
      <c r="L419" s="18"/>
      <c r="M419" s="20"/>
      <c r="N419" s="18"/>
      <c r="O419" s="18"/>
      <c r="P419" s="18"/>
      <c r="Q419" s="17"/>
      <c r="R419" s="18"/>
      <c r="S419" s="18"/>
      <c r="T419" s="18"/>
      <c r="U419" s="18"/>
      <c r="V419" s="18"/>
      <c r="W419" s="18"/>
      <c r="X419" s="18"/>
      <c r="Y419" s="18"/>
      <c r="Z419" s="18"/>
      <c r="AA419" s="18"/>
      <c r="AB419" s="17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  <c r="AT419" s="18"/>
      <c r="AU419" s="18"/>
      <c r="AV419" s="18"/>
      <c r="AW419" s="18"/>
      <c r="AX419" s="18"/>
    </row>
    <row r="420" spans="1:50" ht="15">
      <c r="A420" s="18"/>
      <c r="B420" s="18"/>
      <c r="C420" s="18"/>
      <c r="D420" s="18"/>
      <c r="E420" s="18"/>
      <c r="F420" s="18"/>
      <c r="G420" s="18"/>
      <c r="H420" s="18"/>
      <c r="I420" s="17"/>
      <c r="J420" s="18"/>
      <c r="K420" s="17"/>
      <c r="L420" s="18"/>
      <c r="M420" s="20"/>
      <c r="N420" s="18"/>
      <c r="O420" s="18"/>
      <c r="P420" s="18"/>
      <c r="Q420" s="17"/>
      <c r="R420" s="18"/>
      <c r="S420" s="18"/>
      <c r="T420" s="18"/>
      <c r="U420" s="18"/>
      <c r="V420" s="18"/>
      <c r="W420" s="18"/>
      <c r="X420" s="18"/>
      <c r="Y420" s="18"/>
      <c r="Z420" s="18"/>
      <c r="AA420" s="18"/>
      <c r="AB420" s="17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  <c r="AS420" s="18"/>
      <c r="AT420" s="18"/>
      <c r="AU420" s="18"/>
      <c r="AV420" s="18"/>
      <c r="AW420" s="18"/>
      <c r="AX420" s="18"/>
    </row>
    <row r="421" spans="1:50" ht="15">
      <c r="A421" s="18"/>
      <c r="B421" s="18"/>
      <c r="C421" s="18"/>
      <c r="D421" s="18"/>
      <c r="E421" s="18"/>
      <c r="F421" s="18"/>
      <c r="G421" s="18"/>
      <c r="H421" s="18"/>
      <c r="I421" s="17"/>
      <c r="J421" s="18"/>
      <c r="K421" s="17"/>
      <c r="L421" s="18"/>
      <c r="M421" s="20"/>
      <c r="N421" s="18"/>
      <c r="O421" s="18"/>
      <c r="P421" s="18"/>
      <c r="Q421" s="17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7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</row>
    <row r="422" spans="1:50" ht="15">
      <c r="A422" s="18"/>
      <c r="B422" s="18"/>
      <c r="C422" s="18"/>
      <c r="D422" s="18"/>
      <c r="E422" s="18"/>
      <c r="F422" s="18"/>
      <c r="G422" s="18"/>
      <c r="H422" s="18"/>
      <c r="I422" s="17"/>
      <c r="J422" s="18"/>
      <c r="K422" s="17"/>
      <c r="L422" s="18"/>
      <c r="M422" s="20"/>
      <c r="N422" s="18"/>
      <c r="O422" s="18"/>
      <c r="P422" s="18"/>
      <c r="Q422" s="17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7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</row>
    <row r="423" spans="1:50" ht="15">
      <c r="A423" s="18"/>
      <c r="B423" s="18"/>
      <c r="C423" s="18"/>
      <c r="D423" s="18"/>
      <c r="E423" s="18"/>
      <c r="F423" s="18"/>
      <c r="G423" s="18"/>
      <c r="H423" s="18"/>
      <c r="I423" s="17"/>
      <c r="J423" s="18"/>
      <c r="K423" s="17"/>
      <c r="L423" s="18"/>
      <c r="M423" s="20"/>
      <c r="N423" s="18"/>
      <c r="O423" s="18"/>
      <c r="P423" s="18"/>
      <c r="Q423" s="17"/>
      <c r="R423" s="18"/>
      <c r="S423" s="18"/>
      <c r="T423" s="18"/>
      <c r="U423" s="18"/>
      <c r="V423" s="18"/>
      <c r="W423" s="18"/>
      <c r="X423" s="18"/>
      <c r="Y423" s="18"/>
      <c r="Z423" s="18"/>
      <c r="AA423" s="18"/>
      <c r="AB423" s="17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  <c r="AS423" s="18"/>
      <c r="AT423" s="18"/>
      <c r="AU423" s="18"/>
      <c r="AV423" s="18"/>
      <c r="AW423" s="18"/>
      <c r="AX423" s="18"/>
    </row>
    <row r="424" spans="1:50" ht="15">
      <c r="A424" s="18"/>
      <c r="B424" s="18"/>
      <c r="C424" s="18"/>
      <c r="D424" s="18"/>
      <c r="E424" s="18"/>
      <c r="F424" s="18"/>
      <c r="G424" s="18"/>
      <c r="H424" s="18"/>
      <c r="I424" s="17"/>
      <c r="J424" s="18"/>
      <c r="K424" s="17"/>
      <c r="L424" s="18"/>
      <c r="M424" s="20"/>
      <c r="N424" s="18"/>
      <c r="O424" s="18"/>
      <c r="P424" s="18"/>
      <c r="Q424" s="17"/>
      <c r="R424" s="18"/>
      <c r="S424" s="18"/>
      <c r="T424" s="18"/>
      <c r="U424" s="18"/>
      <c r="V424" s="18"/>
      <c r="W424" s="18"/>
      <c r="X424" s="18"/>
      <c r="Y424" s="18"/>
      <c r="Z424" s="18"/>
      <c r="AA424" s="18"/>
      <c r="AB424" s="17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  <c r="AS424" s="18"/>
      <c r="AT424" s="18"/>
      <c r="AU424" s="18"/>
      <c r="AV424" s="18"/>
      <c r="AW424" s="18"/>
      <c r="AX424" s="18"/>
    </row>
    <row r="425" spans="1:50" ht="15">
      <c r="A425" s="18"/>
      <c r="B425" s="18"/>
      <c r="C425" s="18"/>
      <c r="D425" s="18"/>
      <c r="E425" s="18"/>
      <c r="F425" s="18"/>
      <c r="G425" s="18"/>
      <c r="H425" s="18"/>
      <c r="I425" s="17"/>
      <c r="J425" s="18"/>
      <c r="K425" s="17"/>
      <c r="L425" s="18"/>
      <c r="M425" s="20"/>
      <c r="N425" s="18"/>
      <c r="O425" s="18"/>
      <c r="P425" s="18"/>
      <c r="Q425" s="17"/>
      <c r="R425" s="18"/>
      <c r="S425" s="18"/>
      <c r="T425" s="18"/>
      <c r="U425" s="18"/>
      <c r="V425" s="18"/>
      <c r="W425" s="18"/>
      <c r="X425" s="18"/>
      <c r="Y425" s="18"/>
      <c r="Z425" s="18"/>
      <c r="AA425" s="18"/>
      <c r="AB425" s="17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  <c r="AS425" s="18"/>
      <c r="AT425" s="18"/>
      <c r="AU425" s="18"/>
      <c r="AV425" s="18"/>
      <c r="AW425" s="18"/>
      <c r="AX425" s="18"/>
    </row>
    <row r="426" spans="1:50" ht="15">
      <c r="A426" s="18"/>
      <c r="B426" s="18"/>
      <c r="C426" s="18"/>
      <c r="D426" s="18"/>
      <c r="E426" s="18"/>
      <c r="F426" s="18"/>
      <c r="G426" s="18"/>
      <c r="H426" s="18"/>
      <c r="I426" s="17"/>
      <c r="J426" s="18"/>
      <c r="K426" s="17"/>
      <c r="L426" s="18"/>
      <c r="M426" s="20"/>
      <c r="N426" s="18"/>
      <c r="O426" s="18"/>
      <c r="P426" s="18"/>
      <c r="Q426" s="17"/>
      <c r="R426" s="18"/>
      <c r="S426" s="18"/>
      <c r="T426" s="18"/>
      <c r="U426" s="18"/>
      <c r="V426" s="18"/>
      <c r="W426" s="18"/>
      <c r="X426" s="18"/>
      <c r="Y426" s="18"/>
      <c r="Z426" s="18"/>
      <c r="AA426" s="18"/>
      <c r="AB426" s="17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  <c r="AS426" s="18"/>
      <c r="AT426" s="18"/>
      <c r="AU426" s="18"/>
      <c r="AV426" s="18"/>
      <c r="AW426" s="18"/>
      <c r="AX426" s="18"/>
    </row>
    <row r="427" spans="1:50" ht="15">
      <c r="A427" s="18"/>
      <c r="B427" s="18"/>
      <c r="C427" s="18"/>
      <c r="D427" s="18"/>
      <c r="E427" s="18"/>
      <c r="F427" s="18"/>
      <c r="G427" s="18"/>
      <c r="H427" s="18"/>
      <c r="I427" s="17"/>
      <c r="J427" s="18"/>
      <c r="K427" s="17"/>
      <c r="L427" s="18"/>
      <c r="M427" s="20"/>
      <c r="N427" s="18"/>
      <c r="O427" s="18"/>
      <c r="P427" s="18"/>
      <c r="Q427" s="17"/>
      <c r="R427" s="18"/>
      <c r="S427" s="18"/>
      <c r="T427" s="18"/>
      <c r="U427" s="18"/>
      <c r="V427" s="18"/>
      <c r="W427" s="18"/>
      <c r="X427" s="18"/>
      <c r="Y427" s="18"/>
      <c r="Z427" s="18"/>
      <c r="AA427" s="18"/>
      <c r="AB427" s="17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  <c r="AS427" s="18"/>
      <c r="AT427" s="18"/>
      <c r="AU427" s="18"/>
      <c r="AV427" s="18"/>
      <c r="AW427" s="18"/>
      <c r="AX427" s="18"/>
    </row>
    <row r="428" spans="1:50" ht="15">
      <c r="A428" s="18"/>
      <c r="B428" s="18"/>
      <c r="C428" s="18"/>
      <c r="D428" s="18"/>
      <c r="E428" s="18"/>
      <c r="F428" s="18"/>
      <c r="G428" s="18"/>
      <c r="H428" s="18"/>
      <c r="I428" s="17"/>
      <c r="J428" s="18"/>
      <c r="K428" s="17"/>
      <c r="L428" s="18"/>
      <c r="M428" s="20"/>
      <c r="N428" s="18"/>
      <c r="O428" s="18"/>
      <c r="P428" s="18"/>
      <c r="Q428" s="17"/>
      <c r="R428" s="18"/>
      <c r="S428" s="18"/>
      <c r="T428" s="18"/>
      <c r="U428" s="18"/>
      <c r="V428" s="18"/>
      <c r="W428" s="18"/>
      <c r="X428" s="18"/>
      <c r="Y428" s="18"/>
      <c r="Z428" s="18"/>
      <c r="AA428" s="18"/>
      <c r="AB428" s="17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  <c r="AS428" s="18"/>
      <c r="AT428" s="18"/>
      <c r="AU428" s="18"/>
      <c r="AV428" s="18"/>
      <c r="AW428" s="18"/>
      <c r="AX428" s="18"/>
    </row>
    <row r="429" spans="1:50" ht="15">
      <c r="A429" s="18"/>
      <c r="B429" s="18"/>
      <c r="C429" s="18"/>
      <c r="D429" s="18"/>
      <c r="E429" s="18"/>
      <c r="F429" s="18"/>
      <c r="G429" s="18"/>
      <c r="H429" s="18"/>
      <c r="I429" s="17"/>
      <c r="J429" s="18"/>
      <c r="K429" s="17"/>
      <c r="L429" s="18"/>
      <c r="M429" s="20"/>
      <c r="N429" s="18"/>
      <c r="O429" s="18"/>
      <c r="P429" s="18"/>
      <c r="Q429" s="17"/>
      <c r="R429" s="18"/>
      <c r="S429" s="18"/>
      <c r="T429" s="18"/>
      <c r="U429" s="18"/>
      <c r="V429" s="18"/>
      <c r="W429" s="18"/>
      <c r="X429" s="18"/>
      <c r="Y429" s="18"/>
      <c r="Z429" s="18"/>
      <c r="AA429" s="18"/>
      <c r="AB429" s="17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  <c r="AS429" s="18"/>
      <c r="AT429" s="18"/>
      <c r="AU429" s="18"/>
      <c r="AV429" s="18"/>
      <c r="AW429" s="18"/>
      <c r="AX429" s="18"/>
    </row>
    <row r="430" spans="1:50" ht="15">
      <c r="A430" s="18"/>
      <c r="B430" s="18"/>
      <c r="C430" s="18"/>
      <c r="D430" s="18"/>
      <c r="E430" s="18"/>
      <c r="F430" s="18"/>
      <c r="G430" s="18"/>
      <c r="H430" s="18"/>
      <c r="I430" s="17"/>
      <c r="J430" s="18"/>
      <c r="K430" s="17"/>
      <c r="L430" s="18"/>
      <c r="M430" s="20"/>
      <c r="N430" s="18"/>
      <c r="O430" s="18"/>
      <c r="P430" s="18"/>
      <c r="Q430" s="17"/>
      <c r="R430" s="18"/>
      <c r="S430" s="18"/>
      <c r="T430" s="18"/>
      <c r="U430" s="18"/>
      <c r="V430" s="18"/>
      <c r="W430" s="18"/>
      <c r="X430" s="18"/>
      <c r="Y430" s="18"/>
      <c r="Z430" s="18"/>
      <c r="AA430" s="18"/>
      <c r="AB430" s="17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  <c r="AS430" s="18"/>
      <c r="AT430" s="18"/>
      <c r="AU430" s="18"/>
      <c r="AV430" s="18"/>
      <c r="AW430" s="18"/>
      <c r="AX430" s="18"/>
    </row>
    <row r="431" spans="1:50" ht="15">
      <c r="A431" s="18"/>
      <c r="B431" s="18"/>
      <c r="C431" s="18"/>
      <c r="D431" s="18"/>
      <c r="E431" s="18"/>
      <c r="F431" s="18"/>
      <c r="G431" s="18"/>
      <c r="H431" s="18"/>
      <c r="I431" s="17"/>
      <c r="J431" s="18"/>
      <c r="K431" s="17"/>
      <c r="L431" s="18"/>
      <c r="M431" s="20"/>
      <c r="N431" s="18"/>
      <c r="O431" s="18"/>
      <c r="P431" s="18"/>
      <c r="Q431" s="17"/>
      <c r="R431" s="18"/>
      <c r="S431" s="18"/>
      <c r="T431" s="18"/>
      <c r="U431" s="18"/>
      <c r="V431" s="18"/>
      <c r="W431" s="18"/>
      <c r="X431" s="18"/>
      <c r="Y431" s="18"/>
      <c r="Z431" s="18"/>
      <c r="AA431" s="18"/>
      <c r="AB431" s="17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</row>
    <row r="432" spans="1:50" ht="15">
      <c r="A432" s="18"/>
      <c r="B432" s="18"/>
      <c r="C432" s="18"/>
      <c r="D432" s="18"/>
      <c r="E432" s="18"/>
      <c r="F432" s="18"/>
      <c r="G432" s="18"/>
      <c r="H432" s="18"/>
      <c r="I432" s="17"/>
      <c r="J432" s="18"/>
      <c r="K432" s="17"/>
      <c r="L432" s="18"/>
      <c r="M432" s="20"/>
      <c r="N432" s="18"/>
      <c r="O432" s="18"/>
      <c r="P432" s="18"/>
      <c r="Q432" s="17"/>
      <c r="R432" s="18"/>
      <c r="S432" s="18"/>
      <c r="T432" s="18"/>
      <c r="U432" s="18"/>
      <c r="V432" s="18"/>
      <c r="W432" s="18"/>
      <c r="X432" s="18"/>
      <c r="Y432" s="18"/>
      <c r="Z432" s="18"/>
      <c r="AA432" s="18"/>
      <c r="AB432" s="17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</row>
    <row r="433" spans="1:50" ht="15">
      <c r="A433" s="18"/>
      <c r="B433" s="18"/>
      <c r="C433" s="18"/>
      <c r="D433" s="18"/>
      <c r="E433" s="18"/>
      <c r="F433" s="18"/>
      <c r="G433" s="18"/>
      <c r="H433" s="18"/>
      <c r="I433" s="17"/>
      <c r="J433" s="18"/>
      <c r="K433" s="17"/>
      <c r="L433" s="18"/>
      <c r="M433" s="20"/>
      <c r="N433" s="18"/>
      <c r="O433" s="18"/>
      <c r="P433" s="18"/>
      <c r="Q433" s="17"/>
      <c r="R433" s="18"/>
      <c r="S433" s="18"/>
      <c r="T433" s="18"/>
      <c r="U433" s="18"/>
      <c r="V433" s="18"/>
      <c r="W433" s="18"/>
      <c r="X433" s="18"/>
      <c r="Y433" s="18"/>
      <c r="Z433" s="18"/>
      <c r="AA433" s="18"/>
      <c r="AB433" s="17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 s="18"/>
      <c r="AV433" s="18"/>
      <c r="AW433" s="18"/>
      <c r="AX433" s="18"/>
    </row>
    <row r="434" spans="1:50" ht="15">
      <c r="A434" s="18"/>
      <c r="B434" s="18"/>
      <c r="C434" s="18"/>
      <c r="D434" s="18"/>
      <c r="E434" s="18"/>
      <c r="F434" s="18"/>
      <c r="G434" s="18"/>
      <c r="H434" s="18"/>
      <c r="I434" s="17"/>
      <c r="J434" s="18"/>
      <c r="K434" s="17"/>
      <c r="L434" s="18"/>
      <c r="M434" s="20"/>
      <c r="N434" s="18"/>
      <c r="O434" s="18"/>
      <c r="P434" s="18"/>
      <c r="Q434" s="17"/>
      <c r="R434" s="18"/>
      <c r="S434" s="18"/>
      <c r="T434" s="18"/>
      <c r="U434" s="18"/>
      <c r="V434" s="18"/>
      <c r="W434" s="18"/>
      <c r="X434" s="18"/>
      <c r="Y434" s="18"/>
      <c r="Z434" s="18"/>
      <c r="AA434" s="18"/>
      <c r="AB434" s="17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 s="18"/>
      <c r="AV434" s="18"/>
      <c r="AW434" s="18"/>
      <c r="AX434" s="18"/>
    </row>
    <row r="435" spans="1:50" ht="15">
      <c r="A435" s="18"/>
      <c r="B435" s="18"/>
      <c r="C435" s="18"/>
      <c r="D435" s="18"/>
      <c r="E435" s="18"/>
      <c r="F435" s="18"/>
      <c r="G435" s="18"/>
      <c r="H435" s="18"/>
      <c r="I435" s="17"/>
      <c r="J435" s="18"/>
      <c r="K435" s="17"/>
      <c r="L435" s="18"/>
      <c r="M435" s="20"/>
      <c r="N435" s="18"/>
      <c r="O435" s="18"/>
      <c r="P435" s="18"/>
      <c r="Q435" s="17"/>
      <c r="R435" s="18"/>
      <c r="S435" s="18"/>
      <c r="T435" s="18"/>
      <c r="U435" s="18"/>
      <c r="V435" s="18"/>
      <c r="W435" s="18"/>
      <c r="X435" s="18"/>
      <c r="Y435" s="18"/>
      <c r="Z435" s="18"/>
      <c r="AA435" s="18"/>
      <c r="AB435" s="17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 s="18"/>
      <c r="AV435" s="18"/>
      <c r="AW435" s="18"/>
      <c r="AX435" s="18"/>
    </row>
    <row r="436" spans="1:50" ht="15">
      <c r="A436" s="18"/>
      <c r="B436" s="18"/>
      <c r="C436" s="18"/>
      <c r="D436" s="18"/>
      <c r="E436" s="18"/>
      <c r="F436" s="18"/>
      <c r="G436" s="18"/>
      <c r="H436" s="18"/>
      <c r="I436" s="17"/>
      <c r="J436" s="18"/>
      <c r="K436" s="17"/>
      <c r="L436" s="18"/>
      <c r="M436" s="20"/>
      <c r="N436" s="18"/>
      <c r="O436" s="18"/>
      <c r="P436" s="18"/>
      <c r="Q436" s="17"/>
      <c r="R436" s="18"/>
      <c r="S436" s="18"/>
      <c r="T436" s="18"/>
      <c r="U436" s="18"/>
      <c r="V436" s="18"/>
      <c r="W436" s="18"/>
      <c r="X436" s="18"/>
      <c r="Y436" s="18"/>
      <c r="Z436" s="18"/>
      <c r="AA436" s="18"/>
      <c r="AB436" s="17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  <c r="AS436" s="18"/>
      <c r="AT436" s="18"/>
      <c r="AU436" s="18"/>
      <c r="AV436" s="18"/>
      <c r="AW436" s="18"/>
      <c r="AX436" s="18"/>
    </row>
    <row r="437" spans="1:50" ht="15">
      <c r="A437" s="18"/>
      <c r="B437" s="18"/>
      <c r="C437" s="18"/>
      <c r="D437" s="18"/>
      <c r="E437" s="18"/>
      <c r="F437" s="18"/>
      <c r="G437" s="18"/>
      <c r="H437" s="18"/>
      <c r="I437" s="17"/>
      <c r="J437" s="18"/>
      <c r="K437" s="17"/>
      <c r="L437" s="18"/>
      <c r="M437" s="20"/>
      <c r="N437" s="18"/>
      <c r="O437" s="18"/>
      <c r="P437" s="18"/>
      <c r="Q437" s="17"/>
      <c r="R437" s="18"/>
      <c r="S437" s="18"/>
      <c r="T437" s="18"/>
      <c r="U437" s="18"/>
      <c r="V437" s="18"/>
      <c r="W437" s="18"/>
      <c r="X437" s="18"/>
      <c r="Y437" s="18"/>
      <c r="Z437" s="18"/>
      <c r="AA437" s="18"/>
      <c r="AB437" s="17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  <c r="AS437" s="18"/>
      <c r="AT437" s="18"/>
      <c r="AU437" s="18"/>
      <c r="AV437" s="18"/>
      <c r="AW437" s="18"/>
      <c r="AX437" s="18"/>
    </row>
    <row r="438" spans="1:50" ht="15">
      <c r="A438" s="18"/>
      <c r="B438" s="18"/>
      <c r="C438" s="18"/>
      <c r="D438" s="18"/>
      <c r="E438" s="18"/>
      <c r="F438" s="18"/>
      <c r="G438" s="18"/>
      <c r="H438" s="18"/>
      <c r="I438" s="17"/>
      <c r="J438" s="18"/>
      <c r="K438" s="17"/>
      <c r="L438" s="18"/>
      <c r="M438" s="20"/>
      <c r="N438" s="18"/>
      <c r="O438" s="18"/>
      <c r="P438" s="18"/>
      <c r="Q438" s="17"/>
      <c r="R438" s="18"/>
      <c r="S438" s="18"/>
      <c r="T438" s="18"/>
      <c r="U438" s="18"/>
      <c r="V438" s="18"/>
      <c r="W438" s="18"/>
      <c r="X438" s="18"/>
      <c r="Y438" s="18"/>
      <c r="Z438" s="18"/>
      <c r="AA438" s="18"/>
      <c r="AB438" s="17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  <c r="AS438" s="18"/>
      <c r="AT438" s="18"/>
      <c r="AU438" s="18"/>
      <c r="AV438" s="18"/>
      <c r="AW438" s="18"/>
      <c r="AX438" s="18"/>
    </row>
    <row r="439" spans="1:50" ht="15">
      <c r="A439" s="18"/>
      <c r="B439" s="18"/>
      <c r="C439" s="18"/>
      <c r="D439" s="18"/>
      <c r="E439" s="18"/>
      <c r="F439" s="18"/>
      <c r="G439" s="18"/>
      <c r="H439" s="18"/>
      <c r="I439" s="17"/>
      <c r="J439" s="18"/>
      <c r="K439" s="17"/>
      <c r="L439" s="18"/>
      <c r="M439" s="20"/>
      <c r="N439" s="18"/>
      <c r="O439" s="18"/>
      <c r="P439" s="18"/>
      <c r="Q439" s="17"/>
      <c r="R439" s="18"/>
      <c r="S439" s="18"/>
      <c r="T439" s="18"/>
      <c r="U439" s="18"/>
      <c r="V439" s="18"/>
      <c r="W439" s="18"/>
      <c r="X439" s="18"/>
      <c r="Y439" s="18"/>
      <c r="Z439" s="18"/>
      <c r="AA439" s="18"/>
      <c r="AB439" s="17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  <c r="AS439" s="18"/>
      <c r="AT439" s="18"/>
      <c r="AU439" s="18"/>
      <c r="AV439" s="18"/>
      <c r="AW439" s="18"/>
      <c r="AX439" s="18"/>
    </row>
    <row r="440" spans="1:50" ht="15">
      <c r="A440" s="18"/>
      <c r="B440" s="18"/>
      <c r="C440" s="18"/>
      <c r="D440" s="18"/>
      <c r="E440" s="18"/>
      <c r="F440" s="18"/>
      <c r="G440" s="18"/>
      <c r="H440" s="18"/>
      <c r="I440" s="17"/>
      <c r="J440" s="18"/>
      <c r="K440" s="17"/>
      <c r="L440" s="18"/>
      <c r="M440" s="20"/>
      <c r="N440" s="18"/>
      <c r="O440" s="18"/>
      <c r="P440" s="18"/>
      <c r="Q440" s="17"/>
      <c r="R440" s="18"/>
      <c r="S440" s="18"/>
      <c r="T440" s="18"/>
      <c r="U440" s="18"/>
      <c r="V440" s="18"/>
      <c r="W440" s="18"/>
      <c r="X440" s="18"/>
      <c r="Y440" s="18"/>
      <c r="Z440" s="18"/>
      <c r="AA440" s="18"/>
      <c r="AB440" s="17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  <c r="AS440" s="18"/>
      <c r="AT440" s="18"/>
      <c r="AU440" s="18"/>
      <c r="AV440" s="18"/>
      <c r="AW440" s="18"/>
      <c r="AX440" s="18"/>
    </row>
    <row r="441" spans="1:50" ht="15">
      <c r="A441" s="18"/>
      <c r="B441" s="18"/>
      <c r="C441" s="18"/>
      <c r="D441" s="18"/>
      <c r="E441" s="18"/>
      <c r="F441" s="18"/>
      <c r="G441" s="18"/>
      <c r="H441" s="18"/>
      <c r="I441" s="17"/>
      <c r="J441" s="18"/>
      <c r="K441" s="17"/>
      <c r="L441" s="18"/>
      <c r="M441" s="20"/>
      <c r="N441" s="18"/>
      <c r="O441" s="18"/>
      <c r="P441" s="18"/>
      <c r="Q441" s="17"/>
      <c r="R441" s="18"/>
      <c r="S441" s="18"/>
      <c r="T441" s="18"/>
      <c r="U441" s="18"/>
      <c r="V441" s="18"/>
      <c r="W441" s="18"/>
      <c r="X441" s="18"/>
      <c r="Y441" s="18"/>
      <c r="Z441" s="18"/>
      <c r="AA441" s="18"/>
      <c r="AB441" s="17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  <c r="AS441" s="18"/>
      <c r="AT441" s="18"/>
      <c r="AU441" s="18"/>
      <c r="AV441" s="18"/>
      <c r="AW441" s="18"/>
      <c r="AX441" s="18"/>
    </row>
    <row r="442" spans="1:50" ht="15">
      <c r="A442" s="18"/>
      <c r="B442" s="18"/>
      <c r="C442" s="18"/>
      <c r="D442" s="18"/>
      <c r="E442" s="18"/>
      <c r="F442" s="18"/>
      <c r="G442" s="18"/>
      <c r="H442" s="18"/>
      <c r="I442" s="17"/>
      <c r="J442" s="18"/>
      <c r="K442" s="17"/>
      <c r="L442" s="18"/>
      <c r="M442" s="20"/>
      <c r="N442" s="18"/>
      <c r="O442" s="18"/>
      <c r="P442" s="18"/>
      <c r="Q442" s="17"/>
      <c r="R442" s="18"/>
      <c r="S442" s="18"/>
      <c r="T442" s="18"/>
      <c r="U442" s="18"/>
      <c r="V442" s="18"/>
      <c r="W442" s="18"/>
      <c r="X442" s="18"/>
      <c r="Y442" s="18"/>
      <c r="Z442" s="18"/>
      <c r="AA442" s="18"/>
      <c r="AB442" s="17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  <c r="AS442" s="18"/>
      <c r="AT442" s="18"/>
      <c r="AU442" s="18"/>
      <c r="AV442" s="18"/>
      <c r="AW442" s="18"/>
      <c r="AX442" s="18"/>
    </row>
    <row r="443" spans="1:50" ht="15">
      <c r="A443" s="18"/>
      <c r="B443" s="18"/>
      <c r="C443" s="18"/>
      <c r="D443" s="18"/>
      <c r="E443" s="18"/>
      <c r="F443" s="18"/>
      <c r="G443" s="18"/>
      <c r="H443" s="18"/>
      <c r="I443" s="17"/>
      <c r="J443" s="18"/>
      <c r="K443" s="17"/>
      <c r="L443" s="18"/>
      <c r="M443" s="20"/>
      <c r="N443" s="18"/>
      <c r="O443" s="18"/>
      <c r="P443" s="18"/>
      <c r="Q443" s="17"/>
      <c r="R443" s="18"/>
      <c r="S443" s="18"/>
      <c r="T443" s="18"/>
      <c r="U443" s="18"/>
      <c r="V443" s="18"/>
      <c r="W443" s="18"/>
      <c r="X443" s="18"/>
      <c r="Y443" s="18"/>
      <c r="Z443" s="18"/>
      <c r="AA443" s="18"/>
      <c r="AB443" s="17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  <c r="AS443" s="18"/>
      <c r="AT443" s="18"/>
      <c r="AU443" s="18"/>
      <c r="AV443" s="18"/>
      <c r="AW443" s="18"/>
      <c r="AX443" s="18"/>
    </row>
    <row r="444" spans="1:50" ht="15">
      <c r="A444" s="18"/>
      <c r="B444" s="18"/>
      <c r="C444" s="18"/>
      <c r="D444" s="18"/>
      <c r="E444" s="18"/>
      <c r="F444" s="18"/>
      <c r="G444" s="18"/>
      <c r="H444" s="18"/>
      <c r="I444" s="17"/>
      <c r="J444" s="18"/>
      <c r="K444" s="17"/>
      <c r="L444" s="18"/>
      <c r="M444" s="20"/>
      <c r="N444" s="18"/>
      <c r="O444" s="18"/>
      <c r="P444" s="18"/>
      <c r="Q444" s="17"/>
      <c r="R444" s="18"/>
      <c r="S444" s="18"/>
      <c r="T444" s="18"/>
      <c r="U444" s="18"/>
      <c r="V444" s="18"/>
      <c r="W444" s="18"/>
      <c r="X444" s="18"/>
      <c r="Y444" s="18"/>
      <c r="Z444" s="18"/>
      <c r="AA444" s="18"/>
      <c r="AB444" s="17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  <c r="AS444" s="18"/>
      <c r="AT444" s="18"/>
      <c r="AU444" s="18"/>
      <c r="AV444" s="18"/>
      <c r="AW444" s="18"/>
      <c r="AX444" s="18"/>
    </row>
    <row r="445" spans="1:50" ht="15">
      <c r="A445" s="18"/>
      <c r="B445" s="18"/>
      <c r="C445" s="18"/>
      <c r="D445" s="18"/>
      <c r="E445" s="18"/>
      <c r="F445" s="18"/>
      <c r="G445" s="18"/>
      <c r="H445" s="18"/>
      <c r="I445" s="17"/>
      <c r="J445" s="18"/>
      <c r="K445" s="17"/>
      <c r="L445" s="18"/>
      <c r="M445" s="20"/>
      <c r="N445" s="18"/>
      <c r="O445" s="18"/>
      <c r="P445" s="18"/>
      <c r="Q445" s="17"/>
      <c r="R445" s="18"/>
      <c r="S445" s="18"/>
      <c r="T445" s="18"/>
      <c r="U445" s="18"/>
      <c r="V445" s="18"/>
      <c r="W445" s="18"/>
      <c r="X445" s="18"/>
      <c r="Y445" s="18"/>
      <c r="Z445" s="18"/>
      <c r="AA445" s="18"/>
      <c r="AB445" s="17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 s="18"/>
      <c r="AV445" s="18"/>
      <c r="AW445" s="18"/>
      <c r="AX445" s="18"/>
    </row>
    <row r="446" spans="1:50" ht="15">
      <c r="A446" s="18"/>
      <c r="B446" s="18"/>
      <c r="C446" s="18"/>
      <c r="D446" s="18"/>
      <c r="E446" s="18"/>
      <c r="F446" s="18"/>
      <c r="G446" s="18"/>
      <c r="H446" s="18"/>
      <c r="I446" s="17"/>
      <c r="J446" s="18"/>
      <c r="K446" s="17"/>
      <c r="L446" s="18"/>
      <c r="M446" s="20"/>
      <c r="N446" s="18"/>
      <c r="O446" s="18"/>
      <c r="P446" s="18"/>
      <c r="Q446" s="17"/>
      <c r="R446" s="18"/>
      <c r="S446" s="18"/>
      <c r="T446" s="18"/>
      <c r="U446" s="18"/>
      <c r="V446" s="18"/>
      <c r="W446" s="18"/>
      <c r="X446" s="18"/>
      <c r="Y446" s="18"/>
      <c r="Z446" s="18"/>
      <c r="AA446" s="18"/>
      <c r="AB446" s="17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 s="18"/>
      <c r="AV446" s="18"/>
      <c r="AW446" s="18"/>
      <c r="AX446" s="18"/>
    </row>
    <row r="447" spans="1:50" ht="15">
      <c r="A447" s="18"/>
      <c r="B447" s="18"/>
      <c r="C447" s="18"/>
      <c r="D447" s="18"/>
      <c r="E447" s="18"/>
      <c r="F447" s="18"/>
      <c r="G447" s="18"/>
      <c r="H447" s="18"/>
      <c r="I447" s="17"/>
      <c r="J447" s="18"/>
      <c r="K447" s="17"/>
      <c r="L447" s="18"/>
      <c r="M447" s="20"/>
      <c r="N447" s="18"/>
      <c r="O447" s="18"/>
      <c r="P447" s="18"/>
      <c r="Q447" s="17"/>
      <c r="R447" s="18"/>
      <c r="S447" s="18"/>
      <c r="T447" s="18"/>
      <c r="U447" s="18"/>
      <c r="V447" s="18"/>
      <c r="W447" s="18"/>
      <c r="X447" s="18"/>
      <c r="Y447" s="18"/>
      <c r="Z447" s="18"/>
      <c r="AA447" s="18"/>
      <c r="AB447" s="17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  <c r="AS447" s="18"/>
      <c r="AT447" s="18"/>
      <c r="AU447" s="18"/>
      <c r="AV447" s="18"/>
      <c r="AW447" s="18"/>
      <c r="AX447" s="18"/>
    </row>
    <row r="448" spans="1:50" ht="15">
      <c r="A448" s="18"/>
      <c r="B448" s="18"/>
      <c r="C448" s="18"/>
      <c r="D448" s="18"/>
      <c r="E448" s="18"/>
      <c r="F448" s="18"/>
      <c r="G448" s="18"/>
      <c r="H448" s="18"/>
      <c r="I448" s="17"/>
      <c r="J448" s="18"/>
      <c r="K448" s="17"/>
      <c r="L448" s="18"/>
      <c r="M448" s="20"/>
      <c r="N448" s="18"/>
      <c r="O448" s="18"/>
      <c r="P448" s="18"/>
      <c r="Q448" s="17"/>
      <c r="R448" s="18"/>
      <c r="S448" s="18"/>
      <c r="T448" s="18"/>
      <c r="U448" s="18"/>
      <c r="V448" s="18"/>
      <c r="W448" s="18"/>
      <c r="X448" s="18"/>
      <c r="Y448" s="18"/>
      <c r="Z448" s="18"/>
      <c r="AA448" s="18"/>
      <c r="AB448" s="17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 s="18"/>
      <c r="AV448" s="18"/>
      <c r="AW448" s="18"/>
      <c r="AX448" s="18"/>
    </row>
    <row r="449" spans="1:50" ht="15">
      <c r="A449" s="18"/>
      <c r="B449" s="18"/>
      <c r="C449" s="18"/>
      <c r="D449" s="18"/>
      <c r="E449" s="18"/>
      <c r="F449" s="18"/>
      <c r="G449" s="18"/>
      <c r="H449" s="18"/>
      <c r="I449" s="17"/>
      <c r="J449" s="18"/>
      <c r="K449" s="17"/>
      <c r="L449" s="18"/>
      <c r="M449" s="20"/>
      <c r="N449" s="18"/>
      <c r="O449" s="18"/>
      <c r="P449" s="18"/>
      <c r="Q449" s="17"/>
      <c r="R449" s="18"/>
      <c r="S449" s="18"/>
      <c r="T449" s="18"/>
      <c r="U449" s="18"/>
      <c r="V449" s="18"/>
      <c r="W449" s="18"/>
      <c r="X449" s="18"/>
      <c r="Y449" s="18"/>
      <c r="Z449" s="18"/>
      <c r="AA449" s="18"/>
      <c r="AB449" s="17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</row>
    <row r="450" spans="1:50" ht="15">
      <c r="A450" s="18"/>
      <c r="B450" s="18"/>
      <c r="C450" s="18"/>
      <c r="D450" s="18"/>
      <c r="E450" s="18"/>
      <c r="F450" s="18"/>
      <c r="G450" s="18"/>
      <c r="H450" s="18"/>
      <c r="I450" s="17"/>
      <c r="J450" s="18"/>
      <c r="K450" s="17"/>
      <c r="L450" s="18"/>
      <c r="M450" s="20"/>
      <c r="N450" s="18"/>
      <c r="O450" s="18"/>
      <c r="P450" s="18"/>
      <c r="Q450" s="17"/>
      <c r="R450" s="18"/>
      <c r="S450" s="18"/>
      <c r="T450" s="18"/>
      <c r="U450" s="18"/>
      <c r="V450" s="18"/>
      <c r="W450" s="18"/>
      <c r="X450" s="18"/>
      <c r="Y450" s="18"/>
      <c r="Z450" s="18"/>
      <c r="AA450" s="18"/>
      <c r="AB450" s="17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 s="18"/>
      <c r="AV450" s="18"/>
      <c r="AW450" s="18"/>
      <c r="AX450" s="18"/>
    </row>
    <row r="451" spans="1:50" ht="15">
      <c r="A451" s="18"/>
      <c r="B451" s="18"/>
      <c r="C451" s="18"/>
      <c r="D451" s="18"/>
      <c r="E451" s="18"/>
      <c r="F451" s="18"/>
      <c r="G451" s="18"/>
      <c r="H451" s="18"/>
      <c r="I451" s="17"/>
      <c r="J451" s="18"/>
      <c r="K451" s="17"/>
      <c r="L451" s="18"/>
      <c r="M451" s="20"/>
      <c r="N451" s="18"/>
      <c r="O451" s="18"/>
      <c r="P451" s="18"/>
      <c r="Q451" s="17"/>
      <c r="R451" s="18"/>
      <c r="S451" s="18"/>
      <c r="T451" s="18"/>
      <c r="U451" s="18"/>
      <c r="V451" s="18"/>
      <c r="W451" s="18"/>
      <c r="X451" s="18"/>
      <c r="Y451" s="18"/>
      <c r="Z451" s="18"/>
      <c r="AA451" s="18"/>
      <c r="AB451" s="17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  <c r="AS451" s="18"/>
      <c r="AT451" s="18"/>
      <c r="AU451" s="18"/>
      <c r="AV451" s="18"/>
      <c r="AW451" s="18"/>
      <c r="AX451" s="18"/>
    </row>
    <row r="452" spans="1:50" ht="15">
      <c r="A452" s="18"/>
      <c r="B452" s="18"/>
      <c r="C452" s="18"/>
      <c r="D452" s="18"/>
      <c r="E452" s="18"/>
      <c r="F452" s="18"/>
      <c r="G452" s="18"/>
      <c r="H452" s="18"/>
      <c r="I452" s="17"/>
      <c r="J452" s="18"/>
      <c r="K452" s="17"/>
      <c r="L452" s="18"/>
      <c r="M452" s="20"/>
      <c r="N452" s="18"/>
      <c r="O452" s="18"/>
      <c r="P452" s="18"/>
      <c r="Q452" s="17"/>
      <c r="R452" s="18"/>
      <c r="S452" s="18"/>
      <c r="T452" s="18"/>
      <c r="U452" s="18"/>
      <c r="V452" s="18"/>
      <c r="W452" s="18"/>
      <c r="X452" s="18"/>
      <c r="Y452" s="18"/>
      <c r="Z452" s="18"/>
      <c r="AA452" s="18"/>
      <c r="AB452" s="17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  <c r="AS452" s="18"/>
      <c r="AT452" s="18"/>
      <c r="AU452" s="18"/>
      <c r="AV452" s="18"/>
      <c r="AW452" s="18"/>
      <c r="AX452" s="18"/>
    </row>
    <row r="453" spans="1:50" ht="15">
      <c r="A453" s="18"/>
      <c r="B453" s="18"/>
      <c r="C453" s="18"/>
      <c r="D453" s="18"/>
      <c r="E453" s="18"/>
      <c r="F453" s="18"/>
      <c r="G453" s="18"/>
      <c r="H453" s="18"/>
      <c r="I453" s="17"/>
      <c r="J453" s="18"/>
      <c r="K453" s="17"/>
      <c r="L453" s="18"/>
      <c r="M453" s="20"/>
      <c r="N453" s="18"/>
      <c r="O453" s="18"/>
      <c r="P453" s="18"/>
      <c r="Q453" s="17"/>
      <c r="R453" s="18"/>
      <c r="S453" s="18"/>
      <c r="T453" s="18"/>
      <c r="U453" s="18"/>
      <c r="V453" s="18"/>
      <c r="W453" s="18"/>
      <c r="X453" s="18"/>
      <c r="Y453" s="18"/>
      <c r="Z453" s="18"/>
      <c r="AA453" s="18"/>
      <c r="AB453" s="17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  <c r="AS453" s="18"/>
      <c r="AT453" s="18"/>
      <c r="AU453" s="18"/>
      <c r="AV453" s="18"/>
      <c r="AW453" s="18"/>
      <c r="AX453" s="18"/>
    </row>
    <row r="454" spans="1:50" ht="15">
      <c r="A454" s="18"/>
      <c r="B454" s="18"/>
      <c r="C454" s="18"/>
      <c r="D454" s="18"/>
      <c r="E454" s="18"/>
      <c r="F454" s="18"/>
      <c r="G454" s="18"/>
      <c r="H454" s="18"/>
      <c r="I454" s="17"/>
      <c r="J454" s="18"/>
      <c r="K454" s="17"/>
      <c r="L454" s="18"/>
      <c r="M454" s="20"/>
      <c r="N454" s="18"/>
      <c r="O454" s="18"/>
      <c r="P454" s="18"/>
      <c r="Q454" s="17"/>
      <c r="R454" s="18"/>
      <c r="S454" s="18"/>
      <c r="T454" s="18"/>
      <c r="U454" s="18"/>
      <c r="V454" s="18"/>
      <c r="W454" s="18"/>
      <c r="X454" s="18"/>
      <c r="Y454" s="18"/>
      <c r="Z454" s="18"/>
      <c r="AA454" s="18"/>
      <c r="AB454" s="17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  <c r="AS454" s="18"/>
      <c r="AT454" s="18"/>
      <c r="AU454" s="18"/>
      <c r="AV454" s="18"/>
      <c r="AW454" s="18"/>
      <c r="AX454" s="18"/>
    </row>
    <row r="455" spans="1:50" ht="15">
      <c r="A455" s="18"/>
      <c r="B455" s="18"/>
      <c r="C455" s="18"/>
      <c r="D455" s="18"/>
      <c r="E455" s="18"/>
      <c r="F455" s="18"/>
      <c r="G455" s="18"/>
      <c r="H455" s="18"/>
      <c r="I455" s="17"/>
      <c r="J455" s="18"/>
      <c r="K455" s="17"/>
      <c r="L455" s="18"/>
      <c r="M455" s="20"/>
      <c r="N455" s="18"/>
      <c r="O455" s="18"/>
      <c r="P455" s="18"/>
      <c r="Q455" s="17"/>
      <c r="R455" s="18"/>
      <c r="S455" s="18"/>
      <c r="T455" s="18"/>
      <c r="U455" s="18"/>
      <c r="V455" s="18"/>
      <c r="W455" s="18"/>
      <c r="X455" s="18"/>
      <c r="Y455" s="18"/>
      <c r="Z455" s="18"/>
      <c r="AA455" s="18"/>
      <c r="AB455" s="17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  <c r="AS455" s="18"/>
      <c r="AT455" s="18"/>
      <c r="AU455" s="18"/>
      <c r="AV455" s="18"/>
      <c r="AW455" s="18"/>
      <c r="AX455" s="18"/>
    </row>
    <row r="456" spans="1:50" ht="15">
      <c r="A456" s="18"/>
      <c r="B456" s="18"/>
      <c r="C456" s="18"/>
      <c r="D456" s="18"/>
      <c r="E456" s="18"/>
      <c r="F456" s="18"/>
      <c r="G456" s="18"/>
      <c r="H456" s="18"/>
      <c r="I456" s="17"/>
      <c r="J456" s="18"/>
      <c r="K456" s="17"/>
      <c r="L456" s="18"/>
      <c r="M456" s="20"/>
      <c r="N456" s="18"/>
      <c r="O456" s="18"/>
      <c r="P456" s="18"/>
      <c r="Q456" s="17"/>
      <c r="R456" s="18"/>
      <c r="S456" s="18"/>
      <c r="T456" s="18"/>
      <c r="U456" s="18"/>
      <c r="V456" s="18"/>
      <c r="W456" s="18"/>
      <c r="X456" s="18"/>
      <c r="Y456" s="18"/>
      <c r="Z456" s="18"/>
      <c r="AA456" s="18"/>
      <c r="AB456" s="17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  <c r="AS456" s="18"/>
      <c r="AT456" s="18"/>
      <c r="AU456" s="18"/>
      <c r="AV456" s="18"/>
      <c r="AW456" s="18"/>
      <c r="AX456" s="18"/>
    </row>
    <row r="457" spans="1:50" ht="15">
      <c r="A457" s="18"/>
      <c r="B457" s="18"/>
      <c r="C457" s="18"/>
      <c r="D457" s="18"/>
      <c r="E457" s="18"/>
      <c r="F457" s="18"/>
      <c r="G457" s="18"/>
      <c r="H457" s="18"/>
      <c r="I457" s="17"/>
      <c r="J457" s="18"/>
      <c r="K457" s="17"/>
      <c r="L457" s="18"/>
      <c r="M457" s="20"/>
      <c r="N457" s="18"/>
      <c r="O457" s="18"/>
      <c r="P457" s="18"/>
      <c r="Q457" s="17"/>
      <c r="R457" s="18"/>
      <c r="S457" s="18"/>
      <c r="T457" s="18"/>
      <c r="U457" s="18"/>
      <c r="V457" s="18"/>
      <c r="W457" s="18"/>
      <c r="X457" s="18"/>
      <c r="Y457" s="18"/>
      <c r="Z457" s="18"/>
      <c r="AA457" s="18"/>
      <c r="AB457" s="17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  <c r="AS457" s="18"/>
      <c r="AT457" s="18"/>
      <c r="AU457" s="18"/>
      <c r="AV457" s="18"/>
      <c r="AW457" s="18"/>
      <c r="AX457" s="18"/>
    </row>
    <row r="458" spans="1:50" ht="15">
      <c r="A458" s="18"/>
      <c r="B458" s="18"/>
      <c r="C458" s="18"/>
      <c r="D458" s="18"/>
      <c r="E458" s="18"/>
      <c r="F458" s="18"/>
      <c r="G458" s="18"/>
      <c r="H458" s="18"/>
      <c r="I458" s="17"/>
      <c r="J458" s="18"/>
      <c r="K458" s="17"/>
      <c r="L458" s="18"/>
      <c r="M458" s="20"/>
      <c r="N458" s="18"/>
      <c r="O458" s="18"/>
      <c r="P458" s="18"/>
      <c r="Q458" s="17"/>
      <c r="R458" s="18"/>
      <c r="S458" s="18"/>
      <c r="T458" s="18"/>
      <c r="U458" s="18"/>
      <c r="V458" s="18"/>
      <c r="W458" s="18"/>
      <c r="X458" s="18"/>
      <c r="Y458" s="18"/>
      <c r="Z458" s="18"/>
      <c r="AA458" s="18"/>
      <c r="AB458" s="17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  <c r="AS458" s="18"/>
      <c r="AT458" s="18"/>
      <c r="AU458" s="18"/>
      <c r="AV458" s="18"/>
      <c r="AW458" s="18"/>
      <c r="AX458" s="18"/>
    </row>
    <row r="459" spans="1:50" ht="15">
      <c r="A459" s="18"/>
      <c r="B459" s="18"/>
      <c r="C459" s="18"/>
      <c r="D459" s="18"/>
      <c r="E459" s="18"/>
      <c r="F459" s="18"/>
      <c r="G459" s="18"/>
      <c r="H459" s="18"/>
      <c r="I459" s="17"/>
      <c r="J459" s="18"/>
      <c r="K459" s="17"/>
      <c r="L459" s="18"/>
      <c r="M459" s="20"/>
      <c r="N459" s="18"/>
      <c r="O459" s="18"/>
      <c r="P459" s="18"/>
      <c r="Q459" s="17"/>
      <c r="R459" s="18"/>
      <c r="S459" s="18"/>
      <c r="T459" s="18"/>
      <c r="U459" s="18"/>
      <c r="V459" s="18"/>
      <c r="W459" s="18"/>
      <c r="X459" s="18"/>
      <c r="Y459" s="18"/>
      <c r="Z459" s="18"/>
      <c r="AA459" s="18"/>
      <c r="AB459" s="17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  <c r="AS459" s="18"/>
      <c r="AT459" s="18"/>
      <c r="AU459" s="18"/>
      <c r="AV459" s="18"/>
      <c r="AW459" s="18"/>
      <c r="AX459" s="18"/>
    </row>
    <row r="460" spans="1:50" ht="15">
      <c r="A460" s="18"/>
      <c r="B460" s="18"/>
      <c r="C460" s="18"/>
      <c r="D460" s="18"/>
      <c r="E460" s="18"/>
      <c r="F460" s="18"/>
      <c r="G460" s="18"/>
      <c r="H460" s="18"/>
      <c r="I460" s="17"/>
      <c r="J460" s="18"/>
      <c r="K460" s="17"/>
      <c r="L460" s="18"/>
      <c r="M460" s="20"/>
      <c r="N460" s="18"/>
      <c r="O460" s="18"/>
      <c r="P460" s="18"/>
      <c r="Q460" s="17"/>
      <c r="R460" s="18"/>
      <c r="S460" s="18"/>
      <c r="T460" s="18"/>
      <c r="U460" s="18"/>
      <c r="V460" s="18"/>
      <c r="W460" s="18"/>
      <c r="X460" s="18"/>
      <c r="Y460" s="18"/>
      <c r="Z460" s="18"/>
      <c r="AA460" s="18"/>
      <c r="AB460" s="17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  <c r="AS460" s="18"/>
      <c r="AT460" s="18"/>
      <c r="AU460" s="18"/>
      <c r="AV460" s="18"/>
      <c r="AW460" s="18"/>
      <c r="AX460" s="18"/>
    </row>
    <row r="461" spans="1:50" ht="15">
      <c r="A461" s="18"/>
      <c r="B461" s="18"/>
      <c r="C461" s="18"/>
      <c r="D461" s="18"/>
      <c r="E461" s="18"/>
      <c r="F461" s="18"/>
      <c r="G461" s="18"/>
      <c r="H461" s="18"/>
      <c r="I461" s="17"/>
      <c r="J461" s="18"/>
      <c r="K461" s="17"/>
      <c r="L461" s="18"/>
      <c r="M461" s="20"/>
      <c r="N461" s="18"/>
      <c r="O461" s="18"/>
      <c r="P461" s="18"/>
      <c r="Q461" s="17"/>
      <c r="R461" s="18"/>
      <c r="S461" s="18"/>
      <c r="T461" s="18"/>
      <c r="U461" s="18"/>
      <c r="V461" s="18"/>
      <c r="W461" s="18"/>
      <c r="X461" s="18"/>
      <c r="Y461" s="18"/>
      <c r="Z461" s="18"/>
      <c r="AA461" s="18"/>
      <c r="AB461" s="17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  <c r="AS461" s="18"/>
      <c r="AT461" s="18"/>
      <c r="AU461" s="18"/>
      <c r="AV461" s="18"/>
      <c r="AW461" s="18"/>
      <c r="AX461" s="18"/>
    </row>
    <row r="462" spans="1:50" ht="15">
      <c r="A462" s="18"/>
      <c r="B462" s="18"/>
      <c r="C462" s="18"/>
      <c r="D462" s="18"/>
      <c r="E462" s="18"/>
      <c r="F462" s="18"/>
      <c r="G462" s="18"/>
      <c r="H462" s="18"/>
      <c r="I462" s="17"/>
      <c r="J462" s="18"/>
      <c r="K462" s="17"/>
      <c r="L462" s="18"/>
      <c r="M462" s="20"/>
      <c r="N462" s="18"/>
      <c r="O462" s="18"/>
      <c r="P462" s="18"/>
      <c r="Q462" s="17"/>
      <c r="R462" s="18"/>
      <c r="S462" s="18"/>
      <c r="T462" s="18"/>
      <c r="U462" s="18"/>
      <c r="V462" s="18"/>
      <c r="W462" s="18"/>
      <c r="X462" s="18"/>
      <c r="Y462" s="18"/>
      <c r="Z462" s="18"/>
      <c r="AA462" s="18"/>
      <c r="AB462" s="17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U462" s="18"/>
      <c r="AV462" s="18"/>
      <c r="AW462" s="18"/>
      <c r="AX462" s="18"/>
    </row>
    <row r="463" spans="1:50" ht="15">
      <c r="A463" s="18"/>
      <c r="B463" s="18"/>
      <c r="C463" s="18"/>
      <c r="D463" s="18"/>
      <c r="E463" s="18"/>
      <c r="F463" s="18"/>
      <c r="G463" s="18"/>
      <c r="H463" s="18"/>
      <c r="I463" s="17"/>
      <c r="J463" s="18"/>
      <c r="K463" s="17"/>
      <c r="L463" s="18"/>
      <c r="M463" s="20"/>
      <c r="N463" s="18"/>
      <c r="O463" s="18"/>
      <c r="P463" s="18"/>
      <c r="Q463" s="17"/>
      <c r="R463" s="18"/>
      <c r="S463" s="18"/>
      <c r="T463" s="18"/>
      <c r="U463" s="18"/>
      <c r="V463" s="18"/>
      <c r="W463" s="18"/>
      <c r="X463" s="18"/>
      <c r="Y463" s="18"/>
      <c r="Z463" s="18"/>
      <c r="AA463" s="18"/>
      <c r="AB463" s="17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  <c r="AS463" s="18"/>
      <c r="AT463" s="18"/>
      <c r="AU463" s="18"/>
      <c r="AV463" s="18"/>
      <c r="AW463" s="18"/>
      <c r="AX463" s="18"/>
    </row>
    <row r="464" spans="1:50" ht="15">
      <c r="A464" s="18"/>
      <c r="B464" s="18"/>
      <c r="C464" s="18"/>
      <c r="D464" s="18"/>
      <c r="E464" s="18"/>
      <c r="F464" s="18"/>
      <c r="G464" s="18"/>
      <c r="H464" s="18"/>
      <c r="I464" s="17"/>
      <c r="J464" s="18"/>
      <c r="K464" s="17"/>
      <c r="L464" s="18"/>
      <c r="M464" s="20"/>
      <c r="N464" s="18"/>
      <c r="O464" s="18"/>
      <c r="P464" s="18"/>
      <c r="Q464" s="17"/>
      <c r="R464" s="18"/>
      <c r="S464" s="18"/>
      <c r="T464" s="18"/>
      <c r="U464" s="18"/>
      <c r="V464" s="18"/>
      <c r="W464" s="18"/>
      <c r="X464" s="18"/>
      <c r="Y464" s="18"/>
      <c r="Z464" s="18"/>
      <c r="AA464" s="18"/>
      <c r="AB464" s="17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  <c r="AS464" s="18"/>
      <c r="AT464" s="18"/>
      <c r="AU464" s="18"/>
      <c r="AV464" s="18"/>
      <c r="AW464" s="18"/>
      <c r="AX464" s="18"/>
    </row>
    <row r="465" spans="1:50" ht="15">
      <c r="A465" s="18"/>
      <c r="B465" s="18"/>
      <c r="C465" s="18"/>
      <c r="D465" s="18"/>
      <c r="E465" s="18"/>
      <c r="F465" s="18"/>
      <c r="G465" s="18"/>
      <c r="H465" s="18"/>
      <c r="I465" s="17"/>
      <c r="J465" s="18"/>
      <c r="K465" s="17"/>
      <c r="L465" s="18"/>
      <c r="M465" s="20"/>
      <c r="N465" s="18"/>
      <c r="O465" s="18"/>
      <c r="P465" s="18"/>
      <c r="Q465" s="17"/>
      <c r="R465" s="18"/>
      <c r="S465" s="18"/>
      <c r="T465" s="18"/>
      <c r="U465" s="18"/>
      <c r="V465" s="18"/>
      <c r="W465" s="18"/>
      <c r="X465" s="18"/>
      <c r="Y465" s="18"/>
      <c r="Z465" s="18"/>
      <c r="AA465" s="18"/>
      <c r="AB465" s="17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  <c r="AS465" s="18"/>
      <c r="AT465" s="18"/>
      <c r="AU465" s="18"/>
      <c r="AV465" s="18"/>
      <c r="AW465" s="18"/>
      <c r="AX465" s="18"/>
    </row>
    <row r="466" spans="1:50" ht="15">
      <c r="A466" s="18"/>
      <c r="B466" s="18"/>
      <c r="C466" s="18"/>
      <c r="D466" s="18"/>
      <c r="E466" s="18"/>
      <c r="F466" s="18"/>
      <c r="G466" s="18"/>
      <c r="H466" s="18"/>
      <c r="I466" s="17"/>
      <c r="J466" s="18"/>
      <c r="K466" s="17"/>
      <c r="L466" s="18"/>
      <c r="M466" s="20"/>
      <c r="N466" s="18"/>
      <c r="O466" s="18"/>
      <c r="P466" s="18"/>
      <c r="Q466" s="17"/>
      <c r="R466" s="18"/>
      <c r="S466" s="18"/>
      <c r="T466" s="18"/>
      <c r="U466" s="18"/>
      <c r="V466" s="18"/>
      <c r="W466" s="18"/>
      <c r="X466" s="18"/>
      <c r="Y466" s="18"/>
      <c r="Z466" s="18"/>
      <c r="AA466" s="18"/>
      <c r="AB466" s="17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  <c r="AS466" s="18"/>
      <c r="AT466" s="18"/>
      <c r="AU466" s="18"/>
      <c r="AV466" s="18"/>
      <c r="AW466" s="18"/>
      <c r="AX466" s="18"/>
    </row>
    <row r="467" spans="1:50" ht="15">
      <c r="A467" s="18"/>
      <c r="B467" s="18"/>
      <c r="C467" s="18"/>
      <c r="D467" s="18"/>
      <c r="E467" s="18"/>
      <c r="F467" s="18"/>
      <c r="G467" s="18"/>
      <c r="H467" s="18"/>
      <c r="I467" s="17"/>
      <c r="J467" s="18"/>
      <c r="K467" s="17"/>
      <c r="L467" s="18"/>
      <c r="M467" s="20"/>
      <c r="N467" s="18"/>
      <c r="O467" s="18"/>
      <c r="P467" s="18"/>
      <c r="Q467" s="17"/>
      <c r="R467" s="18"/>
      <c r="S467" s="18"/>
      <c r="T467" s="18"/>
      <c r="U467" s="18"/>
      <c r="V467" s="18"/>
      <c r="W467" s="18"/>
      <c r="X467" s="18"/>
      <c r="Y467" s="18"/>
      <c r="Z467" s="18"/>
      <c r="AA467" s="18"/>
      <c r="AB467" s="17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  <c r="AS467" s="18"/>
      <c r="AT467" s="18"/>
      <c r="AU467" s="18"/>
      <c r="AV467" s="18"/>
      <c r="AW467" s="18"/>
      <c r="AX467" s="18"/>
    </row>
    <row r="468" spans="1:50" ht="15">
      <c r="A468" s="18"/>
      <c r="B468" s="18"/>
      <c r="C468" s="18"/>
      <c r="D468" s="18"/>
      <c r="E468" s="18"/>
      <c r="F468" s="18"/>
      <c r="G468" s="18"/>
      <c r="H468" s="18"/>
      <c r="I468" s="17"/>
      <c r="J468" s="18"/>
      <c r="K468" s="17"/>
      <c r="L468" s="18"/>
      <c r="M468" s="20"/>
      <c r="N468" s="18"/>
      <c r="O468" s="18"/>
      <c r="P468" s="18"/>
      <c r="Q468" s="17"/>
      <c r="R468" s="18"/>
      <c r="S468" s="18"/>
      <c r="T468" s="18"/>
      <c r="U468" s="18"/>
      <c r="V468" s="18"/>
      <c r="W468" s="18"/>
      <c r="X468" s="18"/>
      <c r="Y468" s="18"/>
      <c r="Z468" s="18"/>
      <c r="AA468" s="18"/>
      <c r="AB468" s="17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  <c r="AS468" s="18"/>
      <c r="AT468" s="18"/>
      <c r="AU468" s="18"/>
      <c r="AV468" s="18"/>
      <c r="AW468" s="18"/>
      <c r="AX468" s="18"/>
    </row>
    <row r="469" spans="1:50" ht="15">
      <c r="A469" s="18"/>
      <c r="B469" s="18"/>
      <c r="C469" s="18"/>
      <c r="D469" s="18"/>
      <c r="E469" s="18"/>
      <c r="F469" s="18"/>
      <c r="G469" s="18"/>
      <c r="H469" s="18"/>
      <c r="I469" s="17"/>
      <c r="J469" s="18"/>
      <c r="K469" s="17"/>
      <c r="L469" s="18"/>
      <c r="M469" s="20"/>
      <c r="N469" s="18"/>
      <c r="O469" s="18"/>
      <c r="P469" s="18"/>
      <c r="Q469" s="17"/>
      <c r="R469" s="18"/>
      <c r="S469" s="18"/>
      <c r="T469" s="18"/>
      <c r="U469" s="18"/>
      <c r="V469" s="18"/>
      <c r="W469" s="18"/>
      <c r="X469" s="18"/>
      <c r="Y469" s="18"/>
      <c r="Z469" s="18"/>
      <c r="AA469" s="18"/>
      <c r="AB469" s="17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  <c r="AS469" s="18"/>
      <c r="AT469" s="18"/>
      <c r="AU469" s="18"/>
      <c r="AV469" s="18"/>
      <c r="AW469" s="18"/>
      <c r="AX469" s="18"/>
    </row>
    <row r="470" spans="1:50" ht="15">
      <c r="A470" s="18"/>
      <c r="B470" s="18"/>
      <c r="C470" s="18"/>
      <c r="D470" s="18"/>
      <c r="E470" s="18"/>
      <c r="F470" s="18"/>
      <c r="G470" s="18"/>
      <c r="H470" s="18"/>
      <c r="I470" s="17"/>
      <c r="J470" s="18"/>
      <c r="K470" s="17"/>
      <c r="L470" s="18"/>
      <c r="M470" s="20"/>
      <c r="N470" s="18"/>
      <c r="O470" s="18"/>
      <c r="P470" s="18"/>
      <c r="Q470" s="17"/>
      <c r="R470" s="18"/>
      <c r="S470" s="18"/>
      <c r="T470" s="18"/>
      <c r="U470" s="18"/>
      <c r="V470" s="18"/>
      <c r="W470" s="18"/>
      <c r="X470" s="18"/>
      <c r="Y470" s="18"/>
      <c r="Z470" s="18"/>
      <c r="AA470" s="18"/>
      <c r="AB470" s="17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  <c r="AS470" s="18"/>
      <c r="AT470" s="18"/>
      <c r="AU470" s="18"/>
      <c r="AV470" s="18"/>
      <c r="AW470" s="18"/>
      <c r="AX470" s="18"/>
    </row>
    <row r="471" spans="1:50" ht="15">
      <c r="A471" s="18"/>
      <c r="B471" s="18"/>
      <c r="C471" s="18"/>
      <c r="D471" s="18"/>
      <c r="E471" s="18"/>
      <c r="F471" s="18"/>
      <c r="G471" s="18"/>
      <c r="H471" s="18"/>
      <c r="I471" s="17"/>
      <c r="J471" s="18"/>
      <c r="K471" s="17"/>
      <c r="L471" s="18"/>
      <c r="M471" s="20"/>
      <c r="N471" s="18"/>
      <c r="O471" s="18"/>
      <c r="P471" s="18"/>
      <c r="Q471" s="17"/>
      <c r="R471" s="18"/>
      <c r="S471" s="18"/>
      <c r="T471" s="18"/>
      <c r="U471" s="18"/>
      <c r="V471" s="18"/>
      <c r="W471" s="18"/>
      <c r="X471" s="18"/>
      <c r="Y471" s="18"/>
      <c r="Z471" s="18"/>
      <c r="AA471" s="18"/>
      <c r="AB471" s="17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  <c r="AS471" s="18"/>
      <c r="AT471" s="18"/>
      <c r="AU471" s="18"/>
      <c r="AV471" s="18"/>
      <c r="AW471" s="18"/>
      <c r="AX471" s="18"/>
    </row>
    <row r="472" spans="1:50" ht="15">
      <c r="A472" s="18"/>
      <c r="B472" s="18"/>
      <c r="C472" s="18"/>
      <c r="D472" s="18"/>
      <c r="E472" s="18"/>
      <c r="F472" s="18"/>
      <c r="G472" s="18"/>
      <c r="H472" s="18"/>
      <c r="I472" s="17"/>
      <c r="J472" s="18"/>
      <c r="K472" s="17"/>
      <c r="L472" s="18"/>
      <c r="M472" s="20"/>
      <c r="N472" s="18"/>
      <c r="O472" s="18"/>
      <c r="P472" s="18"/>
      <c r="Q472" s="17"/>
      <c r="R472" s="18"/>
      <c r="S472" s="18"/>
      <c r="T472" s="18"/>
      <c r="U472" s="18"/>
      <c r="V472" s="18"/>
      <c r="W472" s="18"/>
      <c r="X472" s="18"/>
      <c r="Y472" s="18"/>
      <c r="Z472" s="18"/>
      <c r="AA472" s="18"/>
      <c r="AB472" s="17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  <c r="AS472" s="18"/>
      <c r="AT472" s="18"/>
      <c r="AU472" s="18"/>
      <c r="AV472" s="18"/>
      <c r="AW472" s="18"/>
      <c r="AX472" s="18"/>
    </row>
    <row r="473" spans="1:50" ht="15">
      <c r="A473" s="18"/>
      <c r="B473" s="18"/>
      <c r="C473" s="18"/>
      <c r="D473" s="18"/>
      <c r="E473" s="18"/>
      <c r="F473" s="18"/>
      <c r="G473" s="18"/>
      <c r="H473" s="18"/>
      <c r="I473" s="17"/>
      <c r="J473" s="18"/>
      <c r="K473" s="17"/>
      <c r="L473" s="18"/>
      <c r="M473" s="20"/>
      <c r="N473" s="18"/>
      <c r="O473" s="18"/>
      <c r="P473" s="18"/>
      <c r="Q473" s="17"/>
      <c r="R473" s="18"/>
      <c r="S473" s="18"/>
      <c r="T473" s="18"/>
      <c r="U473" s="18"/>
      <c r="V473" s="18"/>
      <c r="W473" s="18"/>
      <c r="X473" s="18"/>
      <c r="Y473" s="18"/>
      <c r="Z473" s="18"/>
      <c r="AA473" s="18"/>
      <c r="AB473" s="17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  <c r="AS473" s="18"/>
      <c r="AT473" s="18"/>
      <c r="AU473" s="18"/>
      <c r="AV473" s="18"/>
      <c r="AW473" s="18"/>
      <c r="AX473" s="18"/>
    </row>
    <row r="474" spans="1:50" ht="15">
      <c r="A474" s="18"/>
      <c r="B474" s="18"/>
      <c r="C474" s="18"/>
      <c r="D474" s="18"/>
      <c r="E474" s="18"/>
      <c r="F474" s="18"/>
      <c r="G474" s="18"/>
      <c r="H474" s="18"/>
      <c r="I474" s="17"/>
      <c r="J474" s="18"/>
      <c r="K474" s="17"/>
      <c r="L474" s="18"/>
      <c r="M474" s="20"/>
      <c r="N474" s="18"/>
      <c r="O474" s="18"/>
      <c r="P474" s="18"/>
      <c r="Q474" s="17"/>
      <c r="R474" s="18"/>
      <c r="S474" s="18"/>
      <c r="T474" s="18"/>
      <c r="U474" s="18"/>
      <c r="V474" s="18"/>
      <c r="W474" s="18"/>
      <c r="X474" s="18"/>
      <c r="Y474" s="18"/>
      <c r="Z474" s="18"/>
      <c r="AA474" s="18"/>
      <c r="AB474" s="17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  <c r="AS474" s="18"/>
      <c r="AT474" s="18"/>
      <c r="AU474" s="18"/>
      <c r="AV474" s="18"/>
      <c r="AW474" s="18"/>
      <c r="AX474" s="18"/>
    </row>
    <row r="475" spans="1:50" ht="15">
      <c r="A475" s="18"/>
      <c r="B475" s="18"/>
      <c r="C475" s="18"/>
      <c r="D475" s="18"/>
      <c r="E475" s="18"/>
      <c r="F475" s="18"/>
      <c r="G475" s="18"/>
      <c r="H475" s="18"/>
      <c r="I475" s="17"/>
      <c r="J475" s="18"/>
      <c r="K475" s="17"/>
      <c r="L475" s="18"/>
      <c r="M475" s="20"/>
      <c r="N475" s="18"/>
      <c r="O475" s="18"/>
      <c r="P475" s="18"/>
      <c r="Q475" s="17"/>
      <c r="R475" s="18"/>
      <c r="S475" s="18"/>
      <c r="T475" s="18"/>
      <c r="U475" s="18"/>
      <c r="V475" s="18"/>
      <c r="W475" s="18"/>
      <c r="X475" s="18"/>
      <c r="Y475" s="18"/>
      <c r="Z475" s="18"/>
      <c r="AA475" s="18"/>
      <c r="AB475" s="17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</row>
    <row r="476" spans="1:50" ht="15">
      <c r="A476" s="18"/>
      <c r="B476" s="18"/>
      <c r="C476" s="18"/>
      <c r="D476" s="18"/>
      <c r="E476" s="18"/>
      <c r="F476" s="18"/>
      <c r="G476" s="18"/>
      <c r="H476" s="18"/>
      <c r="I476" s="17"/>
      <c r="J476" s="18"/>
      <c r="K476" s="17"/>
      <c r="L476" s="18"/>
      <c r="M476" s="20"/>
      <c r="N476" s="18"/>
      <c r="O476" s="18"/>
      <c r="P476" s="18"/>
      <c r="Q476" s="17"/>
      <c r="R476" s="18"/>
      <c r="S476" s="18"/>
      <c r="T476" s="18"/>
      <c r="U476" s="18"/>
      <c r="V476" s="18"/>
      <c r="W476" s="18"/>
      <c r="X476" s="18"/>
      <c r="Y476" s="18"/>
      <c r="Z476" s="18"/>
      <c r="AA476" s="18"/>
      <c r="AB476" s="17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18"/>
      <c r="AX476" s="18"/>
    </row>
    <row r="477" spans="1:50" ht="15">
      <c r="A477" s="18"/>
      <c r="B477" s="18"/>
      <c r="C477" s="18"/>
      <c r="D477" s="18"/>
      <c r="E477" s="18"/>
      <c r="F477" s="18"/>
      <c r="G477" s="18"/>
      <c r="H477" s="18"/>
      <c r="I477" s="17"/>
      <c r="J477" s="18"/>
      <c r="K477" s="17"/>
      <c r="L477" s="18"/>
      <c r="M477" s="20"/>
      <c r="N477" s="18"/>
      <c r="O477" s="18"/>
      <c r="P477" s="18"/>
      <c r="Q477" s="17"/>
      <c r="R477" s="18"/>
      <c r="S477" s="18"/>
      <c r="T477" s="18"/>
      <c r="U477" s="18"/>
      <c r="V477" s="18"/>
      <c r="W477" s="18"/>
      <c r="X477" s="18"/>
      <c r="Y477" s="18"/>
      <c r="Z477" s="18"/>
      <c r="AA477" s="18"/>
      <c r="AB477" s="17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 s="18"/>
      <c r="AV477" s="18"/>
      <c r="AW477" s="18"/>
      <c r="AX477" s="18"/>
    </row>
    <row r="478" spans="1:50" ht="15">
      <c r="A478" s="18"/>
      <c r="B478" s="18"/>
      <c r="C478" s="18"/>
      <c r="D478" s="18"/>
      <c r="E478" s="18"/>
      <c r="F478" s="18"/>
      <c r="G478" s="18"/>
      <c r="H478" s="18"/>
      <c r="I478" s="17"/>
      <c r="J478" s="18"/>
      <c r="K478" s="17"/>
      <c r="L478" s="18"/>
      <c r="M478" s="20"/>
      <c r="N478" s="18"/>
      <c r="O478" s="18"/>
      <c r="P478" s="18"/>
      <c r="Q478" s="17"/>
      <c r="R478" s="18"/>
      <c r="S478" s="18"/>
      <c r="T478" s="18"/>
      <c r="U478" s="18"/>
      <c r="V478" s="18"/>
      <c r="W478" s="18"/>
      <c r="X478" s="18"/>
      <c r="Y478" s="18"/>
      <c r="Z478" s="18"/>
      <c r="AA478" s="18"/>
      <c r="AB478" s="17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 s="18"/>
      <c r="AV478" s="18"/>
      <c r="AW478" s="18"/>
      <c r="AX478" s="18"/>
    </row>
    <row r="479" spans="1:50" ht="15">
      <c r="A479" s="18"/>
      <c r="B479" s="18"/>
      <c r="C479" s="18"/>
      <c r="D479" s="18"/>
      <c r="E479" s="18"/>
      <c r="F479" s="18"/>
      <c r="G479" s="18"/>
      <c r="H479" s="18"/>
      <c r="I479" s="17"/>
      <c r="J479" s="18"/>
      <c r="K479" s="17"/>
      <c r="L479" s="18"/>
      <c r="M479" s="20"/>
      <c r="N479" s="18"/>
      <c r="O479" s="18"/>
      <c r="P479" s="18"/>
      <c r="Q479" s="17"/>
      <c r="R479" s="18"/>
      <c r="S479" s="18"/>
      <c r="T479" s="18"/>
      <c r="U479" s="18"/>
      <c r="V479" s="18"/>
      <c r="W479" s="18"/>
      <c r="X479" s="18"/>
      <c r="Y479" s="18"/>
      <c r="Z479" s="18"/>
      <c r="AA479" s="18"/>
      <c r="AB479" s="17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 s="18"/>
      <c r="AV479" s="18"/>
      <c r="AW479" s="18"/>
      <c r="AX479" s="18"/>
    </row>
    <row r="480" spans="1:50" ht="15">
      <c r="A480" s="18"/>
      <c r="B480" s="18"/>
      <c r="C480" s="18"/>
      <c r="D480" s="18"/>
      <c r="E480" s="18"/>
      <c r="F480" s="18"/>
      <c r="G480" s="18"/>
      <c r="H480" s="18"/>
      <c r="I480" s="17"/>
      <c r="J480" s="18"/>
      <c r="K480" s="17"/>
      <c r="L480" s="18"/>
      <c r="M480" s="20"/>
      <c r="N480" s="18"/>
      <c r="O480" s="18"/>
      <c r="P480" s="18"/>
      <c r="Q480" s="17"/>
      <c r="R480" s="18"/>
      <c r="S480" s="18"/>
      <c r="T480" s="18"/>
      <c r="U480" s="18"/>
      <c r="V480" s="18"/>
      <c r="W480" s="18"/>
      <c r="X480" s="18"/>
      <c r="Y480" s="18"/>
      <c r="Z480" s="18"/>
      <c r="AA480" s="18"/>
      <c r="AB480" s="17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  <c r="AS480" s="18"/>
      <c r="AT480" s="18"/>
      <c r="AU480" s="18"/>
      <c r="AV480" s="18"/>
      <c r="AW480" s="18"/>
      <c r="AX480" s="18"/>
    </row>
    <row r="481" spans="1:50" ht="15">
      <c r="A481" s="18"/>
      <c r="B481" s="18"/>
      <c r="C481" s="18"/>
      <c r="D481" s="18"/>
      <c r="E481" s="18"/>
      <c r="F481" s="18"/>
      <c r="G481" s="18"/>
      <c r="H481" s="18"/>
      <c r="I481" s="17"/>
      <c r="J481" s="18"/>
      <c r="K481" s="17"/>
      <c r="L481" s="18"/>
      <c r="M481" s="20"/>
      <c r="N481" s="18"/>
      <c r="O481" s="18"/>
      <c r="P481" s="18"/>
      <c r="Q481" s="17"/>
      <c r="R481" s="18"/>
      <c r="S481" s="18"/>
      <c r="T481" s="18"/>
      <c r="U481" s="18"/>
      <c r="V481" s="18"/>
      <c r="W481" s="18"/>
      <c r="X481" s="18"/>
      <c r="Y481" s="18"/>
      <c r="Z481" s="18"/>
      <c r="AA481" s="18"/>
      <c r="AB481" s="17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 s="18"/>
      <c r="AV481" s="18"/>
      <c r="AW481" s="18"/>
      <c r="AX481" s="18"/>
    </row>
    <row r="482" spans="1:50" ht="15">
      <c r="A482" s="18"/>
      <c r="B482" s="18"/>
      <c r="C482" s="18"/>
      <c r="D482" s="18"/>
      <c r="E482" s="18"/>
      <c r="F482" s="18"/>
      <c r="G482" s="18"/>
      <c r="H482" s="18"/>
      <c r="I482" s="17"/>
      <c r="J482" s="18"/>
      <c r="K482" s="17"/>
      <c r="L482" s="18"/>
      <c r="M482" s="20"/>
      <c r="N482" s="18"/>
      <c r="O482" s="18"/>
      <c r="P482" s="18"/>
      <c r="Q482" s="17"/>
      <c r="R482" s="18"/>
      <c r="S482" s="18"/>
      <c r="T482" s="18"/>
      <c r="U482" s="18"/>
      <c r="V482" s="18"/>
      <c r="W482" s="18"/>
      <c r="X482" s="18"/>
      <c r="Y482" s="18"/>
      <c r="Z482" s="18"/>
      <c r="AA482" s="18"/>
      <c r="AB482" s="17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  <c r="AS482" s="18"/>
      <c r="AT482" s="18"/>
      <c r="AU482" s="18"/>
      <c r="AV482" s="18"/>
      <c r="AW482" s="18"/>
      <c r="AX482" s="18"/>
    </row>
    <row r="483" spans="1:50" ht="15">
      <c r="A483" s="18"/>
      <c r="B483" s="18"/>
      <c r="C483" s="18"/>
      <c r="D483" s="18"/>
      <c r="E483" s="18"/>
      <c r="F483" s="18"/>
      <c r="G483" s="18"/>
      <c r="H483" s="18"/>
      <c r="I483" s="17"/>
      <c r="J483" s="18"/>
      <c r="K483" s="17"/>
      <c r="L483" s="18"/>
      <c r="M483" s="20"/>
      <c r="N483" s="18"/>
      <c r="O483" s="18"/>
      <c r="P483" s="18"/>
      <c r="Q483" s="17"/>
      <c r="R483" s="18"/>
      <c r="S483" s="18"/>
      <c r="T483" s="18"/>
      <c r="U483" s="18"/>
      <c r="V483" s="18"/>
      <c r="W483" s="18"/>
      <c r="X483" s="18"/>
      <c r="Y483" s="18"/>
      <c r="Z483" s="18"/>
      <c r="AA483" s="18"/>
      <c r="AB483" s="17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  <c r="AS483" s="18"/>
      <c r="AT483" s="18"/>
      <c r="AU483" s="18"/>
      <c r="AV483" s="18"/>
      <c r="AW483" s="18"/>
      <c r="AX483" s="18"/>
    </row>
    <row r="484" spans="1:50" ht="15">
      <c r="A484" s="18"/>
      <c r="B484" s="18"/>
      <c r="C484" s="18"/>
      <c r="D484" s="18"/>
      <c r="E484" s="18"/>
      <c r="F484" s="18"/>
      <c r="G484" s="18"/>
      <c r="H484" s="18"/>
      <c r="I484" s="17"/>
      <c r="J484" s="18"/>
      <c r="K484" s="17"/>
      <c r="L484" s="18"/>
      <c r="M484" s="20"/>
      <c r="N484" s="18"/>
      <c r="O484" s="18"/>
      <c r="P484" s="18"/>
      <c r="Q484" s="17"/>
      <c r="R484" s="18"/>
      <c r="S484" s="18"/>
      <c r="T484" s="18"/>
      <c r="U484" s="18"/>
      <c r="V484" s="18"/>
      <c r="W484" s="18"/>
      <c r="X484" s="18"/>
      <c r="Y484" s="18"/>
      <c r="Z484" s="18"/>
      <c r="AA484" s="18"/>
      <c r="AB484" s="17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  <c r="AS484" s="18"/>
      <c r="AT484" s="18"/>
      <c r="AU484" s="18"/>
      <c r="AV484" s="18"/>
      <c r="AW484" s="18"/>
      <c r="AX484" s="18"/>
    </row>
    <row r="485" spans="1:50" ht="15">
      <c r="A485" s="18"/>
      <c r="B485" s="18"/>
      <c r="C485" s="18"/>
      <c r="D485" s="18"/>
      <c r="E485" s="18"/>
      <c r="F485" s="18"/>
      <c r="G485" s="18"/>
      <c r="H485" s="18"/>
      <c r="I485" s="17"/>
      <c r="J485" s="18"/>
      <c r="K485" s="17"/>
      <c r="L485" s="18"/>
      <c r="M485" s="20"/>
      <c r="N485" s="18"/>
      <c r="O485" s="18"/>
      <c r="P485" s="18"/>
      <c r="Q485" s="17"/>
      <c r="R485" s="18"/>
      <c r="S485" s="18"/>
      <c r="T485" s="18"/>
      <c r="U485" s="18"/>
      <c r="V485" s="18"/>
      <c r="W485" s="18"/>
      <c r="X485" s="18"/>
      <c r="Y485" s="18"/>
      <c r="Z485" s="18"/>
      <c r="AA485" s="18"/>
      <c r="AB485" s="17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  <c r="AS485" s="18"/>
      <c r="AT485" s="18"/>
      <c r="AU485" s="18"/>
      <c r="AV485" s="18"/>
      <c r="AW485" s="18"/>
      <c r="AX485" s="18"/>
    </row>
    <row r="486" spans="1:50" ht="15">
      <c r="A486" s="18"/>
      <c r="B486" s="18"/>
      <c r="C486" s="18"/>
      <c r="D486" s="18"/>
      <c r="E486" s="18"/>
      <c r="F486" s="18"/>
      <c r="G486" s="18"/>
      <c r="H486" s="18"/>
      <c r="I486" s="17"/>
      <c r="J486" s="18"/>
      <c r="K486" s="17"/>
      <c r="L486" s="18"/>
      <c r="M486" s="20"/>
      <c r="N486" s="18"/>
      <c r="O486" s="18"/>
      <c r="P486" s="18"/>
      <c r="Q486" s="17"/>
      <c r="R486" s="18"/>
      <c r="S486" s="18"/>
      <c r="T486" s="18"/>
      <c r="U486" s="18"/>
      <c r="V486" s="18"/>
      <c r="W486" s="18"/>
      <c r="X486" s="18"/>
      <c r="Y486" s="18"/>
      <c r="Z486" s="18"/>
      <c r="AA486" s="18"/>
      <c r="AB486" s="17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 s="18"/>
      <c r="AV486" s="18"/>
      <c r="AW486" s="18"/>
      <c r="AX486" s="18"/>
    </row>
    <row r="487" spans="1:50" ht="15">
      <c r="A487" s="18"/>
      <c r="B487" s="18"/>
      <c r="C487" s="18"/>
      <c r="D487" s="18"/>
      <c r="E487" s="18"/>
      <c r="F487" s="18"/>
      <c r="G487" s="18"/>
      <c r="H487" s="18"/>
      <c r="I487" s="17"/>
      <c r="J487" s="18"/>
      <c r="K487" s="17"/>
      <c r="L487" s="18"/>
      <c r="M487" s="20"/>
      <c r="N487" s="18"/>
      <c r="O487" s="18"/>
      <c r="P487" s="18"/>
      <c r="Q487" s="17"/>
      <c r="R487" s="18"/>
      <c r="S487" s="18"/>
      <c r="T487" s="18"/>
      <c r="U487" s="18"/>
      <c r="V487" s="18"/>
      <c r="W487" s="18"/>
      <c r="X487" s="18"/>
      <c r="Y487" s="18"/>
      <c r="Z487" s="18"/>
      <c r="AA487" s="18"/>
      <c r="AB487" s="17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  <c r="AS487" s="18"/>
      <c r="AT487" s="18"/>
      <c r="AU487" s="18"/>
      <c r="AV487" s="18"/>
      <c r="AW487" s="18"/>
      <c r="AX487" s="18"/>
    </row>
    <row r="488" spans="1:50" ht="15">
      <c r="A488" s="18"/>
      <c r="B488" s="18"/>
      <c r="C488" s="18"/>
      <c r="D488" s="18"/>
      <c r="E488" s="18"/>
      <c r="F488" s="18"/>
      <c r="G488" s="18"/>
      <c r="H488" s="18"/>
      <c r="I488" s="17"/>
      <c r="J488" s="18"/>
      <c r="K488" s="17"/>
      <c r="L488" s="18"/>
      <c r="M488" s="20"/>
      <c r="N488" s="18"/>
      <c r="O488" s="18"/>
      <c r="P488" s="18"/>
      <c r="Q488" s="17"/>
      <c r="R488" s="18"/>
      <c r="S488" s="18"/>
      <c r="T488" s="18"/>
      <c r="U488" s="18"/>
      <c r="V488" s="18"/>
      <c r="W488" s="18"/>
      <c r="X488" s="18"/>
      <c r="Y488" s="18"/>
      <c r="Z488" s="18"/>
      <c r="AA488" s="18"/>
      <c r="AB488" s="17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</row>
    <row r="489" spans="1:50" ht="15">
      <c r="A489" s="18"/>
      <c r="B489" s="18"/>
      <c r="C489" s="18"/>
      <c r="D489" s="18"/>
      <c r="E489" s="18"/>
      <c r="F489" s="18"/>
      <c r="G489" s="18"/>
      <c r="H489" s="18"/>
      <c r="I489" s="17"/>
      <c r="J489" s="18"/>
      <c r="K489" s="17"/>
      <c r="L489" s="18"/>
      <c r="M489" s="20"/>
      <c r="N489" s="18"/>
      <c r="O489" s="18"/>
      <c r="P489" s="18"/>
      <c r="Q489" s="17"/>
      <c r="R489" s="18"/>
      <c r="S489" s="18"/>
      <c r="T489" s="18"/>
      <c r="U489" s="18"/>
      <c r="V489" s="18"/>
      <c r="W489" s="18"/>
      <c r="X489" s="18"/>
      <c r="Y489" s="18"/>
      <c r="Z489" s="18"/>
      <c r="AA489" s="18"/>
      <c r="AB489" s="17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</row>
    <row r="490" spans="1:50" ht="15">
      <c r="A490" s="18"/>
      <c r="B490" s="18"/>
      <c r="C490" s="18"/>
      <c r="D490" s="18"/>
      <c r="E490" s="18"/>
      <c r="F490" s="18"/>
      <c r="G490" s="18"/>
      <c r="H490" s="18"/>
      <c r="I490" s="17"/>
      <c r="J490" s="18"/>
      <c r="K490" s="17"/>
      <c r="L490" s="18"/>
      <c r="M490" s="20"/>
      <c r="N490" s="18"/>
      <c r="O490" s="18"/>
      <c r="P490" s="18"/>
      <c r="Q490" s="17"/>
      <c r="R490" s="18"/>
      <c r="S490" s="18"/>
      <c r="T490" s="18"/>
      <c r="U490" s="18"/>
      <c r="V490" s="18"/>
      <c r="W490" s="18"/>
      <c r="X490" s="18"/>
      <c r="Y490" s="18"/>
      <c r="Z490" s="18"/>
      <c r="AA490" s="18"/>
      <c r="AB490" s="17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 s="18"/>
      <c r="AV490" s="18"/>
      <c r="AW490" s="18"/>
      <c r="AX490" s="18"/>
    </row>
    <row r="491" spans="1:50" ht="15">
      <c r="A491" s="18"/>
      <c r="B491" s="18"/>
      <c r="C491" s="18"/>
      <c r="D491" s="18"/>
      <c r="E491" s="18"/>
      <c r="F491" s="18"/>
      <c r="G491" s="18"/>
      <c r="H491" s="18"/>
      <c r="I491" s="17"/>
      <c r="J491" s="18"/>
      <c r="K491" s="17"/>
      <c r="L491" s="18"/>
      <c r="M491" s="20"/>
      <c r="N491" s="18"/>
      <c r="O491" s="18"/>
      <c r="P491" s="18"/>
      <c r="Q491" s="17"/>
      <c r="R491" s="18"/>
      <c r="S491" s="18"/>
      <c r="T491" s="18"/>
      <c r="U491" s="18"/>
      <c r="V491" s="18"/>
      <c r="W491" s="18"/>
      <c r="X491" s="18"/>
      <c r="Y491" s="18"/>
      <c r="Z491" s="18"/>
      <c r="AA491" s="18"/>
      <c r="AB491" s="17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 s="18"/>
      <c r="AV491" s="18"/>
      <c r="AW491" s="18"/>
      <c r="AX491" s="18"/>
    </row>
    <row r="492" spans="1:50" ht="15">
      <c r="A492" s="18"/>
      <c r="B492" s="18"/>
      <c r="C492" s="18"/>
      <c r="D492" s="18"/>
      <c r="E492" s="18"/>
      <c r="F492" s="18"/>
      <c r="G492" s="18"/>
      <c r="H492" s="18"/>
      <c r="I492" s="17"/>
      <c r="J492" s="18"/>
      <c r="K492" s="17"/>
      <c r="L492" s="18"/>
      <c r="M492" s="20"/>
      <c r="N492" s="18"/>
      <c r="O492" s="18"/>
      <c r="P492" s="18"/>
      <c r="Q492" s="17"/>
      <c r="R492" s="18"/>
      <c r="S492" s="18"/>
      <c r="T492" s="18"/>
      <c r="U492" s="18"/>
      <c r="V492" s="18"/>
      <c r="W492" s="18"/>
      <c r="X492" s="18"/>
      <c r="Y492" s="18"/>
      <c r="Z492" s="18"/>
      <c r="AA492" s="18"/>
      <c r="AB492" s="17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  <c r="AS492" s="18"/>
      <c r="AT492" s="18"/>
      <c r="AU492" s="18"/>
      <c r="AV492" s="18"/>
      <c r="AW492" s="18"/>
      <c r="AX492" s="18"/>
    </row>
    <row r="493" spans="1:50" ht="15">
      <c r="A493" s="18"/>
      <c r="B493" s="18"/>
      <c r="C493" s="18"/>
      <c r="D493" s="18"/>
      <c r="E493" s="18"/>
      <c r="F493" s="18"/>
      <c r="G493" s="18"/>
      <c r="H493" s="18"/>
      <c r="I493" s="17"/>
      <c r="J493" s="18"/>
      <c r="K493" s="17"/>
      <c r="L493" s="18"/>
      <c r="M493" s="20"/>
      <c r="N493" s="18"/>
      <c r="O493" s="18"/>
      <c r="P493" s="18"/>
      <c r="Q493" s="17"/>
      <c r="R493" s="18"/>
      <c r="S493" s="18"/>
      <c r="T493" s="18"/>
      <c r="U493" s="18"/>
      <c r="V493" s="18"/>
      <c r="W493" s="18"/>
      <c r="X493" s="18"/>
      <c r="Y493" s="18"/>
      <c r="Z493" s="18"/>
      <c r="AA493" s="18"/>
      <c r="AB493" s="17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  <c r="AS493" s="18"/>
      <c r="AT493" s="18"/>
      <c r="AU493" s="18"/>
      <c r="AV493" s="18"/>
      <c r="AW493" s="18"/>
      <c r="AX493" s="18"/>
    </row>
    <row r="494" spans="1:50" ht="15">
      <c r="A494" s="18"/>
      <c r="B494" s="18"/>
      <c r="C494" s="18"/>
      <c r="D494" s="18"/>
      <c r="E494" s="18"/>
      <c r="F494" s="18"/>
      <c r="G494" s="18"/>
      <c r="H494" s="18"/>
      <c r="I494" s="17"/>
      <c r="J494" s="18"/>
      <c r="K494" s="17"/>
      <c r="L494" s="18"/>
      <c r="M494" s="20"/>
      <c r="N494" s="18"/>
      <c r="O494" s="18"/>
      <c r="P494" s="18"/>
      <c r="Q494" s="17"/>
      <c r="R494" s="18"/>
      <c r="S494" s="18"/>
      <c r="T494" s="18"/>
      <c r="U494" s="18"/>
      <c r="V494" s="18"/>
      <c r="W494" s="18"/>
      <c r="X494" s="18"/>
      <c r="Y494" s="18"/>
      <c r="Z494" s="18"/>
      <c r="AA494" s="18"/>
      <c r="AB494" s="17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  <c r="AS494" s="18"/>
      <c r="AT494" s="18"/>
      <c r="AU494" s="18"/>
      <c r="AV494" s="18"/>
      <c r="AW494" s="18"/>
      <c r="AX494" s="18"/>
    </row>
    <row r="495" spans="1:50" ht="15">
      <c r="A495" s="18"/>
      <c r="B495" s="18"/>
      <c r="C495" s="18"/>
      <c r="D495" s="18"/>
      <c r="E495" s="18"/>
      <c r="F495" s="18"/>
      <c r="G495" s="18"/>
      <c r="H495" s="18"/>
      <c r="I495" s="17"/>
      <c r="J495" s="18"/>
      <c r="K495" s="17"/>
      <c r="L495" s="18"/>
      <c r="M495" s="20"/>
      <c r="N495" s="18"/>
      <c r="O495" s="18"/>
      <c r="P495" s="18"/>
      <c r="Q495" s="17"/>
      <c r="R495" s="18"/>
      <c r="S495" s="18"/>
      <c r="T495" s="18"/>
      <c r="U495" s="18"/>
      <c r="V495" s="18"/>
      <c r="W495" s="18"/>
      <c r="X495" s="18"/>
      <c r="Y495" s="18"/>
      <c r="Z495" s="18"/>
      <c r="AA495" s="18"/>
      <c r="AB495" s="17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 s="18"/>
      <c r="AV495" s="18"/>
      <c r="AW495" s="18"/>
      <c r="AX495" s="18"/>
    </row>
    <row r="496" spans="1:50" ht="15">
      <c r="A496" s="18"/>
      <c r="B496" s="18"/>
      <c r="C496" s="18"/>
      <c r="D496" s="18"/>
      <c r="E496" s="18"/>
      <c r="F496" s="18"/>
      <c r="G496" s="18"/>
      <c r="H496" s="18"/>
      <c r="I496" s="17"/>
      <c r="J496" s="18"/>
      <c r="K496" s="17"/>
      <c r="L496" s="18"/>
      <c r="M496" s="20"/>
      <c r="N496" s="18"/>
      <c r="O496" s="18"/>
      <c r="P496" s="18"/>
      <c r="Q496" s="17"/>
      <c r="R496" s="18"/>
      <c r="S496" s="18"/>
      <c r="T496" s="18"/>
      <c r="U496" s="18"/>
      <c r="V496" s="18"/>
      <c r="W496" s="18"/>
      <c r="X496" s="18"/>
      <c r="Y496" s="18"/>
      <c r="Z496" s="18"/>
      <c r="AA496" s="18"/>
      <c r="AB496" s="17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U496" s="18"/>
      <c r="AV496" s="18"/>
      <c r="AW496" s="18"/>
      <c r="AX496" s="18"/>
    </row>
    <row r="497" spans="1:50" ht="15">
      <c r="A497" s="18"/>
      <c r="B497" s="18"/>
      <c r="C497" s="18"/>
      <c r="D497" s="18"/>
      <c r="E497" s="18"/>
      <c r="F497" s="18"/>
      <c r="G497" s="18"/>
      <c r="H497" s="18"/>
      <c r="I497" s="17"/>
      <c r="J497" s="18"/>
      <c r="K497" s="17"/>
      <c r="L497" s="18"/>
      <c r="M497" s="20"/>
      <c r="N497" s="18"/>
      <c r="O497" s="18"/>
      <c r="P497" s="18"/>
      <c r="Q497" s="17"/>
      <c r="R497" s="18"/>
      <c r="S497" s="18"/>
      <c r="T497" s="18"/>
      <c r="U497" s="18"/>
      <c r="V497" s="18"/>
      <c r="W497" s="18"/>
      <c r="X497" s="18"/>
      <c r="Y497" s="18"/>
      <c r="Z497" s="18"/>
      <c r="AA497" s="18"/>
      <c r="AB497" s="17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  <c r="AS497" s="18"/>
      <c r="AT497" s="18"/>
      <c r="AU497" s="18"/>
      <c r="AV497" s="18"/>
      <c r="AW497" s="18"/>
      <c r="AX497" s="18"/>
    </row>
    <row r="498" spans="1:50" ht="15">
      <c r="A498" s="18"/>
      <c r="B498" s="18"/>
      <c r="C498" s="18"/>
      <c r="D498" s="18"/>
      <c r="E498" s="18"/>
      <c r="F498" s="18"/>
      <c r="G498" s="18"/>
      <c r="H498" s="18"/>
      <c r="I498" s="17"/>
      <c r="J498" s="18"/>
      <c r="K498" s="17"/>
      <c r="L498" s="18"/>
      <c r="M498" s="20"/>
      <c r="N498" s="18"/>
      <c r="O498" s="18"/>
      <c r="P498" s="18"/>
      <c r="Q498" s="17"/>
      <c r="R498" s="18"/>
      <c r="S498" s="18"/>
      <c r="T498" s="18"/>
      <c r="U498" s="18"/>
      <c r="V498" s="18"/>
      <c r="W498" s="18"/>
      <c r="X498" s="18"/>
      <c r="Y498" s="18"/>
      <c r="Z498" s="18"/>
      <c r="AA498" s="18"/>
      <c r="AB498" s="17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</row>
    <row r="499" spans="1:50" ht="15">
      <c r="A499" s="18"/>
      <c r="B499" s="18"/>
      <c r="C499" s="18"/>
      <c r="D499" s="18"/>
      <c r="E499" s="18"/>
      <c r="F499" s="18"/>
      <c r="G499" s="18"/>
      <c r="H499" s="18"/>
      <c r="I499" s="17"/>
      <c r="J499" s="18"/>
      <c r="K499" s="17"/>
      <c r="L499" s="18"/>
      <c r="M499" s="20"/>
      <c r="N499" s="18"/>
      <c r="O499" s="18"/>
      <c r="P499" s="18"/>
      <c r="Q499" s="17"/>
      <c r="R499" s="18"/>
      <c r="S499" s="18"/>
      <c r="T499" s="18"/>
      <c r="U499" s="18"/>
      <c r="V499" s="18"/>
      <c r="W499" s="18"/>
      <c r="X499" s="18"/>
      <c r="Y499" s="18"/>
      <c r="Z499" s="18"/>
      <c r="AA499" s="18"/>
      <c r="AB499" s="17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 s="18"/>
      <c r="AV499" s="18"/>
      <c r="AW499" s="18"/>
      <c r="AX499" s="18"/>
    </row>
    <row r="500" spans="1:50" ht="15">
      <c r="A500" s="18"/>
      <c r="B500" s="18"/>
      <c r="C500" s="18"/>
      <c r="D500" s="18"/>
      <c r="E500" s="18"/>
      <c r="F500" s="18"/>
      <c r="G500" s="18"/>
      <c r="H500" s="18"/>
      <c r="I500" s="17"/>
      <c r="J500" s="18"/>
      <c r="K500" s="17"/>
      <c r="L500" s="18"/>
      <c r="M500" s="20"/>
      <c r="N500" s="18"/>
      <c r="O500" s="18"/>
      <c r="P500" s="18"/>
      <c r="Q500" s="17"/>
      <c r="R500" s="18"/>
      <c r="S500" s="18"/>
      <c r="T500" s="18"/>
      <c r="U500" s="18"/>
      <c r="V500" s="18"/>
      <c r="W500" s="18"/>
      <c r="X500" s="18"/>
      <c r="Y500" s="18"/>
      <c r="Z500" s="18"/>
      <c r="AA500" s="18"/>
      <c r="AB500" s="17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  <c r="AS500" s="18"/>
      <c r="AT500" s="18"/>
      <c r="AU500" s="18"/>
      <c r="AV500" s="18"/>
      <c r="AW500" s="18"/>
      <c r="AX500" s="18"/>
    </row>
    <row r="501" spans="1:50" ht="15">
      <c r="A501" s="18"/>
      <c r="B501" s="18"/>
      <c r="C501" s="18"/>
      <c r="D501" s="18"/>
      <c r="E501" s="18"/>
      <c r="F501" s="18"/>
      <c r="G501" s="18"/>
      <c r="H501" s="18"/>
      <c r="I501" s="17"/>
      <c r="J501" s="18"/>
      <c r="K501" s="17"/>
      <c r="L501" s="18"/>
      <c r="M501" s="20"/>
      <c r="N501" s="18"/>
      <c r="O501" s="18"/>
      <c r="P501" s="18"/>
      <c r="Q501" s="17"/>
      <c r="R501" s="18"/>
      <c r="S501" s="18"/>
      <c r="T501" s="18"/>
      <c r="U501" s="18"/>
      <c r="V501" s="18"/>
      <c r="W501" s="18"/>
      <c r="X501" s="18"/>
      <c r="Y501" s="18"/>
      <c r="Z501" s="18"/>
      <c r="AA501" s="18"/>
      <c r="AB501" s="17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  <c r="AS501" s="18"/>
      <c r="AT501" s="18"/>
      <c r="AU501" s="18"/>
      <c r="AV501" s="18"/>
      <c r="AW501" s="18"/>
      <c r="AX501" s="18"/>
    </row>
    <row r="502" spans="1:50" ht="15">
      <c r="A502" s="18"/>
      <c r="B502" s="18"/>
      <c r="C502" s="18"/>
      <c r="D502" s="18"/>
      <c r="E502" s="18"/>
      <c r="F502" s="18"/>
      <c r="G502" s="18"/>
      <c r="H502" s="18"/>
      <c r="I502" s="17"/>
      <c r="J502" s="18"/>
      <c r="K502" s="17"/>
      <c r="L502" s="18"/>
      <c r="M502" s="20"/>
      <c r="N502" s="18"/>
      <c r="O502" s="18"/>
      <c r="P502" s="18"/>
      <c r="Q502" s="17"/>
      <c r="R502" s="18"/>
      <c r="S502" s="18"/>
      <c r="T502" s="18"/>
      <c r="U502" s="18"/>
      <c r="V502" s="18"/>
      <c r="W502" s="18"/>
      <c r="X502" s="18"/>
      <c r="Y502" s="18"/>
      <c r="Z502" s="18"/>
      <c r="AA502" s="18"/>
      <c r="AB502" s="17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  <c r="AS502" s="18"/>
      <c r="AT502" s="18"/>
      <c r="AU502" s="18"/>
      <c r="AV502" s="18"/>
      <c r="AW502" s="18"/>
      <c r="AX502" s="18"/>
    </row>
    <row r="503" spans="1:50" ht="15">
      <c r="A503" s="18"/>
      <c r="B503" s="18"/>
      <c r="C503" s="18"/>
      <c r="D503" s="18"/>
      <c r="E503" s="18"/>
      <c r="F503" s="18"/>
      <c r="G503" s="18"/>
      <c r="H503" s="18"/>
      <c r="I503" s="17"/>
      <c r="J503" s="18"/>
      <c r="K503" s="17"/>
      <c r="L503" s="18"/>
      <c r="M503" s="20"/>
      <c r="N503" s="18"/>
      <c r="O503" s="18"/>
      <c r="P503" s="18"/>
      <c r="Q503" s="17"/>
      <c r="R503" s="18"/>
      <c r="S503" s="18"/>
      <c r="T503" s="18"/>
      <c r="U503" s="18"/>
      <c r="V503" s="18"/>
      <c r="W503" s="18"/>
      <c r="X503" s="18"/>
      <c r="Y503" s="18"/>
      <c r="Z503" s="18"/>
      <c r="AA503" s="18"/>
      <c r="AB503" s="17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  <c r="AS503" s="18"/>
      <c r="AT503" s="18"/>
      <c r="AU503" s="18"/>
      <c r="AV503" s="18"/>
      <c r="AW503" s="18"/>
      <c r="AX503" s="18"/>
    </row>
    <row r="504" spans="1:50" ht="15">
      <c r="A504" s="18"/>
      <c r="B504" s="18"/>
      <c r="C504" s="18"/>
      <c r="D504" s="18"/>
      <c r="E504" s="18"/>
      <c r="F504" s="18"/>
      <c r="G504" s="18"/>
      <c r="H504" s="18"/>
      <c r="I504" s="17"/>
      <c r="J504" s="18"/>
      <c r="K504" s="17"/>
      <c r="L504" s="18"/>
      <c r="M504" s="20"/>
      <c r="N504" s="18"/>
      <c r="O504" s="18"/>
      <c r="P504" s="18"/>
      <c r="Q504" s="17"/>
      <c r="R504" s="18"/>
      <c r="S504" s="18"/>
      <c r="T504" s="18"/>
      <c r="U504" s="18"/>
      <c r="V504" s="18"/>
      <c r="W504" s="18"/>
      <c r="X504" s="18"/>
      <c r="Y504" s="18"/>
      <c r="Z504" s="18"/>
      <c r="AA504" s="18"/>
      <c r="AB504" s="17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  <c r="AS504" s="18"/>
      <c r="AT504" s="18"/>
      <c r="AU504" s="18"/>
      <c r="AV504" s="18"/>
      <c r="AW504" s="18"/>
      <c r="AX504" s="18"/>
    </row>
    <row r="505" spans="1:50" ht="15">
      <c r="A505" s="18"/>
      <c r="B505" s="18"/>
      <c r="C505" s="18"/>
      <c r="D505" s="18"/>
      <c r="E505" s="18"/>
      <c r="F505" s="18"/>
      <c r="G505" s="18"/>
      <c r="H505" s="18"/>
      <c r="I505" s="17"/>
      <c r="J505" s="18"/>
      <c r="K505" s="17"/>
      <c r="L505" s="18"/>
      <c r="M505" s="20"/>
      <c r="N505" s="18"/>
      <c r="O505" s="18"/>
      <c r="P505" s="18"/>
      <c r="Q505" s="17"/>
      <c r="R505" s="18"/>
      <c r="S505" s="18"/>
      <c r="T505" s="18"/>
      <c r="U505" s="18"/>
      <c r="V505" s="18"/>
      <c r="W505" s="18"/>
      <c r="X505" s="18"/>
      <c r="Y505" s="18"/>
      <c r="Z505" s="18"/>
      <c r="AA505" s="18"/>
      <c r="AB505" s="17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  <c r="AS505" s="18"/>
      <c r="AT505" s="18"/>
      <c r="AU505" s="18"/>
      <c r="AV505" s="18"/>
      <c r="AW505" s="18"/>
      <c r="AX505" s="18"/>
    </row>
    <row r="506" spans="1:50" ht="15">
      <c r="A506" s="18"/>
      <c r="B506" s="18"/>
      <c r="C506" s="18"/>
      <c r="D506" s="18"/>
      <c r="E506" s="18"/>
      <c r="F506" s="18"/>
      <c r="G506" s="18"/>
      <c r="H506" s="18"/>
      <c r="I506" s="17"/>
      <c r="J506" s="18"/>
      <c r="K506" s="17"/>
      <c r="L506" s="18"/>
      <c r="M506" s="20"/>
      <c r="N506" s="18"/>
      <c r="O506" s="18"/>
      <c r="P506" s="18"/>
      <c r="Q506" s="17"/>
      <c r="R506" s="18"/>
      <c r="S506" s="18"/>
      <c r="T506" s="18"/>
      <c r="U506" s="18"/>
      <c r="V506" s="18"/>
      <c r="W506" s="18"/>
      <c r="X506" s="18"/>
      <c r="Y506" s="18"/>
      <c r="Z506" s="18"/>
      <c r="AA506" s="18"/>
      <c r="AB506" s="17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  <c r="AS506" s="18"/>
      <c r="AT506" s="18"/>
      <c r="AU506" s="18"/>
      <c r="AV506" s="18"/>
      <c r="AW506" s="18"/>
      <c r="AX506" s="18"/>
    </row>
    <row r="507" spans="1:50" ht="15">
      <c r="A507" s="18"/>
      <c r="B507" s="18"/>
      <c r="C507" s="18"/>
      <c r="D507" s="18"/>
      <c r="E507" s="18"/>
      <c r="F507" s="18"/>
      <c r="G507" s="18"/>
      <c r="H507" s="18"/>
      <c r="I507" s="17"/>
      <c r="J507" s="18"/>
      <c r="K507" s="17"/>
      <c r="L507" s="18"/>
      <c r="M507" s="20"/>
      <c r="N507" s="18"/>
      <c r="O507" s="18"/>
      <c r="P507" s="18"/>
      <c r="Q507" s="17"/>
      <c r="R507" s="18"/>
      <c r="S507" s="18"/>
      <c r="T507" s="18"/>
      <c r="U507" s="18"/>
      <c r="V507" s="18"/>
      <c r="W507" s="18"/>
      <c r="X507" s="18"/>
      <c r="Y507" s="18"/>
      <c r="Z507" s="18"/>
      <c r="AA507" s="18"/>
      <c r="AB507" s="17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</row>
    <row r="508" spans="1:50" ht="15">
      <c r="A508" s="18"/>
      <c r="B508" s="18"/>
      <c r="C508" s="18"/>
      <c r="D508" s="18"/>
      <c r="E508" s="18"/>
      <c r="F508" s="18"/>
      <c r="G508" s="18"/>
      <c r="H508" s="18"/>
      <c r="I508" s="17"/>
      <c r="J508" s="18"/>
      <c r="K508" s="17"/>
      <c r="L508" s="18"/>
      <c r="M508" s="20"/>
      <c r="N508" s="18"/>
      <c r="O508" s="18"/>
      <c r="P508" s="18"/>
      <c r="Q508" s="17"/>
      <c r="R508" s="18"/>
      <c r="S508" s="18"/>
      <c r="T508" s="18"/>
      <c r="U508" s="18"/>
      <c r="V508" s="18"/>
      <c r="W508" s="18"/>
      <c r="X508" s="18"/>
      <c r="Y508" s="18"/>
      <c r="Z508" s="18"/>
      <c r="AA508" s="18"/>
      <c r="AB508" s="17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</row>
    <row r="509" spans="1:50" ht="15">
      <c r="A509" s="18"/>
      <c r="B509" s="18"/>
      <c r="C509" s="18"/>
      <c r="D509" s="18"/>
      <c r="E509" s="18"/>
      <c r="F509" s="18"/>
      <c r="G509" s="18"/>
      <c r="H509" s="18"/>
      <c r="I509" s="17"/>
      <c r="J509" s="18"/>
      <c r="K509" s="17"/>
      <c r="L509" s="18"/>
      <c r="M509" s="20"/>
      <c r="N509" s="18"/>
      <c r="O509" s="18"/>
      <c r="P509" s="18"/>
      <c r="Q509" s="17"/>
      <c r="R509" s="18"/>
      <c r="S509" s="18"/>
      <c r="T509" s="18"/>
      <c r="U509" s="18"/>
      <c r="V509" s="18"/>
      <c r="W509" s="18"/>
      <c r="X509" s="18"/>
      <c r="Y509" s="18"/>
      <c r="Z509" s="18"/>
      <c r="AA509" s="18"/>
      <c r="AB509" s="17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  <c r="AS509" s="18"/>
      <c r="AT509" s="18"/>
      <c r="AU509" s="18"/>
      <c r="AV509" s="18"/>
      <c r="AW509" s="18"/>
      <c r="AX509" s="18"/>
    </row>
    <row r="510" spans="1:50" ht="15">
      <c r="A510" s="18"/>
      <c r="B510" s="18"/>
      <c r="C510" s="18"/>
      <c r="D510" s="18"/>
      <c r="E510" s="18"/>
      <c r="F510" s="18"/>
      <c r="G510" s="18"/>
      <c r="H510" s="18"/>
      <c r="I510" s="17"/>
      <c r="J510" s="18"/>
      <c r="K510" s="17"/>
      <c r="L510" s="18"/>
      <c r="M510" s="20"/>
      <c r="N510" s="18"/>
      <c r="O510" s="18"/>
      <c r="P510" s="18"/>
      <c r="Q510" s="17"/>
      <c r="R510" s="18"/>
      <c r="S510" s="18"/>
      <c r="T510" s="18"/>
      <c r="U510" s="18"/>
      <c r="V510" s="18"/>
      <c r="W510" s="18"/>
      <c r="X510" s="18"/>
      <c r="Y510" s="18"/>
      <c r="Z510" s="18"/>
      <c r="AA510" s="18"/>
      <c r="AB510" s="17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  <c r="AS510" s="18"/>
      <c r="AT510" s="18"/>
      <c r="AU510" s="18"/>
      <c r="AV510" s="18"/>
      <c r="AW510" s="18"/>
      <c r="AX510" s="18"/>
    </row>
    <row r="511" spans="1:50" ht="15">
      <c r="A511" s="18"/>
      <c r="B511" s="18"/>
      <c r="C511" s="18"/>
      <c r="D511" s="18"/>
      <c r="E511" s="18"/>
      <c r="F511" s="18"/>
      <c r="G511" s="18"/>
      <c r="H511" s="18"/>
      <c r="I511" s="17"/>
      <c r="J511" s="18"/>
      <c r="K511" s="17"/>
      <c r="L511" s="18"/>
      <c r="M511" s="20"/>
      <c r="N511" s="18"/>
      <c r="O511" s="18"/>
      <c r="P511" s="18"/>
      <c r="Q511" s="17"/>
      <c r="R511" s="18"/>
      <c r="S511" s="18"/>
      <c r="T511" s="18"/>
      <c r="U511" s="18"/>
      <c r="V511" s="18"/>
      <c r="W511" s="18"/>
      <c r="X511" s="18"/>
      <c r="Y511" s="18"/>
      <c r="Z511" s="18"/>
      <c r="AA511" s="18"/>
      <c r="AB511" s="17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  <c r="AS511" s="18"/>
      <c r="AT511" s="18"/>
      <c r="AU511" s="18"/>
      <c r="AV511" s="18"/>
      <c r="AW511" s="18"/>
      <c r="AX511" s="18"/>
    </row>
    <row r="512" spans="1:50" ht="15">
      <c r="A512" s="18"/>
      <c r="B512" s="18"/>
      <c r="C512" s="18"/>
      <c r="D512" s="18"/>
      <c r="E512" s="18"/>
      <c r="F512" s="18"/>
      <c r="G512" s="18"/>
      <c r="H512" s="18"/>
      <c r="I512" s="17"/>
      <c r="J512" s="18"/>
      <c r="K512" s="17"/>
      <c r="L512" s="18"/>
      <c r="M512" s="20"/>
      <c r="N512" s="18"/>
      <c r="O512" s="18"/>
      <c r="P512" s="18"/>
      <c r="Q512" s="17"/>
      <c r="R512" s="18"/>
      <c r="S512" s="18"/>
      <c r="T512" s="18"/>
      <c r="U512" s="18"/>
      <c r="V512" s="18"/>
      <c r="W512" s="18"/>
      <c r="X512" s="18"/>
      <c r="Y512" s="18"/>
      <c r="Z512" s="18"/>
      <c r="AA512" s="18"/>
      <c r="AB512" s="17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  <c r="AS512" s="18"/>
      <c r="AT512" s="18"/>
      <c r="AU512" s="18"/>
      <c r="AV512" s="18"/>
      <c r="AW512" s="18"/>
      <c r="AX512" s="18"/>
    </row>
    <row r="513" spans="1:50" ht="15">
      <c r="A513" s="18"/>
      <c r="B513" s="18"/>
      <c r="C513" s="18"/>
      <c r="D513" s="18"/>
      <c r="E513" s="18"/>
      <c r="F513" s="18"/>
      <c r="G513" s="18"/>
      <c r="H513" s="18"/>
      <c r="I513" s="17"/>
      <c r="J513" s="18"/>
      <c r="K513" s="17"/>
      <c r="L513" s="18"/>
      <c r="M513" s="20"/>
      <c r="N513" s="18"/>
      <c r="O513" s="18"/>
      <c r="P513" s="18"/>
      <c r="Q513" s="17"/>
      <c r="R513" s="18"/>
      <c r="S513" s="18"/>
      <c r="T513" s="18"/>
      <c r="U513" s="18"/>
      <c r="V513" s="18"/>
      <c r="W513" s="18"/>
      <c r="X513" s="18"/>
      <c r="Y513" s="18"/>
      <c r="Z513" s="18"/>
      <c r="AA513" s="18"/>
      <c r="AB513" s="17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  <c r="AS513" s="18"/>
      <c r="AT513" s="18"/>
      <c r="AU513" s="18"/>
      <c r="AV513" s="18"/>
      <c r="AW513" s="18"/>
      <c r="AX513" s="18"/>
    </row>
    <row r="514" spans="1:50" ht="15">
      <c r="A514" s="18"/>
      <c r="B514" s="18"/>
      <c r="C514" s="18"/>
      <c r="D514" s="18"/>
      <c r="E514" s="18"/>
      <c r="F514" s="18"/>
      <c r="G514" s="18"/>
      <c r="H514" s="18"/>
      <c r="I514" s="17"/>
      <c r="J514" s="18"/>
      <c r="K514" s="17"/>
      <c r="L514" s="18"/>
      <c r="M514" s="20"/>
      <c r="N514" s="18"/>
      <c r="O514" s="18"/>
      <c r="P514" s="18"/>
      <c r="Q514" s="17"/>
      <c r="R514" s="18"/>
      <c r="S514" s="18"/>
      <c r="T514" s="18"/>
      <c r="U514" s="18"/>
      <c r="V514" s="18"/>
      <c r="W514" s="18"/>
      <c r="X514" s="18"/>
      <c r="Y514" s="18"/>
      <c r="Z514" s="18"/>
      <c r="AA514" s="18"/>
      <c r="AB514" s="17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  <c r="AS514" s="18"/>
      <c r="AT514" s="18"/>
      <c r="AU514" s="18"/>
      <c r="AV514" s="18"/>
      <c r="AW514" s="18"/>
      <c r="AX514" s="18"/>
    </row>
    <row r="515" spans="1:50" ht="15">
      <c r="A515" s="18"/>
      <c r="B515" s="18"/>
      <c r="C515" s="18"/>
      <c r="D515" s="18"/>
      <c r="E515" s="18"/>
      <c r="F515" s="18"/>
      <c r="G515" s="18"/>
      <c r="H515" s="18"/>
      <c r="I515" s="17"/>
      <c r="J515" s="18"/>
      <c r="K515" s="17"/>
      <c r="L515" s="18"/>
      <c r="M515" s="20"/>
      <c r="N515" s="18"/>
      <c r="O515" s="18"/>
      <c r="P515" s="18"/>
      <c r="Q515" s="17"/>
      <c r="R515" s="18"/>
      <c r="S515" s="18"/>
      <c r="T515" s="18"/>
      <c r="U515" s="18"/>
      <c r="V515" s="18"/>
      <c r="W515" s="18"/>
      <c r="X515" s="18"/>
      <c r="Y515" s="18"/>
      <c r="Z515" s="18"/>
      <c r="AA515" s="18"/>
      <c r="AB515" s="17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  <c r="AS515" s="18"/>
      <c r="AT515" s="18"/>
      <c r="AU515" s="18"/>
      <c r="AV515" s="18"/>
      <c r="AW515" s="18"/>
      <c r="AX515" s="18"/>
    </row>
    <row r="516" spans="1:50" ht="15">
      <c r="A516" s="18"/>
      <c r="B516" s="18"/>
      <c r="C516" s="18"/>
      <c r="D516" s="18"/>
      <c r="E516" s="18"/>
      <c r="F516" s="18"/>
      <c r="G516" s="18"/>
      <c r="H516" s="18"/>
      <c r="I516" s="17"/>
      <c r="J516" s="18"/>
      <c r="K516" s="17"/>
      <c r="L516" s="18"/>
      <c r="M516" s="20"/>
      <c r="N516" s="18"/>
      <c r="O516" s="18"/>
      <c r="P516" s="18"/>
      <c r="Q516" s="17"/>
      <c r="R516" s="18"/>
      <c r="S516" s="18"/>
      <c r="T516" s="18"/>
      <c r="U516" s="18"/>
      <c r="V516" s="18"/>
      <c r="W516" s="18"/>
      <c r="X516" s="18"/>
      <c r="Y516" s="18"/>
      <c r="Z516" s="18"/>
      <c r="AA516" s="18"/>
      <c r="AB516" s="17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  <c r="AS516" s="18"/>
      <c r="AT516" s="18"/>
      <c r="AU516" s="18"/>
      <c r="AV516" s="18"/>
      <c r="AW516" s="18"/>
      <c r="AX516" s="18"/>
    </row>
    <row r="517" spans="1:50" ht="15">
      <c r="A517" s="18"/>
      <c r="B517" s="18"/>
      <c r="C517" s="18"/>
      <c r="D517" s="18"/>
      <c r="E517" s="18"/>
      <c r="F517" s="18"/>
      <c r="G517" s="18"/>
      <c r="H517" s="18"/>
      <c r="I517" s="17"/>
      <c r="J517" s="18"/>
      <c r="K517" s="17"/>
      <c r="L517" s="18"/>
      <c r="M517" s="20"/>
      <c r="N517" s="18"/>
      <c r="O517" s="18"/>
      <c r="P517" s="18"/>
      <c r="Q517" s="17"/>
      <c r="R517" s="18"/>
      <c r="S517" s="18"/>
      <c r="T517" s="18"/>
      <c r="U517" s="18"/>
      <c r="V517" s="18"/>
      <c r="W517" s="18"/>
      <c r="X517" s="18"/>
      <c r="Y517" s="18"/>
      <c r="Z517" s="18"/>
      <c r="AA517" s="18"/>
      <c r="AB517" s="17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  <c r="AS517" s="18"/>
      <c r="AT517" s="18"/>
      <c r="AU517" s="18"/>
      <c r="AV517" s="18"/>
      <c r="AW517" s="18"/>
      <c r="AX517" s="18"/>
    </row>
    <row r="518" spans="1:50" ht="15">
      <c r="A518" s="18"/>
      <c r="B518" s="18"/>
      <c r="C518" s="18"/>
      <c r="D518" s="18"/>
      <c r="E518" s="18"/>
      <c r="F518" s="18"/>
      <c r="G518" s="18"/>
      <c r="H518" s="18"/>
      <c r="I518" s="17"/>
      <c r="J518" s="18"/>
      <c r="K518" s="17"/>
      <c r="L518" s="18"/>
      <c r="M518" s="20"/>
      <c r="N518" s="18"/>
      <c r="O518" s="18"/>
      <c r="P518" s="18"/>
      <c r="Q518" s="17"/>
      <c r="R518" s="18"/>
      <c r="S518" s="18"/>
      <c r="T518" s="18"/>
      <c r="U518" s="18"/>
      <c r="V518" s="18"/>
      <c r="W518" s="18"/>
      <c r="X518" s="18"/>
      <c r="Y518" s="18"/>
      <c r="Z518" s="18"/>
      <c r="AA518" s="18"/>
      <c r="AB518" s="17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  <c r="AS518" s="18"/>
      <c r="AT518" s="18"/>
      <c r="AU518" s="18"/>
      <c r="AV518" s="18"/>
      <c r="AW518" s="18"/>
      <c r="AX518" s="18"/>
    </row>
    <row r="519" spans="1:50" ht="15">
      <c r="A519" s="18"/>
      <c r="B519" s="18"/>
      <c r="C519" s="18"/>
      <c r="D519" s="18"/>
      <c r="E519" s="18"/>
      <c r="F519" s="18"/>
      <c r="G519" s="18"/>
      <c r="H519" s="18"/>
      <c r="I519" s="17"/>
      <c r="J519" s="18"/>
      <c r="K519" s="17"/>
      <c r="L519" s="18"/>
      <c r="M519" s="20"/>
      <c r="N519" s="18"/>
      <c r="O519" s="18"/>
      <c r="P519" s="18"/>
      <c r="Q519" s="17"/>
      <c r="R519" s="18"/>
      <c r="S519" s="18"/>
      <c r="T519" s="18"/>
      <c r="U519" s="18"/>
      <c r="V519" s="18"/>
      <c r="W519" s="18"/>
      <c r="X519" s="18"/>
      <c r="Y519" s="18"/>
      <c r="Z519" s="18"/>
      <c r="AA519" s="18"/>
      <c r="AB519" s="17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 s="18"/>
      <c r="AV519" s="18"/>
      <c r="AW519" s="18"/>
      <c r="AX519" s="18"/>
    </row>
    <row r="520" spans="1:50" ht="15">
      <c r="A520" s="18"/>
      <c r="B520" s="18"/>
      <c r="C520" s="18"/>
      <c r="D520" s="18"/>
      <c r="E520" s="18"/>
      <c r="F520" s="18"/>
      <c r="G520" s="18"/>
      <c r="H520" s="18"/>
      <c r="I520" s="17"/>
      <c r="J520" s="18"/>
      <c r="K520" s="17"/>
      <c r="L520" s="18"/>
      <c r="M520" s="20"/>
      <c r="N520" s="18"/>
      <c r="O520" s="18"/>
      <c r="P520" s="18"/>
      <c r="Q520" s="17"/>
      <c r="R520" s="18"/>
      <c r="S520" s="18"/>
      <c r="T520" s="18"/>
      <c r="U520" s="18"/>
      <c r="V520" s="18"/>
      <c r="W520" s="18"/>
      <c r="X520" s="18"/>
      <c r="Y520" s="18"/>
      <c r="Z520" s="18"/>
      <c r="AA520" s="18"/>
      <c r="AB520" s="17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  <c r="AS520" s="18"/>
      <c r="AT520" s="18"/>
      <c r="AU520" s="18"/>
      <c r="AV520" s="18"/>
      <c r="AW520" s="18"/>
      <c r="AX520" s="18"/>
    </row>
    <row r="521" spans="1:50" ht="15">
      <c r="A521" s="18"/>
      <c r="B521" s="18"/>
      <c r="C521" s="18"/>
      <c r="D521" s="18"/>
      <c r="E521" s="18"/>
      <c r="F521" s="18"/>
      <c r="G521" s="18"/>
      <c r="H521" s="18"/>
      <c r="I521" s="17"/>
      <c r="J521" s="18"/>
      <c r="K521" s="17"/>
      <c r="L521" s="18"/>
      <c r="M521" s="20"/>
      <c r="N521" s="18"/>
      <c r="O521" s="18"/>
      <c r="P521" s="18"/>
      <c r="Q521" s="17"/>
      <c r="R521" s="18"/>
      <c r="S521" s="18"/>
      <c r="T521" s="18"/>
      <c r="U521" s="18"/>
      <c r="V521" s="18"/>
      <c r="W521" s="18"/>
      <c r="X521" s="18"/>
      <c r="Y521" s="18"/>
      <c r="Z521" s="18"/>
      <c r="AA521" s="18"/>
      <c r="AB521" s="17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 s="18"/>
      <c r="AV521" s="18"/>
      <c r="AW521" s="18"/>
      <c r="AX521" s="18"/>
    </row>
    <row r="522" spans="1:50" ht="15">
      <c r="A522" s="18"/>
      <c r="B522" s="18"/>
      <c r="C522" s="18"/>
      <c r="D522" s="18"/>
      <c r="E522" s="18"/>
      <c r="F522" s="18"/>
      <c r="G522" s="18"/>
      <c r="H522" s="18"/>
      <c r="I522" s="17"/>
      <c r="J522" s="18"/>
      <c r="K522" s="17"/>
      <c r="L522" s="18"/>
      <c r="M522" s="20"/>
      <c r="N522" s="18"/>
      <c r="O522" s="18"/>
      <c r="P522" s="18"/>
      <c r="Q522" s="17"/>
      <c r="R522" s="18"/>
      <c r="S522" s="18"/>
      <c r="T522" s="18"/>
      <c r="U522" s="18"/>
      <c r="V522" s="18"/>
      <c r="W522" s="18"/>
      <c r="X522" s="18"/>
      <c r="Y522" s="18"/>
      <c r="Z522" s="18"/>
      <c r="AA522" s="18"/>
      <c r="AB522" s="17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18"/>
      <c r="AX522" s="18"/>
    </row>
    <row r="523" spans="1:50" ht="15">
      <c r="A523" s="18"/>
      <c r="B523" s="18"/>
      <c r="C523" s="18"/>
      <c r="D523" s="18"/>
      <c r="E523" s="18"/>
      <c r="F523" s="18"/>
      <c r="G523" s="18"/>
      <c r="H523" s="18"/>
      <c r="I523" s="17"/>
      <c r="J523" s="18"/>
      <c r="K523" s="17"/>
      <c r="L523" s="18"/>
      <c r="M523" s="20"/>
      <c r="N523" s="18"/>
      <c r="O523" s="18"/>
      <c r="P523" s="18"/>
      <c r="Q523" s="17"/>
      <c r="R523" s="18"/>
      <c r="S523" s="18"/>
      <c r="T523" s="18"/>
      <c r="U523" s="18"/>
      <c r="V523" s="18"/>
      <c r="W523" s="18"/>
      <c r="X523" s="18"/>
      <c r="Y523" s="18"/>
      <c r="Z523" s="18"/>
      <c r="AA523" s="18"/>
      <c r="AB523" s="17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  <c r="AS523" s="18"/>
      <c r="AT523" s="18"/>
      <c r="AU523" s="18"/>
      <c r="AV523" s="18"/>
      <c r="AW523" s="18"/>
      <c r="AX523" s="18"/>
    </row>
    <row r="524" spans="1:50" ht="15">
      <c r="A524" s="18"/>
      <c r="B524" s="18"/>
      <c r="C524" s="18"/>
      <c r="D524" s="18"/>
      <c r="E524" s="18"/>
      <c r="F524" s="18"/>
      <c r="G524" s="18"/>
      <c r="H524" s="18"/>
      <c r="I524" s="17"/>
      <c r="J524" s="18"/>
      <c r="K524" s="17"/>
      <c r="L524" s="18"/>
      <c r="M524" s="20"/>
      <c r="N524" s="18"/>
      <c r="O524" s="18"/>
      <c r="P524" s="18"/>
      <c r="Q524" s="17"/>
      <c r="R524" s="18"/>
      <c r="S524" s="18"/>
      <c r="T524" s="18"/>
      <c r="U524" s="18"/>
      <c r="V524" s="18"/>
      <c r="W524" s="18"/>
      <c r="X524" s="18"/>
      <c r="Y524" s="18"/>
      <c r="Z524" s="18"/>
      <c r="AA524" s="18"/>
      <c r="AB524" s="17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  <c r="AS524" s="18"/>
      <c r="AT524" s="18"/>
      <c r="AU524" s="18"/>
      <c r="AV524" s="18"/>
      <c r="AW524" s="18"/>
      <c r="AX524" s="18"/>
    </row>
    <row r="525" spans="1:50" ht="15">
      <c r="A525" s="18"/>
      <c r="B525" s="18"/>
      <c r="C525" s="18"/>
      <c r="D525" s="18"/>
      <c r="E525" s="18"/>
      <c r="F525" s="18"/>
      <c r="G525" s="18"/>
      <c r="H525" s="18"/>
      <c r="I525" s="17"/>
      <c r="J525" s="18"/>
      <c r="K525" s="17"/>
      <c r="L525" s="18"/>
      <c r="M525" s="20"/>
      <c r="N525" s="18"/>
      <c r="O525" s="18"/>
      <c r="P525" s="18"/>
      <c r="Q525" s="17"/>
      <c r="R525" s="18"/>
      <c r="S525" s="18"/>
      <c r="T525" s="18"/>
      <c r="U525" s="18"/>
      <c r="V525" s="18"/>
      <c r="W525" s="18"/>
      <c r="X525" s="18"/>
      <c r="Y525" s="18"/>
      <c r="Z525" s="18"/>
      <c r="AA525" s="18"/>
      <c r="AB525" s="17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  <c r="AS525" s="18"/>
      <c r="AT525" s="18"/>
      <c r="AU525" s="18"/>
      <c r="AV525" s="18"/>
      <c r="AW525" s="18"/>
      <c r="AX525" s="18"/>
    </row>
    <row r="526" spans="1:50" ht="15">
      <c r="A526" s="18"/>
      <c r="B526" s="18"/>
      <c r="C526" s="18"/>
      <c r="D526" s="18"/>
      <c r="E526" s="18"/>
      <c r="F526" s="18"/>
      <c r="G526" s="18"/>
      <c r="H526" s="18"/>
      <c r="I526" s="17"/>
      <c r="J526" s="18"/>
      <c r="K526" s="17"/>
      <c r="L526" s="18"/>
      <c r="M526" s="20"/>
      <c r="N526" s="18"/>
      <c r="O526" s="18"/>
      <c r="P526" s="18"/>
      <c r="Q526" s="17"/>
      <c r="R526" s="18"/>
      <c r="S526" s="18"/>
      <c r="T526" s="18"/>
      <c r="U526" s="18"/>
      <c r="V526" s="18"/>
      <c r="W526" s="18"/>
      <c r="X526" s="18"/>
      <c r="Y526" s="18"/>
      <c r="Z526" s="18"/>
      <c r="AA526" s="18"/>
      <c r="AB526" s="17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  <c r="AS526" s="18"/>
      <c r="AT526" s="18"/>
      <c r="AU526" s="18"/>
      <c r="AV526" s="18"/>
      <c r="AW526" s="18"/>
      <c r="AX526" s="18"/>
    </row>
    <row r="527" spans="1:50" ht="15">
      <c r="A527" s="18"/>
      <c r="B527" s="18"/>
      <c r="C527" s="18"/>
      <c r="D527" s="18"/>
      <c r="E527" s="18"/>
      <c r="F527" s="18"/>
      <c r="G527" s="18"/>
      <c r="H527" s="18"/>
      <c r="I527" s="17"/>
      <c r="J527" s="18"/>
      <c r="K527" s="17"/>
      <c r="L527" s="18"/>
      <c r="M527" s="20"/>
      <c r="N527" s="18"/>
      <c r="O527" s="18"/>
      <c r="P527" s="18"/>
      <c r="Q527" s="17"/>
      <c r="R527" s="18"/>
      <c r="S527" s="18"/>
      <c r="T527" s="18"/>
      <c r="U527" s="18"/>
      <c r="V527" s="18"/>
      <c r="W527" s="18"/>
      <c r="X527" s="18"/>
      <c r="Y527" s="18"/>
      <c r="Z527" s="18"/>
      <c r="AA527" s="18"/>
      <c r="AB527" s="17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  <c r="AS527" s="18"/>
      <c r="AT527" s="18"/>
      <c r="AU527" s="18"/>
      <c r="AV527" s="18"/>
      <c r="AW527" s="18"/>
      <c r="AX527" s="18"/>
    </row>
    <row r="528" spans="1:50" ht="15">
      <c r="A528" s="18"/>
      <c r="B528" s="18"/>
      <c r="C528" s="18"/>
      <c r="D528" s="18"/>
      <c r="E528" s="18"/>
      <c r="F528" s="18"/>
      <c r="G528" s="18"/>
      <c r="H528" s="18"/>
      <c r="I528" s="17"/>
      <c r="J528" s="18"/>
      <c r="K528" s="17"/>
      <c r="L528" s="18"/>
      <c r="M528" s="20"/>
      <c r="N528" s="18"/>
      <c r="O528" s="18"/>
      <c r="P528" s="18"/>
      <c r="Q528" s="17"/>
      <c r="R528" s="18"/>
      <c r="S528" s="18"/>
      <c r="T528" s="18"/>
      <c r="U528" s="18"/>
      <c r="V528" s="18"/>
      <c r="W528" s="18"/>
      <c r="X528" s="18"/>
      <c r="Y528" s="18"/>
      <c r="Z528" s="18"/>
      <c r="AA528" s="18"/>
      <c r="AB528" s="17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  <c r="AS528" s="18"/>
      <c r="AT528" s="18"/>
      <c r="AU528" s="18"/>
      <c r="AV528" s="18"/>
      <c r="AW528" s="18"/>
      <c r="AX528" s="18"/>
    </row>
    <row r="529" spans="1:50" ht="15">
      <c r="A529" s="18"/>
      <c r="B529" s="18"/>
      <c r="C529" s="18"/>
      <c r="D529" s="18"/>
      <c r="E529" s="18"/>
      <c r="F529" s="18"/>
      <c r="G529" s="18"/>
      <c r="H529" s="18"/>
      <c r="I529" s="17"/>
      <c r="J529" s="18"/>
      <c r="K529" s="17"/>
      <c r="L529" s="18"/>
      <c r="M529" s="20"/>
      <c r="N529" s="18"/>
      <c r="O529" s="18"/>
      <c r="P529" s="18"/>
      <c r="Q529" s="17"/>
      <c r="R529" s="18"/>
      <c r="S529" s="18"/>
      <c r="T529" s="18"/>
      <c r="U529" s="18"/>
      <c r="V529" s="18"/>
      <c r="W529" s="18"/>
      <c r="X529" s="18"/>
      <c r="Y529" s="18"/>
      <c r="Z529" s="18"/>
      <c r="AA529" s="18"/>
      <c r="AB529" s="17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  <c r="AS529" s="18"/>
      <c r="AT529" s="18"/>
      <c r="AU529" s="18"/>
      <c r="AV529" s="18"/>
      <c r="AW529" s="18"/>
      <c r="AX529" s="18"/>
    </row>
    <row r="530" spans="1:50" ht="15">
      <c r="A530" s="18"/>
      <c r="B530" s="18"/>
      <c r="C530" s="18"/>
      <c r="D530" s="18"/>
      <c r="E530" s="18"/>
      <c r="F530" s="18"/>
      <c r="G530" s="18"/>
      <c r="H530" s="18"/>
      <c r="I530" s="17"/>
      <c r="J530" s="18"/>
      <c r="K530" s="17"/>
      <c r="L530" s="18"/>
      <c r="M530" s="20"/>
      <c r="N530" s="18"/>
      <c r="O530" s="18"/>
      <c r="P530" s="18"/>
      <c r="Q530" s="17"/>
      <c r="R530" s="18"/>
      <c r="S530" s="18"/>
      <c r="T530" s="18"/>
      <c r="U530" s="18"/>
      <c r="V530" s="18"/>
      <c r="W530" s="18"/>
      <c r="X530" s="18"/>
      <c r="Y530" s="18"/>
      <c r="Z530" s="18"/>
      <c r="AA530" s="18"/>
      <c r="AB530" s="17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</row>
    <row r="531" spans="1:50" ht="15">
      <c r="A531" s="18"/>
      <c r="B531" s="18"/>
      <c r="C531" s="18"/>
      <c r="D531" s="18"/>
      <c r="E531" s="18"/>
      <c r="F531" s="18"/>
      <c r="G531" s="18"/>
      <c r="H531" s="18"/>
      <c r="I531" s="17"/>
      <c r="J531" s="18"/>
      <c r="K531" s="17"/>
      <c r="L531" s="18"/>
      <c r="M531" s="20"/>
      <c r="N531" s="18"/>
      <c r="O531" s="18"/>
      <c r="P531" s="18"/>
      <c r="Q531" s="17"/>
      <c r="R531" s="18"/>
      <c r="S531" s="18"/>
      <c r="T531" s="18"/>
      <c r="U531" s="18"/>
      <c r="V531" s="18"/>
      <c r="W531" s="18"/>
      <c r="X531" s="18"/>
      <c r="Y531" s="18"/>
      <c r="Z531" s="18"/>
      <c r="AA531" s="18"/>
      <c r="AB531" s="17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  <c r="AS531" s="18"/>
      <c r="AT531" s="18"/>
      <c r="AU531" s="18"/>
      <c r="AV531" s="18"/>
      <c r="AW531" s="18"/>
      <c r="AX531" s="18"/>
    </row>
    <row r="532" spans="1:50" ht="15">
      <c r="A532" s="18"/>
      <c r="B532" s="18"/>
      <c r="C532" s="18"/>
      <c r="D532" s="18"/>
      <c r="E532" s="18"/>
      <c r="F532" s="18"/>
      <c r="G532" s="18"/>
      <c r="H532" s="18"/>
      <c r="I532" s="17"/>
      <c r="J532" s="18"/>
      <c r="K532" s="17"/>
      <c r="L532" s="18"/>
      <c r="M532" s="20"/>
      <c r="N532" s="18"/>
      <c r="O532" s="18"/>
      <c r="P532" s="18"/>
      <c r="Q532" s="17"/>
      <c r="R532" s="18"/>
      <c r="S532" s="18"/>
      <c r="T532" s="18"/>
      <c r="U532" s="18"/>
      <c r="V532" s="18"/>
      <c r="W532" s="18"/>
      <c r="X532" s="18"/>
      <c r="Y532" s="18"/>
      <c r="Z532" s="18"/>
      <c r="AA532" s="18"/>
      <c r="AB532" s="17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  <c r="AS532" s="18"/>
      <c r="AT532" s="18"/>
      <c r="AU532" s="18"/>
      <c r="AV532" s="18"/>
      <c r="AW532" s="18"/>
      <c r="AX532" s="18"/>
    </row>
    <row r="533" spans="1:50" ht="15">
      <c r="A533" s="18"/>
      <c r="B533" s="18"/>
      <c r="C533" s="18"/>
      <c r="D533" s="18"/>
      <c r="E533" s="18"/>
      <c r="F533" s="18"/>
      <c r="G533" s="18"/>
      <c r="H533" s="18"/>
      <c r="I533" s="17"/>
      <c r="J533" s="18"/>
      <c r="K533" s="17"/>
      <c r="L533" s="18"/>
      <c r="M533" s="20"/>
      <c r="N533" s="18"/>
      <c r="O533" s="18"/>
      <c r="P533" s="18"/>
      <c r="Q533" s="17"/>
      <c r="R533" s="18"/>
      <c r="S533" s="18"/>
      <c r="T533" s="18"/>
      <c r="U533" s="18"/>
      <c r="V533" s="18"/>
      <c r="W533" s="18"/>
      <c r="X533" s="18"/>
      <c r="Y533" s="18"/>
      <c r="Z533" s="18"/>
      <c r="AA533" s="18"/>
      <c r="AB533" s="17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  <c r="AS533" s="18"/>
      <c r="AT533" s="18"/>
      <c r="AU533" s="18"/>
      <c r="AV533" s="18"/>
      <c r="AW533" s="18"/>
      <c r="AX533" s="18"/>
    </row>
    <row r="534" spans="1:50" ht="15">
      <c r="A534" s="18"/>
      <c r="B534" s="18"/>
      <c r="C534" s="18"/>
      <c r="D534" s="18"/>
      <c r="E534" s="18"/>
      <c r="F534" s="18"/>
      <c r="G534" s="18"/>
      <c r="H534" s="18"/>
      <c r="I534" s="17"/>
      <c r="J534" s="18"/>
      <c r="K534" s="17"/>
      <c r="L534" s="18"/>
      <c r="M534" s="20"/>
      <c r="N534" s="18"/>
      <c r="O534" s="18"/>
      <c r="P534" s="18"/>
      <c r="Q534" s="17"/>
      <c r="R534" s="18"/>
      <c r="S534" s="18"/>
      <c r="T534" s="18"/>
      <c r="U534" s="18"/>
      <c r="V534" s="18"/>
      <c r="W534" s="18"/>
      <c r="X534" s="18"/>
      <c r="Y534" s="18"/>
      <c r="Z534" s="18"/>
      <c r="AA534" s="18"/>
      <c r="AB534" s="17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</row>
    <row r="535" spans="1:50" ht="15">
      <c r="A535" s="18"/>
      <c r="B535" s="18"/>
      <c r="C535" s="18"/>
      <c r="D535" s="18"/>
      <c r="E535" s="18"/>
      <c r="F535" s="18"/>
      <c r="G535" s="18"/>
      <c r="H535" s="18"/>
      <c r="I535" s="17"/>
      <c r="J535" s="18"/>
      <c r="K535" s="17"/>
      <c r="L535" s="18"/>
      <c r="M535" s="20"/>
      <c r="N535" s="18"/>
      <c r="O535" s="18"/>
      <c r="P535" s="18"/>
      <c r="Q535" s="17"/>
      <c r="R535" s="18"/>
      <c r="S535" s="18"/>
      <c r="T535" s="18"/>
      <c r="U535" s="18"/>
      <c r="V535" s="18"/>
      <c r="W535" s="18"/>
      <c r="X535" s="18"/>
      <c r="Y535" s="18"/>
      <c r="Z535" s="18"/>
      <c r="AA535" s="18"/>
      <c r="AB535" s="17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  <c r="AS535" s="18"/>
      <c r="AT535" s="18"/>
      <c r="AU535" s="18"/>
      <c r="AV535" s="18"/>
      <c r="AW535" s="18"/>
      <c r="AX535" s="18"/>
    </row>
    <row r="536" spans="1:50" ht="15">
      <c r="A536" s="18"/>
      <c r="B536" s="18"/>
      <c r="C536" s="18"/>
      <c r="D536" s="18"/>
      <c r="E536" s="18"/>
      <c r="F536" s="18"/>
      <c r="G536" s="18"/>
      <c r="H536" s="18"/>
      <c r="I536" s="17"/>
      <c r="J536" s="18"/>
      <c r="K536" s="17"/>
      <c r="L536" s="18"/>
      <c r="M536" s="20"/>
      <c r="N536" s="18"/>
      <c r="O536" s="18"/>
      <c r="P536" s="18"/>
      <c r="Q536" s="17"/>
      <c r="R536" s="18"/>
      <c r="S536" s="18"/>
      <c r="T536" s="18"/>
      <c r="U536" s="18"/>
      <c r="V536" s="18"/>
      <c r="W536" s="18"/>
      <c r="X536" s="18"/>
      <c r="Y536" s="18"/>
      <c r="Z536" s="18"/>
      <c r="AA536" s="18"/>
      <c r="AB536" s="17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  <c r="AS536" s="18"/>
      <c r="AT536" s="18"/>
      <c r="AU536" s="18"/>
      <c r="AV536" s="18"/>
      <c r="AW536" s="18"/>
      <c r="AX536" s="18"/>
    </row>
    <row r="537" spans="1:50" ht="15">
      <c r="A537" s="18"/>
      <c r="B537" s="18"/>
      <c r="C537" s="18"/>
      <c r="D537" s="18"/>
      <c r="E537" s="18"/>
      <c r="F537" s="18"/>
      <c r="G537" s="18"/>
      <c r="H537" s="18"/>
      <c r="I537" s="17"/>
      <c r="J537" s="18"/>
      <c r="K537" s="17"/>
      <c r="L537" s="18"/>
      <c r="M537" s="20"/>
      <c r="N537" s="18"/>
      <c r="O537" s="18"/>
      <c r="P537" s="18"/>
      <c r="Q537" s="17"/>
      <c r="R537" s="18"/>
      <c r="S537" s="18"/>
      <c r="T537" s="18"/>
      <c r="U537" s="18"/>
      <c r="V537" s="18"/>
      <c r="W537" s="18"/>
      <c r="X537" s="18"/>
      <c r="Y537" s="18"/>
      <c r="Z537" s="18"/>
      <c r="AA537" s="18"/>
      <c r="AB537" s="17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  <c r="AS537" s="18"/>
      <c r="AT537" s="18"/>
      <c r="AU537" s="18"/>
      <c r="AV537" s="18"/>
      <c r="AW537" s="18"/>
      <c r="AX537" s="18"/>
    </row>
    <row r="538" spans="1:50" ht="15">
      <c r="A538" s="18"/>
      <c r="B538" s="18"/>
      <c r="C538" s="18"/>
      <c r="D538" s="18"/>
      <c r="E538" s="18"/>
      <c r="F538" s="18"/>
      <c r="G538" s="18"/>
      <c r="H538" s="18"/>
      <c r="I538" s="17"/>
      <c r="J538" s="18"/>
      <c r="K538" s="17"/>
      <c r="L538" s="18"/>
      <c r="M538" s="20"/>
      <c r="N538" s="18"/>
      <c r="O538" s="18"/>
      <c r="P538" s="18"/>
      <c r="Q538" s="17"/>
      <c r="R538" s="18"/>
      <c r="S538" s="18"/>
      <c r="T538" s="18"/>
      <c r="U538" s="18"/>
      <c r="V538" s="18"/>
      <c r="W538" s="18"/>
      <c r="X538" s="18"/>
      <c r="Y538" s="18"/>
      <c r="Z538" s="18"/>
      <c r="AA538" s="18"/>
      <c r="AB538" s="17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  <c r="AS538" s="18"/>
      <c r="AT538" s="18"/>
      <c r="AU538" s="18"/>
      <c r="AV538" s="18"/>
      <c r="AW538" s="18"/>
      <c r="AX538" s="18"/>
    </row>
    <row r="539" spans="1:50" ht="15">
      <c r="A539" s="18"/>
      <c r="B539" s="18"/>
      <c r="C539" s="18"/>
      <c r="D539" s="18"/>
      <c r="E539" s="18"/>
      <c r="F539" s="18"/>
      <c r="G539" s="18"/>
      <c r="H539" s="18"/>
      <c r="I539" s="17"/>
      <c r="J539" s="18"/>
      <c r="K539" s="17"/>
      <c r="L539" s="18"/>
      <c r="M539" s="20"/>
      <c r="N539" s="18"/>
      <c r="O539" s="18"/>
      <c r="P539" s="18"/>
      <c r="Q539" s="17"/>
      <c r="R539" s="18"/>
      <c r="S539" s="18"/>
      <c r="T539" s="18"/>
      <c r="U539" s="18"/>
      <c r="V539" s="18"/>
      <c r="W539" s="18"/>
      <c r="X539" s="18"/>
      <c r="Y539" s="18"/>
      <c r="Z539" s="18"/>
      <c r="AA539" s="18"/>
      <c r="AB539" s="17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  <c r="AS539" s="18"/>
      <c r="AT539" s="18"/>
      <c r="AU539" s="18"/>
      <c r="AV539" s="18"/>
      <c r="AW539" s="18"/>
      <c r="AX539" s="18"/>
    </row>
    <row r="540" spans="1:50" ht="15">
      <c r="A540" s="18"/>
      <c r="B540" s="18"/>
      <c r="C540" s="18"/>
      <c r="D540" s="18"/>
      <c r="E540" s="18"/>
      <c r="F540" s="18"/>
      <c r="G540" s="18"/>
      <c r="H540" s="18"/>
      <c r="I540" s="17"/>
      <c r="J540" s="18"/>
      <c r="K540" s="17"/>
      <c r="L540" s="18"/>
      <c r="M540" s="20"/>
      <c r="N540" s="18"/>
      <c r="O540" s="18"/>
      <c r="P540" s="18"/>
      <c r="Q540" s="17"/>
      <c r="R540" s="18"/>
      <c r="S540" s="18"/>
      <c r="T540" s="18"/>
      <c r="U540" s="18"/>
      <c r="V540" s="18"/>
      <c r="W540" s="18"/>
      <c r="X540" s="18"/>
      <c r="Y540" s="18"/>
      <c r="Z540" s="18"/>
      <c r="AA540" s="18"/>
      <c r="AB540" s="17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  <c r="AS540" s="18"/>
      <c r="AT540" s="18"/>
      <c r="AU540" s="18"/>
      <c r="AV540" s="18"/>
      <c r="AW540" s="18"/>
      <c r="AX540" s="18"/>
    </row>
    <row r="541" spans="1:50" ht="15">
      <c r="A541" s="18"/>
      <c r="B541" s="18"/>
      <c r="C541" s="18"/>
      <c r="D541" s="18"/>
      <c r="E541" s="18"/>
      <c r="F541" s="18"/>
      <c r="G541" s="18"/>
      <c r="H541" s="18"/>
      <c r="I541" s="17"/>
      <c r="J541" s="18"/>
      <c r="K541" s="17"/>
      <c r="L541" s="18"/>
      <c r="M541" s="20"/>
      <c r="N541" s="18"/>
      <c r="O541" s="18"/>
      <c r="P541" s="18"/>
      <c r="Q541" s="17"/>
      <c r="R541" s="18"/>
      <c r="S541" s="18"/>
      <c r="T541" s="18"/>
      <c r="U541" s="18"/>
      <c r="V541" s="18"/>
      <c r="W541" s="18"/>
      <c r="X541" s="18"/>
      <c r="Y541" s="18"/>
      <c r="Z541" s="18"/>
      <c r="AA541" s="18"/>
      <c r="AB541" s="17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  <c r="AS541" s="18"/>
      <c r="AT541" s="18"/>
      <c r="AU541" s="18"/>
      <c r="AV541" s="18"/>
      <c r="AW541" s="18"/>
      <c r="AX541" s="18"/>
    </row>
    <row r="542" spans="1:50" ht="15">
      <c r="A542" s="18"/>
      <c r="B542" s="18"/>
      <c r="C542" s="18"/>
      <c r="D542" s="18"/>
      <c r="E542" s="18"/>
      <c r="F542" s="18"/>
      <c r="G542" s="18"/>
      <c r="H542" s="18"/>
      <c r="I542" s="17"/>
      <c r="J542" s="18"/>
      <c r="K542" s="17"/>
      <c r="L542" s="18"/>
      <c r="M542" s="20"/>
      <c r="N542" s="18"/>
      <c r="O542" s="18"/>
      <c r="P542" s="18"/>
      <c r="Q542" s="17"/>
      <c r="R542" s="18"/>
      <c r="S542" s="18"/>
      <c r="T542" s="18"/>
      <c r="U542" s="18"/>
      <c r="V542" s="18"/>
      <c r="W542" s="18"/>
      <c r="X542" s="18"/>
      <c r="Y542" s="18"/>
      <c r="Z542" s="18"/>
      <c r="AA542" s="18"/>
      <c r="AB542" s="17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  <c r="AS542" s="18"/>
      <c r="AT542" s="18"/>
      <c r="AU542" s="18"/>
      <c r="AV542" s="18"/>
      <c r="AW542" s="18"/>
      <c r="AX542" s="18"/>
    </row>
    <row r="543" spans="1:50" ht="15">
      <c r="A543" s="18"/>
      <c r="B543" s="18"/>
      <c r="C543" s="18"/>
      <c r="D543" s="18"/>
      <c r="E543" s="18"/>
      <c r="F543" s="18"/>
      <c r="G543" s="18"/>
      <c r="H543" s="18"/>
      <c r="I543" s="17"/>
      <c r="J543" s="18"/>
      <c r="K543" s="17"/>
      <c r="L543" s="18"/>
      <c r="M543" s="20"/>
      <c r="N543" s="18"/>
      <c r="O543" s="18"/>
      <c r="P543" s="18"/>
      <c r="Q543" s="17"/>
      <c r="R543" s="18"/>
      <c r="S543" s="18"/>
      <c r="T543" s="18"/>
      <c r="U543" s="18"/>
      <c r="V543" s="18"/>
      <c r="W543" s="18"/>
      <c r="X543" s="18"/>
      <c r="Y543" s="18"/>
      <c r="Z543" s="18"/>
      <c r="AA543" s="18"/>
      <c r="AB543" s="17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  <c r="AS543" s="18"/>
      <c r="AT543" s="18"/>
      <c r="AU543" s="18"/>
      <c r="AV543" s="18"/>
      <c r="AW543" s="18"/>
      <c r="AX543" s="18"/>
    </row>
    <row r="544" spans="1:50" ht="15">
      <c r="A544" s="18"/>
      <c r="B544" s="18"/>
      <c r="C544" s="18"/>
      <c r="D544" s="18"/>
      <c r="E544" s="18"/>
      <c r="F544" s="18"/>
      <c r="G544" s="18"/>
      <c r="H544" s="18"/>
      <c r="I544" s="17"/>
      <c r="J544" s="18"/>
      <c r="K544" s="17"/>
      <c r="L544" s="18"/>
      <c r="M544" s="20"/>
      <c r="N544" s="18"/>
      <c r="O544" s="18"/>
      <c r="P544" s="18"/>
      <c r="Q544" s="17"/>
      <c r="R544" s="18"/>
      <c r="S544" s="18"/>
      <c r="T544" s="18"/>
      <c r="U544" s="18"/>
      <c r="V544" s="18"/>
      <c r="W544" s="18"/>
      <c r="X544" s="18"/>
      <c r="Y544" s="18"/>
      <c r="Z544" s="18"/>
      <c r="AA544" s="18"/>
      <c r="AB544" s="17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  <c r="AS544" s="18"/>
      <c r="AT544" s="18"/>
      <c r="AU544" s="18"/>
      <c r="AV544" s="18"/>
      <c r="AW544" s="18"/>
      <c r="AX544" s="18"/>
    </row>
    <row r="545" spans="1:50" ht="15">
      <c r="A545" s="18"/>
      <c r="B545" s="18"/>
      <c r="C545" s="18"/>
      <c r="D545" s="18"/>
      <c r="E545" s="18"/>
      <c r="F545" s="18"/>
      <c r="G545" s="18"/>
      <c r="H545" s="18"/>
      <c r="I545" s="17"/>
      <c r="J545" s="18"/>
      <c r="K545" s="17"/>
      <c r="L545" s="18"/>
      <c r="M545" s="20"/>
      <c r="N545" s="18"/>
      <c r="O545" s="18"/>
      <c r="P545" s="18"/>
      <c r="Q545" s="17"/>
      <c r="R545" s="18"/>
      <c r="S545" s="18"/>
      <c r="T545" s="18"/>
      <c r="U545" s="18"/>
      <c r="V545" s="18"/>
      <c r="W545" s="18"/>
      <c r="X545" s="18"/>
      <c r="Y545" s="18"/>
      <c r="Z545" s="18"/>
      <c r="AA545" s="18"/>
      <c r="AB545" s="17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  <c r="AS545" s="18"/>
      <c r="AT545" s="18"/>
      <c r="AU545" s="18"/>
      <c r="AV545" s="18"/>
      <c r="AW545" s="18"/>
      <c r="AX545" s="18"/>
    </row>
    <row r="546" spans="1:50" ht="15">
      <c r="A546" s="18"/>
      <c r="B546" s="18"/>
      <c r="C546" s="18"/>
      <c r="D546" s="18"/>
      <c r="E546" s="18"/>
      <c r="F546" s="18"/>
      <c r="G546" s="18"/>
      <c r="H546" s="18"/>
      <c r="I546" s="17"/>
      <c r="J546" s="18"/>
      <c r="K546" s="17"/>
      <c r="L546" s="18"/>
      <c r="M546" s="20"/>
      <c r="N546" s="18"/>
      <c r="O546" s="18"/>
      <c r="P546" s="18"/>
      <c r="Q546" s="17"/>
      <c r="R546" s="18"/>
      <c r="S546" s="18"/>
      <c r="T546" s="18"/>
      <c r="U546" s="18"/>
      <c r="V546" s="18"/>
      <c r="W546" s="18"/>
      <c r="X546" s="18"/>
      <c r="Y546" s="18"/>
      <c r="Z546" s="18"/>
      <c r="AA546" s="18"/>
      <c r="AB546" s="17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  <c r="AS546" s="18"/>
      <c r="AT546" s="18"/>
      <c r="AU546" s="18"/>
      <c r="AV546" s="18"/>
      <c r="AW546" s="18"/>
      <c r="AX546" s="18"/>
    </row>
    <row r="547" spans="1:50" ht="15">
      <c r="A547" s="18"/>
      <c r="B547" s="18"/>
      <c r="C547" s="18"/>
      <c r="D547" s="18"/>
      <c r="E547" s="18"/>
      <c r="F547" s="18"/>
      <c r="G547" s="18"/>
      <c r="H547" s="18"/>
      <c r="I547" s="17"/>
      <c r="J547" s="18"/>
      <c r="K547" s="17"/>
      <c r="L547" s="18"/>
      <c r="M547" s="20"/>
      <c r="N547" s="18"/>
      <c r="O547" s="18"/>
      <c r="P547" s="18"/>
      <c r="Q547" s="17"/>
      <c r="R547" s="18"/>
      <c r="S547" s="18"/>
      <c r="T547" s="18"/>
      <c r="U547" s="18"/>
      <c r="V547" s="18"/>
      <c r="W547" s="18"/>
      <c r="X547" s="18"/>
      <c r="Y547" s="18"/>
      <c r="Z547" s="18"/>
      <c r="AA547" s="18"/>
      <c r="AB547" s="17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</row>
    <row r="548" spans="1:50" ht="15">
      <c r="A548" s="18"/>
      <c r="B548" s="18"/>
      <c r="C548" s="18"/>
      <c r="D548" s="18"/>
      <c r="E548" s="18"/>
      <c r="F548" s="18"/>
      <c r="G548" s="18"/>
      <c r="H548" s="18"/>
      <c r="I548" s="17"/>
      <c r="J548" s="18"/>
      <c r="K548" s="17"/>
      <c r="L548" s="18"/>
      <c r="M548" s="20"/>
      <c r="N548" s="18"/>
      <c r="O548" s="18"/>
      <c r="P548" s="18"/>
      <c r="Q548" s="17"/>
      <c r="R548" s="18"/>
      <c r="S548" s="18"/>
      <c r="T548" s="18"/>
      <c r="U548" s="18"/>
      <c r="V548" s="18"/>
      <c r="W548" s="18"/>
      <c r="X548" s="18"/>
      <c r="Y548" s="18"/>
      <c r="Z548" s="18"/>
      <c r="AA548" s="18"/>
      <c r="AB548" s="17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  <c r="AS548" s="18"/>
      <c r="AT548" s="18"/>
      <c r="AU548" s="18"/>
      <c r="AV548" s="18"/>
      <c r="AW548" s="18"/>
      <c r="AX548" s="18"/>
    </row>
    <row r="549" spans="1:50" ht="15">
      <c r="A549" s="18"/>
      <c r="B549" s="18"/>
      <c r="C549" s="18"/>
      <c r="D549" s="18"/>
      <c r="E549" s="18"/>
      <c r="F549" s="18"/>
      <c r="G549" s="18"/>
      <c r="H549" s="18"/>
      <c r="I549" s="17"/>
      <c r="J549" s="18"/>
      <c r="K549" s="17"/>
      <c r="L549" s="18"/>
      <c r="M549" s="20"/>
      <c r="N549" s="18"/>
      <c r="O549" s="18"/>
      <c r="P549" s="18"/>
      <c r="Q549" s="17"/>
      <c r="R549" s="18"/>
      <c r="S549" s="18"/>
      <c r="T549" s="18"/>
      <c r="U549" s="18"/>
      <c r="V549" s="18"/>
      <c r="W549" s="18"/>
      <c r="X549" s="18"/>
      <c r="Y549" s="18"/>
      <c r="Z549" s="18"/>
      <c r="AA549" s="18"/>
      <c r="AB549" s="17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  <c r="AS549" s="18"/>
      <c r="AT549" s="18"/>
      <c r="AU549" s="18"/>
      <c r="AV549" s="18"/>
      <c r="AW549" s="18"/>
      <c r="AX549" s="18"/>
    </row>
    <row r="550" spans="1:50" ht="15">
      <c r="A550" s="18"/>
      <c r="B550" s="18"/>
      <c r="C550" s="18"/>
      <c r="D550" s="18"/>
      <c r="E550" s="18"/>
      <c r="F550" s="18"/>
      <c r="G550" s="18"/>
      <c r="H550" s="18"/>
      <c r="I550" s="17"/>
      <c r="J550" s="18"/>
      <c r="K550" s="17"/>
      <c r="L550" s="18"/>
      <c r="M550" s="20"/>
      <c r="N550" s="18"/>
      <c r="O550" s="18"/>
      <c r="P550" s="18"/>
      <c r="Q550" s="17"/>
      <c r="R550" s="18"/>
      <c r="S550" s="18"/>
      <c r="T550" s="18"/>
      <c r="U550" s="18"/>
      <c r="V550" s="18"/>
      <c r="W550" s="18"/>
      <c r="X550" s="18"/>
      <c r="Y550" s="18"/>
      <c r="Z550" s="18"/>
      <c r="AA550" s="18"/>
      <c r="AB550" s="17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  <c r="AS550" s="18"/>
      <c r="AT550" s="18"/>
      <c r="AU550" s="18"/>
      <c r="AV550" s="18"/>
      <c r="AW550" s="18"/>
      <c r="AX550" s="18"/>
    </row>
    <row r="551" spans="1:50" ht="15">
      <c r="A551" s="18"/>
      <c r="B551" s="18"/>
      <c r="C551" s="18"/>
      <c r="D551" s="18"/>
      <c r="E551" s="18"/>
      <c r="F551" s="18"/>
      <c r="G551" s="18"/>
      <c r="H551" s="18"/>
      <c r="I551" s="17"/>
      <c r="J551" s="18"/>
      <c r="K551" s="17"/>
      <c r="L551" s="18"/>
      <c r="M551" s="20"/>
      <c r="N551" s="18"/>
      <c r="O551" s="18"/>
      <c r="P551" s="18"/>
      <c r="Q551" s="17"/>
      <c r="R551" s="18"/>
      <c r="S551" s="18"/>
      <c r="T551" s="18"/>
      <c r="U551" s="18"/>
      <c r="V551" s="18"/>
      <c r="W551" s="18"/>
      <c r="X551" s="18"/>
      <c r="Y551" s="18"/>
      <c r="Z551" s="18"/>
      <c r="AA551" s="18"/>
      <c r="AB551" s="17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  <c r="AS551" s="18"/>
      <c r="AT551" s="18"/>
      <c r="AU551" s="18"/>
      <c r="AV551" s="18"/>
      <c r="AW551" s="18"/>
      <c r="AX551" s="18"/>
    </row>
    <row r="552" spans="1:50" ht="15">
      <c r="A552" s="18"/>
      <c r="B552" s="18"/>
      <c r="C552" s="18"/>
      <c r="D552" s="18"/>
      <c r="E552" s="18"/>
      <c r="F552" s="18"/>
      <c r="G552" s="18"/>
      <c r="H552" s="18"/>
      <c r="I552" s="17"/>
      <c r="J552" s="18"/>
      <c r="K552" s="17"/>
      <c r="L552" s="18"/>
      <c r="M552" s="20"/>
      <c r="N552" s="18"/>
      <c r="O552" s="18"/>
      <c r="P552" s="18"/>
      <c r="Q552" s="17"/>
      <c r="R552" s="18"/>
      <c r="S552" s="18"/>
      <c r="T552" s="18"/>
      <c r="U552" s="18"/>
      <c r="V552" s="18"/>
      <c r="W552" s="18"/>
      <c r="X552" s="18"/>
      <c r="Y552" s="18"/>
      <c r="Z552" s="18"/>
      <c r="AA552" s="18"/>
      <c r="AB552" s="17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  <c r="AS552" s="18"/>
      <c r="AT552" s="18"/>
      <c r="AU552" s="18"/>
      <c r="AV552" s="18"/>
      <c r="AW552" s="18"/>
      <c r="AX552" s="18"/>
    </row>
    <row r="553" spans="1:50" ht="15">
      <c r="A553" s="18"/>
      <c r="B553" s="18"/>
      <c r="C553" s="18"/>
      <c r="D553" s="18"/>
      <c r="E553" s="18"/>
      <c r="F553" s="18"/>
      <c r="G553" s="18"/>
      <c r="H553" s="18"/>
      <c r="I553" s="17"/>
      <c r="J553" s="18"/>
      <c r="K553" s="17"/>
      <c r="L553" s="18"/>
      <c r="M553" s="20"/>
      <c r="N553" s="18"/>
      <c r="O553" s="18"/>
      <c r="P553" s="18"/>
      <c r="Q553" s="17"/>
      <c r="R553" s="18"/>
      <c r="S553" s="18"/>
      <c r="T553" s="18"/>
      <c r="U553" s="18"/>
      <c r="V553" s="18"/>
      <c r="W553" s="18"/>
      <c r="X553" s="18"/>
      <c r="Y553" s="18"/>
      <c r="Z553" s="18"/>
      <c r="AA553" s="18"/>
      <c r="AB553" s="17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  <c r="AS553" s="18"/>
      <c r="AT553" s="18"/>
      <c r="AU553" s="18"/>
      <c r="AV553" s="18"/>
      <c r="AW553" s="18"/>
      <c r="AX553" s="18"/>
    </row>
    <row r="554" spans="1:50" ht="15">
      <c r="A554" s="18"/>
      <c r="B554" s="18"/>
      <c r="C554" s="18"/>
      <c r="D554" s="18"/>
      <c r="E554" s="18"/>
      <c r="F554" s="18"/>
      <c r="G554" s="18"/>
      <c r="H554" s="18"/>
      <c r="I554" s="17"/>
      <c r="J554" s="18"/>
      <c r="K554" s="17"/>
      <c r="L554" s="18"/>
      <c r="M554" s="20"/>
      <c r="N554" s="18"/>
      <c r="O554" s="18"/>
      <c r="P554" s="18"/>
      <c r="Q554" s="17"/>
      <c r="R554" s="18"/>
      <c r="S554" s="18"/>
      <c r="T554" s="18"/>
      <c r="U554" s="18"/>
      <c r="V554" s="18"/>
      <c r="W554" s="18"/>
      <c r="X554" s="18"/>
      <c r="Y554" s="18"/>
      <c r="Z554" s="18"/>
      <c r="AA554" s="18"/>
      <c r="AB554" s="17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  <c r="AS554" s="18"/>
      <c r="AT554" s="18"/>
      <c r="AU554" s="18"/>
      <c r="AV554" s="18"/>
      <c r="AW554" s="18"/>
      <c r="AX554" s="18"/>
    </row>
    <row r="555" spans="1:50" ht="15">
      <c r="A555" s="18"/>
      <c r="B555" s="18"/>
      <c r="C555" s="18"/>
      <c r="D555" s="18"/>
      <c r="E555" s="18"/>
      <c r="F555" s="18"/>
      <c r="G555" s="18"/>
      <c r="H555" s="18"/>
      <c r="I555" s="17"/>
      <c r="J555" s="18"/>
      <c r="K555" s="17"/>
      <c r="L555" s="18"/>
      <c r="M555" s="20"/>
      <c r="N555" s="18"/>
      <c r="O555" s="18"/>
      <c r="P555" s="18"/>
      <c r="Q555" s="17"/>
      <c r="R555" s="18"/>
      <c r="S555" s="18"/>
      <c r="T555" s="18"/>
      <c r="U555" s="18"/>
      <c r="V555" s="18"/>
      <c r="W555" s="18"/>
      <c r="X555" s="18"/>
      <c r="Y555" s="18"/>
      <c r="Z555" s="18"/>
      <c r="AA555" s="18"/>
      <c r="AB555" s="17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  <c r="AS555" s="18"/>
      <c r="AT555" s="18"/>
      <c r="AU555" s="18"/>
      <c r="AV555" s="18"/>
      <c r="AW555" s="18"/>
      <c r="AX555" s="18"/>
    </row>
    <row r="556" spans="1:50" ht="15">
      <c r="A556" s="18"/>
      <c r="B556" s="18"/>
      <c r="C556" s="18"/>
      <c r="D556" s="18"/>
      <c r="E556" s="18"/>
      <c r="F556" s="18"/>
      <c r="G556" s="18"/>
      <c r="H556" s="18"/>
      <c r="I556" s="17"/>
      <c r="J556" s="18"/>
      <c r="K556" s="17"/>
      <c r="L556" s="18"/>
      <c r="M556" s="20"/>
      <c r="N556" s="18"/>
      <c r="O556" s="18"/>
      <c r="P556" s="18"/>
      <c r="Q556" s="17"/>
      <c r="R556" s="18"/>
      <c r="S556" s="18"/>
      <c r="T556" s="18"/>
      <c r="U556" s="18"/>
      <c r="V556" s="18"/>
      <c r="W556" s="18"/>
      <c r="X556" s="18"/>
      <c r="Y556" s="18"/>
      <c r="Z556" s="18"/>
      <c r="AA556" s="18"/>
      <c r="AB556" s="17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  <c r="AS556" s="18"/>
      <c r="AT556" s="18"/>
      <c r="AU556" s="18"/>
      <c r="AV556" s="18"/>
      <c r="AW556" s="18"/>
      <c r="AX556" s="18"/>
    </row>
    <row r="557" spans="1:50" ht="15">
      <c r="A557" s="18"/>
      <c r="B557" s="18"/>
      <c r="C557" s="18"/>
      <c r="D557" s="18"/>
      <c r="E557" s="18"/>
      <c r="F557" s="18"/>
      <c r="G557" s="18"/>
      <c r="H557" s="18"/>
      <c r="I557" s="17"/>
      <c r="J557" s="18"/>
      <c r="K557" s="17"/>
      <c r="L557" s="18"/>
      <c r="M557" s="20"/>
      <c r="N557" s="18"/>
      <c r="O557" s="18"/>
      <c r="P557" s="18"/>
      <c r="Q557" s="17"/>
      <c r="R557" s="18"/>
      <c r="S557" s="18"/>
      <c r="T557" s="18"/>
      <c r="U557" s="18"/>
      <c r="V557" s="18"/>
      <c r="W557" s="18"/>
      <c r="X557" s="18"/>
      <c r="Y557" s="18"/>
      <c r="Z557" s="18"/>
      <c r="AA557" s="18"/>
      <c r="AB557" s="17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  <c r="AS557" s="18"/>
      <c r="AT557" s="18"/>
      <c r="AU557" s="18"/>
      <c r="AV557" s="18"/>
      <c r="AW557" s="18"/>
      <c r="AX557" s="18"/>
    </row>
    <row r="558" spans="1:50" ht="15">
      <c r="A558" s="18"/>
      <c r="B558" s="18"/>
      <c r="C558" s="18"/>
      <c r="D558" s="18"/>
      <c r="E558" s="18"/>
      <c r="F558" s="18"/>
      <c r="G558" s="18"/>
      <c r="H558" s="18"/>
      <c r="I558" s="17"/>
      <c r="J558" s="18"/>
      <c r="K558" s="17"/>
      <c r="L558" s="18"/>
      <c r="M558" s="20"/>
      <c r="N558" s="18"/>
      <c r="O558" s="18"/>
      <c r="P558" s="18"/>
      <c r="Q558" s="17"/>
      <c r="R558" s="18"/>
      <c r="S558" s="18"/>
      <c r="T558" s="18"/>
      <c r="U558" s="18"/>
      <c r="V558" s="18"/>
      <c r="W558" s="18"/>
      <c r="X558" s="18"/>
      <c r="Y558" s="18"/>
      <c r="Z558" s="18"/>
      <c r="AA558" s="18"/>
      <c r="AB558" s="17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  <c r="AS558" s="18"/>
      <c r="AT558" s="18"/>
      <c r="AU558" s="18"/>
      <c r="AV558" s="18"/>
      <c r="AW558" s="18"/>
      <c r="AX558" s="18"/>
    </row>
    <row r="559" spans="1:50" ht="15">
      <c r="A559" s="18"/>
      <c r="B559" s="18"/>
      <c r="C559" s="18"/>
      <c r="D559" s="18"/>
      <c r="E559" s="18"/>
      <c r="F559" s="18"/>
      <c r="G559" s="18"/>
      <c r="H559" s="18"/>
      <c r="I559" s="17"/>
      <c r="J559" s="18"/>
      <c r="K559" s="17"/>
      <c r="L559" s="18"/>
      <c r="M559" s="20"/>
      <c r="N559" s="18"/>
      <c r="O559" s="18"/>
      <c r="P559" s="18"/>
      <c r="Q559" s="17"/>
      <c r="R559" s="18"/>
      <c r="S559" s="18"/>
      <c r="T559" s="18"/>
      <c r="U559" s="18"/>
      <c r="V559" s="18"/>
      <c r="W559" s="18"/>
      <c r="X559" s="18"/>
      <c r="Y559" s="18"/>
      <c r="Z559" s="18"/>
      <c r="AA559" s="18"/>
      <c r="AB559" s="17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  <c r="AS559" s="18"/>
      <c r="AT559" s="18"/>
      <c r="AU559" s="18"/>
      <c r="AV559" s="18"/>
      <c r="AW559" s="18"/>
      <c r="AX559" s="18"/>
    </row>
    <row r="560" spans="1:50" ht="15">
      <c r="A560" s="18"/>
      <c r="B560" s="18"/>
      <c r="C560" s="18"/>
      <c r="D560" s="18"/>
      <c r="E560" s="18"/>
      <c r="F560" s="18"/>
      <c r="G560" s="18"/>
      <c r="H560" s="18"/>
      <c r="I560" s="17"/>
      <c r="J560" s="18"/>
      <c r="K560" s="17"/>
      <c r="L560" s="18"/>
      <c r="M560" s="20"/>
      <c r="N560" s="18"/>
      <c r="O560" s="18"/>
      <c r="P560" s="18"/>
      <c r="Q560" s="17"/>
      <c r="R560" s="18"/>
      <c r="S560" s="18"/>
      <c r="T560" s="18"/>
      <c r="U560" s="18"/>
      <c r="V560" s="18"/>
      <c r="W560" s="18"/>
      <c r="X560" s="18"/>
      <c r="Y560" s="18"/>
      <c r="Z560" s="18"/>
      <c r="AA560" s="18"/>
      <c r="AB560" s="17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  <c r="AS560" s="18"/>
      <c r="AT560" s="18"/>
      <c r="AU560" s="18"/>
      <c r="AV560" s="18"/>
      <c r="AW560" s="18"/>
      <c r="AX560" s="18"/>
    </row>
    <row r="561" spans="1:50" ht="15">
      <c r="A561" s="18"/>
      <c r="B561" s="18"/>
      <c r="C561" s="18"/>
      <c r="D561" s="18"/>
      <c r="E561" s="18"/>
      <c r="F561" s="18"/>
      <c r="G561" s="18"/>
      <c r="H561" s="18"/>
      <c r="I561" s="17"/>
      <c r="J561" s="18"/>
      <c r="K561" s="17"/>
      <c r="L561" s="18"/>
      <c r="M561" s="20"/>
      <c r="N561" s="18"/>
      <c r="O561" s="18"/>
      <c r="P561" s="18"/>
      <c r="Q561" s="17"/>
      <c r="R561" s="18"/>
      <c r="S561" s="18"/>
      <c r="T561" s="18"/>
      <c r="U561" s="18"/>
      <c r="V561" s="18"/>
      <c r="W561" s="18"/>
      <c r="X561" s="18"/>
      <c r="Y561" s="18"/>
      <c r="Z561" s="18"/>
      <c r="AA561" s="18"/>
      <c r="AB561" s="17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  <c r="AS561" s="18"/>
      <c r="AT561" s="18"/>
      <c r="AU561" s="18"/>
      <c r="AV561" s="18"/>
      <c r="AW561" s="18"/>
      <c r="AX561" s="18"/>
    </row>
    <row r="562" spans="1:50" ht="15">
      <c r="A562" s="18"/>
      <c r="B562" s="18"/>
      <c r="C562" s="18"/>
      <c r="D562" s="18"/>
      <c r="E562" s="18"/>
      <c r="F562" s="18"/>
      <c r="G562" s="18"/>
      <c r="H562" s="18"/>
      <c r="I562" s="17"/>
      <c r="J562" s="18"/>
      <c r="K562" s="17"/>
      <c r="L562" s="18"/>
      <c r="M562" s="20"/>
      <c r="N562" s="18"/>
      <c r="O562" s="18"/>
      <c r="P562" s="18"/>
      <c r="Q562" s="17"/>
      <c r="R562" s="18"/>
      <c r="S562" s="18"/>
      <c r="T562" s="18"/>
      <c r="U562" s="18"/>
      <c r="V562" s="18"/>
      <c r="W562" s="18"/>
      <c r="X562" s="18"/>
      <c r="Y562" s="18"/>
      <c r="Z562" s="18"/>
      <c r="AA562" s="18"/>
      <c r="AB562" s="17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  <c r="AS562" s="18"/>
      <c r="AT562" s="18"/>
      <c r="AU562" s="18"/>
      <c r="AV562" s="18"/>
      <c r="AW562" s="18"/>
      <c r="AX562" s="18"/>
    </row>
    <row r="563" spans="1:50" ht="15">
      <c r="A563" s="18"/>
      <c r="B563" s="18"/>
      <c r="C563" s="18"/>
      <c r="D563" s="18"/>
      <c r="E563" s="18"/>
      <c r="F563" s="18"/>
      <c r="G563" s="18"/>
      <c r="H563" s="18"/>
      <c r="I563" s="17"/>
      <c r="J563" s="18"/>
      <c r="K563" s="17"/>
      <c r="L563" s="18"/>
      <c r="M563" s="20"/>
      <c r="N563" s="18"/>
      <c r="O563" s="18"/>
      <c r="P563" s="18"/>
      <c r="Q563" s="17"/>
      <c r="R563" s="18"/>
      <c r="S563" s="18"/>
      <c r="T563" s="18"/>
      <c r="U563" s="18"/>
      <c r="V563" s="18"/>
      <c r="W563" s="18"/>
      <c r="X563" s="18"/>
      <c r="Y563" s="18"/>
      <c r="Z563" s="18"/>
      <c r="AA563" s="18"/>
      <c r="AB563" s="17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  <c r="AS563" s="18"/>
      <c r="AT563" s="18"/>
      <c r="AU563" s="18"/>
      <c r="AV563" s="18"/>
      <c r="AW563" s="18"/>
      <c r="AX563" s="18"/>
    </row>
    <row r="564" spans="1:50" ht="15">
      <c r="A564" s="18"/>
      <c r="B564" s="18"/>
      <c r="C564" s="18"/>
      <c r="D564" s="18"/>
      <c r="E564" s="18"/>
      <c r="F564" s="18"/>
      <c r="G564" s="18"/>
      <c r="H564" s="18"/>
      <c r="I564" s="17"/>
      <c r="J564" s="18"/>
      <c r="K564" s="17"/>
      <c r="L564" s="18"/>
      <c r="M564" s="20"/>
      <c r="N564" s="18"/>
      <c r="O564" s="18"/>
      <c r="P564" s="18"/>
      <c r="Q564" s="17"/>
      <c r="R564" s="18"/>
      <c r="S564" s="18"/>
      <c r="T564" s="18"/>
      <c r="U564" s="18"/>
      <c r="V564" s="18"/>
      <c r="W564" s="18"/>
      <c r="X564" s="18"/>
      <c r="Y564" s="18"/>
      <c r="Z564" s="18"/>
      <c r="AA564" s="18"/>
      <c r="AB564" s="17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  <c r="AS564" s="18"/>
      <c r="AT564" s="18"/>
      <c r="AU564" s="18"/>
      <c r="AV564" s="18"/>
      <c r="AW564" s="18"/>
      <c r="AX564" s="18"/>
    </row>
    <row r="565" spans="1:50" ht="15">
      <c r="A565" s="18"/>
      <c r="B565" s="18"/>
      <c r="C565" s="18"/>
      <c r="D565" s="18"/>
      <c r="E565" s="18"/>
      <c r="F565" s="18"/>
      <c r="G565" s="18"/>
      <c r="H565" s="18"/>
      <c r="I565" s="17"/>
      <c r="J565" s="18"/>
      <c r="K565" s="17"/>
      <c r="L565" s="18"/>
      <c r="M565" s="20"/>
      <c r="N565" s="18"/>
      <c r="O565" s="18"/>
      <c r="P565" s="18"/>
      <c r="Q565" s="17"/>
      <c r="R565" s="18"/>
      <c r="S565" s="18"/>
      <c r="T565" s="18"/>
      <c r="U565" s="18"/>
      <c r="V565" s="18"/>
      <c r="W565" s="18"/>
      <c r="X565" s="18"/>
      <c r="Y565" s="18"/>
      <c r="Z565" s="18"/>
      <c r="AA565" s="18"/>
      <c r="AB565" s="17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  <c r="AS565" s="18"/>
      <c r="AT565" s="18"/>
      <c r="AU565" s="18"/>
      <c r="AV565" s="18"/>
      <c r="AW565" s="18"/>
      <c r="AX565" s="18"/>
    </row>
    <row r="566" spans="1:50" ht="15">
      <c r="A566" s="18"/>
      <c r="B566" s="18"/>
      <c r="C566" s="18"/>
      <c r="D566" s="18"/>
      <c r="E566" s="18"/>
      <c r="F566" s="18"/>
      <c r="G566" s="18"/>
      <c r="H566" s="18"/>
      <c r="I566" s="17"/>
      <c r="J566" s="18"/>
      <c r="K566" s="17"/>
      <c r="L566" s="18"/>
      <c r="M566" s="20"/>
      <c r="N566" s="18"/>
      <c r="O566" s="18"/>
      <c r="P566" s="18"/>
      <c r="Q566" s="17"/>
      <c r="R566" s="18"/>
      <c r="S566" s="18"/>
      <c r="T566" s="18"/>
      <c r="U566" s="18"/>
      <c r="V566" s="18"/>
      <c r="W566" s="18"/>
      <c r="X566" s="18"/>
      <c r="Y566" s="18"/>
      <c r="Z566" s="18"/>
      <c r="AA566" s="18"/>
      <c r="AB566" s="17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  <c r="AS566" s="18"/>
      <c r="AT566" s="18"/>
      <c r="AU566" s="18"/>
      <c r="AV566" s="18"/>
      <c r="AW566" s="18"/>
      <c r="AX566" s="18"/>
    </row>
    <row r="567" spans="1:50" ht="15">
      <c r="A567" s="18"/>
      <c r="B567" s="18"/>
      <c r="C567" s="18"/>
      <c r="D567" s="18"/>
      <c r="E567" s="18"/>
      <c r="F567" s="18"/>
      <c r="G567" s="18"/>
      <c r="H567" s="18"/>
      <c r="I567" s="17"/>
      <c r="J567" s="18"/>
      <c r="K567" s="17"/>
      <c r="L567" s="18"/>
      <c r="M567" s="20"/>
      <c r="N567" s="18"/>
      <c r="O567" s="18"/>
      <c r="P567" s="18"/>
      <c r="Q567" s="17"/>
      <c r="R567" s="18"/>
      <c r="S567" s="18"/>
      <c r="T567" s="18"/>
      <c r="U567" s="18"/>
      <c r="V567" s="18"/>
      <c r="W567" s="18"/>
      <c r="X567" s="18"/>
      <c r="Y567" s="18"/>
      <c r="Z567" s="18"/>
      <c r="AA567" s="18"/>
      <c r="AB567" s="17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 s="18"/>
      <c r="AV567" s="18"/>
      <c r="AW567" s="18"/>
      <c r="AX567" s="18"/>
    </row>
    <row r="568" spans="1:50" ht="15">
      <c r="A568" s="18"/>
      <c r="B568" s="18"/>
      <c r="C568" s="18"/>
      <c r="D568" s="18"/>
      <c r="E568" s="18"/>
      <c r="F568" s="18"/>
      <c r="G568" s="18"/>
      <c r="H568" s="18"/>
      <c r="I568" s="17"/>
      <c r="J568" s="18"/>
      <c r="K568" s="17"/>
      <c r="L568" s="18"/>
      <c r="M568" s="20"/>
      <c r="N568" s="18"/>
      <c r="O568" s="18"/>
      <c r="P568" s="18"/>
      <c r="Q568" s="17"/>
      <c r="R568" s="18"/>
      <c r="S568" s="18"/>
      <c r="T568" s="18"/>
      <c r="U568" s="18"/>
      <c r="V568" s="18"/>
      <c r="W568" s="18"/>
      <c r="X568" s="18"/>
      <c r="Y568" s="18"/>
      <c r="Z568" s="18"/>
      <c r="AA568" s="18"/>
      <c r="AB568" s="17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U568" s="18"/>
      <c r="AV568" s="18"/>
      <c r="AW568" s="18"/>
      <c r="AX568" s="18"/>
    </row>
    <row r="569" spans="1:50" ht="15">
      <c r="A569" s="18"/>
      <c r="B569" s="18"/>
      <c r="C569" s="18"/>
      <c r="D569" s="18"/>
      <c r="E569" s="18"/>
      <c r="F569" s="18"/>
      <c r="G569" s="18"/>
      <c r="H569" s="18"/>
      <c r="I569" s="17"/>
      <c r="J569" s="18"/>
      <c r="K569" s="17"/>
      <c r="L569" s="18"/>
      <c r="M569" s="20"/>
      <c r="N569" s="18"/>
      <c r="O569" s="18"/>
      <c r="P569" s="18"/>
      <c r="Q569" s="17"/>
      <c r="R569" s="18"/>
      <c r="S569" s="18"/>
      <c r="T569" s="18"/>
      <c r="U569" s="18"/>
      <c r="V569" s="18"/>
      <c r="W569" s="18"/>
      <c r="X569" s="18"/>
      <c r="Y569" s="18"/>
      <c r="Z569" s="18"/>
      <c r="AA569" s="18"/>
      <c r="AB569" s="17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  <c r="AS569" s="18"/>
      <c r="AT569" s="18"/>
      <c r="AU569" s="18"/>
      <c r="AV569" s="18"/>
      <c r="AW569" s="18"/>
      <c r="AX569" s="18"/>
    </row>
    <row r="570" spans="1:50" ht="15">
      <c r="A570" s="18"/>
      <c r="B570" s="18"/>
      <c r="C570" s="18"/>
      <c r="D570" s="18"/>
      <c r="E570" s="18"/>
      <c r="F570" s="18"/>
      <c r="G570" s="18"/>
      <c r="H570" s="18"/>
      <c r="I570" s="17"/>
      <c r="J570" s="18"/>
      <c r="K570" s="17"/>
      <c r="L570" s="18"/>
      <c r="M570" s="20"/>
      <c r="N570" s="18"/>
      <c r="O570" s="18"/>
      <c r="P570" s="18"/>
      <c r="Q570" s="17"/>
      <c r="R570" s="18"/>
      <c r="S570" s="18"/>
      <c r="T570" s="18"/>
      <c r="U570" s="18"/>
      <c r="V570" s="18"/>
      <c r="W570" s="18"/>
      <c r="X570" s="18"/>
      <c r="Y570" s="18"/>
      <c r="Z570" s="18"/>
      <c r="AA570" s="18"/>
      <c r="AB570" s="17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 s="18"/>
      <c r="AV570" s="18"/>
      <c r="AW570" s="18"/>
      <c r="AX570" s="18"/>
    </row>
    <row r="571" spans="1:50" ht="15">
      <c r="A571" s="18"/>
      <c r="B571" s="18"/>
      <c r="C571" s="18"/>
      <c r="D571" s="18"/>
      <c r="E571" s="18"/>
      <c r="F571" s="18"/>
      <c r="G571" s="18"/>
      <c r="H571" s="18"/>
      <c r="I571" s="17"/>
      <c r="J571" s="18"/>
      <c r="K571" s="17"/>
      <c r="L571" s="18"/>
      <c r="M571" s="20"/>
      <c r="N571" s="18"/>
      <c r="O571" s="18"/>
      <c r="P571" s="18"/>
      <c r="Q571" s="17"/>
      <c r="R571" s="18"/>
      <c r="S571" s="18"/>
      <c r="T571" s="18"/>
      <c r="U571" s="18"/>
      <c r="V571" s="18"/>
      <c r="W571" s="18"/>
      <c r="X571" s="18"/>
      <c r="Y571" s="18"/>
      <c r="Z571" s="18"/>
      <c r="AA571" s="18"/>
      <c r="AB571" s="17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</row>
    <row r="572" spans="1:50" ht="15">
      <c r="A572" s="18"/>
      <c r="B572" s="18"/>
      <c r="C572" s="18"/>
      <c r="D572" s="18"/>
      <c r="E572" s="18"/>
      <c r="F572" s="18"/>
      <c r="G572" s="18"/>
      <c r="H572" s="18"/>
      <c r="I572" s="17"/>
      <c r="J572" s="18"/>
      <c r="K572" s="17"/>
      <c r="L572" s="18"/>
      <c r="M572" s="20"/>
      <c r="N572" s="18"/>
      <c r="O572" s="18"/>
      <c r="P572" s="18"/>
      <c r="Q572" s="17"/>
      <c r="R572" s="18"/>
      <c r="S572" s="18"/>
      <c r="T572" s="18"/>
      <c r="U572" s="18"/>
      <c r="V572" s="18"/>
      <c r="W572" s="18"/>
      <c r="X572" s="18"/>
      <c r="Y572" s="18"/>
      <c r="Z572" s="18"/>
      <c r="AA572" s="18"/>
      <c r="AB572" s="17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  <c r="AS572" s="18"/>
      <c r="AT572" s="18"/>
      <c r="AU572" s="18"/>
      <c r="AV572" s="18"/>
      <c r="AW572" s="18"/>
      <c r="AX572" s="18"/>
    </row>
    <row r="573" spans="1:50" ht="15">
      <c r="A573" s="18"/>
      <c r="B573" s="18"/>
      <c r="C573" s="18"/>
      <c r="D573" s="18"/>
      <c r="E573" s="18"/>
      <c r="F573" s="18"/>
      <c r="G573" s="18"/>
      <c r="H573" s="18"/>
      <c r="I573" s="17"/>
      <c r="J573" s="18"/>
      <c r="K573" s="17"/>
      <c r="L573" s="18"/>
      <c r="M573" s="20"/>
      <c r="N573" s="18"/>
      <c r="O573" s="18"/>
      <c r="P573" s="18"/>
      <c r="Q573" s="17"/>
      <c r="R573" s="18"/>
      <c r="S573" s="18"/>
      <c r="T573" s="18"/>
      <c r="U573" s="18"/>
      <c r="V573" s="18"/>
      <c r="W573" s="18"/>
      <c r="X573" s="18"/>
      <c r="Y573" s="18"/>
      <c r="Z573" s="18"/>
      <c r="AA573" s="18"/>
      <c r="AB573" s="17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  <c r="AS573" s="18"/>
      <c r="AT573" s="18"/>
      <c r="AU573" s="18"/>
      <c r="AV573" s="18"/>
      <c r="AW573" s="18"/>
      <c r="AX573" s="18"/>
    </row>
    <row r="574" spans="1:50" ht="15">
      <c r="A574" s="18"/>
      <c r="B574" s="18"/>
      <c r="C574" s="18"/>
      <c r="D574" s="18"/>
      <c r="E574" s="18"/>
      <c r="F574" s="18"/>
      <c r="G574" s="18"/>
      <c r="H574" s="18"/>
      <c r="I574" s="17"/>
      <c r="J574" s="18"/>
      <c r="K574" s="17"/>
      <c r="L574" s="18"/>
      <c r="M574" s="20"/>
      <c r="N574" s="18"/>
      <c r="O574" s="18"/>
      <c r="P574" s="18"/>
      <c r="Q574" s="17"/>
      <c r="R574" s="18"/>
      <c r="S574" s="18"/>
      <c r="T574" s="18"/>
      <c r="U574" s="18"/>
      <c r="V574" s="18"/>
      <c r="W574" s="18"/>
      <c r="X574" s="18"/>
      <c r="Y574" s="18"/>
      <c r="Z574" s="18"/>
      <c r="AA574" s="18"/>
      <c r="AB574" s="17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  <c r="AS574" s="18"/>
      <c r="AT574" s="18"/>
      <c r="AU574" s="18"/>
      <c r="AV574" s="18"/>
      <c r="AW574" s="18"/>
      <c r="AX574" s="18"/>
    </row>
    <row r="575" spans="1:50" ht="15">
      <c r="A575" s="18"/>
      <c r="B575" s="18"/>
      <c r="C575" s="18"/>
      <c r="D575" s="18"/>
      <c r="E575" s="18"/>
      <c r="F575" s="18"/>
      <c r="G575" s="18"/>
      <c r="H575" s="18"/>
      <c r="I575" s="17"/>
      <c r="J575" s="18"/>
      <c r="K575" s="17"/>
      <c r="L575" s="18"/>
      <c r="M575" s="20"/>
      <c r="N575" s="18"/>
      <c r="O575" s="18"/>
      <c r="P575" s="18"/>
      <c r="Q575" s="17"/>
      <c r="R575" s="18"/>
      <c r="S575" s="18"/>
      <c r="T575" s="18"/>
      <c r="U575" s="18"/>
      <c r="V575" s="18"/>
      <c r="W575" s="18"/>
      <c r="X575" s="18"/>
      <c r="Y575" s="18"/>
      <c r="Z575" s="18"/>
      <c r="AA575" s="18"/>
      <c r="AB575" s="17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  <c r="AS575" s="18"/>
      <c r="AT575" s="18"/>
      <c r="AU575" s="18"/>
      <c r="AV575" s="18"/>
      <c r="AW575" s="18"/>
      <c r="AX575" s="18"/>
    </row>
    <row r="576" spans="1:50" ht="15">
      <c r="A576" s="18"/>
      <c r="B576" s="18"/>
      <c r="C576" s="18"/>
      <c r="D576" s="18"/>
      <c r="E576" s="18"/>
      <c r="F576" s="18"/>
      <c r="G576" s="18"/>
      <c r="H576" s="18"/>
      <c r="I576" s="17"/>
      <c r="J576" s="18"/>
      <c r="K576" s="17"/>
      <c r="L576" s="18"/>
      <c r="M576" s="20"/>
      <c r="N576" s="18"/>
      <c r="O576" s="18"/>
      <c r="P576" s="18"/>
      <c r="Q576" s="17"/>
      <c r="R576" s="18"/>
      <c r="S576" s="18"/>
      <c r="T576" s="18"/>
      <c r="U576" s="18"/>
      <c r="V576" s="18"/>
      <c r="W576" s="18"/>
      <c r="X576" s="18"/>
      <c r="Y576" s="18"/>
      <c r="Z576" s="18"/>
      <c r="AA576" s="18"/>
      <c r="AB576" s="17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  <c r="AS576" s="18"/>
      <c r="AT576" s="18"/>
      <c r="AU576" s="18"/>
      <c r="AV576" s="18"/>
      <c r="AW576" s="18"/>
      <c r="AX576" s="18"/>
    </row>
    <row r="577" spans="1:50" ht="15">
      <c r="A577" s="18"/>
      <c r="B577" s="18"/>
      <c r="C577" s="18"/>
      <c r="D577" s="18"/>
      <c r="E577" s="18"/>
      <c r="F577" s="18"/>
      <c r="G577" s="18"/>
      <c r="H577" s="18"/>
      <c r="I577" s="17"/>
      <c r="J577" s="18"/>
      <c r="K577" s="17"/>
      <c r="L577" s="18"/>
      <c r="M577" s="20"/>
      <c r="N577" s="18"/>
      <c r="O577" s="18"/>
      <c r="P577" s="18"/>
      <c r="Q577" s="17"/>
      <c r="R577" s="18"/>
      <c r="S577" s="18"/>
      <c r="T577" s="18"/>
      <c r="U577" s="18"/>
      <c r="V577" s="18"/>
      <c r="W577" s="18"/>
      <c r="X577" s="18"/>
      <c r="Y577" s="18"/>
      <c r="Z577" s="18"/>
      <c r="AA577" s="18"/>
      <c r="AB577" s="17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  <c r="AS577" s="18"/>
      <c r="AT577" s="18"/>
      <c r="AU577" s="18"/>
      <c r="AV577" s="18"/>
      <c r="AW577" s="18"/>
      <c r="AX577" s="18"/>
    </row>
    <row r="578" spans="1:50" ht="15">
      <c r="A578" s="18"/>
      <c r="B578" s="18"/>
      <c r="C578" s="18"/>
      <c r="D578" s="18"/>
      <c r="E578" s="18"/>
      <c r="F578" s="18"/>
      <c r="G578" s="18"/>
      <c r="H578" s="18"/>
      <c r="I578" s="17"/>
      <c r="J578" s="18"/>
      <c r="K578" s="17"/>
      <c r="L578" s="18"/>
      <c r="M578" s="20"/>
      <c r="N578" s="18"/>
      <c r="O578" s="18"/>
      <c r="P578" s="18"/>
      <c r="Q578" s="17"/>
      <c r="R578" s="18"/>
      <c r="S578" s="18"/>
      <c r="T578" s="18"/>
      <c r="U578" s="18"/>
      <c r="V578" s="18"/>
      <c r="W578" s="18"/>
      <c r="X578" s="18"/>
      <c r="Y578" s="18"/>
      <c r="Z578" s="18"/>
      <c r="AA578" s="18"/>
      <c r="AB578" s="17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  <c r="AS578" s="18"/>
      <c r="AT578" s="18"/>
      <c r="AU578" s="18"/>
      <c r="AV578" s="18"/>
      <c r="AW578" s="18"/>
      <c r="AX578" s="18"/>
    </row>
    <row r="579" spans="1:50" ht="15">
      <c r="A579" s="18"/>
      <c r="B579" s="18"/>
      <c r="C579" s="18"/>
      <c r="D579" s="18"/>
      <c r="E579" s="18"/>
      <c r="F579" s="18"/>
      <c r="G579" s="18"/>
      <c r="H579" s="18"/>
      <c r="I579" s="17"/>
      <c r="J579" s="18"/>
      <c r="K579" s="17"/>
      <c r="L579" s="18"/>
      <c r="M579" s="20"/>
      <c r="N579" s="18"/>
      <c r="O579" s="18"/>
      <c r="P579" s="18"/>
      <c r="Q579" s="17"/>
      <c r="R579" s="18"/>
      <c r="S579" s="18"/>
      <c r="T579" s="18"/>
      <c r="U579" s="18"/>
      <c r="V579" s="18"/>
      <c r="W579" s="18"/>
      <c r="X579" s="18"/>
      <c r="Y579" s="18"/>
      <c r="Z579" s="18"/>
      <c r="AA579" s="18"/>
      <c r="AB579" s="17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  <c r="AS579" s="18"/>
      <c r="AT579" s="18"/>
      <c r="AU579" s="18"/>
      <c r="AV579" s="18"/>
      <c r="AW579" s="18"/>
      <c r="AX579" s="18"/>
    </row>
    <row r="580" spans="1:50" ht="15">
      <c r="A580" s="18"/>
      <c r="B580" s="18"/>
      <c r="C580" s="18"/>
      <c r="D580" s="18"/>
      <c r="E580" s="18"/>
      <c r="F580" s="18"/>
      <c r="G580" s="18"/>
      <c r="H580" s="18"/>
      <c r="I580" s="17"/>
      <c r="J580" s="18"/>
      <c r="K580" s="17"/>
      <c r="L580" s="18"/>
      <c r="M580" s="20"/>
      <c r="N580" s="18"/>
      <c r="O580" s="18"/>
      <c r="P580" s="18"/>
      <c r="Q580" s="17"/>
      <c r="R580" s="18"/>
      <c r="S580" s="18"/>
      <c r="T580" s="18"/>
      <c r="U580" s="18"/>
      <c r="V580" s="18"/>
      <c r="W580" s="18"/>
      <c r="X580" s="18"/>
      <c r="Y580" s="18"/>
      <c r="Z580" s="18"/>
      <c r="AA580" s="18"/>
      <c r="AB580" s="17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  <c r="AS580" s="18"/>
      <c r="AT580" s="18"/>
      <c r="AU580" s="18"/>
      <c r="AV580" s="18"/>
      <c r="AW580" s="18"/>
      <c r="AX580" s="18"/>
    </row>
    <row r="581" spans="1:50" ht="15">
      <c r="A581" s="18"/>
      <c r="B581" s="18"/>
      <c r="C581" s="18"/>
      <c r="D581" s="18"/>
      <c r="E581" s="18"/>
      <c r="F581" s="18"/>
      <c r="G581" s="18"/>
      <c r="H581" s="18"/>
      <c r="I581" s="17"/>
      <c r="J581" s="18"/>
      <c r="K581" s="17"/>
      <c r="L581" s="18"/>
      <c r="M581" s="20"/>
      <c r="N581" s="18"/>
      <c r="O581" s="18"/>
      <c r="P581" s="18"/>
      <c r="Q581" s="17"/>
      <c r="R581" s="18"/>
      <c r="S581" s="18"/>
      <c r="T581" s="18"/>
      <c r="U581" s="18"/>
      <c r="V581" s="18"/>
      <c r="W581" s="18"/>
      <c r="X581" s="18"/>
      <c r="Y581" s="18"/>
      <c r="Z581" s="18"/>
      <c r="AA581" s="18"/>
      <c r="AB581" s="17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  <c r="AS581" s="18"/>
      <c r="AT581" s="18"/>
      <c r="AU581" s="18"/>
      <c r="AV581" s="18"/>
      <c r="AW581" s="18"/>
      <c r="AX581" s="18"/>
    </row>
    <row r="582" spans="1:50" ht="15">
      <c r="A582" s="18"/>
      <c r="B582" s="18"/>
      <c r="C582" s="18"/>
      <c r="D582" s="18"/>
      <c r="E582" s="18"/>
      <c r="F582" s="18"/>
      <c r="G582" s="18"/>
      <c r="H582" s="18"/>
      <c r="I582" s="17"/>
      <c r="J582" s="18"/>
      <c r="K582" s="17"/>
      <c r="L582" s="18"/>
      <c r="M582" s="20"/>
      <c r="N582" s="18"/>
      <c r="O582" s="18"/>
      <c r="P582" s="18"/>
      <c r="Q582" s="17"/>
      <c r="R582" s="18"/>
      <c r="S582" s="18"/>
      <c r="T582" s="18"/>
      <c r="U582" s="18"/>
      <c r="V582" s="18"/>
      <c r="W582" s="18"/>
      <c r="X582" s="18"/>
      <c r="Y582" s="18"/>
      <c r="Z582" s="18"/>
      <c r="AA582" s="18"/>
      <c r="AB582" s="17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  <c r="AS582" s="18"/>
      <c r="AT582" s="18"/>
      <c r="AU582" s="18"/>
      <c r="AV582" s="18"/>
      <c r="AW582" s="18"/>
      <c r="AX582" s="18"/>
    </row>
    <row r="583" spans="1:50" ht="15">
      <c r="A583" s="18"/>
      <c r="B583" s="18"/>
      <c r="C583" s="18"/>
      <c r="D583" s="18"/>
      <c r="E583" s="18"/>
      <c r="F583" s="18"/>
      <c r="G583" s="18"/>
      <c r="H583" s="18"/>
      <c r="I583" s="17"/>
      <c r="J583" s="18"/>
      <c r="K583" s="17"/>
      <c r="L583" s="18"/>
      <c r="M583" s="20"/>
      <c r="N583" s="18"/>
      <c r="O583" s="18"/>
      <c r="P583" s="18"/>
      <c r="Q583" s="17"/>
      <c r="R583" s="18"/>
      <c r="S583" s="18"/>
      <c r="T583" s="18"/>
      <c r="U583" s="18"/>
      <c r="V583" s="18"/>
      <c r="W583" s="18"/>
      <c r="X583" s="18"/>
      <c r="Y583" s="18"/>
      <c r="Z583" s="18"/>
      <c r="AA583" s="18"/>
      <c r="AB583" s="17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 s="18"/>
      <c r="AV583" s="18"/>
      <c r="AW583" s="18"/>
      <c r="AX583" s="18"/>
    </row>
    <row r="584" spans="1:50" ht="15">
      <c r="A584" s="18"/>
      <c r="B584" s="18"/>
      <c r="C584" s="18"/>
      <c r="D584" s="18"/>
      <c r="E584" s="18"/>
      <c r="F584" s="18"/>
      <c r="G584" s="18"/>
      <c r="H584" s="18"/>
      <c r="I584" s="17"/>
      <c r="J584" s="18"/>
      <c r="K584" s="17"/>
      <c r="L584" s="18"/>
      <c r="M584" s="20"/>
      <c r="N584" s="18"/>
      <c r="O584" s="18"/>
      <c r="P584" s="18"/>
      <c r="Q584" s="17"/>
      <c r="R584" s="18"/>
      <c r="S584" s="18"/>
      <c r="T584" s="18"/>
      <c r="U584" s="18"/>
      <c r="V584" s="18"/>
      <c r="W584" s="18"/>
      <c r="X584" s="18"/>
      <c r="Y584" s="18"/>
      <c r="Z584" s="18"/>
      <c r="AA584" s="18"/>
      <c r="AB584" s="17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  <c r="AS584" s="18"/>
      <c r="AT584" s="18"/>
      <c r="AU584" s="18"/>
      <c r="AV584" s="18"/>
      <c r="AW584" s="18"/>
      <c r="AX584" s="18"/>
    </row>
    <row r="585" spans="1:50" ht="15">
      <c r="A585" s="18"/>
      <c r="B585" s="18"/>
      <c r="C585" s="18"/>
      <c r="D585" s="18"/>
      <c r="E585" s="18"/>
      <c r="F585" s="18"/>
      <c r="G585" s="18"/>
      <c r="H585" s="18"/>
      <c r="I585" s="17"/>
      <c r="J585" s="18"/>
      <c r="K585" s="17"/>
      <c r="L585" s="18"/>
      <c r="M585" s="20"/>
      <c r="N585" s="18"/>
      <c r="O585" s="18"/>
      <c r="P585" s="18"/>
      <c r="Q585" s="17"/>
      <c r="R585" s="18"/>
      <c r="S585" s="18"/>
      <c r="T585" s="18"/>
      <c r="U585" s="18"/>
      <c r="V585" s="18"/>
      <c r="W585" s="18"/>
      <c r="X585" s="18"/>
      <c r="Y585" s="18"/>
      <c r="Z585" s="18"/>
      <c r="AA585" s="18"/>
      <c r="AB585" s="17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  <c r="AS585" s="18"/>
      <c r="AT585" s="18"/>
      <c r="AU585" s="18"/>
      <c r="AV585" s="18"/>
      <c r="AW585" s="18"/>
      <c r="AX585" s="18"/>
    </row>
    <row r="586" spans="1:50" ht="15">
      <c r="A586" s="18"/>
      <c r="B586" s="18"/>
      <c r="C586" s="18"/>
      <c r="D586" s="18"/>
      <c r="E586" s="18"/>
      <c r="F586" s="18"/>
      <c r="G586" s="18"/>
      <c r="H586" s="18"/>
      <c r="I586" s="17"/>
      <c r="J586" s="18"/>
      <c r="K586" s="17"/>
      <c r="L586" s="18"/>
      <c r="M586" s="20"/>
      <c r="N586" s="18"/>
      <c r="O586" s="18"/>
      <c r="P586" s="18"/>
      <c r="Q586" s="17"/>
      <c r="R586" s="18"/>
      <c r="S586" s="18"/>
      <c r="T586" s="18"/>
      <c r="U586" s="18"/>
      <c r="V586" s="18"/>
      <c r="W586" s="18"/>
      <c r="X586" s="18"/>
      <c r="Y586" s="18"/>
      <c r="Z586" s="18"/>
      <c r="AA586" s="18"/>
      <c r="AB586" s="17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  <c r="AS586" s="18"/>
      <c r="AT586" s="18"/>
      <c r="AU586" s="18"/>
      <c r="AV586" s="18"/>
      <c r="AW586" s="18"/>
      <c r="AX586" s="18"/>
    </row>
    <row r="587" spans="1:50" ht="15">
      <c r="A587" s="18"/>
      <c r="B587" s="18"/>
      <c r="C587" s="18"/>
      <c r="D587" s="18"/>
      <c r="E587" s="18"/>
      <c r="F587" s="18"/>
      <c r="G587" s="18"/>
      <c r="H587" s="18"/>
      <c r="I587" s="17"/>
      <c r="J587" s="18"/>
      <c r="K587" s="17"/>
      <c r="L587" s="18"/>
      <c r="M587" s="20"/>
      <c r="N587" s="18"/>
      <c r="O587" s="18"/>
      <c r="P587" s="18"/>
      <c r="Q587" s="17"/>
      <c r="R587" s="18"/>
      <c r="S587" s="18"/>
      <c r="T587" s="18"/>
      <c r="U587" s="18"/>
      <c r="V587" s="18"/>
      <c r="W587" s="18"/>
      <c r="X587" s="18"/>
      <c r="Y587" s="18"/>
      <c r="Z587" s="18"/>
      <c r="AA587" s="18"/>
      <c r="AB587" s="17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  <c r="AS587" s="18"/>
      <c r="AT587" s="18"/>
      <c r="AU587" s="18"/>
      <c r="AV587" s="18"/>
      <c r="AW587" s="18"/>
      <c r="AX587" s="18"/>
    </row>
    <row r="588" spans="1:50" ht="15">
      <c r="A588" s="18"/>
      <c r="B588" s="18"/>
      <c r="C588" s="18"/>
      <c r="D588" s="18"/>
      <c r="E588" s="18"/>
      <c r="F588" s="18"/>
      <c r="G588" s="18"/>
      <c r="H588" s="18"/>
      <c r="I588" s="17"/>
      <c r="J588" s="18"/>
      <c r="K588" s="17"/>
      <c r="L588" s="18"/>
      <c r="M588" s="20"/>
      <c r="N588" s="18"/>
      <c r="O588" s="18"/>
      <c r="P588" s="18"/>
      <c r="Q588" s="17"/>
      <c r="R588" s="18"/>
      <c r="S588" s="18"/>
      <c r="T588" s="18"/>
      <c r="U588" s="18"/>
      <c r="V588" s="18"/>
      <c r="W588" s="18"/>
      <c r="X588" s="18"/>
      <c r="Y588" s="18"/>
      <c r="Z588" s="18"/>
      <c r="AA588" s="18"/>
      <c r="AB588" s="17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  <c r="AS588" s="18"/>
      <c r="AT588" s="18"/>
      <c r="AU588" s="18"/>
      <c r="AV588" s="18"/>
      <c r="AW588" s="18"/>
      <c r="AX588" s="18"/>
    </row>
    <row r="589" spans="1:50" ht="15">
      <c r="A589" s="18"/>
      <c r="B589" s="18"/>
      <c r="C589" s="18"/>
      <c r="D589" s="18"/>
      <c r="E589" s="18"/>
      <c r="F589" s="18"/>
      <c r="G589" s="18"/>
      <c r="H589" s="18"/>
      <c r="I589" s="17"/>
      <c r="J589" s="18"/>
      <c r="K589" s="17"/>
      <c r="L589" s="18"/>
      <c r="M589" s="20"/>
      <c r="N589" s="18"/>
      <c r="O589" s="18"/>
      <c r="P589" s="18"/>
      <c r="Q589" s="17"/>
      <c r="R589" s="18"/>
      <c r="S589" s="18"/>
      <c r="T589" s="18"/>
      <c r="U589" s="18"/>
      <c r="V589" s="18"/>
      <c r="W589" s="18"/>
      <c r="X589" s="18"/>
      <c r="Y589" s="18"/>
      <c r="Z589" s="18"/>
      <c r="AA589" s="18"/>
      <c r="AB589" s="17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  <c r="AS589" s="18"/>
      <c r="AT589" s="18"/>
      <c r="AU589" s="18"/>
      <c r="AV589" s="18"/>
      <c r="AW589" s="18"/>
      <c r="AX589" s="18"/>
    </row>
    <row r="590" spans="1:50" ht="15">
      <c r="A590" s="18"/>
      <c r="B590" s="18"/>
      <c r="C590" s="18"/>
      <c r="D590" s="18"/>
      <c r="E590" s="18"/>
      <c r="F590" s="18"/>
      <c r="G590" s="18"/>
      <c r="H590" s="18"/>
      <c r="I590" s="17"/>
      <c r="J590" s="18"/>
      <c r="K590" s="17"/>
      <c r="L590" s="18"/>
      <c r="M590" s="20"/>
      <c r="N590" s="18"/>
      <c r="O590" s="18"/>
      <c r="P590" s="18"/>
      <c r="Q590" s="17"/>
      <c r="R590" s="18"/>
      <c r="S590" s="18"/>
      <c r="T590" s="18"/>
      <c r="U590" s="18"/>
      <c r="V590" s="18"/>
      <c r="W590" s="18"/>
      <c r="X590" s="18"/>
      <c r="Y590" s="18"/>
      <c r="Z590" s="18"/>
      <c r="AA590" s="18"/>
      <c r="AB590" s="17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  <c r="AS590" s="18"/>
      <c r="AT590" s="18"/>
      <c r="AU590" s="18"/>
      <c r="AV590" s="18"/>
      <c r="AW590" s="18"/>
      <c r="AX590" s="18"/>
    </row>
    <row r="591" spans="1:50" ht="15">
      <c r="A591" s="18"/>
      <c r="B591" s="18"/>
      <c r="C591" s="18"/>
      <c r="D591" s="18"/>
      <c r="E591" s="18"/>
      <c r="F591" s="18"/>
      <c r="G591" s="18"/>
      <c r="H591" s="18"/>
      <c r="I591" s="17"/>
      <c r="J591" s="18"/>
      <c r="K591" s="17"/>
      <c r="L591" s="18"/>
      <c r="M591" s="20"/>
      <c r="N591" s="18"/>
      <c r="O591" s="18"/>
      <c r="P591" s="18"/>
      <c r="Q591" s="17"/>
      <c r="R591" s="18"/>
      <c r="S591" s="18"/>
      <c r="T591" s="18"/>
      <c r="U591" s="18"/>
      <c r="V591" s="18"/>
      <c r="W591" s="18"/>
      <c r="X591" s="18"/>
      <c r="Y591" s="18"/>
      <c r="Z591" s="18"/>
      <c r="AA591" s="18"/>
      <c r="AB591" s="17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  <c r="AS591" s="18"/>
      <c r="AT591" s="18"/>
      <c r="AU591" s="18"/>
      <c r="AV591" s="18"/>
      <c r="AW591" s="18"/>
      <c r="AX591" s="18"/>
    </row>
    <row r="592" spans="1:50" ht="15">
      <c r="A592" s="18"/>
      <c r="B592" s="18"/>
      <c r="C592" s="18"/>
      <c r="D592" s="18"/>
      <c r="E592" s="18"/>
      <c r="F592" s="18"/>
      <c r="G592" s="18"/>
      <c r="H592" s="18"/>
      <c r="I592" s="17"/>
      <c r="J592" s="18"/>
      <c r="K592" s="17"/>
      <c r="L592" s="18"/>
      <c r="M592" s="20"/>
      <c r="N592" s="18"/>
      <c r="O592" s="18"/>
      <c r="P592" s="18"/>
      <c r="Q592" s="17"/>
      <c r="R592" s="18"/>
      <c r="S592" s="18"/>
      <c r="T592" s="18"/>
      <c r="U592" s="18"/>
      <c r="V592" s="18"/>
      <c r="W592" s="18"/>
      <c r="X592" s="18"/>
      <c r="Y592" s="18"/>
      <c r="Z592" s="18"/>
      <c r="AA592" s="18"/>
      <c r="AB592" s="17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</row>
    <row r="593" spans="1:50" ht="15">
      <c r="A593" s="18"/>
      <c r="B593" s="18"/>
      <c r="C593" s="18"/>
      <c r="D593" s="18"/>
      <c r="E593" s="18"/>
      <c r="F593" s="18"/>
      <c r="G593" s="18"/>
      <c r="H593" s="18"/>
      <c r="I593" s="17"/>
      <c r="J593" s="18"/>
      <c r="K593" s="17"/>
      <c r="L593" s="18"/>
      <c r="M593" s="20"/>
      <c r="N593" s="18"/>
      <c r="O593" s="18"/>
      <c r="P593" s="18"/>
      <c r="Q593" s="17"/>
      <c r="R593" s="18"/>
      <c r="S593" s="18"/>
      <c r="T593" s="18"/>
      <c r="U593" s="18"/>
      <c r="V593" s="18"/>
      <c r="W593" s="18"/>
      <c r="X593" s="18"/>
      <c r="Y593" s="18"/>
      <c r="Z593" s="18"/>
      <c r="AA593" s="18"/>
      <c r="AB593" s="17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  <c r="AS593" s="18"/>
      <c r="AT593" s="18"/>
      <c r="AU593" s="18"/>
      <c r="AV593" s="18"/>
      <c r="AW593" s="18"/>
      <c r="AX593" s="18"/>
    </row>
    <row r="594" spans="1:50" ht="15">
      <c r="A594" s="18"/>
      <c r="B594" s="18"/>
      <c r="C594" s="18"/>
      <c r="D594" s="18"/>
      <c r="E594" s="18"/>
      <c r="F594" s="18"/>
      <c r="G594" s="18"/>
      <c r="H594" s="18"/>
      <c r="I594" s="17"/>
      <c r="J594" s="18"/>
      <c r="K594" s="17"/>
      <c r="L594" s="18"/>
      <c r="M594" s="20"/>
      <c r="N594" s="18"/>
      <c r="O594" s="18"/>
      <c r="P594" s="18"/>
      <c r="Q594" s="17"/>
      <c r="R594" s="18"/>
      <c r="S594" s="18"/>
      <c r="T594" s="18"/>
      <c r="U594" s="18"/>
      <c r="V594" s="18"/>
      <c r="W594" s="18"/>
      <c r="X594" s="18"/>
      <c r="Y594" s="18"/>
      <c r="Z594" s="18"/>
      <c r="AA594" s="18"/>
      <c r="AB594" s="17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  <c r="AS594" s="18"/>
      <c r="AT594" s="18"/>
      <c r="AU594" s="18"/>
      <c r="AV594" s="18"/>
      <c r="AW594" s="18"/>
      <c r="AX594" s="18"/>
    </row>
    <row r="595" spans="1:50" ht="15">
      <c r="A595" s="18"/>
      <c r="B595" s="18"/>
      <c r="C595" s="18"/>
      <c r="D595" s="18"/>
      <c r="E595" s="18"/>
      <c r="F595" s="18"/>
      <c r="G595" s="18"/>
      <c r="H595" s="18"/>
      <c r="I595" s="17"/>
      <c r="J595" s="18"/>
      <c r="K595" s="17"/>
      <c r="L595" s="18"/>
      <c r="M595" s="20"/>
      <c r="N595" s="18"/>
      <c r="O595" s="18"/>
      <c r="P595" s="18"/>
      <c r="Q595" s="17"/>
      <c r="R595" s="18"/>
      <c r="S595" s="18"/>
      <c r="T595" s="18"/>
      <c r="U595" s="18"/>
      <c r="V595" s="18"/>
      <c r="W595" s="18"/>
      <c r="X595" s="18"/>
      <c r="Y595" s="18"/>
      <c r="Z595" s="18"/>
      <c r="AA595" s="18"/>
      <c r="AB595" s="17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  <c r="AS595" s="18"/>
      <c r="AT595" s="18"/>
      <c r="AU595" s="18"/>
      <c r="AV595" s="18"/>
      <c r="AW595" s="18"/>
      <c r="AX595" s="18"/>
    </row>
    <row r="596" spans="1:50" ht="15">
      <c r="A596" s="18"/>
      <c r="B596" s="18"/>
      <c r="C596" s="18"/>
      <c r="D596" s="18"/>
      <c r="E596" s="18"/>
      <c r="F596" s="18"/>
      <c r="G596" s="18"/>
      <c r="H596" s="18"/>
      <c r="I596" s="17"/>
      <c r="J596" s="18"/>
      <c r="K596" s="17"/>
      <c r="L596" s="18"/>
      <c r="M596" s="20"/>
      <c r="N596" s="18"/>
      <c r="O596" s="18"/>
      <c r="P596" s="18"/>
      <c r="Q596" s="17"/>
      <c r="R596" s="18"/>
      <c r="S596" s="18"/>
      <c r="T596" s="18"/>
      <c r="U596" s="18"/>
      <c r="V596" s="18"/>
      <c r="W596" s="18"/>
      <c r="X596" s="18"/>
      <c r="Y596" s="18"/>
      <c r="Z596" s="18"/>
      <c r="AA596" s="18"/>
      <c r="AB596" s="17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  <c r="AS596" s="18"/>
      <c r="AT596" s="18"/>
      <c r="AU596" s="18"/>
      <c r="AV596" s="18"/>
      <c r="AW596" s="18"/>
      <c r="AX596" s="18"/>
    </row>
    <row r="597" spans="1:50" ht="15">
      <c r="A597" s="18"/>
      <c r="B597" s="18"/>
      <c r="C597" s="18"/>
      <c r="D597" s="18"/>
      <c r="E597" s="18"/>
      <c r="F597" s="18"/>
      <c r="G597" s="18"/>
      <c r="H597" s="18"/>
      <c r="I597" s="17"/>
      <c r="J597" s="18"/>
      <c r="K597" s="17"/>
      <c r="L597" s="18"/>
      <c r="M597" s="20"/>
      <c r="N597" s="18"/>
      <c r="O597" s="18"/>
      <c r="P597" s="18"/>
      <c r="Q597" s="17"/>
      <c r="R597" s="18"/>
      <c r="S597" s="18"/>
      <c r="T597" s="18"/>
      <c r="U597" s="18"/>
      <c r="V597" s="18"/>
      <c r="W597" s="18"/>
      <c r="X597" s="18"/>
      <c r="Y597" s="18"/>
      <c r="Z597" s="18"/>
      <c r="AA597" s="18"/>
      <c r="AB597" s="17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  <c r="AS597" s="18"/>
      <c r="AT597" s="18"/>
      <c r="AU597" s="18"/>
      <c r="AV597" s="18"/>
      <c r="AW597" s="18"/>
      <c r="AX597" s="18"/>
    </row>
    <row r="598" spans="1:50" ht="15">
      <c r="A598" s="18"/>
      <c r="B598" s="18"/>
      <c r="C598" s="18"/>
      <c r="D598" s="18"/>
      <c r="E598" s="18"/>
      <c r="F598" s="18"/>
      <c r="G598" s="18"/>
      <c r="H598" s="18"/>
      <c r="I598" s="17"/>
      <c r="J598" s="18"/>
      <c r="K598" s="17"/>
      <c r="L598" s="18"/>
      <c r="M598" s="20"/>
      <c r="N598" s="18"/>
      <c r="O598" s="18"/>
      <c r="P598" s="18"/>
      <c r="Q598" s="17"/>
      <c r="R598" s="18"/>
      <c r="S598" s="18"/>
      <c r="T598" s="18"/>
      <c r="U598" s="18"/>
      <c r="V598" s="18"/>
      <c r="W598" s="18"/>
      <c r="X598" s="18"/>
      <c r="Y598" s="18"/>
      <c r="Z598" s="18"/>
      <c r="AA598" s="18"/>
      <c r="AB598" s="17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  <c r="AS598" s="18"/>
      <c r="AT598" s="18"/>
      <c r="AU598" s="18"/>
      <c r="AV598" s="18"/>
      <c r="AW598" s="18"/>
      <c r="AX598" s="18"/>
    </row>
    <row r="599" spans="1:50" ht="15">
      <c r="A599" s="18"/>
      <c r="B599" s="18"/>
      <c r="C599" s="18"/>
      <c r="D599" s="18"/>
      <c r="E599" s="18"/>
      <c r="F599" s="18"/>
      <c r="G599" s="18"/>
      <c r="H599" s="18"/>
      <c r="I599" s="17"/>
      <c r="J599" s="18"/>
      <c r="K599" s="17"/>
      <c r="L599" s="18"/>
      <c r="M599" s="20"/>
      <c r="N599" s="18"/>
      <c r="O599" s="18"/>
      <c r="P599" s="18"/>
      <c r="Q599" s="17"/>
      <c r="R599" s="18"/>
      <c r="S599" s="18"/>
      <c r="T599" s="18"/>
      <c r="U599" s="18"/>
      <c r="V599" s="18"/>
      <c r="W599" s="18"/>
      <c r="X599" s="18"/>
      <c r="Y599" s="18"/>
      <c r="Z599" s="18"/>
      <c r="AA599" s="18"/>
      <c r="AB599" s="17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  <c r="AS599" s="18"/>
      <c r="AT599" s="18"/>
      <c r="AU599" s="18"/>
      <c r="AV599" s="18"/>
      <c r="AW599" s="18"/>
      <c r="AX599" s="18"/>
    </row>
    <row r="600" spans="1:50" ht="15">
      <c r="A600" s="18"/>
      <c r="B600" s="18"/>
      <c r="C600" s="18"/>
      <c r="D600" s="18"/>
      <c r="E600" s="18"/>
      <c r="F600" s="18"/>
      <c r="G600" s="18"/>
      <c r="H600" s="18"/>
      <c r="I600" s="17"/>
      <c r="J600" s="18"/>
      <c r="K600" s="17"/>
      <c r="L600" s="18"/>
      <c r="M600" s="20"/>
      <c r="N600" s="18"/>
      <c r="O600" s="18"/>
      <c r="P600" s="18"/>
      <c r="Q600" s="17"/>
      <c r="R600" s="18"/>
      <c r="S600" s="18"/>
      <c r="T600" s="18"/>
      <c r="U600" s="18"/>
      <c r="V600" s="18"/>
      <c r="W600" s="18"/>
      <c r="X600" s="18"/>
      <c r="Y600" s="18"/>
      <c r="Z600" s="18"/>
      <c r="AA600" s="18"/>
      <c r="AB600" s="17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  <c r="AS600" s="18"/>
      <c r="AT600" s="18"/>
      <c r="AU600" s="18"/>
      <c r="AV600" s="18"/>
      <c r="AW600" s="18"/>
      <c r="AX600" s="18"/>
    </row>
    <row r="601" spans="1:50" ht="15">
      <c r="A601" s="18"/>
      <c r="B601" s="18"/>
      <c r="C601" s="18"/>
      <c r="D601" s="18"/>
      <c r="E601" s="18"/>
      <c r="F601" s="18"/>
      <c r="G601" s="18"/>
      <c r="H601" s="18"/>
      <c r="I601" s="17"/>
      <c r="J601" s="18"/>
      <c r="K601" s="17"/>
      <c r="L601" s="18"/>
      <c r="M601" s="20"/>
      <c r="N601" s="18"/>
      <c r="O601" s="18"/>
      <c r="P601" s="18"/>
      <c r="Q601" s="17"/>
      <c r="R601" s="18"/>
      <c r="S601" s="18"/>
      <c r="T601" s="18"/>
      <c r="U601" s="18"/>
      <c r="V601" s="18"/>
      <c r="W601" s="18"/>
      <c r="X601" s="18"/>
      <c r="Y601" s="18"/>
      <c r="Z601" s="18"/>
      <c r="AA601" s="18"/>
      <c r="AB601" s="17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  <c r="AS601" s="18"/>
      <c r="AT601" s="18"/>
      <c r="AU601" s="18"/>
      <c r="AV601" s="18"/>
      <c r="AW601" s="18"/>
      <c r="AX601" s="18"/>
    </row>
    <row r="602" spans="1:50" ht="15">
      <c r="A602" s="18"/>
      <c r="B602" s="18"/>
      <c r="C602" s="18"/>
      <c r="D602" s="18"/>
      <c r="E602" s="18"/>
      <c r="F602" s="18"/>
      <c r="G602" s="18"/>
      <c r="H602" s="18"/>
      <c r="I602" s="17"/>
      <c r="J602" s="18"/>
      <c r="K602" s="17"/>
      <c r="L602" s="18"/>
      <c r="M602" s="20"/>
      <c r="N602" s="18"/>
      <c r="O602" s="18"/>
      <c r="P602" s="18"/>
      <c r="Q602" s="17"/>
      <c r="R602" s="18"/>
      <c r="S602" s="18"/>
      <c r="T602" s="18"/>
      <c r="U602" s="18"/>
      <c r="V602" s="18"/>
      <c r="W602" s="18"/>
      <c r="X602" s="18"/>
      <c r="Y602" s="18"/>
      <c r="Z602" s="18"/>
      <c r="AA602" s="18"/>
      <c r="AB602" s="17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  <c r="AS602" s="18"/>
      <c r="AT602" s="18"/>
      <c r="AU602" s="18"/>
      <c r="AV602" s="18"/>
      <c r="AW602" s="18"/>
      <c r="AX602" s="18"/>
    </row>
    <row r="603" spans="1:50" ht="15">
      <c r="A603" s="18"/>
      <c r="B603" s="18"/>
      <c r="C603" s="18"/>
      <c r="D603" s="18"/>
      <c r="E603" s="18"/>
      <c r="F603" s="18"/>
      <c r="G603" s="18"/>
      <c r="H603" s="18"/>
      <c r="I603" s="17"/>
      <c r="J603" s="18"/>
      <c r="K603" s="17"/>
      <c r="L603" s="18"/>
      <c r="M603" s="20"/>
      <c r="N603" s="18"/>
      <c r="O603" s="18"/>
      <c r="P603" s="18"/>
      <c r="Q603" s="17"/>
      <c r="R603" s="18"/>
      <c r="S603" s="18"/>
      <c r="T603" s="18"/>
      <c r="U603" s="18"/>
      <c r="V603" s="18"/>
      <c r="W603" s="18"/>
      <c r="X603" s="18"/>
      <c r="Y603" s="18"/>
      <c r="Z603" s="18"/>
      <c r="AA603" s="18"/>
      <c r="AB603" s="17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  <c r="AS603" s="18"/>
      <c r="AT603" s="18"/>
      <c r="AU603" s="18"/>
      <c r="AV603" s="18"/>
      <c r="AW603" s="18"/>
      <c r="AX603" s="18"/>
    </row>
    <row r="604" spans="1:50" ht="15">
      <c r="A604" s="18"/>
      <c r="B604" s="18"/>
      <c r="C604" s="18"/>
      <c r="D604" s="18"/>
      <c r="E604" s="18"/>
      <c r="F604" s="18"/>
      <c r="G604" s="18"/>
      <c r="H604" s="18"/>
      <c r="I604" s="17"/>
      <c r="J604" s="18"/>
      <c r="K604" s="17"/>
      <c r="L604" s="18"/>
      <c r="M604" s="20"/>
      <c r="N604" s="18"/>
      <c r="O604" s="18"/>
      <c r="P604" s="18"/>
      <c r="Q604" s="17"/>
      <c r="R604" s="18"/>
      <c r="S604" s="18"/>
      <c r="T604" s="18"/>
      <c r="U604" s="18"/>
      <c r="V604" s="18"/>
      <c r="W604" s="18"/>
      <c r="X604" s="18"/>
      <c r="Y604" s="18"/>
      <c r="Z604" s="18"/>
      <c r="AA604" s="18"/>
      <c r="AB604" s="17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  <c r="AS604" s="18"/>
      <c r="AT604" s="18"/>
      <c r="AU604" s="18"/>
      <c r="AV604" s="18"/>
      <c r="AW604" s="18"/>
      <c r="AX604" s="18"/>
    </row>
    <row r="605" spans="1:50" ht="15">
      <c r="A605" s="18"/>
      <c r="B605" s="18"/>
      <c r="C605" s="18"/>
      <c r="D605" s="18"/>
      <c r="E605" s="18"/>
      <c r="F605" s="18"/>
      <c r="G605" s="18"/>
      <c r="H605" s="18"/>
      <c r="I605" s="17"/>
      <c r="J605" s="18"/>
      <c r="K605" s="17"/>
      <c r="L605" s="18"/>
      <c r="M605" s="20"/>
      <c r="N605" s="18"/>
      <c r="O605" s="18"/>
      <c r="P605" s="18"/>
      <c r="Q605" s="17"/>
      <c r="R605" s="18"/>
      <c r="S605" s="18"/>
      <c r="T605" s="18"/>
      <c r="U605" s="18"/>
      <c r="V605" s="18"/>
      <c r="W605" s="18"/>
      <c r="X605" s="18"/>
      <c r="Y605" s="18"/>
      <c r="Z605" s="18"/>
      <c r="AA605" s="18"/>
      <c r="AB605" s="17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  <c r="AS605" s="18"/>
      <c r="AT605" s="18"/>
      <c r="AU605" s="18"/>
      <c r="AV605" s="18"/>
      <c r="AW605" s="18"/>
      <c r="AX605" s="18"/>
    </row>
    <row r="606" spans="1:50" ht="15">
      <c r="A606" s="18"/>
      <c r="B606" s="18"/>
      <c r="C606" s="18"/>
      <c r="D606" s="18"/>
      <c r="E606" s="18"/>
      <c r="F606" s="18"/>
      <c r="G606" s="18"/>
      <c r="H606" s="18"/>
      <c r="I606" s="17"/>
      <c r="J606" s="18"/>
      <c r="K606" s="17"/>
      <c r="L606" s="18"/>
      <c r="M606" s="20"/>
      <c r="N606" s="18"/>
      <c r="O606" s="18"/>
      <c r="P606" s="18"/>
      <c r="Q606" s="17"/>
      <c r="R606" s="18"/>
      <c r="S606" s="18"/>
      <c r="T606" s="18"/>
      <c r="U606" s="18"/>
      <c r="V606" s="18"/>
      <c r="W606" s="18"/>
      <c r="X606" s="18"/>
      <c r="Y606" s="18"/>
      <c r="Z606" s="18"/>
      <c r="AA606" s="18"/>
      <c r="AB606" s="17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  <c r="AS606" s="18"/>
      <c r="AT606" s="18"/>
      <c r="AU606" s="18"/>
      <c r="AV606" s="18"/>
      <c r="AW606" s="18"/>
      <c r="AX606" s="18"/>
    </row>
    <row r="607" spans="1:50" ht="15">
      <c r="A607" s="18"/>
      <c r="B607" s="18"/>
      <c r="C607" s="18"/>
      <c r="D607" s="18"/>
      <c r="E607" s="18"/>
      <c r="F607" s="18"/>
      <c r="G607" s="18"/>
      <c r="H607" s="18"/>
      <c r="I607" s="17"/>
      <c r="J607" s="18"/>
      <c r="K607" s="17"/>
      <c r="L607" s="18"/>
      <c r="M607" s="20"/>
      <c r="N607" s="18"/>
      <c r="O607" s="18"/>
      <c r="P607" s="18"/>
      <c r="Q607" s="17"/>
      <c r="R607" s="18"/>
      <c r="S607" s="18"/>
      <c r="T607" s="18"/>
      <c r="U607" s="18"/>
      <c r="V607" s="18"/>
      <c r="W607" s="18"/>
      <c r="X607" s="18"/>
      <c r="Y607" s="18"/>
      <c r="Z607" s="18"/>
      <c r="AA607" s="18"/>
      <c r="AB607" s="17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  <c r="AS607" s="18"/>
      <c r="AT607" s="18"/>
      <c r="AU607" s="18"/>
      <c r="AV607" s="18"/>
      <c r="AW607" s="18"/>
      <c r="AX607" s="18"/>
    </row>
    <row r="608" spans="1:50" ht="15">
      <c r="A608" s="18"/>
      <c r="B608" s="18"/>
      <c r="C608" s="18"/>
      <c r="D608" s="18"/>
      <c r="E608" s="18"/>
      <c r="F608" s="18"/>
      <c r="G608" s="18"/>
      <c r="H608" s="18"/>
      <c r="I608" s="17"/>
      <c r="J608" s="18"/>
      <c r="K608" s="17"/>
      <c r="L608" s="18"/>
      <c r="M608" s="20"/>
      <c r="N608" s="18"/>
      <c r="O608" s="18"/>
      <c r="P608" s="18"/>
      <c r="Q608" s="17"/>
      <c r="R608" s="18"/>
      <c r="S608" s="18"/>
      <c r="T608" s="18"/>
      <c r="U608" s="18"/>
      <c r="V608" s="18"/>
      <c r="W608" s="18"/>
      <c r="X608" s="18"/>
      <c r="Y608" s="18"/>
      <c r="Z608" s="18"/>
      <c r="AA608" s="18"/>
      <c r="AB608" s="17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  <c r="AS608" s="18"/>
      <c r="AT608" s="18"/>
      <c r="AU608" s="18"/>
      <c r="AV608" s="18"/>
      <c r="AW608" s="18"/>
      <c r="AX608" s="18"/>
    </row>
    <row r="609" spans="1:50" ht="15">
      <c r="A609" s="18"/>
      <c r="B609" s="18"/>
      <c r="C609" s="18"/>
      <c r="D609" s="18"/>
      <c r="E609" s="18"/>
      <c r="F609" s="18"/>
      <c r="G609" s="18"/>
      <c r="H609" s="18"/>
      <c r="I609" s="17"/>
      <c r="J609" s="18"/>
      <c r="K609" s="17"/>
      <c r="L609" s="18"/>
      <c r="M609" s="20"/>
      <c r="N609" s="18"/>
      <c r="O609" s="18"/>
      <c r="P609" s="18"/>
      <c r="Q609" s="17"/>
      <c r="R609" s="18"/>
      <c r="S609" s="18"/>
      <c r="T609" s="18"/>
      <c r="U609" s="18"/>
      <c r="V609" s="18"/>
      <c r="W609" s="18"/>
      <c r="X609" s="18"/>
      <c r="Y609" s="18"/>
      <c r="Z609" s="18"/>
      <c r="AA609" s="18"/>
      <c r="AB609" s="17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</row>
    <row r="610" spans="1:50" ht="15">
      <c r="A610" s="18"/>
      <c r="B610" s="18"/>
      <c r="C610" s="18"/>
      <c r="D610" s="18"/>
      <c r="E610" s="18"/>
      <c r="F610" s="18"/>
      <c r="G610" s="18"/>
      <c r="H610" s="18"/>
      <c r="I610" s="17"/>
      <c r="J610" s="18"/>
      <c r="K610" s="17"/>
      <c r="L610" s="18"/>
      <c r="M610" s="20"/>
      <c r="N610" s="18"/>
      <c r="O610" s="18"/>
      <c r="P610" s="18"/>
      <c r="Q610" s="17"/>
      <c r="R610" s="18"/>
      <c r="S610" s="18"/>
      <c r="T610" s="18"/>
      <c r="U610" s="18"/>
      <c r="V610" s="18"/>
      <c r="W610" s="18"/>
      <c r="X610" s="18"/>
      <c r="Y610" s="18"/>
      <c r="Z610" s="18"/>
      <c r="AA610" s="18"/>
      <c r="AB610" s="17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  <c r="AS610" s="18"/>
      <c r="AT610" s="18"/>
      <c r="AU610" s="18"/>
      <c r="AV610" s="18"/>
      <c r="AW610" s="18"/>
      <c r="AX610" s="18"/>
    </row>
    <row r="611" spans="1:50" ht="15">
      <c r="A611" s="18"/>
      <c r="B611" s="18"/>
      <c r="C611" s="18"/>
      <c r="D611" s="18"/>
      <c r="E611" s="18"/>
      <c r="F611" s="18"/>
      <c r="G611" s="18"/>
      <c r="H611" s="18"/>
      <c r="I611" s="17"/>
      <c r="J611" s="18"/>
      <c r="K611" s="17"/>
      <c r="L611" s="18"/>
      <c r="M611" s="20"/>
      <c r="N611" s="18"/>
      <c r="O611" s="18"/>
      <c r="P611" s="18"/>
      <c r="Q611" s="17"/>
      <c r="R611" s="18"/>
      <c r="S611" s="18"/>
      <c r="T611" s="18"/>
      <c r="U611" s="18"/>
      <c r="V611" s="18"/>
      <c r="W611" s="18"/>
      <c r="X611" s="18"/>
      <c r="Y611" s="18"/>
      <c r="Z611" s="18"/>
      <c r="AA611" s="18"/>
      <c r="AB611" s="17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  <c r="AS611" s="18"/>
      <c r="AT611" s="18"/>
      <c r="AU611" s="18"/>
      <c r="AV611" s="18"/>
      <c r="AW611" s="18"/>
      <c r="AX611" s="18"/>
    </row>
    <row r="612" spans="1:50" ht="15">
      <c r="A612" s="18"/>
      <c r="B612" s="18"/>
      <c r="C612" s="18"/>
      <c r="D612" s="18"/>
      <c r="E612" s="18"/>
      <c r="F612" s="18"/>
      <c r="G612" s="18"/>
      <c r="H612" s="18"/>
      <c r="I612" s="17"/>
      <c r="J612" s="18"/>
      <c r="K612" s="17"/>
      <c r="L612" s="18"/>
      <c r="M612" s="20"/>
      <c r="N612" s="18"/>
      <c r="O612" s="18"/>
      <c r="P612" s="18"/>
      <c r="Q612" s="17"/>
      <c r="R612" s="18"/>
      <c r="S612" s="18"/>
      <c r="T612" s="18"/>
      <c r="U612" s="18"/>
      <c r="V612" s="18"/>
      <c r="W612" s="18"/>
      <c r="X612" s="18"/>
      <c r="Y612" s="18"/>
      <c r="Z612" s="18"/>
      <c r="AA612" s="18"/>
      <c r="AB612" s="17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  <c r="AS612" s="18"/>
      <c r="AT612" s="18"/>
      <c r="AU612" s="18"/>
      <c r="AV612" s="18"/>
      <c r="AW612" s="18"/>
      <c r="AX612" s="18"/>
    </row>
    <row r="613" spans="1:50" ht="15">
      <c r="A613" s="18"/>
      <c r="B613" s="18"/>
      <c r="C613" s="18"/>
      <c r="D613" s="18"/>
      <c r="E613" s="18"/>
      <c r="F613" s="18"/>
      <c r="G613" s="18"/>
      <c r="H613" s="18"/>
      <c r="I613" s="17"/>
      <c r="J613" s="18"/>
      <c r="K613" s="17"/>
      <c r="L613" s="18"/>
      <c r="M613" s="20"/>
      <c r="N613" s="18"/>
      <c r="O613" s="18"/>
      <c r="P613" s="18"/>
      <c r="Q613" s="17"/>
      <c r="R613" s="18"/>
      <c r="S613" s="18"/>
      <c r="T613" s="18"/>
      <c r="U613" s="18"/>
      <c r="V613" s="18"/>
      <c r="W613" s="18"/>
      <c r="X613" s="18"/>
      <c r="Y613" s="18"/>
      <c r="Z613" s="18"/>
      <c r="AA613" s="18"/>
      <c r="AB613" s="17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  <c r="AS613" s="18"/>
      <c r="AT613" s="18"/>
      <c r="AU613" s="18"/>
      <c r="AV613" s="18"/>
      <c r="AW613" s="18"/>
      <c r="AX613" s="18"/>
    </row>
    <row r="614" spans="1:50" ht="15">
      <c r="A614" s="18"/>
      <c r="B614" s="18"/>
      <c r="C614" s="18"/>
      <c r="D614" s="18"/>
      <c r="E614" s="18"/>
      <c r="F614" s="18"/>
      <c r="G614" s="18"/>
      <c r="H614" s="18"/>
      <c r="I614" s="17"/>
      <c r="J614" s="18"/>
      <c r="K614" s="17"/>
      <c r="L614" s="18"/>
      <c r="M614" s="20"/>
      <c r="N614" s="18"/>
      <c r="O614" s="18"/>
      <c r="P614" s="18"/>
      <c r="Q614" s="17"/>
      <c r="R614" s="18"/>
      <c r="S614" s="18"/>
      <c r="T614" s="18"/>
      <c r="U614" s="18"/>
      <c r="V614" s="18"/>
      <c r="W614" s="18"/>
      <c r="X614" s="18"/>
      <c r="Y614" s="18"/>
      <c r="Z614" s="18"/>
      <c r="AA614" s="18"/>
      <c r="AB614" s="17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  <c r="AS614" s="18"/>
      <c r="AT614" s="18"/>
      <c r="AU614" s="18"/>
      <c r="AV614" s="18"/>
      <c r="AW614" s="18"/>
      <c r="AX614" s="18"/>
    </row>
    <row r="615" spans="1:50" ht="15">
      <c r="A615" s="18"/>
      <c r="B615" s="18"/>
      <c r="C615" s="18"/>
      <c r="D615" s="18"/>
      <c r="E615" s="18"/>
      <c r="F615" s="18"/>
      <c r="G615" s="18"/>
      <c r="H615" s="18"/>
      <c r="I615" s="17"/>
      <c r="J615" s="18"/>
      <c r="K615" s="17"/>
      <c r="L615" s="18"/>
      <c r="M615" s="20"/>
      <c r="N615" s="18"/>
      <c r="O615" s="18"/>
      <c r="P615" s="18"/>
      <c r="Q615" s="17"/>
      <c r="R615" s="18"/>
      <c r="S615" s="18"/>
      <c r="T615" s="18"/>
      <c r="U615" s="18"/>
      <c r="V615" s="18"/>
      <c r="W615" s="18"/>
      <c r="X615" s="18"/>
      <c r="Y615" s="18"/>
      <c r="Z615" s="18"/>
      <c r="AA615" s="18"/>
      <c r="AB615" s="17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  <c r="AS615" s="18"/>
      <c r="AT615" s="18"/>
      <c r="AU615" s="18"/>
      <c r="AV615" s="18"/>
      <c r="AW615" s="18"/>
      <c r="AX615" s="18"/>
    </row>
    <row r="616" spans="1:50" ht="15">
      <c r="A616" s="18"/>
      <c r="B616" s="18"/>
      <c r="C616" s="18"/>
      <c r="D616" s="18"/>
      <c r="E616" s="18"/>
      <c r="F616" s="18"/>
      <c r="G616" s="18"/>
      <c r="H616" s="18"/>
      <c r="I616" s="17"/>
      <c r="J616" s="18"/>
      <c r="K616" s="17"/>
      <c r="L616" s="18"/>
      <c r="M616" s="20"/>
      <c r="N616" s="18"/>
      <c r="O616" s="18"/>
      <c r="P616" s="18"/>
      <c r="Q616" s="17"/>
      <c r="R616" s="18"/>
      <c r="S616" s="18"/>
      <c r="T616" s="18"/>
      <c r="U616" s="18"/>
      <c r="V616" s="18"/>
      <c r="W616" s="18"/>
      <c r="X616" s="18"/>
      <c r="Y616" s="18"/>
      <c r="Z616" s="18"/>
      <c r="AA616" s="18"/>
      <c r="AB616" s="17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  <c r="AS616" s="18"/>
      <c r="AT616" s="18"/>
      <c r="AU616" s="18"/>
      <c r="AV616" s="18"/>
      <c r="AW616" s="18"/>
      <c r="AX616" s="18"/>
    </row>
    <row r="617" spans="1:50" ht="15">
      <c r="A617" s="18"/>
      <c r="B617" s="18"/>
      <c r="C617" s="18"/>
      <c r="D617" s="18"/>
      <c r="E617" s="18"/>
      <c r="F617" s="18"/>
      <c r="G617" s="18"/>
      <c r="H617" s="18"/>
      <c r="I617" s="17"/>
      <c r="J617" s="18"/>
      <c r="K617" s="17"/>
      <c r="L617" s="18"/>
      <c r="M617" s="20"/>
      <c r="N617" s="18"/>
      <c r="O617" s="18"/>
      <c r="P617" s="18"/>
      <c r="Q617" s="17"/>
      <c r="R617" s="18"/>
      <c r="S617" s="18"/>
      <c r="T617" s="18"/>
      <c r="U617" s="18"/>
      <c r="V617" s="18"/>
      <c r="W617" s="18"/>
      <c r="X617" s="18"/>
      <c r="Y617" s="18"/>
      <c r="Z617" s="18"/>
      <c r="AA617" s="18"/>
      <c r="AB617" s="17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  <c r="AS617" s="18"/>
      <c r="AT617" s="18"/>
      <c r="AU617" s="18"/>
      <c r="AV617" s="18"/>
      <c r="AW617" s="18"/>
      <c r="AX617" s="18"/>
    </row>
    <row r="618" spans="1:50" ht="15">
      <c r="A618" s="18"/>
      <c r="B618" s="18"/>
      <c r="C618" s="18"/>
      <c r="D618" s="18"/>
      <c r="E618" s="18"/>
      <c r="F618" s="18"/>
      <c r="G618" s="18"/>
      <c r="H618" s="18"/>
      <c r="I618" s="17"/>
      <c r="J618" s="18"/>
      <c r="K618" s="17"/>
      <c r="L618" s="18"/>
      <c r="M618" s="20"/>
      <c r="N618" s="18"/>
      <c r="O618" s="18"/>
      <c r="P618" s="18"/>
      <c r="Q618" s="17"/>
      <c r="R618" s="18"/>
      <c r="S618" s="18"/>
      <c r="T618" s="18"/>
      <c r="U618" s="18"/>
      <c r="V618" s="18"/>
      <c r="W618" s="18"/>
      <c r="X618" s="18"/>
      <c r="Y618" s="18"/>
      <c r="Z618" s="18"/>
      <c r="AA618" s="18"/>
      <c r="AB618" s="17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  <c r="AS618" s="18"/>
      <c r="AT618" s="18"/>
      <c r="AU618" s="18"/>
      <c r="AV618" s="18"/>
      <c r="AW618" s="18"/>
      <c r="AX618" s="18"/>
    </row>
    <row r="619" spans="1:50" ht="15">
      <c r="A619" s="18"/>
      <c r="B619" s="18"/>
      <c r="C619" s="18"/>
      <c r="D619" s="18"/>
      <c r="E619" s="18"/>
      <c r="F619" s="18"/>
      <c r="G619" s="18"/>
      <c r="H619" s="18"/>
      <c r="I619" s="17"/>
      <c r="J619" s="18"/>
      <c r="K619" s="17"/>
      <c r="L619" s="18"/>
      <c r="M619" s="20"/>
      <c r="N619" s="18"/>
      <c r="O619" s="18"/>
      <c r="P619" s="18"/>
      <c r="Q619" s="17"/>
      <c r="R619" s="18"/>
      <c r="S619" s="18"/>
      <c r="T619" s="18"/>
      <c r="U619" s="18"/>
      <c r="V619" s="18"/>
      <c r="W619" s="18"/>
      <c r="X619" s="18"/>
      <c r="Y619" s="18"/>
      <c r="Z619" s="18"/>
      <c r="AA619" s="18"/>
      <c r="AB619" s="17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  <c r="AS619" s="18"/>
      <c r="AT619" s="18"/>
      <c r="AU619" s="18"/>
      <c r="AV619" s="18"/>
      <c r="AW619" s="18"/>
      <c r="AX619" s="18"/>
    </row>
    <row r="620" spans="1:50" ht="15">
      <c r="A620" s="18"/>
      <c r="B620" s="18"/>
      <c r="C620" s="18"/>
      <c r="D620" s="18"/>
      <c r="E620" s="18"/>
      <c r="F620" s="18"/>
      <c r="G620" s="18"/>
      <c r="H620" s="18"/>
      <c r="I620" s="17"/>
      <c r="J620" s="18"/>
      <c r="K620" s="17"/>
      <c r="L620" s="18"/>
      <c r="M620" s="20"/>
      <c r="N620" s="18"/>
      <c r="O620" s="18"/>
      <c r="P620" s="18"/>
      <c r="Q620" s="17"/>
      <c r="R620" s="18"/>
      <c r="S620" s="18"/>
      <c r="T620" s="18"/>
      <c r="U620" s="18"/>
      <c r="V620" s="18"/>
      <c r="W620" s="18"/>
      <c r="X620" s="18"/>
      <c r="Y620" s="18"/>
      <c r="Z620" s="18"/>
      <c r="AA620" s="18"/>
      <c r="AB620" s="17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  <c r="AS620" s="18"/>
      <c r="AT620" s="18"/>
      <c r="AU620" s="18"/>
      <c r="AV620" s="18"/>
      <c r="AW620" s="18"/>
      <c r="AX620" s="18"/>
    </row>
    <row r="621" spans="1:50" ht="15">
      <c r="A621" s="18"/>
      <c r="B621" s="18"/>
      <c r="C621" s="18"/>
      <c r="D621" s="18"/>
      <c r="E621" s="18"/>
      <c r="F621" s="18"/>
      <c r="G621" s="18"/>
      <c r="H621" s="18"/>
      <c r="I621" s="17"/>
      <c r="J621" s="18"/>
      <c r="K621" s="17"/>
      <c r="L621" s="18"/>
      <c r="M621" s="20"/>
      <c r="N621" s="18"/>
      <c r="O621" s="18"/>
      <c r="P621" s="18"/>
      <c r="Q621" s="17"/>
      <c r="R621" s="18"/>
      <c r="S621" s="18"/>
      <c r="T621" s="18"/>
      <c r="U621" s="18"/>
      <c r="V621" s="18"/>
      <c r="W621" s="18"/>
      <c r="X621" s="18"/>
      <c r="Y621" s="18"/>
      <c r="Z621" s="18"/>
      <c r="AA621" s="18"/>
      <c r="AB621" s="17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  <c r="AS621" s="18"/>
      <c r="AT621" s="18"/>
      <c r="AU621" s="18"/>
      <c r="AV621" s="18"/>
      <c r="AW621" s="18"/>
      <c r="AX621" s="18"/>
    </row>
    <row r="622" spans="1:50" ht="15">
      <c r="A622" s="18"/>
      <c r="B622" s="18"/>
      <c r="C622" s="18"/>
      <c r="D622" s="18"/>
      <c r="E622" s="18"/>
      <c r="F622" s="18"/>
      <c r="G622" s="18"/>
      <c r="H622" s="18"/>
      <c r="I622" s="17"/>
      <c r="J622" s="18"/>
      <c r="K622" s="17"/>
      <c r="L622" s="18"/>
      <c r="M622" s="20"/>
      <c r="N622" s="18"/>
      <c r="O622" s="18"/>
      <c r="P622" s="18"/>
      <c r="Q622" s="17"/>
      <c r="R622" s="18"/>
      <c r="S622" s="18"/>
      <c r="T622" s="18"/>
      <c r="U622" s="18"/>
      <c r="V622" s="18"/>
      <c r="W622" s="18"/>
      <c r="X622" s="18"/>
      <c r="Y622" s="18"/>
      <c r="Z622" s="18"/>
      <c r="AA622" s="18"/>
      <c r="AB622" s="17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  <c r="AS622" s="18"/>
      <c r="AT622" s="18"/>
      <c r="AU622" s="18"/>
      <c r="AV622" s="18"/>
      <c r="AW622" s="18"/>
      <c r="AX622" s="18"/>
    </row>
    <row r="623" spans="1:50" ht="15">
      <c r="A623" s="18"/>
      <c r="B623" s="18"/>
      <c r="C623" s="18"/>
      <c r="D623" s="18"/>
      <c r="E623" s="18"/>
      <c r="F623" s="18"/>
      <c r="G623" s="18"/>
      <c r="H623" s="18"/>
      <c r="I623" s="17"/>
      <c r="J623" s="18"/>
      <c r="K623" s="17"/>
      <c r="L623" s="18"/>
      <c r="M623" s="20"/>
      <c r="N623" s="18"/>
      <c r="O623" s="18"/>
      <c r="P623" s="18"/>
      <c r="Q623" s="17"/>
      <c r="R623" s="18"/>
      <c r="S623" s="18"/>
      <c r="T623" s="18"/>
      <c r="U623" s="18"/>
      <c r="V623" s="18"/>
      <c r="W623" s="18"/>
      <c r="X623" s="18"/>
      <c r="Y623" s="18"/>
      <c r="Z623" s="18"/>
      <c r="AA623" s="18"/>
      <c r="AB623" s="17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</row>
    <row r="624" spans="1:50" ht="15">
      <c r="A624" s="18"/>
      <c r="B624" s="18"/>
      <c r="C624" s="18"/>
      <c r="D624" s="18"/>
      <c r="E624" s="18"/>
      <c r="F624" s="18"/>
      <c r="G624" s="18"/>
      <c r="H624" s="18"/>
      <c r="I624" s="17"/>
      <c r="J624" s="18"/>
      <c r="K624" s="17"/>
      <c r="L624" s="18"/>
      <c r="M624" s="20"/>
      <c r="N624" s="18"/>
      <c r="O624" s="18"/>
      <c r="P624" s="18"/>
      <c r="Q624" s="17"/>
      <c r="R624" s="18"/>
      <c r="S624" s="18"/>
      <c r="T624" s="18"/>
      <c r="U624" s="18"/>
      <c r="V624" s="18"/>
      <c r="W624" s="18"/>
      <c r="X624" s="18"/>
      <c r="Y624" s="18"/>
      <c r="Z624" s="18"/>
      <c r="AA624" s="18"/>
      <c r="AB624" s="17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  <c r="AS624" s="18"/>
      <c r="AT624" s="18"/>
      <c r="AU624" s="18"/>
      <c r="AV624" s="18"/>
      <c r="AW624" s="18"/>
      <c r="AX624" s="18"/>
    </row>
    <row r="625" spans="1:50" ht="15">
      <c r="A625" s="18"/>
      <c r="B625" s="18"/>
      <c r="C625" s="18"/>
      <c r="D625" s="18"/>
      <c r="E625" s="18"/>
      <c r="F625" s="18"/>
      <c r="G625" s="18"/>
      <c r="H625" s="18"/>
      <c r="I625" s="17"/>
      <c r="J625" s="18"/>
      <c r="K625" s="17"/>
      <c r="L625" s="18"/>
      <c r="M625" s="20"/>
      <c r="N625" s="18"/>
      <c r="O625" s="18"/>
      <c r="P625" s="18"/>
      <c r="Q625" s="17"/>
      <c r="R625" s="18"/>
      <c r="S625" s="18"/>
      <c r="T625" s="18"/>
      <c r="U625" s="18"/>
      <c r="V625" s="18"/>
      <c r="W625" s="18"/>
      <c r="X625" s="18"/>
      <c r="Y625" s="18"/>
      <c r="Z625" s="18"/>
      <c r="AA625" s="18"/>
      <c r="AB625" s="17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  <c r="AS625" s="18"/>
      <c r="AT625" s="18"/>
      <c r="AU625" s="18"/>
      <c r="AV625" s="18"/>
      <c r="AW625" s="18"/>
      <c r="AX625" s="18"/>
    </row>
    <row r="626" spans="1:50" ht="15">
      <c r="A626" s="18"/>
      <c r="B626" s="18"/>
      <c r="C626" s="18"/>
      <c r="D626" s="18"/>
      <c r="E626" s="18"/>
      <c r="F626" s="18"/>
      <c r="G626" s="18"/>
      <c r="H626" s="18"/>
      <c r="I626" s="17"/>
      <c r="J626" s="18"/>
      <c r="K626" s="17"/>
      <c r="L626" s="18"/>
      <c r="M626" s="20"/>
      <c r="N626" s="18"/>
      <c r="O626" s="18"/>
      <c r="P626" s="18"/>
      <c r="Q626" s="17"/>
      <c r="R626" s="18"/>
      <c r="S626" s="18"/>
      <c r="T626" s="18"/>
      <c r="U626" s="18"/>
      <c r="V626" s="18"/>
      <c r="W626" s="18"/>
      <c r="X626" s="18"/>
      <c r="Y626" s="18"/>
      <c r="Z626" s="18"/>
      <c r="AA626" s="18"/>
      <c r="AB626" s="17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  <c r="AS626" s="18"/>
      <c r="AT626" s="18"/>
      <c r="AU626" s="18"/>
      <c r="AV626" s="18"/>
      <c r="AW626" s="18"/>
      <c r="AX626" s="18"/>
    </row>
    <row r="627" spans="1:50" ht="15">
      <c r="A627" s="18"/>
      <c r="B627" s="18"/>
      <c r="C627" s="18"/>
      <c r="D627" s="18"/>
      <c r="E627" s="18"/>
      <c r="F627" s="18"/>
      <c r="G627" s="18"/>
      <c r="H627" s="18"/>
      <c r="I627" s="17"/>
      <c r="J627" s="18"/>
      <c r="K627" s="17"/>
      <c r="L627" s="18"/>
      <c r="M627" s="20"/>
      <c r="N627" s="18"/>
      <c r="O627" s="18"/>
      <c r="P627" s="18"/>
      <c r="Q627" s="17"/>
      <c r="R627" s="18"/>
      <c r="S627" s="18"/>
      <c r="T627" s="18"/>
      <c r="U627" s="18"/>
      <c r="V627" s="18"/>
      <c r="W627" s="18"/>
      <c r="X627" s="18"/>
      <c r="Y627" s="18"/>
      <c r="Z627" s="18"/>
      <c r="AA627" s="18"/>
      <c r="AB627" s="17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  <c r="AS627" s="18"/>
      <c r="AT627" s="18"/>
      <c r="AU627" s="18"/>
      <c r="AV627" s="18"/>
      <c r="AW627" s="18"/>
      <c r="AX627" s="18"/>
    </row>
    <row r="628" spans="1:50" ht="15">
      <c r="A628" s="18"/>
      <c r="B628" s="18"/>
      <c r="C628" s="18"/>
      <c r="D628" s="18"/>
      <c r="E628" s="18"/>
      <c r="F628" s="18"/>
      <c r="G628" s="18"/>
      <c r="H628" s="18"/>
      <c r="I628" s="17"/>
      <c r="J628" s="18"/>
      <c r="K628" s="17"/>
      <c r="L628" s="18"/>
      <c r="M628" s="20"/>
      <c r="N628" s="18"/>
      <c r="O628" s="18"/>
      <c r="P628" s="18"/>
      <c r="Q628" s="17"/>
      <c r="R628" s="18"/>
      <c r="S628" s="18"/>
      <c r="T628" s="18"/>
      <c r="U628" s="18"/>
      <c r="V628" s="18"/>
      <c r="W628" s="18"/>
      <c r="X628" s="18"/>
      <c r="Y628" s="18"/>
      <c r="Z628" s="18"/>
      <c r="AA628" s="18"/>
      <c r="AB628" s="17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  <c r="AS628" s="18"/>
      <c r="AT628" s="18"/>
      <c r="AU628" s="18"/>
      <c r="AV628" s="18"/>
      <c r="AW628" s="18"/>
      <c r="AX628" s="18"/>
    </row>
    <row r="629" spans="1:50" ht="15">
      <c r="A629" s="18"/>
      <c r="B629" s="18"/>
      <c r="C629" s="18"/>
      <c r="D629" s="18"/>
      <c r="E629" s="18"/>
      <c r="F629" s="18"/>
      <c r="G629" s="18"/>
      <c r="H629" s="18"/>
      <c r="I629" s="17"/>
      <c r="J629" s="18"/>
      <c r="K629" s="17"/>
      <c r="L629" s="18"/>
      <c r="M629" s="20"/>
      <c r="N629" s="18"/>
      <c r="O629" s="18"/>
      <c r="P629" s="18"/>
      <c r="Q629" s="17"/>
      <c r="R629" s="18"/>
      <c r="S629" s="18"/>
      <c r="T629" s="18"/>
      <c r="U629" s="18"/>
      <c r="V629" s="18"/>
      <c r="W629" s="18"/>
      <c r="X629" s="18"/>
      <c r="Y629" s="18"/>
      <c r="Z629" s="18"/>
      <c r="AA629" s="18"/>
      <c r="AB629" s="17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  <c r="AS629" s="18"/>
      <c r="AT629" s="18"/>
      <c r="AU629" s="18"/>
      <c r="AV629" s="18"/>
      <c r="AW629" s="18"/>
      <c r="AX629" s="18"/>
    </row>
    <row r="630" spans="1:50" ht="15">
      <c r="A630" s="18"/>
      <c r="B630" s="18"/>
      <c r="C630" s="18"/>
      <c r="D630" s="18"/>
      <c r="E630" s="18"/>
      <c r="F630" s="18"/>
      <c r="G630" s="18"/>
      <c r="H630" s="18"/>
      <c r="I630" s="17"/>
      <c r="J630" s="18"/>
      <c r="K630" s="17"/>
      <c r="L630" s="18"/>
      <c r="M630" s="20"/>
      <c r="N630" s="18"/>
      <c r="O630" s="18"/>
      <c r="P630" s="18"/>
      <c r="Q630" s="17"/>
      <c r="R630" s="18"/>
      <c r="S630" s="18"/>
      <c r="T630" s="18"/>
      <c r="U630" s="18"/>
      <c r="V630" s="18"/>
      <c r="W630" s="18"/>
      <c r="X630" s="18"/>
      <c r="Y630" s="18"/>
      <c r="Z630" s="18"/>
      <c r="AA630" s="18"/>
      <c r="AB630" s="17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  <c r="AS630" s="18"/>
      <c r="AT630" s="18"/>
      <c r="AU630" s="18"/>
      <c r="AV630" s="18"/>
      <c r="AW630" s="18"/>
      <c r="AX630" s="18"/>
    </row>
    <row r="631" spans="1:50" ht="15">
      <c r="A631" s="18"/>
      <c r="B631" s="18"/>
      <c r="C631" s="18"/>
      <c r="D631" s="18"/>
      <c r="E631" s="18"/>
      <c r="F631" s="18"/>
      <c r="G631" s="18"/>
      <c r="H631" s="18"/>
      <c r="I631" s="17"/>
      <c r="J631" s="18"/>
      <c r="K631" s="17"/>
      <c r="L631" s="18"/>
      <c r="M631" s="20"/>
      <c r="N631" s="18"/>
      <c r="O631" s="18"/>
      <c r="P631" s="18"/>
      <c r="Q631" s="17"/>
      <c r="R631" s="18"/>
      <c r="S631" s="18"/>
      <c r="T631" s="18"/>
      <c r="U631" s="18"/>
      <c r="V631" s="18"/>
      <c r="W631" s="18"/>
      <c r="X631" s="18"/>
      <c r="Y631" s="18"/>
      <c r="Z631" s="18"/>
      <c r="AA631" s="18"/>
      <c r="AB631" s="17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  <c r="AS631" s="18"/>
      <c r="AT631" s="18"/>
      <c r="AU631" s="18"/>
      <c r="AV631" s="18"/>
      <c r="AW631" s="18"/>
      <c r="AX631" s="18"/>
    </row>
    <row r="632" spans="1:50" ht="15">
      <c r="A632" s="18"/>
      <c r="B632" s="18"/>
      <c r="C632" s="18"/>
      <c r="D632" s="18"/>
      <c r="E632" s="18"/>
      <c r="F632" s="18"/>
      <c r="G632" s="18"/>
      <c r="H632" s="18"/>
      <c r="I632" s="17"/>
      <c r="J632" s="18"/>
      <c r="K632" s="17"/>
      <c r="L632" s="18"/>
      <c r="M632" s="20"/>
      <c r="N632" s="18"/>
      <c r="O632" s="18"/>
      <c r="P632" s="18"/>
      <c r="Q632" s="17"/>
      <c r="R632" s="18"/>
      <c r="S632" s="18"/>
      <c r="T632" s="18"/>
      <c r="U632" s="18"/>
      <c r="V632" s="18"/>
      <c r="W632" s="18"/>
      <c r="X632" s="18"/>
      <c r="Y632" s="18"/>
      <c r="Z632" s="18"/>
      <c r="AA632" s="18"/>
      <c r="AB632" s="17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</row>
    <row r="633" spans="1:50" ht="15">
      <c r="A633" s="18"/>
      <c r="B633" s="18"/>
      <c r="C633" s="18"/>
      <c r="D633" s="18"/>
      <c r="E633" s="18"/>
      <c r="F633" s="18"/>
      <c r="G633" s="18"/>
      <c r="H633" s="18"/>
      <c r="I633" s="17"/>
      <c r="J633" s="18"/>
      <c r="K633" s="17"/>
      <c r="L633" s="18"/>
      <c r="M633" s="20"/>
      <c r="N633" s="18"/>
      <c r="O633" s="18"/>
      <c r="P633" s="18"/>
      <c r="Q633" s="17"/>
      <c r="R633" s="18"/>
      <c r="S633" s="18"/>
      <c r="T633" s="18"/>
      <c r="U633" s="18"/>
      <c r="V633" s="18"/>
      <c r="W633" s="18"/>
      <c r="X633" s="18"/>
      <c r="Y633" s="18"/>
      <c r="Z633" s="18"/>
      <c r="AA633" s="18"/>
      <c r="AB633" s="17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  <c r="AS633" s="18"/>
      <c r="AT633" s="18"/>
      <c r="AU633" s="18"/>
      <c r="AV633" s="18"/>
      <c r="AW633" s="18"/>
      <c r="AX633" s="18"/>
    </row>
    <row r="634" spans="1:50" ht="15">
      <c r="A634" s="18"/>
      <c r="B634" s="18"/>
      <c r="C634" s="18"/>
      <c r="D634" s="18"/>
      <c r="E634" s="18"/>
      <c r="F634" s="18"/>
      <c r="G634" s="18"/>
      <c r="H634" s="18"/>
      <c r="I634" s="17"/>
      <c r="J634" s="18"/>
      <c r="K634" s="17"/>
      <c r="L634" s="18"/>
      <c r="M634" s="20"/>
      <c r="N634" s="18"/>
      <c r="O634" s="18"/>
      <c r="P634" s="18"/>
      <c r="Q634" s="17"/>
      <c r="R634" s="18"/>
      <c r="S634" s="18"/>
      <c r="T634" s="18"/>
      <c r="U634" s="18"/>
      <c r="V634" s="18"/>
      <c r="W634" s="18"/>
      <c r="X634" s="18"/>
      <c r="Y634" s="18"/>
      <c r="Z634" s="18"/>
      <c r="AA634" s="18"/>
      <c r="AB634" s="17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  <c r="AS634" s="18"/>
      <c r="AT634" s="18"/>
      <c r="AU634" s="18"/>
      <c r="AV634" s="18"/>
      <c r="AW634" s="18"/>
      <c r="AX634" s="18"/>
    </row>
    <row r="635" spans="1:50" ht="15">
      <c r="A635" s="18"/>
      <c r="B635" s="18"/>
      <c r="C635" s="18"/>
      <c r="D635" s="18"/>
      <c r="E635" s="18"/>
      <c r="F635" s="18"/>
      <c r="G635" s="18"/>
      <c r="H635" s="18"/>
      <c r="I635" s="17"/>
      <c r="J635" s="18"/>
      <c r="K635" s="17"/>
      <c r="L635" s="18"/>
      <c r="M635" s="20"/>
      <c r="N635" s="18"/>
      <c r="O635" s="18"/>
      <c r="P635" s="18"/>
      <c r="Q635" s="17"/>
      <c r="R635" s="18"/>
      <c r="S635" s="18"/>
      <c r="T635" s="18"/>
      <c r="U635" s="18"/>
      <c r="V635" s="18"/>
      <c r="W635" s="18"/>
      <c r="X635" s="18"/>
      <c r="Y635" s="18"/>
      <c r="Z635" s="18"/>
      <c r="AA635" s="18"/>
      <c r="AB635" s="17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  <c r="AS635" s="18"/>
      <c r="AT635" s="18"/>
      <c r="AU635" s="18"/>
      <c r="AV635" s="18"/>
      <c r="AW635" s="18"/>
      <c r="AX635" s="18"/>
    </row>
    <row r="636" spans="1:50" ht="15">
      <c r="A636" s="18"/>
      <c r="B636" s="18"/>
      <c r="C636" s="18"/>
      <c r="D636" s="18"/>
      <c r="E636" s="18"/>
      <c r="F636" s="18"/>
      <c r="G636" s="18"/>
      <c r="H636" s="18"/>
      <c r="I636" s="17"/>
      <c r="J636" s="18"/>
      <c r="K636" s="17"/>
      <c r="L636" s="18"/>
      <c r="M636" s="20"/>
      <c r="N636" s="18"/>
      <c r="O636" s="18"/>
      <c r="P636" s="18"/>
      <c r="Q636" s="17"/>
      <c r="R636" s="18"/>
      <c r="S636" s="18"/>
      <c r="T636" s="18"/>
      <c r="U636" s="18"/>
      <c r="V636" s="18"/>
      <c r="W636" s="18"/>
      <c r="X636" s="18"/>
      <c r="Y636" s="18"/>
      <c r="Z636" s="18"/>
      <c r="AA636" s="18"/>
      <c r="AB636" s="17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  <c r="AS636" s="18"/>
      <c r="AT636" s="18"/>
      <c r="AU636" s="18"/>
      <c r="AV636" s="18"/>
      <c r="AW636" s="18"/>
      <c r="AX636" s="18"/>
    </row>
    <row r="637" spans="1:50" ht="15">
      <c r="A637" s="18"/>
      <c r="B637" s="18"/>
      <c r="C637" s="18"/>
      <c r="D637" s="18"/>
      <c r="E637" s="18"/>
      <c r="F637" s="18"/>
      <c r="G637" s="18"/>
      <c r="H637" s="18"/>
      <c r="I637" s="17"/>
      <c r="J637" s="18"/>
      <c r="K637" s="17"/>
      <c r="L637" s="18"/>
      <c r="M637" s="20"/>
      <c r="N637" s="18"/>
      <c r="O637" s="18"/>
      <c r="P637" s="18"/>
      <c r="Q637" s="17"/>
      <c r="R637" s="18"/>
      <c r="S637" s="18"/>
      <c r="T637" s="18"/>
      <c r="U637" s="18"/>
      <c r="V637" s="18"/>
      <c r="W637" s="18"/>
      <c r="X637" s="18"/>
      <c r="Y637" s="18"/>
      <c r="Z637" s="18"/>
      <c r="AA637" s="18"/>
      <c r="AB637" s="17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  <c r="AS637" s="18"/>
      <c r="AT637" s="18"/>
      <c r="AU637" s="18"/>
      <c r="AV637" s="18"/>
      <c r="AW637" s="18"/>
      <c r="AX637" s="18"/>
    </row>
    <row r="638" spans="1:50" ht="15">
      <c r="A638" s="18"/>
      <c r="B638" s="18"/>
      <c r="C638" s="18"/>
      <c r="D638" s="18"/>
      <c r="E638" s="18"/>
      <c r="F638" s="18"/>
      <c r="G638" s="18"/>
      <c r="H638" s="18"/>
      <c r="I638" s="17"/>
      <c r="J638" s="18"/>
      <c r="K638" s="17"/>
      <c r="L638" s="18"/>
      <c r="M638" s="20"/>
      <c r="N638" s="18"/>
      <c r="O638" s="18"/>
      <c r="P638" s="18"/>
      <c r="Q638" s="17"/>
      <c r="R638" s="18"/>
      <c r="S638" s="18"/>
      <c r="T638" s="18"/>
      <c r="U638" s="18"/>
      <c r="V638" s="18"/>
      <c r="W638" s="18"/>
      <c r="X638" s="18"/>
      <c r="Y638" s="18"/>
      <c r="Z638" s="18"/>
      <c r="AA638" s="18"/>
      <c r="AB638" s="17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  <c r="AS638" s="18"/>
      <c r="AT638" s="18"/>
      <c r="AU638" s="18"/>
      <c r="AV638" s="18"/>
      <c r="AW638" s="18"/>
      <c r="AX638" s="18"/>
    </row>
    <row r="639" spans="1:50" ht="15">
      <c r="A639" s="18"/>
      <c r="B639" s="18"/>
      <c r="C639" s="18"/>
      <c r="D639" s="18"/>
      <c r="E639" s="18"/>
      <c r="F639" s="18"/>
      <c r="G639" s="18"/>
      <c r="H639" s="18"/>
      <c r="I639" s="17"/>
      <c r="J639" s="18"/>
      <c r="K639" s="17"/>
      <c r="L639" s="18"/>
      <c r="M639" s="20"/>
      <c r="N639" s="18"/>
      <c r="O639" s="18"/>
      <c r="P639" s="18"/>
      <c r="Q639" s="17"/>
      <c r="R639" s="18"/>
      <c r="S639" s="18"/>
      <c r="T639" s="18"/>
      <c r="U639" s="18"/>
      <c r="V639" s="18"/>
      <c r="W639" s="18"/>
      <c r="X639" s="18"/>
      <c r="Y639" s="18"/>
      <c r="Z639" s="18"/>
      <c r="AA639" s="18"/>
      <c r="AB639" s="17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  <c r="AS639" s="18"/>
      <c r="AT639" s="18"/>
      <c r="AU639" s="18"/>
      <c r="AV639" s="18"/>
      <c r="AW639" s="18"/>
      <c r="AX639" s="18"/>
    </row>
    <row r="640" spans="1:50" ht="15">
      <c r="A640" s="18"/>
      <c r="B640" s="18"/>
      <c r="C640" s="18"/>
      <c r="D640" s="18"/>
      <c r="E640" s="18"/>
      <c r="F640" s="18"/>
      <c r="G640" s="18"/>
      <c r="H640" s="18"/>
      <c r="I640" s="17"/>
      <c r="J640" s="18"/>
      <c r="K640" s="17"/>
      <c r="L640" s="18"/>
      <c r="M640" s="20"/>
      <c r="N640" s="18"/>
      <c r="O640" s="18"/>
      <c r="P640" s="18"/>
      <c r="Q640" s="17"/>
      <c r="R640" s="18"/>
      <c r="S640" s="18"/>
      <c r="T640" s="18"/>
      <c r="U640" s="18"/>
      <c r="V640" s="18"/>
      <c r="W640" s="18"/>
      <c r="X640" s="18"/>
      <c r="Y640" s="18"/>
      <c r="Z640" s="18"/>
      <c r="AA640" s="18"/>
      <c r="AB640" s="17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  <c r="AS640" s="18"/>
      <c r="AT640" s="18"/>
      <c r="AU640" s="18"/>
      <c r="AV640" s="18"/>
      <c r="AW640" s="18"/>
      <c r="AX640" s="18"/>
    </row>
    <row r="641" spans="1:50" ht="15">
      <c r="A641" s="18"/>
      <c r="B641" s="18"/>
      <c r="C641" s="18"/>
      <c r="D641" s="18"/>
      <c r="E641" s="18"/>
      <c r="F641" s="18"/>
      <c r="G641" s="18"/>
      <c r="H641" s="18"/>
      <c r="I641" s="17"/>
      <c r="J641" s="18"/>
      <c r="K641" s="17"/>
      <c r="L641" s="18"/>
      <c r="M641" s="20"/>
      <c r="N641" s="18"/>
      <c r="O641" s="18"/>
      <c r="P641" s="18"/>
      <c r="Q641" s="17"/>
      <c r="R641" s="18"/>
      <c r="S641" s="18"/>
      <c r="T641" s="18"/>
      <c r="U641" s="18"/>
      <c r="V641" s="18"/>
      <c r="W641" s="18"/>
      <c r="X641" s="18"/>
      <c r="Y641" s="18"/>
      <c r="Z641" s="18"/>
      <c r="AA641" s="18"/>
      <c r="AB641" s="17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  <c r="AS641" s="18"/>
      <c r="AT641" s="18"/>
      <c r="AU641" s="18"/>
      <c r="AV641" s="18"/>
      <c r="AW641" s="18"/>
      <c r="AX641" s="18"/>
    </row>
    <row r="642" spans="1:50" ht="15">
      <c r="A642" s="18"/>
      <c r="B642" s="18"/>
      <c r="C642" s="18"/>
      <c r="D642" s="18"/>
      <c r="E642" s="18"/>
      <c r="F642" s="18"/>
      <c r="G642" s="18"/>
      <c r="H642" s="18"/>
      <c r="I642" s="17"/>
      <c r="J642" s="18"/>
      <c r="K642" s="17"/>
      <c r="L642" s="18"/>
      <c r="M642" s="20"/>
      <c r="N642" s="18"/>
      <c r="O642" s="18"/>
      <c r="P642" s="18"/>
      <c r="Q642" s="17"/>
      <c r="R642" s="18"/>
      <c r="S642" s="18"/>
      <c r="T642" s="18"/>
      <c r="U642" s="18"/>
      <c r="V642" s="18"/>
      <c r="W642" s="18"/>
      <c r="X642" s="18"/>
      <c r="Y642" s="18"/>
      <c r="Z642" s="18"/>
      <c r="AA642" s="18"/>
      <c r="AB642" s="17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  <c r="AS642" s="18"/>
      <c r="AT642" s="18"/>
      <c r="AU642" s="18"/>
      <c r="AV642" s="18"/>
      <c r="AW642" s="18"/>
      <c r="AX642" s="18"/>
    </row>
    <row r="643" spans="1:50" ht="15">
      <c r="A643" s="18"/>
      <c r="B643" s="18"/>
      <c r="C643" s="18"/>
      <c r="D643" s="18"/>
      <c r="E643" s="18"/>
      <c r="F643" s="18"/>
      <c r="G643" s="18"/>
      <c r="H643" s="18"/>
      <c r="I643" s="17"/>
      <c r="J643" s="18"/>
      <c r="K643" s="17"/>
      <c r="L643" s="18"/>
      <c r="M643" s="20"/>
      <c r="N643" s="18"/>
      <c r="O643" s="18"/>
      <c r="P643" s="18"/>
      <c r="Q643" s="17"/>
      <c r="R643" s="18"/>
      <c r="S643" s="18"/>
      <c r="T643" s="18"/>
      <c r="U643" s="18"/>
      <c r="V643" s="18"/>
      <c r="W643" s="18"/>
      <c r="X643" s="18"/>
      <c r="Y643" s="18"/>
      <c r="Z643" s="18"/>
      <c r="AA643" s="18"/>
      <c r="AB643" s="17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  <c r="AS643" s="18"/>
      <c r="AT643" s="18"/>
      <c r="AU643" s="18"/>
      <c r="AV643" s="18"/>
      <c r="AW643" s="18"/>
      <c r="AX643" s="18"/>
    </row>
    <row r="644" spans="1:50" ht="15">
      <c r="A644" s="18"/>
      <c r="B644" s="18"/>
      <c r="C644" s="18"/>
      <c r="D644" s="18"/>
      <c r="E644" s="18"/>
      <c r="F644" s="18"/>
      <c r="G644" s="18"/>
      <c r="H644" s="18"/>
      <c r="I644" s="17"/>
      <c r="J644" s="18"/>
      <c r="K644" s="17"/>
      <c r="L644" s="18"/>
      <c r="M644" s="20"/>
      <c r="N644" s="18"/>
      <c r="O644" s="18"/>
      <c r="P644" s="18"/>
      <c r="Q644" s="17"/>
      <c r="R644" s="18"/>
      <c r="S644" s="18"/>
      <c r="T644" s="18"/>
      <c r="U644" s="18"/>
      <c r="V644" s="18"/>
      <c r="W644" s="18"/>
      <c r="X644" s="18"/>
      <c r="Y644" s="18"/>
      <c r="Z644" s="18"/>
      <c r="AA644" s="18"/>
      <c r="AB644" s="17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  <c r="AS644" s="18"/>
      <c r="AT644" s="18"/>
      <c r="AU644" s="18"/>
      <c r="AV644" s="18"/>
      <c r="AW644" s="18"/>
      <c r="AX644" s="18"/>
    </row>
    <row r="645" spans="1:50" ht="15">
      <c r="A645" s="18"/>
      <c r="B645" s="18"/>
      <c r="C645" s="18"/>
      <c r="D645" s="18"/>
      <c r="E645" s="18"/>
      <c r="F645" s="18"/>
      <c r="G645" s="18"/>
      <c r="H645" s="18"/>
      <c r="I645" s="17"/>
      <c r="J645" s="18"/>
      <c r="K645" s="17"/>
      <c r="L645" s="18"/>
      <c r="M645" s="20"/>
      <c r="N645" s="18"/>
      <c r="O645" s="18"/>
      <c r="P645" s="18"/>
      <c r="Q645" s="17"/>
      <c r="R645" s="18"/>
      <c r="S645" s="18"/>
      <c r="T645" s="18"/>
      <c r="U645" s="18"/>
      <c r="V645" s="18"/>
      <c r="W645" s="18"/>
      <c r="X645" s="18"/>
      <c r="Y645" s="18"/>
      <c r="Z645" s="18"/>
      <c r="AA645" s="18"/>
      <c r="AB645" s="17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  <c r="AS645" s="18"/>
      <c r="AT645" s="18"/>
      <c r="AU645" s="18"/>
      <c r="AV645" s="18"/>
      <c r="AW645" s="18"/>
      <c r="AX645" s="18"/>
    </row>
    <row r="646" spans="1:50" ht="15">
      <c r="A646" s="18"/>
      <c r="B646" s="18"/>
      <c r="C646" s="18"/>
      <c r="D646" s="18"/>
      <c r="E646" s="18"/>
      <c r="F646" s="18"/>
      <c r="G646" s="18"/>
      <c r="H646" s="18"/>
      <c r="I646" s="17"/>
      <c r="J646" s="18"/>
      <c r="K646" s="17"/>
      <c r="L646" s="18"/>
      <c r="M646" s="20"/>
      <c r="N646" s="18"/>
      <c r="O646" s="18"/>
      <c r="P646" s="18"/>
      <c r="Q646" s="17"/>
      <c r="R646" s="18"/>
      <c r="S646" s="18"/>
      <c r="T646" s="18"/>
      <c r="U646" s="18"/>
      <c r="V646" s="18"/>
      <c r="W646" s="18"/>
      <c r="X646" s="18"/>
      <c r="Y646" s="18"/>
      <c r="Z646" s="18"/>
      <c r="AA646" s="18"/>
      <c r="AB646" s="17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  <c r="AS646" s="18"/>
      <c r="AT646" s="18"/>
      <c r="AU646" s="18"/>
      <c r="AV646" s="18"/>
      <c r="AW646" s="18"/>
      <c r="AX646" s="18"/>
    </row>
    <row r="647" spans="1:50" ht="15">
      <c r="A647" s="18"/>
      <c r="B647" s="18"/>
      <c r="C647" s="18"/>
      <c r="D647" s="18"/>
      <c r="E647" s="18"/>
      <c r="F647" s="18"/>
      <c r="G647" s="18"/>
      <c r="H647" s="18"/>
      <c r="I647" s="17"/>
      <c r="J647" s="18"/>
      <c r="K647" s="17"/>
      <c r="L647" s="18"/>
      <c r="M647" s="20"/>
      <c r="N647" s="18"/>
      <c r="O647" s="18"/>
      <c r="P647" s="18"/>
      <c r="Q647" s="17"/>
      <c r="R647" s="18"/>
      <c r="S647" s="18"/>
      <c r="T647" s="18"/>
      <c r="U647" s="18"/>
      <c r="V647" s="18"/>
      <c r="W647" s="18"/>
      <c r="X647" s="18"/>
      <c r="Y647" s="18"/>
      <c r="Z647" s="18"/>
      <c r="AA647" s="18"/>
      <c r="AB647" s="17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  <c r="AS647" s="18"/>
      <c r="AT647" s="18"/>
      <c r="AU647" s="18"/>
      <c r="AV647" s="18"/>
      <c r="AW647" s="18"/>
      <c r="AX647" s="18"/>
    </row>
    <row r="648" spans="1:50" ht="15">
      <c r="A648" s="18"/>
      <c r="B648" s="18"/>
      <c r="C648" s="18"/>
      <c r="D648" s="18"/>
      <c r="E648" s="18"/>
      <c r="F648" s="18"/>
      <c r="G648" s="18"/>
      <c r="H648" s="18"/>
      <c r="I648" s="17"/>
      <c r="J648" s="18"/>
      <c r="K648" s="17"/>
      <c r="L648" s="18"/>
      <c r="M648" s="20"/>
      <c r="N648" s="18"/>
      <c r="O648" s="18"/>
      <c r="P648" s="18"/>
      <c r="Q648" s="17"/>
      <c r="R648" s="18"/>
      <c r="S648" s="18"/>
      <c r="T648" s="18"/>
      <c r="U648" s="18"/>
      <c r="V648" s="18"/>
      <c r="W648" s="18"/>
      <c r="X648" s="18"/>
      <c r="Y648" s="18"/>
      <c r="Z648" s="18"/>
      <c r="AA648" s="18"/>
      <c r="AB648" s="17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  <c r="AS648" s="18"/>
      <c r="AT648" s="18"/>
      <c r="AU648" s="18"/>
      <c r="AV648" s="18"/>
      <c r="AW648" s="18"/>
      <c r="AX648" s="18"/>
    </row>
    <row r="649" spans="1:50" ht="15">
      <c r="A649" s="18"/>
      <c r="B649" s="18"/>
      <c r="C649" s="18"/>
      <c r="D649" s="18"/>
      <c r="E649" s="18"/>
      <c r="F649" s="18"/>
      <c r="G649" s="18"/>
      <c r="H649" s="18"/>
      <c r="I649" s="17"/>
      <c r="J649" s="18"/>
      <c r="K649" s="17"/>
      <c r="L649" s="18"/>
      <c r="M649" s="20"/>
      <c r="N649" s="18"/>
      <c r="O649" s="18"/>
      <c r="P649" s="18"/>
      <c r="Q649" s="17"/>
      <c r="R649" s="18"/>
      <c r="S649" s="18"/>
      <c r="T649" s="18"/>
      <c r="U649" s="18"/>
      <c r="V649" s="18"/>
      <c r="W649" s="18"/>
      <c r="X649" s="18"/>
      <c r="Y649" s="18"/>
      <c r="Z649" s="18"/>
      <c r="AA649" s="18"/>
      <c r="AB649" s="17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  <c r="AS649" s="18"/>
      <c r="AT649" s="18"/>
      <c r="AU649" s="18"/>
      <c r="AV649" s="18"/>
      <c r="AW649" s="18"/>
      <c r="AX649" s="18"/>
    </row>
    <row r="650" spans="1:50" ht="15">
      <c r="A650" s="18"/>
      <c r="B650" s="18"/>
      <c r="C650" s="18"/>
      <c r="D650" s="18"/>
      <c r="E650" s="18"/>
      <c r="F650" s="18"/>
      <c r="G650" s="18"/>
      <c r="H650" s="18"/>
      <c r="I650" s="17"/>
      <c r="J650" s="18"/>
      <c r="K650" s="17"/>
      <c r="L650" s="18"/>
      <c r="M650" s="20"/>
      <c r="N650" s="18"/>
      <c r="O650" s="18"/>
      <c r="P650" s="18"/>
      <c r="Q650" s="17"/>
      <c r="R650" s="18"/>
      <c r="S650" s="18"/>
      <c r="T650" s="18"/>
      <c r="U650" s="18"/>
      <c r="V650" s="18"/>
      <c r="W650" s="18"/>
      <c r="X650" s="18"/>
      <c r="Y650" s="18"/>
      <c r="Z650" s="18"/>
      <c r="AA650" s="18"/>
      <c r="AB650" s="17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  <c r="AS650" s="18"/>
      <c r="AT650" s="18"/>
      <c r="AU650" s="18"/>
      <c r="AV650" s="18"/>
      <c r="AW650" s="18"/>
      <c r="AX650" s="18"/>
    </row>
    <row r="651" spans="1:50" ht="15">
      <c r="A651" s="18"/>
      <c r="B651" s="18"/>
      <c r="C651" s="18"/>
      <c r="D651" s="18"/>
      <c r="E651" s="18"/>
      <c r="F651" s="18"/>
      <c r="G651" s="18"/>
      <c r="H651" s="18"/>
      <c r="I651" s="17"/>
      <c r="J651" s="18"/>
      <c r="K651" s="17"/>
      <c r="L651" s="18"/>
      <c r="M651" s="20"/>
      <c r="N651" s="18"/>
      <c r="O651" s="18"/>
      <c r="P651" s="18"/>
      <c r="Q651" s="17"/>
      <c r="R651" s="18"/>
      <c r="S651" s="18"/>
      <c r="T651" s="18"/>
      <c r="U651" s="18"/>
      <c r="V651" s="18"/>
      <c r="W651" s="18"/>
      <c r="X651" s="18"/>
      <c r="Y651" s="18"/>
      <c r="Z651" s="18"/>
      <c r="AA651" s="18"/>
      <c r="AB651" s="17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  <c r="AS651" s="18"/>
      <c r="AT651" s="18"/>
      <c r="AU651" s="18"/>
      <c r="AV651" s="18"/>
      <c r="AW651" s="18"/>
      <c r="AX651" s="18"/>
    </row>
    <row r="652" spans="1:50" ht="15">
      <c r="A652" s="18"/>
      <c r="B652" s="18"/>
      <c r="C652" s="18"/>
      <c r="D652" s="18"/>
      <c r="E652" s="18"/>
      <c r="F652" s="18"/>
      <c r="G652" s="18"/>
      <c r="H652" s="18"/>
      <c r="I652" s="17"/>
      <c r="J652" s="18"/>
      <c r="K652" s="17"/>
      <c r="L652" s="18"/>
      <c r="M652" s="20"/>
      <c r="N652" s="18"/>
      <c r="O652" s="18"/>
      <c r="P652" s="18"/>
      <c r="Q652" s="17"/>
      <c r="R652" s="18"/>
      <c r="S652" s="18"/>
      <c r="T652" s="18"/>
      <c r="U652" s="18"/>
      <c r="V652" s="18"/>
      <c r="W652" s="18"/>
      <c r="X652" s="18"/>
      <c r="Y652" s="18"/>
      <c r="Z652" s="18"/>
      <c r="AA652" s="18"/>
      <c r="AB652" s="17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  <c r="AS652" s="18"/>
      <c r="AT652" s="18"/>
      <c r="AU652" s="18"/>
      <c r="AV652" s="18"/>
      <c r="AW652" s="18"/>
      <c r="AX652" s="18"/>
    </row>
    <row r="653" spans="1:50" ht="15">
      <c r="A653" s="18"/>
      <c r="B653" s="18"/>
      <c r="C653" s="18"/>
      <c r="D653" s="18"/>
      <c r="E653" s="18"/>
      <c r="F653" s="18"/>
      <c r="G653" s="18"/>
      <c r="H653" s="18"/>
      <c r="I653" s="17"/>
      <c r="J653" s="18"/>
      <c r="K653" s="17"/>
      <c r="L653" s="18"/>
      <c r="M653" s="20"/>
      <c r="N653" s="18"/>
      <c r="O653" s="18"/>
      <c r="P653" s="18"/>
      <c r="Q653" s="17"/>
      <c r="R653" s="18"/>
      <c r="S653" s="18"/>
      <c r="T653" s="18"/>
      <c r="U653" s="18"/>
      <c r="V653" s="18"/>
      <c r="W653" s="18"/>
      <c r="X653" s="18"/>
      <c r="Y653" s="18"/>
      <c r="Z653" s="18"/>
      <c r="AA653" s="18"/>
      <c r="AB653" s="17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  <c r="AS653" s="18"/>
      <c r="AT653" s="18"/>
      <c r="AU653" s="18"/>
      <c r="AV653" s="18"/>
      <c r="AW653" s="18"/>
      <c r="AX653" s="18"/>
    </row>
    <row r="654" spans="1:50" ht="15">
      <c r="A654" s="18"/>
      <c r="B654" s="18"/>
      <c r="C654" s="18"/>
      <c r="D654" s="18"/>
      <c r="E654" s="18"/>
      <c r="F654" s="18"/>
      <c r="G654" s="18"/>
      <c r="H654" s="18"/>
      <c r="I654" s="17"/>
      <c r="J654" s="18"/>
      <c r="K654" s="17"/>
      <c r="L654" s="18"/>
      <c r="M654" s="20"/>
      <c r="N654" s="18"/>
      <c r="O654" s="18"/>
      <c r="P654" s="18"/>
      <c r="Q654" s="17"/>
      <c r="R654" s="18"/>
      <c r="S654" s="18"/>
      <c r="T654" s="18"/>
      <c r="U654" s="18"/>
      <c r="V654" s="18"/>
      <c r="W654" s="18"/>
      <c r="X654" s="18"/>
      <c r="Y654" s="18"/>
      <c r="Z654" s="18"/>
      <c r="AA654" s="18"/>
      <c r="AB654" s="17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  <c r="AS654" s="18"/>
      <c r="AT654" s="18"/>
      <c r="AU654" s="18"/>
      <c r="AV654" s="18"/>
      <c r="AW654" s="18"/>
      <c r="AX654" s="18"/>
    </row>
    <row r="655" spans="1:50" ht="15">
      <c r="A655" s="18"/>
      <c r="B655" s="18"/>
      <c r="C655" s="18"/>
      <c r="D655" s="18"/>
      <c r="E655" s="18"/>
      <c r="F655" s="18"/>
      <c r="G655" s="18"/>
      <c r="H655" s="18"/>
      <c r="I655" s="17"/>
      <c r="J655" s="18"/>
      <c r="K655" s="17"/>
      <c r="L655" s="18"/>
      <c r="M655" s="20"/>
      <c r="N655" s="18"/>
      <c r="O655" s="18"/>
      <c r="P655" s="18"/>
      <c r="Q655" s="17"/>
      <c r="R655" s="18"/>
      <c r="S655" s="18"/>
      <c r="T655" s="18"/>
      <c r="U655" s="18"/>
      <c r="V655" s="18"/>
      <c r="W655" s="18"/>
      <c r="X655" s="18"/>
      <c r="Y655" s="18"/>
      <c r="Z655" s="18"/>
      <c r="AA655" s="18"/>
      <c r="AB655" s="17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  <c r="AS655" s="18"/>
      <c r="AT655" s="18"/>
      <c r="AU655" s="18"/>
      <c r="AV655" s="18"/>
      <c r="AW655" s="18"/>
      <c r="AX655" s="18"/>
    </row>
    <row r="656" spans="1:50" ht="15">
      <c r="A656" s="18"/>
      <c r="B656" s="18"/>
      <c r="C656" s="18"/>
      <c r="D656" s="18"/>
      <c r="E656" s="18"/>
      <c r="F656" s="18"/>
      <c r="G656" s="18"/>
      <c r="H656" s="18"/>
      <c r="I656" s="17"/>
      <c r="J656" s="18"/>
      <c r="K656" s="17"/>
      <c r="L656" s="18"/>
      <c r="M656" s="20"/>
      <c r="N656" s="18"/>
      <c r="O656" s="18"/>
      <c r="P656" s="18"/>
      <c r="Q656" s="17"/>
      <c r="R656" s="18"/>
      <c r="S656" s="18"/>
      <c r="T656" s="18"/>
      <c r="U656" s="18"/>
      <c r="V656" s="18"/>
      <c r="W656" s="18"/>
      <c r="X656" s="18"/>
      <c r="Y656" s="18"/>
      <c r="Z656" s="18"/>
      <c r="AA656" s="18"/>
      <c r="AB656" s="17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  <c r="AS656" s="18"/>
      <c r="AT656" s="18"/>
      <c r="AU656" s="18"/>
      <c r="AV656" s="18"/>
      <c r="AW656" s="18"/>
      <c r="AX656" s="18"/>
    </row>
    <row r="657" spans="1:50" ht="15">
      <c r="A657" s="18"/>
      <c r="B657" s="18"/>
      <c r="C657" s="18"/>
      <c r="D657" s="18"/>
      <c r="E657" s="18"/>
      <c r="F657" s="18"/>
      <c r="G657" s="18"/>
      <c r="H657" s="18"/>
      <c r="I657" s="17"/>
      <c r="J657" s="18"/>
      <c r="K657" s="17"/>
      <c r="L657" s="18"/>
      <c r="M657" s="20"/>
      <c r="N657" s="18"/>
      <c r="O657" s="18"/>
      <c r="P657" s="18"/>
      <c r="Q657" s="17"/>
      <c r="R657" s="18"/>
      <c r="S657" s="18"/>
      <c r="T657" s="18"/>
      <c r="U657" s="18"/>
      <c r="V657" s="18"/>
      <c r="W657" s="18"/>
      <c r="X657" s="18"/>
      <c r="Y657" s="18"/>
      <c r="Z657" s="18"/>
      <c r="AA657" s="18"/>
      <c r="AB657" s="17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</row>
    <row r="658" spans="1:50" ht="15">
      <c r="A658" s="18"/>
      <c r="B658" s="18"/>
      <c r="C658" s="18"/>
      <c r="D658" s="18"/>
      <c r="E658" s="18"/>
      <c r="F658" s="18"/>
      <c r="G658" s="18"/>
      <c r="H658" s="18"/>
      <c r="I658" s="17"/>
      <c r="J658" s="18"/>
      <c r="K658" s="17"/>
      <c r="L658" s="18"/>
      <c r="M658" s="20"/>
      <c r="N658" s="18"/>
      <c r="O658" s="18"/>
      <c r="P658" s="18"/>
      <c r="Q658" s="17"/>
      <c r="R658" s="18"/>
      <c r="S658" s="18"/>
      <c r="T658" s="18"/>
      <c r="U658" s="18"/>
      <c r="V658" s="18"/>
      <c r="W658" s="18"/>
      <c r="X658" s="18"/>
      <c r="Y658" s="18"/>
      <c r="Z658" s="18"/>
      <c r="AA658" s="18"/>
      <c r="AB658" s="17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 s="18"/>
      <c r="AV658" s="18"/>
      <c r="AW658" s="18"/>
      <c r="AX658" s="18"/>
    </row>
    <row r="659" spans="1:50" ht="15">
      <c r="A659" s="18"/>
      <c r="B659" s="18"/>
      <c r="C659" s="18"/>
      <c r="D659" s="18"/>
      <c r="E659" s="18"/>
      <c r="F659" s="18"/>
      <c r="G659" s="18"/>
      <c r="H659" s="18"/>
      <c r="I659" s="17"/>
      <c r="J659" s="18"/>
      <c r="K659" s="17"/>
      <c r="L659" s="18"/>
      <c r="M659" s="20"/>
      <c r="N659" s="18"/>
      <c r="O659" s="18"/>
      <c r="P659" s="18"/>
      <c r="Q659" s="17"/>
      <c r="R659" s="18"/>
      <c r="S659" s="18"/>
      <c r="T659" s="18"/>
      <c r="U659" s="18"/>
      <c r="V659" s="18"/>
      <c r="W659" s="18"/>
      <c r="X659" s="18"/>
      <c r="Y659" s="18"/>
      <c r="Z659" s="18"/>
      <c r="AA659" s="18"/>
      <c r="AB659" s="17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  <c r="AS659" s="18"/>
      <c r="AT659" s="18"/>
      <c r="AU659" s="18"/>
      <c r="AV659" s="18"/>
      <c r="AW659" s="18"/>
      <c r="AX659" s="18"/>
    </row>
    <row r="660" spans="1:50" ht="15">
      <c r="A660" s="18"/>
      <c r="B660" s="18"/>
      <c r="C660" s="18"/>
      <c r="D660" s="18"/>
      <c r="E660" s="18"/>
      <c r="F660" s="18"/>
      <c r="G660" s="18"/>
      <c r="H660" s="18"/>
      <c r="I660" s="17"/>
      <c r="J660" s="18"/>
      <c r="K660" s="17"/>
      <c r="L660" s="18"/>
      <c r="M660" s="20"/>
      <c r="N660" s="18"/>
      <c r="O660" s="18"/>
      <c r="P660" s="18"/>
      <c r="Q660" s="17"/>
      <c r="R660" s="18"/>
      <c r="S660" s="18"/>
      <c r="T660" s="18"/>
      <c r="U660" s="18"/>
      <c r="V660" s="18"/>
      <c r="W660" s="18"/>
      <c r="X660" s="18"/>
      <c r="Y660" s="18"/>
      <c r="Z660" s="18"/>
      <c r="AA660" s="18"/>
      <c r="AB660" s="17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  <c r="AS660" s="18"/>
      <c r="AT660" s="18"/>
      <c r="AU660" s="18"/>
      <c r="AV660" s="18"/>
      <c r="AW660" s="18"/>
      <c r="AX660" s="18"/>
    </row>
    <row r="661" spans="1:50" ht="15">
      <c r="A661" s="18"/>
      <c r="B661" s="18"/>
      <c r="C661" s="18"/>
      <c r="D661" s="18"/>
      <c r="E661" s="18"/>
      <c r="F661" s="18"/>
      <c r="G661" s="18"/>
      <c r="H661" s="18"/>
      <c r="I661" s="17"/>
      <c r="J661" s="18"/>
      <c r="K661" s="17"/>
      <c r="L661" s="18"/>
      <c r="M661" s="20"/>
      <c r="N661" s="18"/>
      <c r="O661" s="18"/>
      <c r="P661" s="18"/>
      <c r="Q661" s="17"/>
      <c r="R661" s="18"/>
      <c r="S661" s="18"/>
      <c r="T661" s="18"/>
      <c r="U661" s="18"/>
      <c r="V661" s="18"/>
      <c r="W661" s="18"/>
      <c r="X661" s="18"/>
      <c r="Y661" s="18"/>
      <c r="Z661" s="18"/>
      <c r="AA661" s="18"/>
      <c r="AB661" s="17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  <c r="AS661" s="18"/>
      <c r="AT661" s="18"/>
      <c r="AU661" s="18"/>
      <c r="AV661" s="18"/>
      <c r="AW661" s="18"/>
      <c r="AX661" s="18"/>
    </row>
    <row r="662" spans="1:50" ht="15">
      <c r="A662" s="18"/>
      <c r="B662" s="18"/>
      <c r="C662" s="18"/>
      <c r="D662" s="18"/>
      <c r="E662" s="18"/>
      <c r="F662" s="18"/>
      <c r="G662" s="18"/>
      <c r="H662" s="18"/>
      <c r="I662" s="17"/>
      <c r="J662" s="18"/>
      <c r="K662" s="17"/>
      <c r="L662" s="18"/>
      <c r="M662" s="20"/>
      <c r="N662" s="18"/>
      <c r="O662" s="18"/>
      <c r="P662" s="18"/>
      <c r="Q662" s="17"/>
      <c r="R662" s="18"/>
      <c r="S662" s="18"/>
      <c r="T662" s="18"/>
      <c r="U662" s="18"/>
      <c r="V662" s="18"/>
      <c r="W662" s="18"/>
      <c r="X662" s="18"/>
      <c r="Y662" s="18"/>
      <c r="Z662" s="18"/>
      <c r="AA662" s="18"/>
      <c r="AB662" s="17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  <c r="AS662" s="18"/>
      <c r="AT662" s="18"/>
      <c r="AU662" s="18"/>
      <c r="AV662" s="18"/>
      <c r="AW662" s="18"/>
      <c r="AX662" s="18"/>
    </row>
    <row r="663" spans="1:50" ht="15">
      <c r="A663" s="18"/>
      <c r="B663" s="18"/>
      <c r="C663" s="18"/>
      <c r="D663" s="18"/>
      <c r="E663" s="18"/>
      <c r="F663" s="18"/>
      <c r="G663" s="18"/>
      <c r="H663" s="18"/>
      <c r="I663" s="17"/>
      <c r="J663" s="18"/>
      <c r="K663" s="17"/>
      <c r="L663" s="18"/>
      <c r="M663" s="20"/>
      <c r="N663" s="18"/>
      <c r="O663" s="18"/>
      <c r="P663" s="18"/>
      <c r="Q663" s="17"/>
      <c r="R663" s="18"/>
      <c r="S663" s="18"/>
      <c r="T663" s="18"/>
      <c r="U663" s="18"/>
      <c r="V663" s="18"/>
      <c r="W663" s="18"/>
      <c r="X663" s="18"/>
      <c r="Y663" s="18"/>
      <c r="Z663" s="18"/>
      <c r="AA663" s="18"/>
      <c r="AB663" s="17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 s="18"/>
      <c r="AV663" s="18"/>
      <c r="AW663" s="18"/>
      <c r="AX663" s="18"/>
    </row>
    <row r="664" spans="1:50" ht="15">
      <c r="A664" s="18"/>
      <c r="B664" s="18"/>
      <c r="C664" s="18"/>
      <c r="D664" s="18"/>
      <c r="E664" s="18"/>
      <c r="F664" s="18"/>
      <c r="G664" s="18"/>
      <c r="H664" s="18"/>
      <c r="I664" s="17"/>
      <c r="J664" s="18"/>
      <c r="K664" s="17"/>
      <c r="L664" s="18"/>
      <c r="M664" s="20"/>
      <c r="N664" s="18"/>
      <c r="O664" s="18"/>
      <c r="P664" s="18"/>
      <c r="Q664" s="17"/>
      <c r="R664" s="18"/>
      <c r="S664" s="18"/>
      <c r="T664" s="18"/>
      <c r="U664" s="18"/>
      <c r="V664" s="18"/>
      <c r="W664" s="18"/>
      <c r="X664" s="18"/>
      <c r="Y664" s="18"/>
      <c r="Z664" s="18"/>
      <c r="AA664" s="18"/>
      <c r="AB664" s="17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  <c r="AS664" s="18"/>
      <c r="AT664" s="18"/>
      <c r="AU664" s="18"/>
      <c r="AV664" s="18"/>
      <c r="AW664" s="18"/>
      <c r="AX664" s="18"/>
    </row>
    <row r="665" spans="1:50" ht="15">
      <c r="A665" s="18"/>
      <c r="B665" s="18"/>
      <c r="C665" s="18"/>
      <c r="D665" s="18"/>
      <c r="E665" s="18"/>
      <c r="F665" s="18"/>
      <c r="G665" s="18"/>
      <c r="H665" s="18"/>
      <c r="I665" s="17"/>
      <c r="J665" s="18"/>
      <c r="K665" s="17"/>
      <c r="L665" s="18"/>
      <c r="M665" s="20"/>
      <c r="N665" s="18"/>
      <c r="O665" s="18"/>
      <c r="P665" s="18"/>
      <c r="Q665" s="17"/>
      <c r="R665" s="18"/>
      <c r="S665" s="18"/>
      <c r="T665" s="18"/>
      <c r="U665" s="18"/>
      <c r="V665" s="18"/>
      <c r="W665" s="18"/>
      <c r="X665" s="18"/>
      <c r="Y665" s="18"/>
      <c r="Z665" s="18"/>
      <c r="AA665" s="18"/>
      <c r="AB665" s="17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  <c r="AS665" s="18"/>
      <c r="AT665" s="18"/>
      <c r="AU665" s="18"/>
      <c r="AV665" s="18"/>
      <c r="AW665" s="18"/>
      <c r="AX665" s="18"/>
    </row>
    <row r="666" spans="1:50" ht="15">
      <c r="A666" s="18"/>
      <c r="B666" s="18"/>
      <c r="C666" s="18"/>
      <c r="D666" s="18"/>
      <c r="E666" s="18"/>
      <c r="F666" s="18"/>
      <c r="G666" s="18"/>
      <c r="H666" s="18"/>
      <c r="I666" s="17"/>
      <c r="J666" s="18"/>
      <c r="K666" s="17"/>
      <c r="L666" s="18"/>
      <c r="M666" s="20"/>
      <c r="N666" s="18"/>
      <c r="O666" s="18"/>
      <c r="P666" s="18"/>
      <c r="Q666" s="17"/>
      <c r="R666" s="18"/>
      <c r="S666" s="18"/>
      <c r="T666" s="18"/>
      <c r="U666" s="18"/>
      <c r="V666" s="18"/>
      <c r="W666" s="18"/>
      <c r="X666" s="18"/>
      <c r="Y666" s="18"/>
      <c r="Z666" s="18"/>
      <c r="AA666" s="18"/>
      <c r="AB666" s="17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  <c r="AS666" s="18"/>
      <c r="AT666" s="18"/>
      <c r="AU666" s="18"/>
      <c r="AV666" s="18"/>
      <c r="AW666" s="18"/>
      <c r="AX666" s="18"/>
    </row>
    <row r="667" spans="1:50" ht="15">
      <c r="A667" s="18"/>
      <c r="B667" s="18"/>
      <c r="C667" s="18"/>
      <c r="D667" s="18"/>
      <c r="E667" s="18"/>
      <c r="F667" s="18"/>
      <c r="G667" s="18"/>
      <c r="H667" s="18"/>
      <c r="I667" s="17"/>
      <c r="J667" s="18"/>
      <c r="K667" s="17"/>
      <c r="L667" s="18"/>
      <c r="M667" s="20"/>
      <c r="N667" s="18"/>
      <c r="O667" s="18"/>
      <c r="P667" s="18"/>
      <c r="Q667" s="17"/>
      <c r="R667" s="18"/>
      <c r="S667" s="18"/>
      <c r="T667" s="18"/>
      <c r="U667" s="18"/>
      <c r="V667" s="18"/>
      <c r="W667" s="18"/>
      <c r="X667" s="18"/>
      <c r="Y667" s="18"/>
      <c r="Z667" s="18"/>
      <c r="AA667" s="18"/>
      <c r="AB667" s="17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  <c r="AS667" s="18"/>
      <c r="AT667" s="18"/>
      <c r="AU667" s="18"/>
      <c r="AV667" s="18"/>
      <c r="AW667" s="18"/>
      <c r="AX667" s="18"/>
    </row>
    <row r="668" spans="1:50" ht="15">
      <c r="A668" s="18"/>
      <c r="B668" s="18"/>
      <c r="C668" s="18"/>
      <c r="D668" s="18"/>
      <c r="E668" s="18"/>
      <c r="F668" s="18"/>
      <c r="G668" s="18"/>
      <c r="H668" s="18"/>
      <c r="I668" s="17"/>
      <c r="J668" s="18"/>
      <c r="K668" s="17"/>
      <c r="L668" s="18"/>
      <c r="M668" s="20"/>
      <c r="N668" s="18"/>
      <c r="O668" s="18"/>
      <c r="P668" s="18"/>
      <c r="Q668" s="17"/>
      <c r="R668" s="18"/>
      <c r="S668" s="18"/>
      <c r="T668" s="18"/>
      <c r="U668" s="18"/>
      <c r="V668" s="18"/>
      <c r="W668" s="18"/>
      <c r="X668" s="18"/>
      <c r="Y668" s="18"/>
      <c r="Z668" s="18"/>
      <c r="AA668" s="18"/>
      <c r="AB668" s="17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  <c r="AS668" s="18"/>
      <c r="AT668" s="18"/>
      <c r="AU668" s="18"/>
      <c r="AV668" s="18"/>
      <c r="AW668" s="18"/>
      <c r="AX668" s="18"/>
    </row>
    <row r="669" spans="1:50" ht="15">
      <c r="A669" s="18"/>
      <c r="B669" s="18"/>
      <c r="C669" s="18"/>
      <c r="D669" s="18"/>
      <c r="E669" s="18"/>
      <c r="F669" s="18"/>
      <c r="G669" s="18"/>
      <c r="H669" s="18"/>
      <c r="I669" s="17"/>
      <c r="J669" s="18"/>
      <c r="K669" s="17"/>
      <c r="L669" s="18"/>
      <c r="M669" s="20"/>
      <c r="N669" s="18"/>
      <c r="O669" s="18"/>
      <c r="P669" s="18"/>
      <c r="Q669" s="17"/>
      <c r="R669" s="18"/>
      <c r="S669" s="18"/>
      <c r="T669" s="18"/>
      <c r="U669" s="18"/>
      <c r="V669" s="18"/>
      <c r="W669" s="18"/>
      <c r="X669" s="18"/>
      <c r="Y669" s="18"/>
      <c r="Z669" s="18"/>
      <c r="AA669" s="18"/>
      <c r="AB669" s="17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  <c r="AS669" s="18"/>
      <c r="AT669" s="18"/>
      <c r="AU669" s="18"/>
      <c r="AV669" s="18"/>
      <c r="AW669" s="18"/>
      <c r="AX669" s="18"/>
    </row>
    <row r="670" spans="1:50" ht="15">
      <c r="A670" s="18"/>
      <c r="B670" s="18"/>
      <c r="C670" s="18"/>
      <c r="D670" s="18"/>
      <c r="E670" s="18"/>
      <c r="F670" s="18"/>
      <c r="G670" s="18"/>
      <c r="H670" s="18"/>
      <c r="I670" s="17"/>
      <c r="J670" s="18"/>
      <c r="K670" s="17"/>
      <c r="L670" s="18"/>
      <c r="M670" s="20"/>
      <c r="N670" s="18"/>
      <c r="O670" s="18"/>
      <c r="P670" s="18"/>
      <c r="Q670" s="17"/>
      <c r="R670" s="18"/>
      <c r="S670" s="18"/>
      <c r="T670" s="18"/>
      <c r="U670" s="18"/>
      <c r="V670" s="18"/>
      <c r="W670" s="18"/>
      <c r="X670" s="18"/>
      <c r="Y670" s="18"/>
      <c r="Z670" s="18"/>
      <c r="AA670" s="18"/>
      <c r="AB670" s="17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  <c r="AS670" s="18"/>
      <c r="AT670" s="18"/>
      <c r="AU670" s="18"/>
      <c r="AV670" s="18"/>
      <c r="AW670" s="18"/>
      <c r="AX670" s="18"/>
    </row>
    <row r="671" spans="1:50" ht="15">
      <c r="A671" s="18"/>
      <c r="B671" s="18"/>
      <c r="C671" s="18"/>
      <c r="D671" s="18"/>
      <c r="E671" s="18"/>
      <c r="F671" s="18"/>
      <c r="G671" s="18"/>
      <c r="H671" s="18"/>
      <c r="I671" s="17"/>
      <c r="J671" s="18"/>
      <c r="K671" s="17"/>
      <c r="L671" s="18"/>
      <c r="M671" s="20"/>
      <c r="N671" s="18"/>
      <c r="O671" s="18"/>
      <c r="P671" s="18"/>
      <c r="Q671" s="17"/>
      <c r="R671" s="18"/>
      <c r="S671" s="18"/>
      <c r="T671" s="18"/>
      <c r="U671" s="18"/>
      <c r="V671" s="18"/>
      <c r="W671" s="18"/>
      <c r="X671" s="18"/>
      <c r="Y671" s="18"/>
      <c r="Z671" s="18"/>
      <c r="AA671" s="18"/>
      <c r="AB671" s="17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  <c r="AS671" s="18"/>
      <c r="AT671" s="18"/>
      <c r="AU671" s="18"/>
      <c r="AV671" s="18"/>
      <c r="AW671" s="18"/>
      <c r="AX671" s="18"/>
    </row>
    <row r="672" spans="1:50" ht="15">
      <c r="A672" s="18"/>
      <c r="B672" s="18"/>
      <c r="C672" s="18"/>
      <c r="D672" s="18"/>
      <c r="E672" s="18"/>
      <c r="F672" s="18"/>
      <c r="G672" s="18"/>
      <c r="H672" s="18"/>
      <c r="I672" s="17"/>
      <c r="J672" s="18"/>
      <c r="K672" s="17"/>
      <c r="L672" s="18"/>
      <c r="M672" s="20"/>
      <c r="N672" s="18"/>
      <c r="O672" s="18"/>
      <c r="P672" s="18"/>
      <c r="Q672" s="17"/>
      <c r="R672" s="18"/>
      <c r="S672" s="18"/>
      <c r="T672" s="18"/>
      <c r="U672" s="18"/>
      <c r="V672" s="18"/>
      <c r="W672" s="18"/>
      <c r="X672" s="18"/>
      <c r="Y672" s="18"/>
      <c r="Z672" s="18"/>
      <c r="AA672" s="18"/>
      <c r="AB672" s="17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  <c r="AS672" s="18"/>
      <c r="AT672" s="18"/>
      <c r="AU672" s="18"/>
      <c r="AV672" s="18"/>
      <c r="AW672" s="18"/>
      <c r="AX672" s="18"/>
    </row>
    <row r="673" spans="1:50" ht="15">
      <c r="A673" s="18"/>
      <c r="B673" s="18"/>
      <c r="C673" s="18"/>
      <c r="D673" s="18"/>
      <c r="E673" s="18"/>
      <c r="F673" s="18"/>
      <c r="G673" s="18"/>
      <c r="H673" s="18"/>
      <c r="I673" s="17"/>
      <c r="J673" s="18"/>
      <c r="K673" s="17"/>
      <c r="L673" s="18"/>
      <c r="M673" s="20"/>
      <c r="N673" s="18"/>
      <c r="O673" s="18"/>
      <c r="P673" s="18"/>
      <c r="Q673" s="17"/>
      <c r="R673" s="18"/>
      <c r="S673" s="18"/>
      <c r="T673" s="18"/>
      <c r="U673" s="18"/>
      <c r="V673" s="18"/>
      <c r="W673" s="18"/>
      <c r="X673" s="18"/>
      <c r="Y673" s="18"/>
      <c r="Z673" s="18"/>
      <c r="AA673" s="18"/>
      <c r="AB673" s="17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 s="18"/>
      <c r="AV673" s="18"/>
      <c r="AW673" s="18"/>
      <c r="AX673" s="18"/>
    </row>
    <row r="674" spans="1:50" ht="15">
      <c r="A674" s="18"/>
      <c r="B674" s="18"/>
      <c r="C674" s="18"/>
      <c r="D674" s="18"/>
      <c r="E674" s="18"/>
      <c r="F674" s="18"/>
      <c r="G674" s="18"/>
      <c r="H674" s="18"/>
      <c r="I674" s="17"/>
      <c r="J674" s="18"/>
      <c r="K674" s="17"/>
      <c r="L674" s="18"/>
      <c r="M674" s="20"/>
      <c r="N674" s="18"/>
      <c r="O674" s="18"/>
      <c r="P674" s="18"/>
      <c r="Q674" s="17"/>
      <c r="R674" s="18"/>
      <c r="S674" s="18"/>
      <c r="T674" s="18"/>
      <c r="U674" s="18"/>
      <c r="V674" s="18"/>
      <c r="W674" s="18"/>
      <c r="X674" s="18"/>
      <c r="Y674" s="18"/>
      <c r="Z674" s="18"/>
      <c r="AA674" s="18"/>
      <c r="AB674" s="17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  <c r="AS674" s="18"/>
      <c r="AT674" s="18"/>
      <c r="AU674" s="18"/>
      <c r="AV674" s="18"/>
      <c r="AW674" s="18"/>
      <c r="AX674" s="18"/>
    </row>
    <row r="675" spans="1:50" ht="15">
      <c r="A675" s="18"/>
      <c r="B675" s="18"/>
      <c r="C675" s="18"/>
      <c r="D675" s="18"/>
      <c r="E675" s="18"/>
      <c r="F675" s="18"/>
      <c r="G675" s="18"/>
      <c r="H675" s="18"/>
      <c r="I675" s="17"/>
      <c r="J675" s="18"/>
      <c r="K675" s="17"/>
      <c r="L675" s="18"/>
      <c r="M675" s="20"/>
      <c r="N675" s="18"/>
      <c r="O675" s="18"/>
      <c r="P675" s="18"/>
      <c r="Q675" s="17"/>
      <c r="R675" s="18"/>
      <c r="S675" s="18"/>
      <c r="T675" s="18"/>
      <c r="U675" s="18"/>
      <c r="V675" s="18"/>
      <c r="W675" s="18"/>
      <c r="X675" s="18"/>
      <c r="Y675" s="18"/>
      <c r="Z675" s="18"/>
      <c r="AA675" s="18"/>
      <c r="AB675" s="17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  <c r="AS675" s="18"/>
      <c r="AT675" s="18"/>
      <c r="AU675" s="18"/>
      <c r="AV675" s="18"/>
      <c r="AW675" s="18"/>
      <c r="AX675" s="18"/>
    </row>
    <row r="676" spans="1:50" ht="15">
      <c r="A676" s="18"/>
      <c r="B676" s="18"/>
      <c r="C676" s="18"/>
      <c r="D676" s="18"/>
      <c r="E676" s="18"/>
      <c r="F676" s="18"/>
      <c r="G676" s="18"/>
      <c r="H676" s="18"/>
      <c r="I676" s="17"/>
      <c r="J676" s="18"/>
      <c r="K676" s="17"/>
      <c r="L676" s="18"/>
      <c r="M676" s="20"/>
      <c r="N676" s="18"/>
      <c r="O676" s="18"/>
      <c r="P676" s="18"/>
      <c r="Q676" s="17"/>
      <c r="R676" s="18"/>
      <c r="S676" s="18"/>
      <c r="T676" s="18"/>
      <c r="U676" s="18"/>
      <c r="V676" s="18"/>
      <c r="W676" s="18"/>
      <c r="X676" s="18"/>
      <c r="Y676" s="18"/>
      <c r="Z676" s="18"/>
      <c r="AA676" s="18"/>
      <c r="AB676" s="17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  <c r="AS676" s="18"/>
      <c r="AT676" s="18"/>
      <c r="AU676" s="18"/>
      <c r="AV676" s="18"/>
      <c r="AW676" s="18"/>
      <c r="AX676" s="18"/>
    </row>
    <row r="677" spans="1:50" ht="15">
      <c r="A677" s="18"/>
      <c r="B677" s="18"/>
      <c r="C677" s="18"/>
      <c r="D677" s="18"/>
      <c r="E677" s="18"/>
      <c r="F677" s="18"/>
      <c r="G677" s="18"/>
      <c r="H677" s="18"/>
      <c r="I677" s="17"/>
      <c r="J677" s="18"/>
      <c r="K677" s="17"/>
      <c r="L677" s="18"/>
      <c r="M677" s="20"/>
      <c r="N677" s="18"/>
      <c r="O677" s="18"/>
      <c r="P677" s="18"/>
      <c r="Q677" s="17"/>
      <c r="R677" s="18"/>
      <c r="S677" s="18"/>
      <c r="T677" s="18"/>
      <c r="U677" s="18"/>
      <c r="V677" s="18"/>
      <c r="W677" s="18"/>
      <c r="X677" s="18"/>
      <c r="Y677" s="18"/>
      <c r="Z677" s="18"/>
      <c r="AA677" s="18"/>
      <c r="AB677" s="17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  <c r="AS677" s="18"/>
      <c r="AT677" s="18"/>
      <c r="AU677" s="18"/>
      <c r="AV677" s="18"/>
      <c r="AW677" s="18"/>
      <c r="AX677" s="18"/>
    </row>
    <row r="678" spans="1:50" ht="15">
      <c r="A678" s="18"/>
      <c r="B678" s="18"/>
      <c r="C678" s="18"/>
      <c r="D678" s="18"/>
      <c r="E678" s="18"/>
      <c r="F678" s="18"/>
      <c r="G678" s="18"/>
      <c r="H678" s="18"/>
      <c r="I678" s="17"/>
      <c r="J678" s="18"/>
      <c r="K678" s="17"/>
      <c r="L678" s="18"/>
      <c r="M678" s="20"/>
      <c r="N678" s="18"/>
      <c r="O678" s="18"/>
      <c r="P678" s="18"/>
      <c r="Q678" s="17"/>
      <c r="R678" s="18"/>
      <c r="S678" s="18"/>
      <c r="T678" s="18"/>
      <c r="U678" s="18"/>
      <c r="V678" s="18"/>
      <c r="W678" s="18"/>
      <c r="X678" s="18"/>
      <c r="Y678" s="18"/>
      <c r="Z678" s="18"/>
      <c r="AA678" s="18"/>
      <c r="AB678" s="17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  <c r="AS678" s="18"/>
      <c r="AT678" s="18"/>
      <c r="AU678" s="18"/>
      <c r="AV678" s="18"/>
      <c r="AW678" s="18"/>
      <c r="AX678" s="18"/>
    </row>
    <row r="679" spans="1:50" ht="15">
      <c r="A679" s="18"/>
      <c r="B679" s="18"/>
      <c r="C679" s="18"/>
      <c r="D679" s="18"/>
      <c r="E679" s="18"/>
      <c r="F679" s="18"/>
      <c r="G679" s="18"/>
      <c r="H679" s="18"/>
      <c r="I679" s="17"/>
      <c r="J679" s="18"/>
      <c r="K679" s="17"/>
      <c r="L679" s="18"/>
      <c r="M679" s="20"/>
      <c r="N679" s="18"/>
      <c r="O679" s="18"/>
      <c r="P679" s="18"/>
      <c r="Q679" s="17"/>
      <c r="R679" s="18"/>
      <c r="S679" s="18"/>
      <c r="T679" s="18"/>
      <c r="U679" s="18"/>
      <c r="V679" s="18"/>
      <c r="W679" s="18"/>
      <c r="X679" s="18"/>
      <c r="Y679" s="18"/>
      <c r="Z679" s="18"/>
      <c r="AA679" s="18"/>
      <c r="AB679" s="17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  <c r="AS679" s="18"/>
      <c r="AT679" s="18"/>
      <c r="AU679" s="18"/>
      <c r="AV679" s="18"/>
      <c r="AW679" s="18"/>
      <c r="AX679" s="18"/>
    </row>
    <row r="680" spans="1:50" ht="15">
      <c r="A680" s="18"/>
      <c r="B680" s="18"/>
      <c r="C680" s="18"/>
      <c r="D680" s="18"/>
      <c r="E680" s="18"/>
      <c r="F680" s="18"/>
      <c r="G680" s="18"/>
      <c r="H680" s="18"/>
      <c r="I680" s="17"/>
      <c r="J680" s="18"/>
      <c r="K680" s="17"/>
      <c r="L680" s="18"/>
      <c r="M680" s="20"/>
      <c r="N680" s="18"/>
      <c r="O680" s="18"/>
      <c r="P680" s="18"/>
      <c r="Q680" s="17"/>
      <c r="R680" s="18"/>
      <c r="S680" s="18"/>
      <c r="T680" s="18"/>
      <c r="U680" s="18"/>
      <c r="V680" s="18"/>
      <c r="W680" s="18"/>
      <c r="X680" s="18"/>
      <c r="Y680" s="18"/>
      <c r="Z680" s="18"/>
      <c r="AA680" s="18"/>
      <c r="AB680" s="17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  <c r="AS680" s="18"/>
      <c r="AT680" s="18"/>
      <c r="AU680" s="18"/>
      <c r="AV680" s="18"/>
      <c r="AW680" s="18"/>
      <c r="AX680" s="18"/>
    </row>
    <row r="681" spans="1:50" ht="15">
      <c r="A681" s="18"/>
      <c r="B681" s="18"/>
      <c r="C681" s="18"/>
      <c r="D681" s="18"/>
      <c r="E681" s="18"/>
      <c r="F681" s="18"/>
      <c r="G681" s="18"/>
      <c r="H681" s="18"/>
      <c r="I681" s="17"/>
      <c r="J681" s="18"/>
      <c r="K681" s="17"/>
      <c r="L681" s="18"/>
      <c r="M681" s="20"/>
      <c r="N681" s="18"/>
      <c r="O681" s="18"/>
      <c r="P681" s="18"/>
      <c r="Q681" s="17"/>
      <c r="R681" s="18"/>
      <c r="S681" s="18"/>
      <c r="T681" s="18"/>
      <c r="U681" s="18"/>
      <c r="V681" s="18"/>
      <c r="W681" s="18"/>
      <c r="X681" s="18"/>
      <c r="Y681" s="18"/>
      <c r="Z681" s="18"/>
      <c r="AA681" s="18"/>
      <c r="AB681" s="17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  <c r="AS681" s="18"/>
      <c r="AT681" s="18"/>
      <c r="AU681" s="18"/>
      <c r="AV681" s="18"/>
      <c r="AW681" s="18"/>
      <c r="AX681" s="18"/>
    </row>
    <row r="682" spans="1:50" ht="15">
      <c r="A682" s="18"/>
      <c r="B682" s="18"/>
      <c r="C682" s="18"/>
      <c r="D682" s="18"/>
      <c r="E682" s="18"/>
      <c r="F682" s="18"/>
      <c r="G682" s="18"/>
      <c r="H682" s="18"/>
      <c r="I682" s="17"/>
      <c r="J682" s="18"/>
      <c r="K682" s="17"/>
      <c r="L682" s="18"/>
      <c r="M682" s="20"/>
      <c r="N682" s="18"/>
      <c r="O682" s="18"/>
      <c r="P682" s="18"/>
      <c r="Q682" s="17"/>
      <c r="R682" s="18"/>
      <c r="S682" s="18"/>
      <c r="T682" s="18"/>
      <c r="U682" s="18"/>
      <c r="V682" s="18"/>
      <c r="W682" s="18"/>
      <c r="X682" s="18"/>
      <c r="Y682" s="18"/>
      <c r="Z682" s="18"/>
      <c r="AA682" s="18"/>
      <c r="AB682" s="17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  <c r="AS682" s="18"/>
      <c r="AT682" s="18"/>
      <c r="AU682" s="18"/>
      <c r="AV682" s="18"/>
      <c r="AW682" s="18"/>
      <c r="AX682" s="18"/>
    </row>
    <row r="683" spans="1:50" ht="15">
      <c r="A683" s="18"/>
      <c r="B683" s="18"/>
      <c r="C683" s="18"/>
      <c r="D683" s="18"/>
      <c r="E683" s="18"/>
      <c r="F683" s="18"/>
      <c r="G683" s="18"/>
      <c r="H683" s="18"/>
      <c r="I683" s="17"/>
      <c r="J683" s="18"/>
      <c r="K683" s="17"/>
      <c r="L683" s="18"/>
      <c r="M683" s="20"/>
      <c r="N683" s="18"/>
      <c r="O683" s="18"/>
      <c r="P683" s="18"/>
      <c r="Q683" s="17"/>
      <c r="R683" s="18"/>
      <c r="S683" s="18"/>
      <c r="T683" s="18"/>
      <c r="U683" s="18"/>
      <c r="V683" s="18"/>
      <c r="W683" s="18"/>
      <c r="X683" s="18"/>
      <c r="Y683" s="18"/>
      <c r="Z683" s="18"/>
      <c r="AA683" s="18"/>
      <c r="AB683" s="17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</row>
    <row r="684" spans="1:50" ht="15">
      <c r="A684" s="18"/>
      <c r="B684" s="18"/>
      <c r="C684" s="18"/>
      <c r="D684" s="18"/>
      <c r="E684" s="18"/>
      <c r="F684" s="18"/>
      <c r="G684" s="18"/>
      <c r="H684" s="18"/>
      <c r="I684" s="17"/>
      <c r="J684" s="18"/>
      <c r="K684" s="17"/>
      <c r="L684" s="18"/>
      <c r="M684" s="20"/>
      <c r="N684" s="18"/>
      <c r="O684" s="18"/>
      <c r="P684" s="18"/>
      <c r="Q684" s="17"/>
      <c r="R684" s="18"/>
      <c r="S684" s="18"/>
      <c r="T684" s="18"/>
      <c r="U684" s="18"/>
      <c r="V684" s="18"/>
      <c r="W684" s="18"/>
      <c r="X684" s="18"/>
      <c r="Y684" s="18"/>
      <c r="Z684" s="18"/>
      <c r="AA684" s="18"/>
      <c r="AB684" s="17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 s="18"/>
      <c r="AV684" s="18"/>
      <c r="AW684" s="18"/>
      <c r="AX684" s="18"/>
    </row>
    <row r="685" spans="1:50" ht="15">
      <c r="A685" s="18"/>
      <c r="B685" s="18"/>
      <c r="C685" s="18"/>
      <c r="D685" s="18"/>
      <c r="E685" s="18"/>
      <c r="F685" s="18"/>
      <c r="G685" s="18"/>
      <c r="H685" s="18"/>
      <c r="I685" s="17"/>
      <c r="J685" s="18"/>
      <c r="K685" s="17"/>
      <c r="L685" s="18"/>
      <c r="M685" s="20"/>
      <c r="N685" s="18"/>
      <c r="O685" s="18"/>
      <c r="P685" s="18"/>
      <c r="Q685" s="17"/>
      <c r="R685" s="18"/>
      <c r="S685" s="18"/>
      <c r="T685" s="18"/>
      <c r="U685" s="18"/>
      <c r="V685" s="18"/>
      <c r="W685" s="18"/>
      <c r="X685" s="18"/>
      <c r="Y685" s="18"/>
      <c r="Z685" s="18"/>
      <c r="AA685" s="18"/>
      <c r="AB685" s="17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  <c r="AS685" s="18"/>
      <c r="AT685" s="18"/>
      <c r="AU685" s="18"/>
      <c r="AV685" s="18"/>
      <c r="AW685" s="18"/>
      <c r="AX685" s="18"/>
    </row>
    <row r="686" spans="1:50" ht="15">
      <c r="A686" s="18"/>
      <c r="B686" s="18"/>
      <c r="C686" s="18"/>
      <c r="D686" s="18"/>
      <c r="E686" s="18"/>
      <c r="F686" s="18"/>
      <c r="G686" s="18"/>
      <c r="H686" s="18"/>
      <c r="I686" s="17"/>
      <c r="J686" s="18"/>
      <c r="K686" s="17"/>
      <c r="L686" s="18"/>
      <c r="M686" s="20"/>
      <c r="N686" s="18"/>
      <c r="O686" s="18"/>
      <c r="P686" s="18"/>
      <c r="Q686" s="17"/>
      <c r="R686" s="18"/>
      <c r="S686" s="18"/>
      <c r="T686" s="18"/>
      <c r="U686" s="18"/>
      <c r="V686" s="18"/>
      <c r="W686" s="18"/>
      <c r="X686" s="18"/>
      <c r="Y686" s="18"/>
      <c r="Z686" s="18"/>
      <c r="AA686" s="18"/>
      <c r="AB686" s="17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  <c r="AS686" s="18"/>
      <c r="AT686" s="18"/>
      <c r="AU686" s="18"/>
      <c r="AV686" s="18"/>
      <c r="AW686" s="18"/>
      <c r="AX686" s="18"/>
    </row>
    <row r="687" spans="1:50" ht="15">
      <c r="A687" s="18"/>
      <c r="B687" s="18"/>
      <c r="C687" s="18"/>
      <c r="D687" s="18"/>
      <c r="E687" s="18"/>
      <c r="F687" s="18"/>
      <c r="G687" s="18"/>
      <c r="H687" s="18"/>
      <c r="I687" s="17"/>
      <c r="J687" s="18"/>
      <c r="K687" s="17"/>
      <c r="L687" s="18"/>
      <c r="M687" s="20"/>
      <c r="N687" s="18"/>
      <c r="O687" s="18"/>
      <c r="P687" s="18"/>
      <c r="Q687" s="17"/>
      <c r="R687" s="18"/>
      <c r="S687" s="18"/>
      <c r="T687" s="18"/>
      <c r="U687" s="18"/>
      <c r="V687" s="18"/>
      <c r="W687" s="18"/>
      <c r="X687" s="18"/>
      <c r="Y687" s="18"/>
      <c r="Z687" s="18"/>
      <c r="AA687" s="18"/>
      <c r="AB687" s="17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  <c r="AS687" s="18"/>
      <c r="AT687" s="18"/>
      <c r="AU687" s="18"/>
      <c r="AV687" s="18"/>
      <c r="AW687" s="18"/>
      <c r="AX687" s="18"/>
    </row>
    <row r="688" spans="1:50" ht="15">
      <c r="A688" s="18"/>
      <c r="B688" s="18"/>
      <c r="C688" s="18"/>
      <c r="D688" s="18"/>
      <c r="E688" s="18"/>
      <c r="F688" s="18"/>
      <c r="G688" s="18"/>
      <c r="H688" s="18"/>
      <c r="I688" s="17"/>
      <c r="J688" s="18"/>
      <c r="K688" s="17"/>
      <c r="L688" s="18"/>
      <c r="M688" s="20"/>
      <c r="N688" s="18"/>
      <c r="O688" s="18"/>
      <c r="P688" s="18"/>
      <c r="Q688" s="17"/>
      <c r="R688" s="18"/>
      <c r="S688" s="18"/>
      <c r="T688" s="18"/>
      <c r="U688" s="18"/>
      <c r="V688" s="18"/>
      <c r="W688" s="18"/>
      <c r="X688" s="18"/>
      <c r="Y688" s="18"/>
      <c r="Z688" s="18"/>
      <c r="AA688" s="18"/>
      <c r="AB688" s="17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  <c r="AS688" s="18"/>
      <c r="AT688" s="18"/>
      <c r="AU688" s="18"/>
      <c r="AV688" s="18"/>
      <c r="AW688" s="18"/>
      <c r="AX688" s="18"/>
    </row>
    <row r="689" spans="1:50" ht="15">
      <c r="A689" s="18"/>
      <c r="B689" s="18"/>
      <c r="C689" s="18"/>
      <c r="D689" s="18"/>
      <c r="E689" s="18"/>
      <c r="F689" s="18"/>
      <c r="G689" s="18"/>
      <c r="H689" s="18"/>
      <c r="I689" s="17"/>
      <c r="J689" s="18"/>
      <c r="K689" s="17"/>
      <c r="L689" s="18"/>
      <c r="M689" s="20"/>
      <c r="N689" s="18"/>
      <c r="O689" s="18"/>
      <c r="P689" s="18"/>
      <c r="Q689" s="17"/>
      <c r="R689" s="18"/>
      <c r="S689" s="18"/>
      <c r="T689" s="18"/>
      <c r="U689" s="18"/>
      <c r="V689" s="18"/>
      <c r="W689" s="18"/>
      <c r="X689" s="18"/>
      <c r="Y689" s="18"/>
      <c r="Z689" s="18"/>
      <c r="AA689" s="18"/>
      <c r="AB689" s="17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  <c r="AS689" s="18"/>
      <c r="AT689" s="18"/>
      <c r="AU689" s="18"/>
      <c r="AV689" s="18"/>
      <c r="AW689" s="18"/>
      <c r="AX689" s="18"/>
    </row>
    <row r="690" spans="1:50" ht="15">
      <c r="A690" s="18"/>
      <c r="B690" s="18"/>
      <c r="C690" s="18"/>
      <c r="D690" s="18"/>
      <c r="E690" s="18"/>
      <c r="F690" s="18"/>
      <c r="G690" s="18"/>
      <c r="H690" s="18"/>
      <c r="I690" s="17"/>
      <c r="J690" s="18"/>
      <c r="K690" s="17"/>
      <c r="L690" s="18"/>
      <c r="M690" s="20"/>
      <c r="N690" s="18"/>
      <c r="O690" s="18"/>
      <c r="P690" s="18"/>
      <c r="Q690" s="17"/>
      <c r="R690" s="18"/>
      <c r="S690" s="18"/>
      <c r="T690" s="18"/>
      <c r="U690" s="18"/>
      <c r="V690" s="18"/>
      <c r="W690" s="18"/>
      <c r="X690" s="18"/>
      <c r="Y690" s="18"/>
      <c r="Z690" s="18"/>
      <c r="AA690" s="18"/>
      <c r="AB690" s="17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  <c r="AS690" s="18"/>
      <c r="AT690" s="18"/>
      <c r="AU690" s="18"/>
      <c r="AV690" s="18"/>
      <c r="AW690" s="18"/>
      <c r="AX690" s="18"/>
    </row>
    <row r="691" spans="1:50" ht="15">
      <c r="A691" s="18"/>
      <c r="B691" s="18"/>
      <c r="C691" s="18"/>
      <c r="D691" s="18"/>
      <c r="E691" s="18"/>
      <c r="F691" s="18"/>
      <c r="G691" s="18"/>
      <c r="H691" s="18"/>
      <c r="I691" s="17"/>
      <c r="J691" s="18"/>
      <c r="K691" s="17"/>
      <c r="L691" s="18"/>
      <c r="M691" s="20"/>
      <c r="N691" s="18"/>
      <c r="O691" s="18"/>
      <c r="P691" s="18"/>
      <c r="Q691" s="17"/>
      <c r="R691" s="18"/>
      <c r="S691" s="18"/>
      <c r="T691" s="18"/>
      <c r="U691" s="18"/>
      <c r="V691" s="18"/>
      <c r="W691" s="18"/>
      <c r="X691" s="18"/>
      <c r="Y691" s="18"/>
      <c r="Z691" s="18"/>
      <c r="AA691" s="18"/>
      <c r="AB691" s="17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  <c r="AS691" s="18"/>
      <c r="AT691" s="18"/>
      <c r="AU691" s="18"/>
      <c r="AV691" s="18"/>
      <c r="AW691" s="18"/>
      <c r="AX691" s="18"/>
    </row>
    <row r="692" spans="1:50" ht="15">
      <c r="A692" s="18"/>
      <c r="B692" s="18"/>
      <c r="C692" s="18"/>
      <c r="D692" s="18"/>
      <c r="E692" s="18"/>
      <c r="F692" s="18"/>
      <c r="G692" s="18"/>
      <c r="H692" s="18"/>
      <c r="I692" s="17"/>
      <c r="J692" s="18"/>
      <c r="K692" s="17"/>
      <c r="L692" s="18"/>
      <c r="M692" s="20"/>
      <c r="N692" s="18"/>
      <c r="O692" s="18"/>
      <c r="P692" s="18"/>
      <c r="Q692" s="17"/>
      <c r="R692" s="18"/>
      <c r="S692" s="18"/>
      <c r="T692" s="18"/>
      <c r="U692" s="18"/>
      <c r="V692" s="18"/>
      <c r="W692" s="18"/>
      <c r="X692" s="18"/>
      <c r="Y692" s="18"/>
      <c r="Z692" s="18"/>
      <c r="AA692" s="18"/>
      <c r="AB692" s="17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  <c r="AS692" s="18"/>
      <c r="AT692" s="18"/>
      <c r="AU692" s="18"/>
      <c r="AV692" s="18"/>
      <c r="AW692" s="18"/>
      <c r="AX692" s="18"/>
    </row>
    <row r="693" spans="1:50" ht="15">
      <c r="A693" s="18"/>
      <c r="B693" s="18"/>
      <c r="C693" s="18"/>
      <c r="D693" s="18"/>
      <c r="E693" s="18"/>
      <c r="F693" s="18"/>
      <c r="G693" s="18"/>
      <c r="H693" s="18"/>
      <c r="I693" s="17"/>
      <c r="J693" s="18"/>
      <c r="K693" s="17"/>
      <c r="L693" s="18"/>
      <c r="M693" s="20"/>
      <c r="N693" s="18"/>
      <c r="O693" s="18"/>
      <c r="P693" s="18"/>
      <c r="Q693" s="17"/>
      <c r="R693" s="18"/>
      <c r="S693" s="18"/>
      <c r="T693" s="18"/>
      <c r="U693" s="18"/>
      <c r="V693" s="18"/>
      <c r="W693" s="18"/>
      <c r="X693" s="18"/>
      <c r="Y693" s="18"/>
      <c r="Z693" s="18"/>
      <c r="AA693" s="18"/>
      <c r="AB693" s="17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  <c r="AS693" s="18"/>
      <c r="AT693" s="18"/>
      <c r="AU693" s="18"/>
      <c r="AV693" s="18"/>
      <c r="AW693" s="18"/>
      <c r="AX693" s="18"/>
    </row>
    <row r="694" spans="1:50" ht="15">
      <c r="A694" s="18"/>
      <c r="B694" s="18"/>
      <c r="C694" s="18"/>
      <c r="D694" s="18"/>
      <c r="E694" s="18"/>
      <c r="F694" s="18"/>
      <c r="G694" s="18"/>
      <c r="H694" s="18"/>
      <c r="I694" s="17"/>
      <c r="J694" s="18"/>
      <c r="K694" s="17"/>
      <c r="L694" s="18"/>
      <c r="M694" s="20"/>
      <c r="N694" s="18"/>
      <c r="O694" s="18"/>
      <c r="P694" s="18"/>
      <c r="Q694" s="17"/>
      <c r="R694" s="18"/>
      <c r="S694" s="18"/>
      <c r="T694" s="18"/>
      <c r="U694" s="18"/>
      <c r="V694" s="18"/>
      <c r="W694" s="18"/>
      <c r="X694" s="18"/>
      <c r="Y694" s="18"/>
      <c r="Z694" s="18"/>
      <c r="AA694" s="18"/>
      <c r="AB694" s="17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  <c r="AS694" s="18"/>
      <c r="AT694" s="18"/>
      <c r="AU694" s="18"/>
      <c r="AV694" s="18"/>
      <c r="AW694" s="18"/>
      <c r="AX694" s="18"/>
    </row>
    <row r="695" spans="1:50" ht="15">
      <c r="A695" s="18"/>
      <c r="B695" s="18"/>
      <c r="C695" s="18"/>
      <c r="D695" s="18"/>
      <c r="E695" s="18"/>
      <c r="F695" s="18"/>
      <c r="G695" s="18"/>
      <c r="H695" s="18"/>
      <c r="I695" s="17"/>
      <c r="J695" s="18"/>
      <c r="K695" s="17"/>
      <c r="L695" s="18"/>
      <c r="M695" s="20"/>
      <c r="N695" s="18"/>
      <c r="O695" s="18"/>
      <c r="P695" s="18"/>
      <c r="Q695" s="17"/>
      <c r="R695" s="18"/>
      <c r="S695" s="18"/>
      <c r="T695" s="18"/>
      <c r="U695" s="18"/>
      <c r="V695" s="18"/>
      <c r="W695" s="18"/>
      <c r="X695" s="18"/>
      <c r="Y695" s="18"/>
      <c r="Z695" s="18"/>
      <c r="AA695" s="18"/>
      <c r="AB695" s="17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  <c r="AS695" s="18"/>
      <c r="AT695" s="18"/>
      <c r="AU695" s="18"/>
      <c r="AV695" s="18"/>
      <c r="AW695" s="18"/>
      <c r="AX695" s="18"/>
    </row>
    <row r="696" spans="1:50" ht="15">
      <c r="A696" s="18"/>
      <c r="B696" s="18"/>
      <c r="C696" s="18"/>
      <c r="D696" s="18"/>
      <c r="E696" s="18"/>
      <c r="F696" s="18"/>
      <c r="G696" s="18"/>
      <c r="H696" s="18"/>
      <c r="I696" s="17"/>
      <c r="J696" s="18"/>
      <c r="K696" s="17"/>
      <c r="L696" s="18"/>
      <c r="M696" s="20"/>
      <c r="N696" s="18"/>
      <c r="O696" s="18"/>
      <c r="P696" s="18"/>
      <c r="Q696" s="17"/>
      <c r="R696" s="18"/>
      <c r="S696" s="18"/>
      <c r="T696" s="18"/>
      <c r="U696" s="18"/>
      <c r="V696" s="18"/>
      <c r="W696" s="18"/>
      <c r="X696" s="18"/>
      <c r="Y696" s="18"/>
      <c r="Z696" s="18"/>
      <c r="AA696" s="18"/>
      <c r="AB696" s="17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  <c r="AS696" s="18"/>
      <c r="AT696" s="18"/>
      <c r="AU696" s="18"/>
      <c r="AV696" s="18"/>
      <c r="AW696" s="18"/>
      <c r="AX696" s="18"/>
    </row>
    <row r="697" spans="1:50" ht="15">
      <c r="A697" s="18"/>
      <c r="B697" s="18"/>
      <c r="C697" s="18"/>
      <c r="D697" s="18"/>
      <c r="E697" s="18"/>
      <c r="F697" s="18"/>
      <c r="G697" s="18"/>
      <c r="H697" s="18"/>
      <c r="I697" s="17"/>
      <c r="J697" s="18"/>
      <c r="K697" s="17"/>
      <c r="L697" s="18"/>
      <c r="M697" s="20"/>
      <c r="N697" s="18"/>
      <c r="O697" s="18"/>
      <c r="P697" s="18"/>
      <c r="Q697" s="17"/>
      <c r="R697" s="18"/>
      <c r="S697" s="18"/>
      <c r="T697" s="18"/>
      <c r="U697" s="18"/>
      <c r="V697" s="18"/>
      <c r="W697" s="18"/>
      <c r="X697" s="18"/>
      <c r="Y697" s="18"/>
      <c r="Z697" s="18"/>
      <c r="AA697" s="18"/>
      <c r="AB697" s="17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  <c r="AS697" s="18"/>
      <c r="AT697" s="18"/>
      <c r="AU697" s="18"/>
      <c r="AV697" s="18"/>
      <c r="AW697" s="18"/>
      <c r="AX697" s="18"/>
    </row>
    <row r="698" spans="1:50" ht="15">
      <c r="A698" s="18"/>
      <c r="B698" s="18"/>
      <c r="C698" s="18"/>
      <c r="D698" s="18"/>
      <c r="E698" s="18"/>
      <c r="F698" s="18"/>
      <c r="G698" s="18"/>
      <c r="H698" s="18"/>
      <c r="I698" s="17"/>
      <c r="J698" s="18"/>
      <c r="K698" s="17"/>
      <c r="L698" s="18"/>
      <c r="M698" s="20"/>
      <c r="N698" s="18"/>
      <c r="O698" s="18"/>
      <c r="P698" s="18"/>
      <c r="Q698" s="17"/>
      <c r="R698" s="18"/>
      <c r="S698" s="18"/>
      <c r="T698" s="18"/>
      <c r="U698" s="18"/>
      <c r="V698" s="18"/>
      <c r="W698" s="18"/>
      <c r="X698" s="18"/>
      <c r="Y698" s="18"/>
      <c r="Z698" s="18"/>
      <c r="AA698" s="18"/>
      <c r="AB698" s="17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  <c r="AS698" s="18"/>
      <c r="AT698" s="18"/>
      <c r="AU698" s="18"/>
      <c r="AV698" s="18"/>
      <c r="AW698" s="18"/>
      <c r="AX698" s="18"/>
    </row>
    <row r="699" spans="1:50" ht="15">
      <c r="A699" s="18"/>
      <c r="B699" s="18"/>
      <c r="C699" s="18"/>
      <c r="D699" s="18"/>
      <c r="E699" s="18"/>
      <c r="F699" s="18"/>
      <c r="G699" s="18"/>
      <c r="H699" s="18"/>
      <c r="I699" s="17"/>
      <c r="J699" s="18"/>
      <c r="K699" s="17"/>
      <c r="L699" s="18"/>
      <c r="M699" s="20"/>
      <c r="N699" s="18"/>
      <c r="O699" s="18"/>
      <c r="P699" s="18"/>
      <c r="Q699" s="17"/>
      <c r="R699" s="18"/>
      <c r="S699" s="18"/>
      <c r="T699" s="18"/>
      <c r="U699" s="18"/>
      <c r="V699" s="18"/>
      <c r="W699" s="18"/>
      <c r="X699" s="18"/>
      <c r="Y699" s="18"/>
      <c r="Z699" s="18"/>
      <c r="AA699" s="18"/>
      <c r="AB699" s="17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  <c r="AS699" s="18"/>
      <c r="AT699" s="18"/>
      <c r="AU699" s="18"/>
      <c r="AV699" s="18"/>
      <c r="AW699" s="18"/>
      <c r="AX699" s="18"/>
    </row>
    <row r="700" spans="1:50" ht="15">
      <c r="A700" s="18"/>
      <c r="B700" s="18"/>
      <c r="C700" s="18"/>
      <c r="D700" s="18"/>
      <c r="E700" s="18"/>
      <c r="F700" s="18"/>
      <c r="G700" s="18"/>
      <c r="H700" s="18"/>
      <c r="I700" s="17"/>
      <c r="J700" s="18"/>
      <c r="K700" s="17"/>
      <c r="L700" s="18"/>
      <c r="M700" s="20"/>
      <c r="N700" s="18"/>
      <c r="O700" s="18"/>
      <c r="P700" s="18"/>
      <c r="Q700" s="17"/>
      <c r="R700" s="18"/>
      <c r="S700" s="18"/>
      <c r="T700" s="18"/>
      <c r="U700" s="18"/>
      <c r="V700" s="18"/>
      <c r="W700" s="18"/>
      <c r="X700" s="18"/>
      <c r="Y700" s="18"/>
      <c r="Z700" s="18"/>
      <c r="AA700" s="18"/>
      <c r="AB700" s="17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  <c r="AS700" s="18"/>
      <c r="AT700" s="18"/>
      <c r="AU700" s="18"/>
      <c r="AV700" s="18"/>
      <c r="AW700" s="18"/>
      <c r="AX700" s="18"/>
    </row>
    <row r="701" spans="1:50" ht="15">
      <c r="A701" s="18"/>
      <c r="B701" s="18"/>
      <c r="C701" s="18"/>
      <c r="D701" s="18"/>
      <c r="E701" s="18"/>
      <c r="F701" s="18"/>
      <c r="G701" s="18"/>
      <c r="H701" s="18"/>
      <c r="I701" s="17"/>
      <c r="J701" s="18"/>
      <c r="K701" s="17"/>
      <c r="L701" s="18"/>
      <c r="M701" s="20"/>
      <c r="N701" s="18"/>
      <c r="O701" s="18"/>
      <c r="P701" s="18"/>
      <c r="Q701" s="17"/>
      <c r="R701" s="18"/>
      <c r="S701" s="18"/>
      <c r="T701" s="18"/>
      <c r="U701" s="18"/>
      <c r="V701" s="18"/>
      <c r="W701" s="18"/>
      <c r="X701" s="18"/>
      <c r="Y701" s="18"/>
      <c r="Z701" s="18"/>
      <c r="AA701" s="18"/>
      <c r="AB701" s="17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</row>
    <row r="702" spans="1:50" ht="15">
      <c r="A702" s="18"/>
      <c r="B702" s="18"/>
      <c r="C702" s="18"/>
      <c r="D702" s="18"/>
      <c r="E702" s="18"/>
      <c r="F702" s="18"/>
      <c r="G702" s="18"/>
      <c r="H702" s="18"/>
      <c r="I702" s="17"/>
      <c r="J702" s="18"/>
      <c r="K702" s="17"/>
      <c r="L702" s="18"/>
      <c r="M702" s="20"/>
      <c r="N702" s="18"/>
      <c r="O702" s="18"/>
      <c r="P702" s="18"/>
      <c r="Q702" s="17"/>
      <c r="R702" s="18"/>
      <c r="S702" s="18"/>
      <c r="T702" s="18"/>
      <c r="U702" s="18"/>
      <c r="V702" s="18"/>
      <c r="W702" s="18"/>
      <c r="X702" s="18"/>
      <c r="Y702" s="18"/>
      <c r="Z702" s="18"/>
      <c r="AA702" s="18"/>
      <c r="AB702" s="17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  <c r="AS702" s="18"/>
      <c r="AT702" s="18"/>
      <c r="AU702" s="18"/>
      <c r="AV702" s="18"/>
      <c r="AW702" s="18"/>
      <c r="AX702" s="18"/>
    </row>
    <row r="703" spans="1:50" ht="15">
      <c r="A703" s="18"/>
      <c r="B703" s="18"/>
      <c r="C703" s="18"/>
      <c r="D703" s="18"/>
      <c r="E703" s="18"/>
      <c r="F703" s="18"/>
      <c r="G703" s="18"/>
      <c r="H703" s="18"/>
      <c r="I703" s="17"/>
      <c r="J703" s="18"/>
      <c r="K703" s="17"/>
      <c r="L703" s="18"/>
      <c r="M703" s="20"/>
      <c r="N703" s="18"/>
      <c r="O703" s="18"/>
      <c r="P703" s="18"/>
      <c r="Q703" s="17"/>
      <c r="R703" s="18"/>
      <c r="S703" s="18"/>
      <c r="T703" s="18"/>
      <c r="U703" s="18"/>
      <c r="V703" s="18"/>
      <c r="W703" s="18"/>
      <c r="X703" s="18"/>
      <c r="Y703" s="18"/>
      <c r="Z703" s="18"/>
      <c r="AA703" s="18"/>
      <c r="AB703" s="17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  <c r="AS703" s="18"/>
      <c r="AT703" s="18"/>
      <c r="AU703" s="18"/>
      <c r="AV703" s="18"/>
      <c r="AW703" s="18"/>
      <c r="AX703" s="18"/>
    </row>
    <row r="704" spans="1:50" ht="15">
      <c r="A704" s="18"/>
      <c r="B704" s="18"/>
      <c r="C704" s="18"/>
      <c r="D704" s="18"/>
      <c r="E704" s="18"/>
      <c r="F704" s="18"/>
      <c r="G704" s="18"/>
      <c r="H704" s="18"/>
      <c r="I704" s="17"/>
      <c r="J704" s="18"/>
      <c r="K704" s="17"/>
      <c r="L704" s="18"/>
      <c r="M704" s="20"/>
      <c r="N704" s="18"/>
      <c r="O704" s="18"/>
      <c r="P704" s="18"/>
      <c r="Q704" s="17"/>
      <c r="R704" s="18"/>
      <c r="S704" s="18"/>
      <c r="T704" s="18"/>
      <c r="U704" s="18"/>
      <c r="V704" s="18"/>
      <c r="W704" s="18"/>
      <c r="X704" s="18"/>
      <c r="Y704" s="18"/>
      <c r="Z704" s="18"/>
      <c r="AA704" s="18"/>
      <c r="AB704" s="17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  <c r="AS704" s="18"/>
      <c r="AT704" s="18"/>
      <c r="AU704" s="18"/>
      <c r="AV704" s="18"/>
      <c r="AW704" s="18"/>
      <c r="AX704" s="18"/>
    </row>
    <row r="705" spans="1:50" ht="15">
      <c r="A705" s="18"/>
      <c r="B705" s="18"/>
      <c r="C705" s="18"/>
      <c r="D705" s="18"/>
      <c r="E705" s="18"/>
      <c r="F705" s="18"/>
      <c r="G705" s="18"/>
      <c r="H705" s="18"/>
      <c r="I705" s="17"/>
      <c r="J705" s="18"/>
      <c r="K705" s="17"/>
      <c r="L705" s="18"/>
      <c r="M705" s="20"/>
      <c r="N705" s="18"/>
      <c r="O705" s="18"/>
      <c r="P705" s="18"/>
      <c r="Q705" s="17"/>
      <c r="R705" s="18"/>
      <c r="S705" s="18"/>
      <c r="T705" s="18"/>
      <c r="U705" s="18"/>
      <c r="V705" s="18"/>
      <c r="W705" s="18"/>
      <c r="X705" s="18"/>
      <c r="Y705" s="18"/>
      <c r="Z705" s="18"/>
      <c r="AA705" s="18"/>
      <c r="AB705" s="17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  <c r="AS705" s="18"/>
      <c r="AT705" s="18"/>
      <c r="AU705" s="18"/>
      <c r="AV705" s="18"/>
      <c r="AW705" s="18"/>
      <c r="AX705" s="18"/>
    </row>
    <row r="706" spans="1:50" ht="15">
      <c r="A706" s="18"/>
      <c r="B706" s="18"/>
      <c r="C706" s="18"/>
      <c r="D706" s="18"/>
      <c r="E706" s="18"/>
      <c r="F706" s="18"/>
      <c r="G706" s="18"/>
      <c r="H706" s="18"/>
      <c r="I706" s="17"/>
      <c r="J706" s="18"/>
      <c r="K706" s="17"/>
      <c r="L706" s="18"/>
      <c r="M706" s="20"/>
      <c r="N706" s="18"/>
      <c r="O706" s="18"/>
      <c r="P706" s="18"/>
      <c r="Q706" s="17"/>
      <c r="R706" s="18"/>
      <c r="S706" s="18"/>
      <c r="T706" s="18"/>
      <c r="U706" s="18"/>
      <c r="V706" s="18"/>
      <c r="W706" s="18"/>
      <c r="X706" s="18"/>
      <c r="Y706" s="18"/>
      <c r="Z706" s="18"/>
      <c r="AA706" s="18"/>
      <c r="AB706" s="17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  <c r="AS706" s="18"/>
      <c r="AT706" s="18"/>
      <c r="AU706" s="18"/>
      <c r="AV706" s="18"/>
      <c r="AW706" s="18"/>
      <c r="AX706" s="18"/>
    </row>
    <row r="707" spans="1:50" ht="15">
      <c r="A707" s="18"/>
      <c r="B707" s="18"/>
      <c r="C707" s="18"/>
      <c r="D707" s="18"/>
      <c r="E707" s="18"/>
      <c r="F707" s="18"/>
      <c r="G707" s="18"/>
      <c r="H707" s="18"/>
      <c r="I707" s="17"/>
      <c r="J707" s="18"/>
      <c r="K707" s="17"/>
      <c r="L707" s="18"/>
      <c r="M707" s="20"/>
      <c r="N707" s="18"/>
      <c r="O707" s="18"/>
      <c r="P707" s="18"/>
      <c r="Q707" s="17"/>
      <c r="R707" s="18"/>
      <c r="S707" s="18"/>
      <c r="T707" s="18"/>
      <c r="U707" s="18"/>
      <c r="V707" s="18"/>
      <c r="W707" s="18"/>
      <c r="X707" s="18"/>
      <c r="Y707" s="18"/>
      <c r="Z707" s="18"/>
      <c r="AA707" s="18"/>
      <c r="AB707" s="17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  <c r="AS707" s="18"/>
      <c r="AT707" s="18"/>
      <c r="AU707" s="18"/>
      <c r="AV707" s="18"/>
      <c r="AW707" s="18"/>
      <c r="AX707" s="18"/>
    </row>
    <row r="708" spans="1:50" ht="15">
      <c r="A708" s="18"/>
      <c r="B708" s="18"/>
      <c r="C708" s="18"/>
      <c r="D708" s="18"/>
      <c r="E708" s="18"/>
      <c r="F708" s="18"/>
      <c r="G708" s="18"/>
      <c r="H708" s="18"/>
      <c r="I708" s="17"/>
      <c r="J708" s="18"/>
      <c r="K708" s="17"/>
      <c r="L708" s="18"/>
      <c r="M708" s="20"/>
      <c r="N708" s="18"/>
      <c r="O708" s="18"/>
      <c r="P708" s="18"/>
      <c r="Q708" s="17"/>
      <c r="R708" s="18"/>
      <c r="S708" s="18"/>
      <c r="T708" s="18"/>
      <c r="U708" s="18"/>
      <c r="V708" s="18"/>
      <c r="W708" s="18"/>
      <c r="X708" s="18"/>
      <c r="Y708" s="18"/>
      <c r="Z708" s="18"/>
      <c r="AA708" s="18"/>
      <c r="AB708" s="17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  <c r="AS708" s="18"/>
      <c r="AT708" s="18"/>
      <c r="AU708" s="18"/>
      <c r="AV708" s="18"/>
      <c r="AW708" s="18"/>
      <c r="AX708" s="18"/>
    </row>
    <row r="709" spans="1:50" ht="15">
      <c r="A709" s="18"/>
      <c r="B709" s="18"/>
      <c r="C709" s="18"/>
      <c r="D709" s="18"/>
      <c r="E709" s="18"/>
      <c r="F709" s="18"/>
      <c r="G709" s="18"/>
      <c r="H709" s="18"/>
      <c r="I709" s="17"/>
      <c r="J709" s="18"/>
      <c r="K709" s="17"/>
      <c r="L709" s="18"/>
      <c r="M709" s="20"/>
      <c r="N709" s="18"/>
      <c r="O709" s="18"/>
      <c r="P709" s="18"/>
      <c r="Q709" s="17"/>
      <c r="R709" s="18"/>
      <c r="S709" s="18"/>
      <c r="T709" s="18"/>
      <c r="U709" s="18"/>
      <c r="V709" s="18"/>
      <c r="W709" s="18"/>
      <c r="X709" s="18"/>
      <c r="Y709" s="18"/>
      <c r="Z709" s="18"/>
      <c r="AA709" s="18"/>
      <c r="AB709" s="17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  <c r="AS709" s="18"/>
      <c r="AT709" s="18"/>
      <c r="AU709" s="18"/>
      <c r="AV709" s="18"/>
      <c r="AW709" s="18"/>
      <c r="AX709" s="18"/>
    </row>
    <row r="710" spans="1:50" ht="15">
      <c r="A710" s="18"/>
      <c r="B710" s="18"/>
      <c r="C710" s="18"/>
      <c r="D710" s="18"/>
      <c r="E710" s="18"/>
      <c r="F710" s="18"/>
      <c r="G710" s="18"/>
      <c r="H710" s="18"/>
      <c r="I710" s="17"/>
      <c r="J710" s="18"/>
      <c r="K710" s="17"/>
      <c r="L710" s="18"/>
      <c r="M710" s="20"/>
      <c r="N710" s="18"/>
      <c r="O710" s="18"/>
      <c r="P710" s="18"/>
      <c r="Q710" s="17"/>
      <c r="R710" s="18"/>
      <c r="S710" s="18"/>
      <c r="T710" s="18"/>
      <c r="U710" s="18"/>
      <c r="V710" s="18"/>
      <c r="W710" s="18"/>
      <c r="X710" s="18"/>
      <c r="Y710" s="18"/>
      <c r="Z710" s="18"/>
      <c r="AA710" s="18"/>
      <c r="AB710" s="17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  <c r="AS710" s="18"/>
      <c r="AT710" s="18"/>
      <c r="AU710" s="18"/>
      <c r="AV710" s="18"/>
      <c r="AW710" s="18"/>
      <c r="AX710" s="18"/>
    </row>
    <row r="711" spans="1:50" ht="15">
      <c r="A711" s="18"/>
      <c r="B711" s="18"/>
      <c r="C711" s="18"/>
      <c r="D711" s="18"/>
      <c r="E711" s="18"/>
      <c r="F711" s="18"/>
      <c r="G711" s="18"/>
      <c r="H711" s="18"/>
      <c r="I711" s="17"/>
      <c r="J711" s="18"/>
      <c r="K711" s="17"/>
      <c r="L711" s="18"/>
      <c r="M711" s="20"/>
      <c r="N711" s="18"/>
      <c r="O711" s="18"/>
      <c r="P711" s="18"/>
      <c r="Q711" s="17"/>
      <c r="R711" s="18"/>
      <c r="S711" s="18"/>
      <c r="T711" s="18"/>
      <c r="U711" s="18"/>
      <c r="V711" s="18"/>
      <c r="W711" s="18"/>
      <c r="X711" s="18"/>
      <c r="Y711" s="18"/>
      <c r="Z711" s="18"/>
      <c r="AA711" s="18"/>
      <c r="AB711" s="17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  <c r="AS711" s="18"/>
      <c r="AT711" s="18"/>
      <c r="AU711" s="18"/>
      <c r="AV711" s="18"/>
      <c r="AW711" s="18"/>
      <c r="AX711" s="18"/>
    </row>
    <row r="712" spans="1:50" ht="15">
      <c r="A712" s="18"/>
      <c r="B712" s="18"/>
      <c r="C712" s="18"/>
      <c r="D712" s="18"/>
      <c r="E712" s="18"/>
      <c r="F712" s="18"/>
      <c r="G712" s="18"/>
      <c r="H712" s="18"/>
      <c r="I712" s="17"/>
      <c r="J712" s="18"/>
      <c r="K712" s="17"/>
      <c r="L712" s="18"/>
      <c r="M712" s="20"/>
      <c r="N712" s="18"/>
      <c r="O712" s="18"/>
      <c r="P712" s="18"/>
      <c r="Q712" s="17"/>
      <c r="R712" s="18"/>
      <c r="S712" s="18"/>
      <c r="T712" s="18"/>
      <c r="U712" s="18"/>
      <c r="V712" s="18"/>
      <c r="W712" s="18"/>
      <c r="X712" s="18"/>
      <c r="Y712" s="18"/>
      <c r="Z712" s="18"/>
      <c r="AA712" s="18"/>
      <c r="AB712" s="17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  <c r="AS712" s="18"/>
      <c r="AT712" s="18"/>
      <c r="AU712" s="18"/>
      <c r="AV712" s="18"/>
      <c r="AW712" s="18"/>
      <c r="AX712" s="18"/>
    </row>
    <row r="713" spans="1:50" ht="15">
      <c r="A713" s="18"/>
      <c r="B713" s="18"/>
      <c r="C713" s="18"/>
      <c r="D713" s="18"/>
      <c r="E713" s="18"/>
      <c r="F713" s="18"/>
      <c r="G713" s="18"/>
      <c r="H713" s="18"/>
      <c r="I713" s="17"/>
      <c r="J713" s="18"/>
      <c r="K713" s="17"/>
      <c r="L713" s="18"/>
      <c r="M713" s="20"/>
      <c r="N713" s="18"/>
      <c r="O713" s="18"/>
      <c r="P713" s="18"/>
      <c r="Q713" s="17"/>
      <c r="R713" s="18"/>
      <c r="S713" s="18"/>
      <c r="T713" s="18"/>
      <c r="U713" s="18"/>
      <c r="V713" s="18"/>
      <c r="W713" s="18"/>
      <c r="X713" s="18"/>
      <c r="Y713" s="18"/>
      <c r="Z713" s="18"/>
      <c r="AA713" s="18"/>
      <c r="AB713" s="17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  <c r="AS713" s="18"/>
      <c r="AT713" s="18"/>
      <c r="AU713" s="18"/>
      <c r="AV713" s="18"/>
      <c r="AW713" s="18"/>
      <c r="AX713" s="18"/>
    </row>
    <row r="714" spans="1:50" ht="15">
      <c r="A714" s="18"/>
      <c r="B714" s="18"/>
      <c r="C714" s="18"/>
      <c r="D714" s="18"/>
      <c r="E714" s="18"/>
      <c r="F714" s="18"/>
      <c r="G714" s="18"/>
      <c r="H714" s="18"/>
      <c r="I714" s="17"/>
      <c r="J714" s="18"/>
      <c r="K714" s="17"/>
      <c r="L714" s="18"/>
      <c r="M714" s="20"/>
      <c r="N714" s="18"/>
      <c r="O714" s="18"/>
      <c r="P714" s="18"/>
      <c r="Q714" s="17"/>
      <c r="R714" s="18"/>
      <c r="S714" s="18"/>
      <c r="T714" s="18"/>
      <c r="U714" s="18"/>
      <c r="V714" s="18"/>
      <c r="W714" s="18"/>
      <c r="X714" s="18"/>
      <c r="Y714" s="18"/>
      <c r="Z714" s="18"/>
      <c r="AA714" s="18"/>
      <c r="AB714" s="17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  <c r="AS714" s="18"/>
      <c r="AT714" s="18"/>
      <c r="AU714" s="18"/>
      <c r="AV714" s="18"/>
      <c r="AW714" s="18"/>
      <c r="AX714" s="18"/>
    </row>
    <row r="715" spans="1:50" ht="15">
      <c r="A715" s="18"/>
      <c r="B715" s="18"/>
      <c r="C715" s="18"/>
      <c r="D715" s="18"/>
      <c r="E715" s="18"/>
      <c r="F715" s="18"/>
      <c r="G715" s="18"/>
      <c r="H715" s="18"/>
      <c r="I715" s="17"/>
      <c r="J715" s="18"/>
      <c r="K715" s="17"/>
      <c r="L715" s="18"/>
      <c r="M715" s="20"/>
      <c r="N715" s="18"/>
      <c r="O715" s="18"/>
      <c r="P715" s="18"/>
      <c r="Q715" s="17"/>
      <c r="R715" s="18"/>
      <c r="S715" s="18"/>
      <c r="T715" s="18"/>
      <c r="U715" s="18"/>
      <c r="V715" s="18"/>
      <c r="W715" s="18"/>
      <c r="X715" s="18"/>
      <c r="Y715" s="18"/>
      <c r="Z715" s="18"/>
      <c r="AA715" s="18"/>
      <c r="AB715" s="17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  <c r="AS715" s="18"/>
      <c r="AT715" s="18"/>
      <c r="AU715" s="18"/>
      <c r="AV715" s="18"/>
      <c r="AW715" s="18"/>
      <c r="AX715" s="18"/>
    </row>
    <row r="716" spans="1:50" ht="15">
      <c r="A716" s="18"/>
      <c r="B716" s="18"/>
      <c r="C716" s="18"/>
      <c r="D716" s="18"/>
      <c r="E716" s="18"/>
      <c r="F716" s="18"/>
      <c r="G716" s="18"/>
      <c r="H716" s="18"/>
      <c r="I716" s="17"/>
      <c r="J716" s="18"/>
      <c r="K716" s="17"/>
      <c r="L716" s="18"/>
      <c r="M716" s="20"/>
      <c r="N716" s="18"/>
      <c r="O716" s="18"/>
      <c r="P716" s="18"/>
      <c r="Q716" s="17"/>
      <c r="R716" s="18"/>
      <c r="S716" s="18"/>
      <c r="T716" s="18"/>
      <c r="U716" s="18"/>
      <c r="V716" s="18"/>
      <c r="W716" s="18"/>
      <c r="X716" s="18"/>
      <c r="Y716" s="18"/>
      <c r="Z716" s="18"/>
      <c r="AA716" s="18"/>
      <c r="AB716" s="17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  <c r="AS716" s="18"/>
      <c r="AT716" s="18"/>
      <c r="AU716" s="18"/>
      <c r="AV716" s="18"/>
      <c r="AW716" s="18"/>
      <c r="AX716" s="18"/>
    </row>
    <row r="717" spans="1:50" ht="15">
      <c r="A717" s="18"/>
      <c r="B717" s="18"/>
      <c r="C717" s="18"/>
      <c r="D717" s="18"/>
      <c r="E717" s="18"/>
      <c r="F717" s="18"/>
      <c r="G717" s="18"/>
      <c r="H717" s="18"/>
      <c r="I717" s="17"/>
      <c r="J717" s="18"/>
      <c r="K717" s="17"/>
      <c r="L717" s="18"/>
      <c r="M717" s="20"/>
      <c r="N717" s="18"/>
      <c r="O717" s="18"/>
      <c r="P717" s="18"/>
      <c r="Q717" s="17"/>
      <c r="R717" s="18"/>
      <c r="S717" s="18"/>
      <c r="T717" s="18"/>
      <c r="U717" s="18"/>
      <c r="V717" s="18"/>
      <c r="W717" s="18"/>
      <c r="X717" s="18"/>
      <c r="Y717" s="18"/>
      <c r="Z717" s="18"/>
      <c r="AA717" s="18"/>
      <c r="AB717" s="17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  <c r="AS717" s="18"/>
      <c r="AT717" s="18"/>
      <c r="AU717" s="18"/>
      <c r="AV717" s="18"/>
      <c r="AW717" s="18"/>
      <c r="AX717" s="18"/>
    </row>
    <row r="718" spans="1:50" ht="15">
      <c r="A718" s="18"/>
      <c r="B718" s="18"/>
      <c r="C718" s="18"/>
      <c r="D718" s="18"/>
      <c r="E718" s="18"/>
      <c r="F718" s="18"/>
      <c r="G718" s="18"/>
      <c r="H718" s="18"/>
      <c r="I718" s="17"/>
      <c r="J718" s="18"/>
      <c r="K718" s="17"/>
      <c r="L718" s="18"/>
      <c r="M718" s="20"/>
      <c r="N718" s="18"/>
      <c r="O718" s="18"/>
      <c r="P718" s="18"/>
      <c r="Q718" s="17"/>
      <c r="R718" s="18"/>
      <c r="S718" s="18"/>
      <c r="T718" s="18"/>
      <c r="U718" s="18"/>
      <c r="V718" s="18"/>
      <c r="W718" s="18"/>
      <c r="X718" s="18"/>
      <c r="Y718" s="18"/>
      <c r="Z718" s="18"/>
      <c r="AA718" s="18"/>
      <c r="AB718" s="17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  <c r="AS718" s="18"/>
      <c r="AT718" s="18"/>
      <c r="AU718" s="18"/>
      <c r="AV718" s="18"/>
      <c r="AW718" s="18"/>
      <c r="AX718" s="18"/>
    </row>
    <row r="719" spans="1:50" ht="15">
      <c r="A719" s="18"/>
      <c r="B719" s="18"/>
      <c r="C719" s="18"/>
      <c r="D719" s="18"/>
      <c r="E719" s="18"/>
      <c r="F719" s="18"/>
      <c r="G719" s="18"/>
      <c r="H719" s="18"/>
      <c r="I719" s="17"/>
      <c r="J719" s="18"/>
      <c r="K719" s="17"/>
      <c r="L719" s="18"/>
      <c r="M719" s="20"/>
      <c r="N719" s="18"/>
      <c r="O719" s="18"/>
      <c r="P719" s="18"/>
      <c r="Q719" s="17"/>
      <c r="R719" s="18"/>
      <c r="S719" s="18"/>
      <c r="T719" s="18"/>
      <c r="U719" s="18"/>
      <c r="V719" s="18"/>
      <c r="W719" s="18"/>
      <c r="X719" s="18"/>
      <c r="Y719" s="18"/>
      <c r="Z719" s="18"/>
      <c r="AA719" s="18"/>
      <c r="AB719" s="17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</row>
    <row r="720" spans="1:50" ht="15">
      <c r="A720" s="18"/>
      <c r="B720" s="18"/>
      <c r="C720" s="18"/>
      <c r="D720" s="18"/>
      <c r="E720" s="18"/>
      <c r="F720" s="18"/>
      <c r="G720" s="18"/>
      <c r="H720" s="18"/>
      <c r="I720" s="17"/>
      <c r="J720" s="18"/>
      <c r="K720" s="17"/>
      <c r="L720" s="18"/>
      <c r="M720" s="20"/>
      <c r="N720" s="18"/>
      <c r="O720" s="18"/>
      <c r="P720" s="18"/>
      <c r="Q720" s="17"/>
      <c r="R720" s="18"/>
      <c r="S720" s="18"/>
      <c r="T720" s="18"/>
      <c r="U720" s="18"/>
      <c r="V720" s="18"/>
      <c r="W720" s="18"/>
      <c r="X720" s="18"/>
      <c r="Y720" s="18"/>
      <c r="Z720" s="18"/>
      <c r="AA720" s="18"/>
      <c r="AB720" s="17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 s="18"/>
      <c r="AV720" s="18"/>
      <c r="AW720" s="18"/>
      <c r="AX720" s="18"/>
    </row>
    <row r="721" spans="1:50" ht="15">
      <c r="A721" s="18"/>
      <c r="B721" s="18"/>
      <c r="C721" s="18"/>
      <c r="D721" s="18"/>
      <c r="E721" s="18"/>
      <c r="F721" s="18"/>
      <c r="G721" s="18"/>
      <c r="H721" s="18"/>
      <c r="I721" s="17"/>
      <c r="J721" s="18"/>
      <c r="K721" s="17"/>
      <c r="L721" s="18"/>
      <c r="M721" s="20"/>
      <c r="N721" s="18"/>
      <c r="O721" s="18"/>
      <c r="P721" s="18"/>
      <c r="Q721" s="17"/>
      <c r="R721" s="18"/>
      <c r="S721" s="18"/>
      <c r="T721" s="18"/>
      <c r="U721" s="18"/>
      <c r="V721" s="18"/>
      <c r="W721" s="18"/>
      <c r="X721" s="18"/>
      <c r="Y721" s="18"/>
      <c r="Z721" s="18"/>
      <c r="AA721" s="18"/>
      <c r="AB721" s="17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  <c r="AS721" s="18"/>
      <c r="AT721" s="18"/>
      <c r="AU721" s="18"/>
      <c r="AV721" s="18"/>
      <c r="AW721" s="18"/>
      <c r="AX721" s="18"/>
    </row>
    <row r="722" spans="1:50" ht="15">
      <c r="A722" s="18"/>
      <c r="B722" s="18"/>
      <c r="C722" s="18"/>
      <c r="D722" s="18"/>
      <c r="E722" s="18"/>
      <c r="F722" s="18"/>
      <c r="G722" s="18"/>
      <c r="H722" s="18"/>
      <c r="I722" s="17"/>
      <c r="J722" s="18"/>
      <c r="K722" s="17"/>
      <c r="L722" s="18"/>
      <c r="M722" s="20"/>
      <c r="N722" s="18"/>
      <c r="O722" s="18"/>
      <c r="P722" s="18"/>
      <c r="Q722" s="17"/>
      <c r="R722" s="18"/>
      <c r="S722" s="18"/>
      <c r="T722" s="18"/>
      <c r="U722" s="18"/>
      <c r="V722" s="18"/>
      <c r="W722" s="18"/>
      <c r="X722" s="18"/>
      <c r="Y722" s="18"/>
      <c r="Z722" s="18"/>
      <c r="AA722" s="18"/>
      <c r="AB722" s="17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  <c r="AS722" s="18"/>
      <c r="AT722" s="18"/>
      <c r="AU722" s="18"/>
      <c r="AV722" s="18"/>
      <c r="AW722" s="18"/>
      <c r="AX722" s="18"/>
    </row>
    <row r="723" spans="1:50" ht="15">
      <c r="A723" s="18"/>
      <c r="B723" s="18"/>
      <c r="C723" s="18"/>
      <c r="D723" s="18"/>
      <c r="E723" s="18"/>
      <c r="F723" s="18"/>
      <c r="G723" s="18"/>
      <c r="H723" s="18"/>
      <c r="I723" s="17"/>
      <c r="J723" s="18"/>
      <c r="K723" s="17"/>
      <c r="L723" s="18"/>
      <c r="M723" s="20"/>
      <c r="N723" s="18"/>
      <c r="O723" s="18"/>
      <c r="P723" s="18"/>
      <c r="Q723" s="17"/>
      <c r="R723" s="18"/>
      <c r="S723" s="18"/>
      <c r="T723" s="18"/>
      <c r="U723" s="18"/>
      <c r="V723" s="18"/>
      <c r="W723" s="18"/>
      <c r="X723" s="18"/>
      <c r="Y723" s="18"/>
      <c r="Z723" s="18"/>
      <c r="AA723" s="18"/>
      <c r="AB723" s="17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  <c r="AS723" s="18"/>
      <c r="AT723" s="18"/>
      <c r="AU723" s="18"/>
      <c r="AV723" s="18"/>
      <c r="AW723" s="18"/>
      <c r="AX723" s="18"/>
    </row>
    <row r="724" spans="1:50" ht="15">
      <c r="A724" s="18"/>
      <c r="B724" s="18"/>
      <c r="C724" s="18"/>
      <c r="D724" s="18"/>
      <c r="E724" s="18"/>
      <c r="F724" s="18"/>
      <c r="G724" s="18"/>
      <c r="H724" s="18"/>
      <c r="I724" s="17"/>
      <c r="J724" s="18"/>
      <c r="K724" s="17"/>
      <c r="L724" s="18"/>
      <c r="M724" s="20"/>
      <c r="N724" s="18"/>
      <c r="O724" s="18"/>
      <c r="P724" s="18"/>
      <c r="Q724" s="17"/>
      <c r="R724" s="18"/>
      <c r="S724" s="18"/>
      <c r="T724" s="18"/>
      <c r="U724" s="18"/>
      <c r="V724" s="18"/>
      <c r="W724" s="18"/>
      <c r="X724" s="18"/>
      <c r="Y724" s="18"/>
      <c r="Z724" s="18"/>
      <c r="AA724" s="18"/>
      <c r="AB724" s="17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  <c r="AS724" s="18"/>
      <c r="AT724" s="18"/>
      <c r="AU724" s="18"/>
      <c r="AV724" s="18"/>
      <c r="AW724" s="18"/>
      <c r="AX724" s="18"/>
    </row>
    <row r="725" spans="1:50" ht="15">
      <c r="A725" s="18"/>
      <c r="B725" s="18"/>
      <c r="C725" s="18"/>
      <c r="D725" s="18"/>
      <c r="E725" s="18"/>
      <c r="F725" s="18"/>
      <c r="G725" s="18"/>
      <c r="H725" s="18"/>
      <c r="I725" s="17"/>
      <c r="J725" s="18"/>
      <c r="K725" s="17"/>
      <c r="L725" s="18"/>
      <c r="M725" s="20"/>
      <c r="N725" s="18"/>
      <c r="O725" s="18"/>
      <c r="P725" s="18"/>
      <c r="Q725" s="17"/>
      <c r="R725" s="18"/>
      <c r="S725" s="18"/>
      <c r="T725" s="18"/>
      <c r="U725" s="18"/>
      <c r="V725" s="18"/>
      <c r="W725" s="18"/>
      <c r="X725" s="18"/>
      <c r="Y725" s="18"/>
      <c r="Z725" s="18"/>
      <c r="AA725" s="18"/>
      <c r="AB725" s="17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  <c r="AS725" s="18"/>
      <c r="AT725" s="18"/>
      <c r="AU725" s="18"/>
      <c r="AV725" s="18"/>
      <c r="AW725" s="18"/>
      <c r="AX725" s="18"/>
    </row>
    <row r="726" spans="1:50" ht="15">
      <c r="A726" s="18"/>
      <c r="B726" s="18"/>
      <c r="C726" s="18"/>
      <c r="D726" s="18"/>
      <c r="E726" s="18"/>
      <c r="F726" s="18"/>
      <c r="G726" s="18"/>
      <c r="H726" s="18"/>
      <c r="I726" s="17"/>
      <c r="J726" s="18"/>
      <c r="K726" s="17"/>
      <c r="L726" s="18"/>
      <c r="M726" s="20"/>
      <c r="N726" s="18"/>
      <c r="O726" s="18"/>
      <c r="P726" s="18"/>
      <c r="Q726" s="17"/>
      <c r="R726" s="18"/>
      <c r="S726" s="18"/>
      <c r="T726" s="18"/>
      <c r="U726" s="18"/>
      <c r="V726" s="18"/>
      <c r="W726" s="18"/>
      <c r="X726" s="18"/>
      <c r="Y726" s="18"/>
      <c r="Z726" s="18"/>
      <c r="AA726" s="18"/>
      <c r="AB726" s="17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  <c r="AS726" s="18"/>
      <c r="AT726" s="18"/>
      <c r="AU726" s="18"/>
      <c r="AV726" s="18"/>
      <c r="AW726" s="18"/>
      <c r="AX726" s="18"/>
    </row>
    <row r="727" spans="1:50" ht="15">
      <c r="A727" s="18"/>
      <c r="B727" s="18"/>
      <c r="C727" s="18"/>
      <c r="D727" s="18"/>
      <c r="E727" s="18"/>
      <c r="F727" s="18"/>
      <c r="G727" s="18"/>
      <c r="H727" s="18"/>
      <c r="I727" s="17"/>
      <c r="J727" s="18"/>
      <c r="K727" s="17"/>
      <c r="L727" s="18"/>
      <c r="M727" s="20"/>
      <c r="N727" s="18"/>
      <c r="O727" s="18"/>
      <c r="P727" s="18"/>
      <c r="Q727" s="17"/>
      <c r="R727" s="18"/>
      <c r="S727" s="18"/>
      <c r="T727" s="18"/>
      <c r="U727" s="18"/>
      <c r="V727" s="18"/>
      <c r="W727" s="18"/>
      <c r="X727" s="18"/>
      <c r="Y727" s="18"/>
      <c r="Z727" s="18"/>
      <c r="AA727" s="18"/>
      <c r="AB727" s="17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  <c r="AS727" s="18"/>
      <c r="AT727" s="18"/>
      <c r="AU727" s="18"/>
      <c r="AV727" s="18"/>
      <c r="AW727" s="18"/>
      <c r="AX727" s="18"/>
    </row>
    <row r="728" spans="1:50" ht="15">
      <c r="A728" s="18"/>
      <c r="B728" s="18"/>
      <c r="C728" s="18"/>
      <c r="D728" s="18"/>
      <c r="E728" s="18"/>
      <c r="F728" s="18"/>
      <c r="G728" s="18"/>
      <c r="H728" s="18"/>
      <c r="I728" s="17"/>
      <c r="J728" s="18"/>
      <c r="K728" s="17"/>
      <c r="L728" s="18"/>
      <c r="M728" s="20"/>
      <c r="N728" s="18"/>
      <c r="O728" s="18"/>
      <c r="P728" s="18"/>
      <c r="Q728" s="17"/>
      <c r="R728" s="18"/>
      <c r="S728" s="18"/>
      <c r="T728" s="18"/>
      <c r="U728" s="18"/>
      <c r="V728" s="18"/>
      <c r="W728" s="18"/>
      <c r="X728" s="18"/>
      <c r="Y728" s="18"/>
      <c r="Z728" s="18"/>
      <c r="AA728" s="18"/>
      <c r="AB728" s="17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  <c r="AS728" s="18"/>
      <c r="AT728" s="18"/>
      <c r="AU728" s="18"/>
      <c r="AV728" s="18"/>
      <c r="AW728" s="18"/>
      <c r="AX728" s="18"/>
    </row>
    <row r="729" spans="1:50" ht="15">
      <c r="A729" s="18"/>
      <c r="B729" s="18"/>
      <c r="C729" s="18"/>
      <c r="D729" s="18"/>
      <c r="E729" s="18"/>
      <c r="F729" s="18"/>
      <c r="G729" s="18"/>
      <c r="H729" s="18"/>
      <c r="I729" s="17"/>
      <c r="J729" s="18"/>
      <c r="K729" s="17"/>
      <c r="L729" s="18"/>
      <c r="M729" s="20"/>
      <c r="N729" s="18"/>
      <c r="O729" s="18"/>
      <c r="P729" s="18"/>
      <c r="Q729" s="17"/>
      <c r="R729" s="18"/>
      <c r="S729" s="18"/>
      <c r="T729" s="18"/>
      <c r="U729" s="18"/>
      <c r="V729" s="18"/>
      <c r="W729" s="18"/>
      <c r="X729" s="18"/>
      <c r="Y729" s="18"/>
      <c r="Z729" s="18"/>
      <c r="AA729" s="18"/>
      <c r="AB729" s="17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  <c r="AS729" s="18"/>
      <c r="AT729" s="18"/>
      <c r="AU729" s="18"/>
      <c r="AV729" s="18"/>
      <c r="AW729" s="18"/>
      <c r="AX729" s="18"/>
    </row>
    <row r="730" spans="1:50" ht="15">
      <c r="A730" s="18"/>
      <c r="B730" s="18"/>
      <c r="C730" s="18"/>
      <c r="D730" s="18"/>
      <c r="E730" s="18"/>
      <c r="F730" s="18"/>
      <c r="G730" s="18"/>
      <c r="H730" s="18"/>
      <c r="I730" s="17"/>
      <c r="J730" s="18"/>
      <c r="K730" s="17"/>
      <c r="L730" s="18"/>
      <c r="M730" s="20"/>
      <c r="N730" s="18"/>
      <c r="O730" s="18"/>
      <c r="P730" s="18"/>
      <c r="Q730" s="17"/>
      <c r="R730" s="18"/>
      <c r="S730" s="18"/>
      <c r="T730" s="18"/>
      <c r="U730" s="18"/>
      <c r="V730" s="18"/>
      <c r="W730" s="18"/>
      <c r="X730" s="18"/>
      <c r="Y730" s="18"/>
      <c r="Z730" s="18"/>
      <c r="AA730" s="18"/>
      <c r="AB730" s="17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  <c r="AS730" s="18"/>
      <c r="AT730" s="18"/>
      <c r="AU730" s="18"/>
      <c r="AV730" s="18"/>
      <c r="AW730" s="18"/>
      <c r="AX730" s="18"/>
    </row>
    <row r="731" spans="1:50" ht="15">
      <c r="A731" s="18"/>
      <c r="B731" s="18"/>
      <c r="C731" s="18"/>
      <c r="D731" s="18"/>
      <c r="E731" s="18"/>
      <c r="F731" s="18"/>
      <c r="G731" s="18"/>
      <c r="H731" s="18"/>
      <c r="I731" s="17"/>
      <c r="J731" s="18"/>
      <c r="K731" s="17"/>
      <c r="L731" s="18"/>
      <c r="M731" s="20"/>
      <c r="N731" s="18"/>
      <c r="O731" s="18"/>
      <c r="P731" s="18"/>
      <c r="Q731" s="17"/>
      <c r="R731" s="18"/>
      <c r="S731" s="18"/>
      <c r="T731" s="18"/>
      <c r="U731" s="18"/>
      <c r="V731" s="18"/>
      <c r="W731" s="18"/>
      <c r="X731" s="18"/>
      <c r="Y731" s="18"/>
      <c r="Z731" s="18"/>
      <c r="AA731" s="18"/>
      <c r="AB731" s="17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  <c r="AS731" s="18"/>
      <c r="AT731" s="18"/>
      <c r="AU731" s="18"/>
      <c r="AV731" s="18"/>
      <c r="AW731" s="18"/>
      <c r="AX731" s="18"/>
    </row>
    <row r="732" spans="1:50" ht="15">
      <c r="A732" s="18"/>
      <c r="B732" s="18"/>
      <c r="C732" s="18"/>
      <c r="D732" s="18"/>
      <c r="E732" s="18"/>
      <c r="F732" s="18"/>
      <c r="G732" s="18"/>
      <c r="H732" s="18"/>
      <c r="I732" s="17"/>
      <c r="J732" s="18"/>
      <c r="K732" s="17"/>
      <c r="L732" s="18"/>
      <c r="M732" s="20"/>
      <c r="N732" s="18"/>
      <c r="O732" s="18"/>
      <c r="P732" s="18"/>
      <c r="Q732" s="17"/>
      <c r="R732" s="18"/>
      <c r="S732" s="18"/>
      <c r="T732" s="18"/>
      <c r="U732" s="18"/>
      <c r="V732" s="18"/>
      <c r="W732" s="18"/>
      <c r="X732" s="18"/>
      <c r="Y732" s="18"/>
      <c r="Z732" s="18"/>
      <c r="AA732" s="18"/>
      <c r="AB732" s="17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  <c r="AS732" s="18"/>
      <c r="AT732" s="18"/>
      <c r="AU732" s="18"/>
      <c r="AV732" s="18"/>
      <c r="AW732" s="18"/>
      <c r="AX732" s="18"/>
    </row>
    <row r="733" spans="1:50" ht="15">
      <c r="A733" s="18"/>
      <c r="B733" s="18"/>
      <c r="C733" s="18"/>
      <c r="D733" s="18"/>
      <c r="E733" s="18"/>
      <c r="F733" s="18"/>
      <c r="G733" s="18"/>
      <c r="H733" s="18"/>
      <c r="I733" s="17"/>
      <c r="J733" s="18"/>
      <c r="K733" s="17"/>
      <c r="L733" s="18"/>
      <c r="M733" s="20"/>
      <c r="N733" s="18"/>
      <c r="O733" s="18"/>
      <c r="P733" s="18"/>
      <c r="Q733" s="17"/>
      <c r="R733" s="18"/>
      <c r="S733" s="18"/>
      <c r="T733" s="18"/>
      <c r="U733" s="18"/>
      <c r="V733" s="18"/>
      <c r="W733" s="18"/>
      <c r="X733" s="18"/>
      <c r="Y733" s="18"/>
      <c r="Z733" s="18"/>
      <c r="AA733" s="18"/>
      <c r="AB733" s="17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  <c r="AS733" s="18"/>
      <c r="AT733" s="18"/>
      <c r="AU733" s="18"/>
      <c r="AV733" s="18"/>
      <c r="AW733" s="18"/>
      <c r="AX733" s="18"/>
    </row>
    <row r="734" spans="1:50" ht="15">
      <c r="A734" s="18"/>
      <c r="B734" s="18"/>
      <c r="C734" s="18"/>
      <c r="D734" s="18"/>
      <c r="E734" s="18"/>
      <c r="F734" s="18"/>
      <c r="G734" s="18"/>
      <c r="H734" s="18"/>
      <c r="I734" s="17"/>
      <c r="J734" s="18"/>
      <c r="K734" s="17"/>
      <c r="L734" s="18"/>
      <c r="M734" s="20"/>
      <c r="N734" s="18"/>
      <c r="O734" s="18"/>
      <c r="P734" s="18"/>
      <c r="Q734" s="17"/>
      <c r="R734" s="18"/>
      <c r="S734" s="18"/>
      <c r="T734" s="18"/>
      <c r="U734" s="18"/>
      <c r="V734" s="18"/>
      <c r="W734" s="18"/>
      <c r="X734" s="18"/>
      <c r="Y734" s="18"/>
      <c r="Z734" s="18"/>
      <c r="AA734" s="18"/>
      <c r="AB734" s="17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  <c r="AS734" s="18"/>
      <c r="AT734" s="18"/>
      <c r="AU734" s="18"/>
      <c r="AV734" s="18"/>
      <c r="AW734" s="18"/>
      <c r="AX734" s="18"/>
    </row>
    <row r="735" spans="1:50" ht="15">
      <c r="A735" s="18"/>
      <c r="B735" s="18"/>
      <c r="C735" s="18"/>
      <c r="D735" s="18"/>
      <c r="E735" s="18"/>
      <c r="F735" s="18"/>
      <c r="G735" s="18"/>
      <c r="H735" s="18"/>
      <c r="I735" s="17"/>
      <c r="J735" s="18"/>
      <c r="K735" s="17"/>
      <c r="L735" s="18"/>
      <c r="M735" s="20"/>
      <c r="N735" s="18"/>
      <c r="O735" s="18"/>
      <c r="P735" s="18"/>
      <c r="Q735" s="17"/>
      <c r="R735" s="18"/>
      <c r="S735" s="18"/>
      <c r="T735" s="18"/>
      <c r="U735" s="18"/>
      <c r="V735" s="18"/>
      <c r="W735" s="18"/>
      <c r="X735" s="18"/>
      <c r="Y735" s="18"/>
      <c r="Z735" s="18"/>
      <c r="AA735" s="18"/>
      <c r="AB735" s="17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  <c r="AS735" s="18"/>
      <c r="AT735" s="18"/>
      <c r="AU735" s="18"/>
      <c r="AV735" s="18"/>
      <c r="AW735" s="18"/>
      <c r="AX735" s="18"/>
    </row>
    <row r="736" spans="1:50" ht="15">
      <c r="A736" s="18"/>
      <c r="B736" s="18"/>
      <c r="C736" s="18"/>
      <c r="D736" s="18"/>
      <c r="E736" s="18"/>
      <c r="F736" s="18"/>
      <c r="G736" s="18"/>
      <c r="H736" s="18"/>
      <c r="I736" s="17"/>
      <c r="J736" s="18"/>
      <c r="K736" s="17"/>
      <c r="L736" s="18"/>
      <c r="M736" s="20"/>
      <c r="N736" s="18"/>
      <c r="O736" s="18"/>
      <c r="P736" s="18"/>
      <c r="Q736" s="17"/>
      <c r="R736" s="18"/>
      <c r="S736" s="18"/>
      <c r="T736" s="18"/>
      <c r="U736" s="18"/>
      <c r="V736" s="18"/>
      <c r="W736" s="18"/>
      <c r="X736" s="18"/>
      <c r="Y736" s="18"/>
      <c r="Z736" s="18"/>
      <c r="AA736" s="18"/>
      <c r="AB736" s="17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  <c r="AS736" s="18"/>
      <c r="AT736" s="18"/>
      <c r="AU736" s="18"/>
      <c r="AV736" s="18"/>
      <c r="AW736" s="18"/>
      <c r="AX736" s="18"/>
    </row>
    <row r="737" spans="1:50" ht="15">
      <c r="A737" s="18"/>
      <c r="B737" s="18"/>
      <c r="C737" s="18"/>
      <c r="D737" s="18"/>
      <c r="E737" s="18"/>
      <c r="F737" s="18"/>
      <c r="G737" s="18"/>
      <c r="H737" s="18"/>
      <c r="I737" s="17"/>
      <c r="J737" s="18"/>
      <c r="K737" s="17"/>
      <c r="L737" s="18"/>
      <c r="M737" s="20"/>
      <c r="N737" s="18"/>
      <c r="O737" s="18"/>
      <c r="P737" s="18"/>
      <c r="Q737" s="17"/>
      <c r="R737" s="18"/>
      <c r="S737" s="18"/>
      <c r="T737" s="18"/>
      <c r="U737" s="18"/>
      <c r="V737" s="18"/>
      <c r="W737" s="18"/>
      <c r="X737" s="18"/>
      <c r="Y737" s="18"/>
      <c r="Z737" s="18"/>
      <c r="AA737" s="18"/>
      <c r="AB737" s="17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  <c r="AS737" s="18"/>
      <c r="AT737" s="18"/>
      <c r="AU737" s="18"/>
      <c r="AV737" s="18"/>
      <c r="AW737" s="18"/>
      <c r="AX737" s="18"/>
    </row>
    <row r="738" spans="1:50" ht="15">
      <c r="A738" s="18"/>
      <c r="B738" s="18"/>
      <c r="C738" s="18"/>
      <c r="D738" s="18"/>
      <c r="E738" s="18"/>
      <c r="F738" s="18"/>
      <c r="G738" s="18"/>
      <c r="H738" s="18"/>
      <c r="I738" s="17"/>
      <c r="J738" s="18"/>
      <c r="K738" s="17"/>
      <c r="L738" s="18"/>
      <c r="M738" s="20"/>
      <c r="N738" s="18"/>
      <c r="O738" s="18"/>
      <c r="P738" s="18"/>
      <c r="Q738" s="17"/>
      <c r="R738" s="18"/>
      <c r="S738" s="18"/>
      <c r="T738" s="18"/>
      <c r="U738" s="18"/>
      <c r="V738" s="18"/>
      <c r="W738" s="18"/>
      <c r="X738" s="18"/>
      <c r="Y738" s="18"/>
      <c r="Z738" s="18"/>
      <c r="AA738" s="18"/>
      <c r="AB738" s="17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  <c r="AS738" s="18"/>
      <c r="AT738" s="18"/>
      <c r="AU738" s="18"/>
      <c r="AV738" s="18"/>
      <c r="AW738" s="18"/>
      <c r="AX738" s="18"/>
    </row>
    <row r="739" spans="1:50" ht="15">
      <c r="A739" s="18"/>
      <c r="B739" s="18"/>
      <c r="C739" s="18"/>
      <c r="D739" s="18"/>
      <c r="E739" s="18"/>
      <c r="F739" s="18"/>
      <c r="G739" s="18"/>
      <c r="H739" s="18"/>
      <c r="I739" s="17"/>
      <c r="J739" s="18"/>
      <c r="K739" s="17"/>
      <c r="L739" s="18"/>
      <c r="M739" s="20"/>
      <c r="N739" s="18"/>
      <c r="O739" s="18"/>
      <c r="P739" s="18"/>
      <c r="Q739" s="17"/>
      <c r="R739" s="18"/>
      <c r="S739" s="18"/>
      <c r="T739" s="18"/>
      <c r="U739" s="18"/>
      <c r="V739" s="18"/>
      <c r="W739" s="18"/>
      <c r="X739" s="18"/>
      <c r="Y739" s="18"/>
      <c r="Z739" s="18"/>
      <c r="AA739" s="18"/>
      <c r="AB739" s="17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  <c r="AS739" s="18"/>
      <c r="AT739" s="18"/>
      <c r="AU739" s="18"/>
      <c r="AV739" s="18"/>
      <c r="AW739" s="18"/>
      <c r="AX739" s="18"/>
    </row>
    <row r="740" spans="1:50" ht="15">
      <c r="A740" s="18"/>
      <c r="B740" s="18"/>
      <c r="C740" s="18"/>
      <c r="D740" s="18"/>
      <c r="E740" s="18"/>
      <c r="F740" s="18"/>
      <c r="G740" s="18"/>
      <c r="H740" s="18"/>
      <c r="I740" s="17"/>
      <c r="J740" s="18"/>
      <c r="K740" s="17"/>
      <c r="L740" s="18"/>
      <c r="M740" s="20"/>
      <c r="N740" s="18"/>
      <c r="O740" s="18"/>
      <c r="P740" s="18"/>
      <c r="Q740" s="17"/>
      <c r="R740" s="18"/>
      <c r="S740" s="18"/>
      <c r="T740" s="18"/>
      <c r="U740" s="18"/>
      <c r="V740" s="18"/>
      <c r="W740" s="18"/>
      <c r="X740" s="18"/>
      <c r="Y740" s="18"/>
      <c r="Z740" s="18"/>
      <c r="AA740" s="18"/>
      <c r="AB740" s="17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  <c r="AS740" s="18"/>
      <c r="AT740" s="18"/>
      <c r="AU740" s="18"/>
      <c r="AV740" s="18"/>
      <c r="AW740" s="18"/>
      <c r="AX740" s="18"/>
    </row>
    <row r="741" spans="1:50" ht="15">
      <c r="A741" s="18"/>
      <c r="B741" s="18"/>
      <c r="C741" s="18"/>
      <c r="D741" s="18"/>
      <c r="E741" s="18"/>
      <c r="F741" s="18"/>
      <c r="G741" s="18"/>
      <c r="H741" s="18"/>
      <c r="I741" s="17"/>
      <c r="J741" s="18"/>
      <c r="K741" s="17"/>
      <c r="L741" s="18"/>
      <c r="M741" s="20"/>
      <c r="N741" s="18"/>
      <c r="O741" s="18"/>
      <c r="P741" s="18"/>
      <c r="Q741" s="17"/>
      <c r="R741" s="18"/>
      <c r="S741" s="18"/>
      <c r="T741" s="18"/>
      <c r="U741" s="18"/>
      <c r="V741" s="18"/>
      <c r="W741" s="18"/>
      <c r="X741" s="18"/>
      <c r="Y741" s="18"/>
      <c r="Z741" s="18"/>
      <c r="AA741" s="18"/>
      <c r="AB741" s="17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  <c r="AS741" s="18"/>
      <c r="AT741" s="18"/>
      <c r="AU741" s="18"/>
      <c r="AV741" s="18"/>
      <c r="AW741" s="18"/>
      <c r="AX741" s="18"/>
    </row>
    <row r="742" spans="1:50" ht="15">
      <c r="A742" s="18"/>
      <c r="B742" s="18"/>
      <c r="C742" s="18"/>
      <c r="D742" s="18"/>
      <c r="E742" s="18"/>
      <c r="F742" s="18"/>
      <c r="G742" s="18"/>
      <c r="H742" s="18"/>
      <c r="I742" s="17"/>
      <c r="J742" s="18"/>
      <c r="K742" s="17"/>
      <c r="L742" s="18"/>
      <c r="M742" s="20"/>
      <c r="N742" s="18"/>
      <c r="O742" s="18"/>
      <c r="P742" s="18"/>
      <c r="Q742" s="17"/>
      <c r="R742" s="18"/>
      <c r="S742" s="18"/>
      <c r="T742" s="18"/>
      <c r="U742" s="18"/>
      <c r="V742" s="18"/>
      <c r="W742" s="18"/>
      <c r="X742" s="18"/>
      <c r="Y742" s="18"/>
      <c r="Z742" s="18"/>
      <c r="AA742" s="18"/>
      <c r="AB742" s="17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  <c r="AS742" s="18"/>
      <c r="AT742" s="18"/>
      <c r="AU742" s="18"/>
      <c r="AV742" s="18"/>
      <c r="AW742" s="18"/>
      <c r="AX742" s="18"/>
    </row>
    <row r="743" spans="1:50" ht="15">
      <c r="A743" s="18"/>
      <c r="B743" s="18"/>
      <c r="C743" s="18"/>
      <c r="D743" s="18"/>
      <c r="E743" s="18"/>
      <c r="F743" s="18"/>
      <c r="G743" s="18"/>
      <c r="H743" s="18"/>
      <c r="I743" s="17"/>
      <c r="J743" s="18"/>
      <c r="K743" s="17"/>
      <c r="L743" s="18"/>
      <c r="M743" s="20"/>
      <c r="N743" s="18"/>
      <c r="O743" s="18"/>
      <c r="P743" s="18"/>
      <c r="Q743" s="17"/>
      <c r="R743" s="18"/>
      <c r="S743" s="18"/>
      <c r="T743" s="18"/>
      <c r="U743" s="18"/>
      <c r="V743" s="18"/>
      <c r="W743" s="18"/>
      <c r="X743" s="18"/>
      <c r="Y743" s="18"/>
      <c r="Z743" s="18"/>
      <c r="AA743" s="18"/>
      <c r="AB743" s="17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  <c r="AS743" s="18"/>
      <c r="AT743" s="18"/>
      <c r="AU743" s="18"/>
      <c r="AV743" s="18"/>
      <c r="AW743" s="18"/>
      <c r="AX743" s="18"/>
    </row>
    <row r="744" spans="1:50" ht="15">
      <c r="A744" s="18"/>
      <c r="B744" s="18"/>
      <c r="C744" s="18"/>
      <c r="D744" s="18"/>
      <c r="E744" s="18"/>
      <c r="F744" s="18"/>
      <c r="G744" s="18"/>
      <c r="H744" s="18"/>
      <c r="I744" s="17"/>
      <c r="J744" s="18"/>
      <c r="K744" s="17"/>
      <c r="L744" s="18"/>
      <c r="M744" s="20"/>
      <c r="N744" s="18"/>
      <c r="O744" s="18"/>
      <c r="P744" s="18"/>
      <c r="Q744" s="17"/>
      <c r="R744" s="18"/>
      <c r="S744" s="18"/>
      <c r="T744" s="18"/>
      <c r="U744" s="18"/>
      <c r="V744" s="18"/>
      <c r="W744" s="18"/>
      <c r="X744" s="18"/>
      <c r="Y744" s="18"/>
      <c r="Z744" s="18"/>
      <c r="AA744" s="18"/>
      <c r="AB744" s="17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  <c r="AS744" s="18"/>
      <c r="AT744" s="18"/>
      <c r="AU744" s="18"/>
      <c r="AV744" s="18"/>
      <c r="AW744" s="18"/>
      <c r="AX744" s="18"/>
    </row>
    <row r="745" spans="1:50" ht="15">
      <c r="A745" s="18"/>
      <c r="B745" s="18"/>
      <c r="C745" s="18"/>
      <c r="D745" s="18"/>
      <c r="E745" s="18"/>
      <c r="F745" s="18"/>
      <c r="G745" s="18"/>
      <c r="H745" s="18"/>
      <c r="I745" s="17"/>
      <c r="J745" s="18"/>
      <c r="K745" s="17"/>
      <c r="L745" s="18"/>
      <c r="M745" s="20"/>
      <c r="N745" s="18"/>
      <c r="O745" s="18"/>
      <c r="P745" s="18"/>
      <c r="Q745" s="17"/>
      <c r="R745" s="18"/>
      <c r="S745" s="18"/>
      <c r="T745" s="18"/>
      <c r="U745" s="18"/>
      <c r="V745" s="18"/>
      <c r="W745" s="18"/>
      <c r="X745" s="18"/>
      <c r="Y745" s="18"/>
      <c r="Z745" s="18"/>
      <c r="AA745" s="18"/>
      <c r="AB745" s="17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  <c r="AS745" s="18"/>
      <c r="AT745" s="18"/>
      <c r="AU745" s="18"/>
      <c r="AV745" s="18"/>
      <c r="AW745" s="18"/>
      <c r="AX745" s="18"/>
    </row>
    <row r="746" spans="1:50" ht="15">
      <c r="A746" s="18"/>
      <c r="B746" s="18"/>
      <c r="C746" s="18"/>
      <c r="D746" s="18"/>
      <c r="E746" s="18"/>
      <c r="F746" s="18"/>
      <c r="G746" s="18"/>
      <c r="H746" s="18"/>
      <c r="I746" s="17"/>
      <c r="J746" s="18"/>
      <c r="K746" s="17"/>
      <c r="L746" s="18"/>
      <c r="M746" s="20"/>
      <c r="N746" s="18"/>
      <c r="O746" s="18"/>
      <c r="P746" s="18"/>
      <c r="Q746" s="17"/>
      <c r="R746" s="18"/>
      <c r="S746" s="18"/>
      <c r="T746" s="18"/>
      <c r="U746" s="18"/>
      <c r="V746" s="18"/>
      <c r="W746" s="18"/>
      <c r="X746" s="18"/>
      <c r="Y746" s="18"/>
      <c r="Z746" s="18"/>
      <c r="AA746" s="18"/>
      <c r="AB746" s="17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  <c r="AS746" s="18"/>
      <c r="AT746" s="18"/>
      <c r="AU746" s="18"/>
      <c r="AV746" s="18"/>
      <c r="AW746" s="18"/>
      <c r="AX746" s="18"/>
    </row>
    <row r="747" spans="1:50" ht="15">
      <c r="A747" s="18"/>
      <c r="B747" s="18"/>
      <c r="C747" s="18"/>
      <c r="D747" s="18"/>
      <c r="E747" s="18"/>
      <c r="F747" s="18"/>
      <c r="G747" s="18"/>
      <c r="H747" s="18"/>
      <c r="I747" s="17"/>
      <c r="J747" s="18"/>
      <c r="K747" s="17"/>
      <c r="L747" s="18"/>
      <c r="M747" s="20"/>
      <c r="N747" s="18"/>
      <c r="O747" s="18"/>
      <c r="P747" s="18"/>
      <c r="Q747" s="17"/>
      <c r="R747" s="18"/>
      <c r="S747" s="18"/>
      <c r="T747" s="18"/>
      <c r="U747" s="18"/>
      <c r="V747" s="18"/>
      <c r="W747" s="18"/>
      <c r="X747" s="18"/>
      <c r="Y747" s="18"/>
      <c r="Z747" s="18"/>
      <c r="AA747" s="18"/>
      <c r="AB747" s="17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 s="18"/>
      <c r="AV747" s="18"/>
      <c r="AW747" s="18"/>
      <c r="AX747" s="18"/>
    </row>
    <row r="748" spans="1:50" ht="15">
      <c r="A748" s="18"/>
      <c r="B748" s="18"/>
      <c r="C748" s="18"/>
      <c r="D748" s="18"/>
      <c r="E748" s="18"/>
      <c r="F748" s="18"/>
      <c r="G748" s="18"/>
      <c r="H748" s="18"/>
      <c r="I748" s="17"/>
      <c r="J748" s="18"/>
      <c r="K748" s="17"/>
      <c r="L748" s="18"/>
      <c r="M748" s="20"/>
      <c r="N748" s="18"/>
      <c r="O748" s="18"/>
      <c r="P748" s="18"/>
      <c r="Q748" s="17"/>
      <c r="R748" s="18"/>
      <c r="S748" s="18"/>
      <c r="T748" s="18"/>
      <c r="U748" s="18"/>
      <c r="V748" s="18"/>
      <c r="W748" s="18"/>
      <c r="X748" s="18"/>
      <c r="Y748" s="18"/>
      <c r="Z748" s="18"/>
      <c r="AA748" s="18"/>
      <c r="AB748" s="17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  <c r="AS748" s="18"/>
      <c r="AT748" s="18"/>
      <c r="AU748" s="18"/>
      <c r="AV748" s="18"/>
      <c r="AW748" s="18"/>
      <c r="AX748" s="18"/>
    </row>
    <row r="749" spans="1:50" ht="15">
      <c r="A749" s="18"/>
      <c r="B749" s="18"/>
      <c r="C749" s="18"/>
      <c r="D749" s="18"/>
      <c r="E749" s="18"/>
      <c r="F749" s="18"/>
      <c r="G749" s="18"/>
      <c r="H749" s="18"/>
      <c r="I749" s="17"/>
      <c r="J749" s="18"/>
      <c r="K749" s="17"/>
      <c r="L749" s="18"/>
      <c r="M749" s="20"/>
      <c r="N749" s="18"/>
      <c r="O749" s="18"/>
      <c r="P749" s="18"/>
      <c r="Q749" s="17"/>
      <c r="R749" s="18"/>
      <c r="S749" s="18"/>
      <c r="T749" s="18"/>
      <c r="U749" s="18"/>
      <c r="V749" s="18"/>
      <c r="W749" s="18"/>
      <c r="X749" s="18"/>
      <c r="Y749" s="18"/>
      <c r="Z749" s="18"/>
      <c r="AA749" s="18"/>
      <c r="AB749" s="17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  <c r="AS749" s="18"/>
      <c r="AT749" s="18"/>
      <c r="AU749" s="18"/>
      <c r="AV749" s="18"/>
      <c r="AW749" s="18"/>
      <c r="AX749" s="18"/>
    </row>
    <row r="750" spans="1:50" ht="15">
      <c r="A750" s="18"/>
      <c r="B750" s="18"/>
      <c r="C750" s="18"/>
      <c r="D750" s="18"/>
      <c r="E750" s="18"/>
      <c r="F750" s="18"/>
      <c r="G750" s="18"/>
      <c r="H750" s="18"/>
      <c r="I750" s="17"/>
      <c r="J750" s="18"/>
      <c r="K750" s="17"/>
      <c r="L750" s="18"/>
      <c r="M750" s="20"/>
      <c r="N750" s="18"/>
      <c r="O750" s="18"/>
      <c r="P750" s="18"/>
      <c r="Q750" s="17"/>
      <c r="R750" s="18"/>
      <c r="S750" s="18"/>
      <c r="T750" s="18"/>
      <c r="U750" s="18"/>
      <c r="V750" s="18"/>
      <c r="W750" s="18"/>
      <c r="X750" s="18"/>
      <c r="Y750" s="18"/>
      <c r="Z750" s="18"/>
      <c r="AA750" s="18"/>
      <c r="AB750" s="17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  <c r="AS750" s="18"/>
      <c r="AT750" s="18"/>
      <c r="AU750" s="18"/>
      <c r="AV750" s="18"/>
      <c r="AW750" s="18"/>
      <c r="AX750" s="18"/>
    </row>
    <row r="751" spans="1:50" ht="15">
      <c r="A751" s="18"/>
      <c r="B751" s="18"/>
      <c r="C751" s="18"/>
      <c r="D751" s="18"/>
      <c r="E751" s="18"/>
      <c r="F751" s="18"/>
      <c r="G751" s="18"/>
      <c r="H751" s="18"/>
      <c r="I751" s="17"/>
      <c r="J751" s="18"/>
      <c r="K751" s="17"/>
      <c r="L751" s="18"/>
      <c r="M751" s="20"/>
      <c r="N751" s="18"/>
      <c r="O751" s="18"/>
      <c r="P751" s="18"/>
      <c r="Q751" s="17"/>
      <c r="R751" s="18"/>
      <c r="S751" s="18"/>
      <c r="T751" s="18"/>
      <c r="U751" s="18"/>
      <c r="V751" s="18"/>
      <c r="W751" s="18"/>
      <c r="X751" s="18"/>
      <c r="Y751" s="18"/>
      <c r="Z751" s="18"/>
      <c r="AA751" s="18"/>
      <c r="AB751" s="17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  <c r="AS751" s="18"/>
      <c r="AT751" s="18"/>
      <c r="AU751" s="18"/>
      <c r="AV751" s="18"/>
      <c r="AW751" s="18"/>
      <c r="AX751" s="18"/>
    </row>
    <row r="752" spans="1:50" ht="15">
      <c r="A752" s="18"/>
      <c r="B752" s="18"/>
      <c r="C752" s="18"/>
      <c r="D752" s="18"/>
      <c r="E752" s="18"/>
      <c r="F752" s="18"/>
      <c r="G752" s="18"/>
      <c r="H752" s="18"/>
      <c r="I752" s="17"/>
      <c r="J752" s="18"/>
      <c r="K752" s="17"/>
      <c r="L752" s="18"/>
      <c r="M752" s="20"/>
      <c r="N752" s="18"/>
      <c r="O752" s="18"/>
      <c r="P752" s="18"/>
      <c r="Q752" s="17"/>
      <c r="R752" s="18"/>
      <c r="S752" s="18"/>
      <c r="T752" s="18"/>
      <c r="U752" s="18"/>
      <c r="V752" s="18"/>
      <c r="W752" s="18"/>
      <c r="X752" s="18"/>
      <c r="Y752" s="18"/>
      <c r="Z752" s="18"/>
      <c r="AA752" s="18"/>
      <c r="AB752" s="17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  <c r="AS752" s="18"/>
      <c r="AT752" s="18"/>
      <c r="AU752" s="18"/>
      <c r="AV752" s="18"/>
      <c r="AW752" s="18"/>
      <c r="AX752" s="18"/>
    </row>
    <row r="753" spans="1:50" ht="15">
      <c r="A753" s="18"/>
      <c r="B753" s="18"/>
      <c r="C753" s="18"/>
      <c r="D753" s="18"/>
      <c r="E753" s="18"/>
      <c r="F753" s="18"/>
      <c r="G753" s="18"/>
      <c r="H753" s="18"/>
      <c r="I753" s="17"/>
      <c r="J753" s="18"/>
      <c r="K753" s="17"/>
      <c r="L753" s="18"/>
      <c r="M753" s="20"/>
      <c r="N753" s="18"/>
      <c r="O753" s="18"/>
      <c r="P753" s="18"/>
      <c r="Q753" s="17"/>
      <c r="R753" s="18"/>
      <c r="S753" s="18"/>
      <c r="T753" s="18"/>
      <c r="U753" s="18"/>
      <c r="V753" s="18"/>
      <c r="W753" s="18"/>
      <c r="X753" s="18"/>
      <c r="Y753" s="18"/>
      <c r="Z753" s="18"/>
      <c r="AA753" s="18"/>
      <c r="AB753" s="17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  <c r="AS753" s="18"/>
      <c r="AT753" s="18"/>
      <c r="AU753" s="18"/>
      <c r="AV753" s="18"/>
      <c r="AW753" s="18"/>
      <c r="AX753" s="18"/>
    </row>
    <row r="754" spans="1:50" ht="15">
      <c r="A754" s="18"/>
      <c r="B754" s="18"/>
      <c r="C754" s="18"/>
      <c r="D754" s="18"/>
      <c r="E754" s="18"/>
      <c r="F754" s="18"/>
      <c r="G754" s="18"/>
      <c r="H754" s="18"/>
      <c r="I754" s="17"/>
      <c r="J754" s="18"/>
      <c r="K754" s="17"/>
      <c r="L754" s="18"/>
      <c r="M754" s="20"/>
      <c r="N754" s="18"/>
      <c r="O754" s="18"/>
      <c r="P754" s="18"/>
      <c r="Q754" s="17"/>
      <c r="R754" s="18"/>
      <c r="S754" s="18"/>
      <c r="T754" s="18"/>
      <c r="U754" s="18"/>
      <c r="V754" s="18"/>
      <c r="W754" s="18"/>
      <c r="X754" s="18"/>
      <c r="Y754" s="18"/>
      <c r="Z754" s="18"/>
      <c r="AA754" s="18"/>
      <c r="AB754" s="17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  <c r="AS754" s="18"/>
      <c r="AT754" s="18"/>
      <c r="AU754" s="18"/>
      <c r="AV754" s="18"/>
      <c r="AW754" s="18"/>
      <c r="AX754" s="18"/>
    </row>
    <row r="755" spans="1:50" ht="15">
      <c r="A755" s="18"/>
      <c r="B755" s="18"/>
      <c r="C755" s="18"/>
      <c r="D755" s="18"/>
      <c r="E755" s="18"/>
      <c r="F755" s="18"/>
      <c r="G755" s="18"/>
      <c r="H755" s="18"/>
      <c r="I755" s="17"/>
      <c r="J755" s="18"/>
      <c r="K755" s="17"/>
      <c r="L755" s="18"/>
      <c r="M755" s="20"/>
      <c r="N755" s="18"/>
      <c r="O755" s="18"/>
      <c r="P755" s="18"/>
      <c r="Q755" s="17"/>
      <c r="R755" s="18"/>
      <c r="S755" s="18"/>
      <c r="T755" s="18"/>
      <c r="U755" s="18"/>
      <c r="V755" s="18"/>
      <c r="W755" s="18"/>
      <c r="X755" s="18"/>
      <c r="Y755" s="18"/>
      <c r="Z755" s="18"/>
      <c r="AA755" s="18"/>
      <c r="AB755" s="17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  <c r="AS755" s="18"/>
      <c r="AT755" s="18"/>
      <c r="AU755" s="18"/>
      <c r="AV755" s="18"/>
      <c r="AW755" s="18"/>
      <c r="AX755" s="18"/>
    </row>
    <row r="756" spans="1:50" ht="15">
      <c r="A756" s="18"/>
      <c r="B756" s="18"/>
      <c r="C756" s="18"/>
      <c r="D756" s="18"/>
      <c r="E756" s="18"/>
      <c r="F756" s="18"/>
      <c r="G756" s="18"/>
      <c r="H756" s="18"/>
      <c r="I756" s="17"/>
      <c r="J756" s="18"/>
      <c r="K756" s="17"/>
      <c r="L756" s="18"/>
      <c r="M756" s="20"/>
      <c r="N756" s="18"/>
      <c r="O756" s="18"/>
      <c r="P756" s="18"/>
      <c r="Q756" s="17"/>
      <c r="R756" s="18"/>
      <c r="S756" s="18"/>
      <c r="T756" s="18"/>
      <c r="U756" s="18"/>
      <c r="V756" s="18"/>
      <c r="W756" s="18"/>
      <c r="X756" s="18"/>
      <c r="Y756" s="18"/>
      <c r="Z756" s="18"/>
      <c r="AA756" s="18"/>
      <c r="AB756" s="17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  <c r="AS756" s="18"/>
      <c r="AT756" s="18"/>
      <c r="AU756" s="18"/>
      <c r="AV756" s="18"/>
      <c r="AW756" s="18"/>
      <c r="AX756" s="18"/>
    </row>
    <row r="757" spans="1:50" ht="15">
      <c r="A757" s="18"/>
      <c r="B757" s="18"/>
      <c r="C757" s="18"/>
      <c r="D757" s="18"/>
      <c r="E757" s="18"/>
      <c r="F757" s="18"/>
      <c r="G757" s="18"/>
      <c r="H757" s="18"/>
      <c r="I757" s="17"/>
      <c r="J757" s="18"/>
      <c r="K757" s="17"/>
      <c r="L757" s="18"/>
      <c r="M757" s="20"/>
      <c r="N757" s="18"/>
      <c r="O757" s="18"/>
      <c r="P757" s="18"/>
      <c r="Q757" s="17"/>
      <c r="R757" s="18"/>
      <c r="S757" s="18"/>
      <c r="T757" s="18"/>
      <c r="U757" s="18"/>
      <c r="V757" s="18"/>
      <c r="W757" s="18"/>
      <c r="X757" s="18"/>
      <c r="Y757" s="18"/>
      <c r="Z757" s="18"/>
      <c r="AA757" s="18"/>
      <c r="AB757" s="17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  <c r="AS757" s="18"/>
      <c r="AT757" s="18"/>
      <c r="AU757" s="18"/>
      <c r="AV757" s="18"/>
      <c r="AW757" s="18"/>
      <c r="AX757" s="18"/>
    </row>
    <row r="758" spans="1:50" ht="15">
      <c r="A758" s="18"/>
      <c r="B758" s="18"/>
      <c r="C758" s="18"/>
      <c r="D758" s="18"/>
      <c r="E758" s="18"/>
      <c r="F758" s="18"/>
      <c r="G758" s="18"/>
      <c r="H758" s="18"/>
      <c r="I758" s="17"/>
      <c r="J758" s="18"/>
      <c r="K758" s="17"/>
      <c r="L758" s="18"/>
      <c r="M758" s="20"/>
      <c r="N758" s="18"/>
      <c r="O758" s="18"/>
      <c r="P758" s="18"/>
      <c r="Q758" s="17"/>
      <c r="R758" s="18"/>
      <c r="S758" s="18"/>
      <c r="T758" s="18"/>
      <c r="U758" s="18"/>
      <c r="V758" s="18"/>
      <c r="W758" s="18"/>
      <c r="X758" s="18"/>
      <c r="Y758" s="18"/>
      <c r="Z758" s="18"/>
      <c r="AA758" s="18"/>
      <c r="AB758" s="17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  <c r="AS758" s="18"/>
      <c r="AT758" s="18"/>
      <c r="AU758" s="18"/>
      <c r="AV758" s="18"/>
      <c r="AW758" s="18"/>
      <c r="AX758" s="18"/>
    </row>
    <row r="759" spans="1:50" ht="15">
      <c r="A759" s="18"/>
      <c r="B759" s="18"/>
      <c r="C759" s="18"/>
      <c r="D759" s="18"/>
      <c r="E759" s="18"/>
      <c r="F759" s="18"/>
      <c r="G759" s="18"/>
      <c r="H759" s="18"/>
      <c r="I759" s="17"/>
      <c r="J759" s="18"/>
      <c r="K759" s="17"/>
      <c r="L759" s="18"/>
      <c r="M759" s="20"/>
      <c r="N759" s="18"/>
      <c r="O759" s="18"/>
      <c r="P759" s="18"/>
      <c r="Q759" s="17"/>
      <c r="R759" s="18"/>
      <c r="S759" s="18"/>
      <c r="T759" s="18"/>
      <c r="U759" s="18"/>
      <c r="V759" s="18"/>
      <c r="W759" s="18"/>
      <c r="X759" s="18"/>
      <c r="Y759" s="18"/>
      <c r="Z759" s="18"/>
      <c r="AA759" s="18"/>
      <c r="AB759" s="17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  <c r="AS759" s="18"/>
      <c r="AT759" s="18"/>
      <c r="AU759" s="18"/>
      <c r="AV759" s="18"/>
      <c r="AW759" s="18"/>
      <c r="AX759" s="18"/>
    </row>
    <row r="760" spans="1:50" ht="15">
      <c r="A760" s="18"/>
      <c r="B760" s="18"/>
      <c r="C760" s="18"/>
      <c r="D760" s="18"/>
      <c r="E760" s="18"/>
      <c r="F760" s="18"/>
      <c r="G760" s="18"/>
      <c r="H760" s="18"/>
      <c r="I760" s="17"/>
      <c r="J760" s="18"/>
      <c r="K760" s="17"/>
      <c r="L760" s="18"/>
      <c r="M760" s="20"/>
      <c r="N760" s="18"/>
      <c r="O760" s="18"/>
      <c r="P760" s="18"/>
      <c r="Q760" s="17"/>
      <c r="R760" s="18"/>
      <c r="S760" s="18"/>
      <c r="T760" s="18"/>
      <c r="U760" s="18"/>
      <c r="V760" s="18"/>
      <c r="W760" s="18"/>
      <c r="X760" s="18"/>
      <c r="Y760" s="18"/>
      <c r="Z760" s="18"/>
      <c r="AA760" s="18"/>
      <c r="AB760" s="17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  <c r="AS760" s="18"/>
      <c r="AT760" s="18"/>
      <c r="AU760" s="18"/>
      <c r="AV760" s="18"/>
      <c r="AW760" s="18"/>
      <c r="AX760" s="18"/>
    </row>
    <row r="761" spans="1:50" ht="15">
      <c r="A761" s="18"/>
      <c r="B761" s="18"/>
      <c r="C761" s="18"/>
      <c r="D761" s="18"/>
      <c r="E761" s="18"/>
      <c r="F761" s="18"/>
      <c r="G761" s="18"/>
      <c r="H761" s="18"/>
      <c r="I761" s="17"/>
      <c r="J761" s="18"/>
      <c r="K761" s="17"/>
      <c r="L761" s="18"/>
      <c r="M761" s="20"/>
      <c r="N761" s="18"/>
      <c r="O761" s="18"/>
      <c r="P761" s="18"/>
      <c r="Q761" s="17"/>
      <c r="R761" s="18"/>
      <c r="S761" s="18"/>
      <c r="T761" s="18"/>
      <c r="U761" s="18"/>
      <c r="V761" s="18"/>
      <c r="W761" s="18"/>
      <c r="X761" s="18"/>
      <c r="Y761" s="18"/>
      <c r="Z761" s="18"/>
      <c r="AA761" s="18"/>
      <c r="AB761" s="17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  <c r="AS761" s="18"/>
      <c r="AT761" s="18"/>
      <c r="AU761" s="18"/>
      <c r="AV761" s="18"/>
      <c r="AW761" s="18"/>
      <c r="AX761" s="18"/>
    </row>
    <row r="762" spans="1:50" ht="15">
      <c r="A762" s="18"/>
      <c r="B762" s="18"/>
      <c r="C762" s="18"/>
      <c r="D762" s="18"/>
      <c r="E762" s="18"/>
      <c r="F762" s="18"/>
      <c r="G762" s="18"/>
      <c r="H762" s="18"/>
      <c r="I762" s="17"/>
      <c r="J762" s="18"/>
      <c r="K762" s="17"/>
      <c r="L762" s="18"/>
      <c r="M762" s="20"/>
      <c r="N762" s="18"/>
      <c r="O762" s="18"/>
      <c r="P762" s="18"/>
      <c r="Q762" s="17"/>
      <c r="R762" s="18"/>
      <c r="S762" s="18"/>
      <c r="T762" s="18"/>
      <c r="U762" s="18"/>
      <c r="V762" s="18"/>
      <c r="W762" s="18"/>
      <c r="X762" s="18"/>
      <c r="Y762" s="18"/>
      <c r="Z762" s="18"/>
      <c r="AA762" s="18"/>
      <c r="AB762" s="17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  <c r="AS762" s="18"/>
      <c r="AT762" s="18"/>
      <c r="AU762" s="18"/>
      <c r="AV762" s="18"/>
      <c r="AW762" s="18"/>
      <c r="AX762" s="18"/>
    </row>
    <row r="763" spans="1:50" ht="15">
      <c r="A763" s="18"/>
      <c r="B763" s="18"/>
      <c r="C763" s="18"/>
      <c r="D763" s="18"/>
      <c r="E763" s="18"/>
      <c r="F763" s="18"/>
      <c r="G763" s="18"/>
      <c r="H763" s="18"/>
      <c r="I763" s="17"/>
      <c r="J763" s="18"/>
      <c r="K763" s="17"/>
      <c r="L763" s="18"/>
      <c r="M763" s="20"/>
      <c r="N763" s="18"/>
      <c r="O763" s="18"/>
      <c r="P763" s="18"/>
      <c r="Q763" s="17"/>
      <c r="R763" s="18"/>
      <c r="S763" s="18"/>
      <c r="T763" s="18"/>
      <c r="U763" s="18"/>
      <c r="V763" s="18"/>
      <c r="W763" s="18"/>
      <c r="X763" s="18"/>
      <c r="Y763" s="18"/>
      <c r="Z763" s="18"/>
      <c r="AA763" s="18"/>
      <c r="AB763" s="17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  <c r="AS763" s="18"/>
      <c r="AT763" s="18"/>
      <c r="AU763" s="18"/>
      <c r="AV763" s="18"/>
      <c r="AW763" s="18"/>
      <c r="AX763" s="18"/>
    </row>
    <row r="764" spans="1:50" ht="15">
      <c r="A764" s="18"/>
      <c r="B764" s="18"/>
      <c r="C764" s="18"/>
      <c r="D764" s="18"/>
      <c r="E764" s="18"/>
      <c r="F764" s="18"/>
      <c r="G764" s="18"/>
      <c r="H764" s="18"/>
      <c r="I764" s="17"/>
      <c r="J764" s="18"/>
      <c r="K764" s="17"/>
      <c r="L764" s="18"/>
      <c r="M764" s="20"/>
      <c r="N764" s="18"/>
      <c r="O764" s="18"/>
      <c r="P764" s="18"/>
      <c r="Q764" s="17"/>
      <c r="R764" s="18"/>
      <c r="S764" s="18"/>
      <c r="T764" s="18"/>
      <c r="U764" s="18"/>
      <c r="V764" s="18"/>
      <c r="W764" s="18"/>
      <c r="X764" s="18"/>
      <c r="Y764" s="18"/>
      <c r="Z764" s="18"/>
      <c r="AA764" s="18"/>
      <c r="AB764" s="17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  <c r="AS764" s="18"/>
      <c r="AT764" s="18"/>
      <c r="AU764" s="18"/>
      <c r="AV764" s="18"/>
      <c r="AW764" s="18"/>
      <c r="AX764" s="18"/>
    </row>
    <row r="765" spans="1:50" ht="15">
      <c r="A765" s="18"/>
      <c r="B765" s="18"/>
      <c r="C765" s="18"/>
      <c r="D765" s="18"/>
      <c r="E765" s="18"/>
      <c r="F765" s="18"/>
      <c r="G765" s="18"/>
      <c r="H765" s="18"/>
      <c r="I765" s="17"/>
      <c r="J765" s="18"/>
      <c r="K765" s="17"/>
      <c r="L765" s="18"/>
      <c r="M765" s="20"/>
      <c r="N765" s="18"/>
      <c r="O765" s="18"/>
      <c r="P765" s="18"/>
      <c r="Q765" s="17"/>
      <c r="R765" s="18"/>
      <c r="S765" s="18"/>
      <c r="T765" s="18"/>
      <c r="U765" s="18"/>
      <c r="V765" s="18"/>
      <c r="W765" s="18"/>
      <c r="X765" s="18"/>
      <c r="Y765" s="18"/>
      <c r="Z765" s="18"/>
      <c r="AA765" s="18"/>
      <c r="AB765" s="17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  <c r="AS765" s="18"/>
      <c r="AT765" s="18"/>
      <c r="AU765" s="18"/>
      <c r="AV765" s="18"/>
      <c r="AW765" s="18"/>
      <c r="AX765" s="18"/>
    </row>
    <row r="766" spans="1:50" ht="15">
      <c r="A766" s="18"/>
      <c r="B766" s="18"/>
      <c r="C766" s="18"/>
      <c r="D766" s="18"/>
      <c r="E766" s="18"/>
      <c r="F766" s="18"/>
      <c r="G766" s="18"/>
      <c r="H766" s="18"/>
      <c r="I766" s="17"/>
      <c r="J766" s="18"/>
      <c r="K766" s="17"/>
      <c r="L766" s="18"/>
      <c r="M766" s="20"/>
      <c r="N766" s="18"/>
      <c r="O766" s="18"/>
      <c r="P766" s="18"/>
      <c r="Q766" s="17"/>
      <c r="R766" s="18"/>
      <c r="S766" s="18"/>
      <c r="T766" s="18"/>
      <c r="U766" s="18"/>
      <c r="V766" s="18"/>
      <c r="W766" s="18"/>
      <c r="X766" s="18"/>
      <c r="Y766" s="18"/>
      <c r="Z766" s="18"/>
      <c r="AA766" s="18"/>
      <c r="AB766" s="17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 s="18"/>
      <c r="AV766" s="18"/>
      <c r="AW766" s="18"/>
      <c r="AX766" s="18"/>
    </row>
    <row r="767" spans="1:50" ht="15">
      <c r="A767" s="18"/>
      <c r="B767" s="18"/>
      <c r="C767" s="18"/>
      <c r="D767" s="18"/>
      <c r="E767" s="18"/>
      <c r="F767" s="18"/>
      <c r="G767" s="18"/>
      <c r="H767" s="18"/>
      <c r="I767" s="17"/>
      <c r="J767" s="18"/>
      <c r="K767" s="17"/>
      <c r="L767" s="18"/>
      <c r="M767" s="20"/>
      <c r="N767" s="18"/>
      <c r="O767" s="18"/>
      <c r="P767" s="18"/>
      <c r="Q767" s="17"/>
      <c r="R767" s="18"/>
      <c r="S767" s="18"/>
      <c r="T767" s="18"/>
      <c r="U767" s="18"/>
      <c r="V767" s="18"/>
      <c r="W767" s="18"/>
      <c r="X767" s="18"/>
      <c r="Y767" s="18"/>
      <c r="Z767" s="18"/>
      <c r="AA767" s="18"/>
      <c r="AB767" s="17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  <c r="AS767" s="18"/>
      <c r="AT767" s="18"/>
      <c r="AU767" s="18"/>
      <c r="AV767" s="18"/>
      <c r="AW767" s="18"/>
      <c r="AX767" s="18"/>
    </row>
    <row r="768" spans="1:50" ht="15">
      <c r="A768" s="18"/>
      <c r="B768" s="18"/>
      <c r="C768" s="18"/>
      <c r="D768" s="18"/>
      <c r="E768" s="18"/>
      <c r="F768" s="18"/>
      <c r="G768" s="18"/>
      <c r="H768" s="18"/>
      <c r="I768" s="17"/>
      <c r="J768" s="18"/>
      <c r="K768" s="17"/>
      <c r="L768" s="18"/>
      <c r="M768" s="20"/>
      <c r="N768" s="18"/>
      <c r="O768" s="18"/>
      <c r="P768" s="18"/>
      <c r="Q768" s="17"/>
      <c r="R768" s="18"/>
      <c r="S768" s="18"/>
      <c r="T768" s="18"/>
      <c r="U768" s="18"/>
      <c r="V768" s="18"/>
      <c r="W768" s="18"/>
      <c r="X768" s="18"/>
      <c r="Y768" s="18"/>
      <c r="Z768" s="18"/>
      <c r="AA768" s="18"/>
      <c r="AB768" s="17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  <c r="AS768" s="18"/>
      <c r="AT768" s="18"/>
      <c r="AU768" s="18"/>
      <c r="AV768" s="18"/>
      <c r="AW768" s="18"/>
      <c r="AX768" s="18"/>
    </row>
    <row r="769" spans="1:50" ht="15">
      <c r="A769" s="18"/>
      <c r="B769" s="18"/>
      <c r="C769" s="18"/>
      <c r="D769" s="18"/>
      <c r="E769" s="18"/>
      <c r="F769" s="18"/>
      <c r="G769" s="18"/>
      <c r="H769" s="18"/>
      <c r="I769" s="17"/>
      <c r="J769" s="18"/>
      <c r="K769" s="17"/>
      <c r="L769" s="18"/>
      <c r="M769" s="20"/>
      <c r="N769" s="18"/>
      <c r="O769" s="18"/>
      <c r="P769" s="18"/>
      <c r="Q769" s="17"/>
      <c r="R769" s="18"/>
      <c r="S769" s="18"/>
      <c r="T769" s="18"/>
      <c r="U769" s="18"/>
      <c r="V769" s="18"/>
      <c r="W769" s="18"/>
      <c r="X769" s="18"/>
      <c r="Y769" s="18"/>
      <c r="Z769" s="18"/>
      <c r="AA769" s="18"/>
      <c r="AB769" s="17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  <c r="AS769" s="18"/>
      <c r="AT769" s="18"/>
      <c r="AU769" s="18"/>
      <c r="AV769" s="18"/>
      <c r="AW769" s="18"/>
      <c r="AX769" s="18"/>
    </row>
    <row r="770" spans="1:50" ht="15">
      <c r="A770" s="18"/>
      <c r="B770" s="18"/>
      <c r="C770" s="18"/>
      <c r="D770" s="18"/>
      <c r="E770" s="18"/>
      <c r="F770" s="18"/>
      <c r="G770" s="18"/>
      <c r="H770" s="18"/>
      <c r="I770" s="17"/>
      <c r="J770" s="18"/>
      <c r="K770" s="17"/>
      <c r="L770" s="18"/>
      <c r="M770" s="20"/>
      <c r="N770" s="18"/>
      <c r="O770" s="18"/>
      <c r="P770" s="18"/>
      <c r="Q770" s="17"/>
      <c r="R770" s="18"/>
      <c r="S770" s="18"/>
      <c r="T770" s="18"/>
      <c r="U770" s="18"/>
      <c r="V770" s="18"/>
      <c r="W770" s="18"/>
      <c r="X770" s="18"/>
      <c r="Y770" s="18"/>
      <c r="Z770" s="18"/>
      <c r="AA770" s="18"/>
      <c r="AB770" s="17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  <c r="AS770" s="18"/>
      <c r="AT770" s="18"/>
      <c r="AU770" s="18"/>
      <c r="AV770" s="18"/>
      <c r="AW770" s="18"/>
      <c r="AX770" s="18"/>
    </row>
    <row r="771" spans="1:50" ht="15">
      <c r="A771" s="18"/>
      <c r="B771" s="18"/>
      <c r="C771" s="18"/>
      <c r="D771" s="18"/>
      <c r="E771" s="18"/>
      <c r="F771" s="18"/>
      <c r="G771" s="18"/>
      <c r="H771" s="18"/>
      <c r="I771" s="17"/>
      <c r="J771" s="18"/>
      <c r="K771" s="17"/>
      <c r="L771" s="18"/>
      <c r="M771" s="20"/>
      <c r="N771" s="18"/>
      <c r="O771" s="18"/>
      <c r="P771" s="18"/>
      <c r="Q771" s="17"/>
      <c r="R771" s="18"/>
      <c r="S771" s="18"/>
      <c r="T771" s="18"/>
      <c r="U771" s="18"/>
      <c r="V771" s="18"/>
      <c r="W771" s="18"/>
      <c r="X771" s="18"/>
      <c r="Y771" s="18"/>
      <c r="Z771" s="18"/>
      <c r="AA771" s="18"/>
      <c r="AB771" s="17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  <c r="AS771" s="18"/>
      <c r="AT771" s="18"/>
      <c r="AU771" s="18"/>
      <c r="AV771" s="18"/>
      <c r="AW771" s="18"/>
      <c r="AX771" s="18"/>
    </row>
    <row r="772" spans="1:50" ht="15">
      <c r="A772" s="18"/>
      <c r="B772" s="18"/>
      <c r="C772" s="18"/>
      <c r="D772" s="18"/>
      <c r="E772" s="18"/>
      <c r="F772" s="18"/>
      <c r="G772" s="18"/>
      <c r="H772" s="18"/>
      <c r="I772" s="17"/>
      <c r="J772" s="18"/>
      <c r="K772" s="17"/>
      <c r="L772" s="18"/>
      <c r="M772" s="20"/>
      <c r="N772" s="18"/>
      <c r="O772" s="18"/>
      <c r="P772" s="18"/>
      <c r="Q772" s="17"/>
      <c r="R772" s="18"/>
      <c r="S772" s="18"/>
      <c r="T772" s="18"/>
      <c r="U772" s="18"/>
      <c r="V772" s="18"/>
      <c r="W772" s="18"/>
      <c r="X772" s="18"/>
      <c r="Y772" s="18"/>
      <c r="Z772" s="18"/>
      <c r="AA772" s="18"/>
      <c r="AB772" s="17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  <c r="AS772" s="18"/>
      <c r="AT772" s="18"/>
      <c r="AU772" s="18"/>
      <c r="AV772" s="18"/>
      <c r="AW772" s="18"/>
      <c r="AX772" s="18"/>
    </row>
    <row r="773" spans="1:50" ht="15">
      <c r="A773" s="18"/>
      <c r="B773" s="18"/>
      <c r="C773" s="18"/>
      <c r="D773" s="18"/>
      <c r="E773" s="18"/>
      <c r="F773" s="18"/>
      <c r="G773" s="18"/>
      <c r="H773" s="18"/>
      <c r="I773" s="17"/>
      <c r="J773" s="18"/>
      <c r="K773" s="17"/>
      <c r="L773" s="18"/>
      <c r="M773" s="20"/>
      <c r="N773" s="18"/>
      <c r="O773" s="18"/>
      <c r="P773" s="18"/>
      <c r="Q773" s="17"/>
      <c r="R773" s="18"/>
      <c r="S773" s="18"/>
      <c r="T773" s="18"/>
      <c r="U773" s="18"/>
      <c r="V773" s="18"/>
      <c r="W773" s="18"/>
      <c r="X773" s="18"/>
      <c r="Y773" s="18"/>
      <c r="Z773" s="18"/>
      <c r="AA773" s="18"/>
      <c r="AB773" s="17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  <c r="AS773" s="18"/>
      <c r="AT773" s="18"/>
      <c r="AU773" s="18"/>
      <c r="AV773" s="18"/>
      <c r="AW773" s="18"/>
      <c r="AX773" s="18"/>
    </row>
    <row r="774" spans="1:50" ht="15">
      <c r="A774" s="18"/>
      <c r="B774" s="18"/>
      <c r="C774" s="18"/>
      <c r="D774" s="18"/>
      <c r="E774" s="18"/>
      <c r="F774" s="18"/>
      <c r="G774" s="18"/>
      <c r="H774" s="18"/>
      <c r="I774" s="17"/>
      <c r="J774" s="18"/>
      <c r="K774" s="17"/>
      <c r="L774" s="18"/>
      <c r="M774" s="20"/>
      <c r="N774" s="18"/>
      <c r="O774" s="18"/>
      <c r="P774" s="18"/>
      <c r="Q774" s="17"/>
      <c r="R774" s="18"/>
      <c r="S774" s="18"/>
      <c r="T774" s="18"/>
      <c r="U774" s="18"/>
      <c r="V774" s="18"/>
      <c r="W774" s="18"/>
      <c r="X774" s="18"/>
      <c r="Y774" s="18"/>
      <c r="Z774" s="18"/>
      <c r="AA774" s="18"/>
      <c r="AB774" s="17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  <c r="AS774" s="18"/>
      <c r="AT774" s="18"/>
      <c r="AU774" s="18"/>
      <c r="AV774" s="18"/>
      <c r="AW774" s="18"/>
      <c r="AX774" s="18"/>
    </row>
    <row r="775" spans="1:50" ht="15">
      <c r="A775" s="18"/>
      <c r="B775" s="18"/>
      <c r="C775" s="18"/>
      <c r="D775" s="18"/>
      <c r="E775" s="18"/>
      <c r="F775" s="18"/>
      <c r="G775" s="18"/>
      <c r="H775" s="18"/>
      <c r="I775" s="17"/>
      <c r="J775" s="18"/>
      <c r="K775" s="17"/>
      <c r="L775" s="18"/>
      <c r="M775" s="20"/>
      <c r="N775" s="18"/>
      <c r="O775" s="18"/>
      <c r="P775" s="18"/>
      <c r="Q775" s="17"/>
      <c r="R775" s="18"/>
      <c r="S775" s="18"/>
      <c r="T775" s="18"/>
      <c r="U775" s="18"/>
      <c r="V775" s="18"/>
      <c r="W775" s="18"/>
      <c r="X775" s="18"/>
      <c r="Y775" s="18"/>
      <c r="Z775" s="18"/>
      <c r="AA775" s="18"/>
      <c r="AB775" s="17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  <c r="AS775" s="18"/>
      <c r="AT775" s="18"/>
      <c r="AU775" s="18"/>
      <c r="AV775" s="18"/>
      <c r="AW775" s="18"/>
      <c r="AX775" s="18"/>
    </row>
    <row r="776" spans="1:50" ht="15">
      <c r="A776" s="18"/>
      <c r="B776" s="18"/>
      <c r="C776" s="18"/>
      <c r="D776" s="18"/>
      <c r="E776" s="18"/>
      <c r="F776" s="18"/>
      <c r="G776" s="18"/>
      <c r="H776" s="18"/>
      <c r="I776" s="17"/>
      <c r="J776" s="18"/>
      <c r="K776" s="17"/>
      <c r="L776" s="18"/>
      <c r="M776" s="20"/>
      <c r="N776" s="18"/>
      <c r="O776" s="18"/>
      <c r="P776" s="18"/>
      <c r="Q776" s="17"/>
      <c r="R776" s="18"/>
      <c r="S776" s="18"/>
      <c r="T776" s="18"/>
      <c r="U776" s="18"/>
      <c r="V776" s="18"/>
      <c r="W776" s="18"/>
      <c r="X776" s="18"/>
      <c r="Y776" s="18"/>
      <c r="Z776" s="18"/>
      <c r="AA776" s="18"/>
      <c r="AB776" s="17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  <c r="AS776" s="18"/>
      <c r="AT776" s="18"/>
      <c r="AU776" s="18"/>
      <c r="AV776" s="18"/>
      <c r="AW776" s="18"/>
      <c r="AX776" s="18"/>
    </row>
    <row r="777" spans="1:50" ht="15">
      <c r="A777" s="18"/>
      <c r="B777" s="18"/>
      <c r="C777" s="18"/>
      <c r="D777" s="18"/>
      <c r="E777" s="18"/>
      <c r="F777" s="18"/>
      <c r="G777" s="18"/>
      <c r="H777" s="18"/>
      <c r="I777" s="17"/>
      <c r="J777" s="18"/>
      <c r="K777" s="17"/>
      <c r="L777" s="18"/>
      <c r="M777" s="20"/>
      <c r="N777" s="18"/>
      <c r="O777" s="18"/>
      <c r="P777" s="18"/>
      <c r="Q777" s="17"/>
      <c r="R777" s="18"/>
      <c r="S777" s="18"/>
      <c r="T777" s="18"/>
      <c r="U777" s="18"/>
      <c r="V777" s="18"/>
      <c r="W777" s="18"/>
      <c r="X777" s="18"/>
      <c r="Y777" s="18"/>
      <c r="Z777" s="18"/>
      <c r="AA777" s="18"/>
      <c r="AB777" s="17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  <c r="AS777" s="18"/>
      <c r="AT777" s="18"/>
      <c r="AU777" s="18"/>
      <c r="AV777" s="18"/>
      <c r="AW777" s="18"/>
      <c r="AX777" s="18"/>
    </row>
    <row r="778" spans="1:50" ht="15">
      <c r="A778" s="18"/>
      <c r="B778" s="18"/>
      <c r="C778" s="18"/>
      <c r="D778" s="18"/>
      <c r="E778" s="18"/>
      <c r="F778" s="18"/>
      <c r="G778" s="18"/>
      <c r="H778" s="18"/>
      <c r="I778" s="17"/>
      <c r="J778" s="18"/>
      <c r="K778" s="17"/>
      <c r="L778" s="18"/>
      <c r="M778" s="20"/>
      <c r="N778" s="18"/>
      <c r="O778" s="18"/>
      <c r="P778" s="18"/>
      <c r="Q778" s="17"/>
      <c r="R778" s="18"/>
      <c r="S778" s="18"/>
      <c r="T778" s="18"/>
      <c r="U778" s="18"/>
      <c r="V778" s="18"/>
      <c r="W778" s="18"/>
      <c r="X778" s="18"/>
      <c r="Y778" s="18"/>
      <c r="Z778" s="18"/>
      <c r="AA778" s="18"/>
      <c r="AB778" s="17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  <c r="AS778" s="18"/>
      <c r="AT778" s="18"/>
      <c r="AU778" s="18"/>
      <c r="AV778" s="18"/>
      <c r="AW778" s="18"/>
      <c r="AX778" s="18"/>
    </row>
    <row r="779" spans="1:50" ht="15">
      <c r="A779" s="18"/>
      <c r="B779" s="18"/>
      <c r="C779" s="18"/>
      <c r="D779" s="18"/>
      <c r="E779" s="18"/>
      <c r="F779" s="18"/>
      <c r="G779" s="18"/>
      <c r="H779" s="18"/>
      <c r="I779" s="17"/>
      <c r="J779" s="18"/>
      <c r="K779" s="17"/>
      <c r="L779" s="18"/>
      <c r="M779" s="20"/>
      <c r="N779" s="18"/>
      <c r="O779" s="18"/>
      <c r="P779" s="18"/>
      <c r="Q779" s="17"/>
      <c r="R779" s="18"/>
      <c r="S779" s="18"/>
      <c r="T779" s="18"/>
      <c r="U779" s="18"/>
      <c r="V779" s="18"/>
      <c r="W779" s="18"/>
      <c r="X779" s="18"/>
      <c r="Y779" s="18"/>
      <c r="Z779" s="18"/>
      <c r="AA779" s="18"/>
      <c r="AB779" s="17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  <c r="AS779" s="18"/>
      <c r="AT779" s="18"/>
      <c r="AU779" s="18"/>
      <c r="AV779" s="18"/>
      <c r="AW779" s="18"/>
      <c r="AX779" s="18"/>
    </row>
    <row r="780" spans="1:50" ht="15">
      <c r="A780" s="18"/>
      <c r="B780" s="18"/>
      <c r="C780" s="18"/>
      <c r="D780" s="18"/>
      <c r="E780" s="18"/>
      <c r="F780" s="18"/>
      <c r="G780" s="18"/>
      <c r="H780" s="18"/>
      <c r="I780" s="17"/>
      <c r="J780" s="18"/>
      <c r="K780" s="17"/>
      <c r="L780" s="18"/>
      <c r="M780" s="20"/>
      <c r="N780" s="18"/>
      <c r="O780" s="18"/>
      <c r="P780" s="18"/>
      <c r="Q780" s="17"/>
      <c r="R780" s="18"/>
      <c r="S780" s="18"/>
      <c r="T780" s="18"/>
      <c r="U780" s="18"/>
      <c r="V780" s="18"/>
      <c r="W780" s="18"/>
      <c r="X780" s="18"/>
      <c r="Y780" s="18"/>
      <c r="Z780" s="18"/>
      <c r="AA780" s="18"/>
      <c r="AB780" s="17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  <c r="AS780" s="18"/>
      <c r="AT780" s="18"/>
      <c r="AU780" s="18"/>
      <c r="AV780" s="18"/>
      <c r="AW780" s="18"/>
      <c r="AX780" s="18"/>
    </row>
    <row r="781" spans="1:50" ht="15">
      <c r="A781" s="18"/>
      <c r="B781" s="18"/>
      <c r="C781" s="18"/>
      <c r="D781" s="18"/>
      <c r="E781" s="18"/>
      <c r="F781" s="18"/>
      <c r="G781" s="18"/>
      <c r="H781" s="18"/>
      <c r="I781" s="17"/>
      <c r="J781" s="18"/>
      <c r="K781" s="17"/>
      <c r="L781" s="18"/>
      <c r="M781" s="20"/>
      <c r="N781" s="18"/>
      <c r="O781" s="18"/>
      <c r="P781" s="18"/>
      <c r="Q781" s="17"/>
      <c r="R781" s="18"/>
      <c r="S781" s="18"/>
      <c r="T781" s="18"/>
      <c r="U781" s="18"/>
      <c r="V781" s="18"/>
      <c r="W781" s="18"/>
      <c r="X781" s="18"/>
      <c r="Y781" s="18"/>
      <c r="Z781" s="18"/>
      <c r="AA781" s="18"/>
      <c r="AB781" s="17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  <c r="AS781" s="18"/>
      <c r="AT781" s="18"/>
      <c r="AU781" s="18"/>
      <c r="AV781" s="18"/>
      <c r="AW781" s="18"/>
      <c r="AX781" s="18"/>
    </row>
    <row r="782" spans="1:50" ht="15">
      <c r="A782" s="18"/>
      <c r="B782" s="18"/>
      <c r="C782" s="18"/>
      <c r="D782" s="18"/>
      <c r="E782" s="18"/>
      <c r="F782" s="18"/>
      <c r="G782" s="18"/>
      <c r="H782" s="18"/>
      <c r="I782" s="17"/>
      <c r="J782" s="18"/>
      <c r="K782" s="17"/>
      <c r="L782" s="18"/>
      <c r="M782" s="20"/>
      <c r="N782" s="18"/>
      <c r="O782" s="18"/>
      <c r="P782" s="18"/>
      <c r="Q782" s="17"/>
      <c r="R782" s="18"/>
      <c r="S782" s="18"/>
      <c r="T782" s="18"/>
      <c r="U782" s="18"/>
      <c r="V782" s="18"/>
      <c r="W782" s="18"/>
      <c r="X782" s="18"/>
      <c r="Y782" s="18"/>
      <c r="Z782" s="18"/>
      <c r="AA782" s="18"/>
      <c r="AB782" s="17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  <c r="AS782" s="18"/>
      <c r="AT782" s="18"/>
      <c r="AU782" s="18"/>
      <c r="AV782" s="18"/>
      <c r="AW782" s="18"/>
      <c r="AX782" s="18"/>
    </row>
    <row r="783" spans="1:50" ht="15">
      <c r="A783" s="18"/>
      <c r="B783" s="18"/>
      <c r="C783" s="18"/>
      <c r="D783" s="18"/>
      <c r="E783" s="18"/>
      <c r="F783" s="18"/>
      <c r="G783" s="18"/>
      <c r="H783" s="18"/>
      <c r="I783" s="17"/>
      <c r="J783" s="18"/>
      <c r="K783" s="17"/>
      <c r="L783" s="18"/>
      <c r="M783" s="20"/>
      <c r="N783" s="18"/>
      <c r="O783" s="18"/>
      <c r="P783" s="18"/>
      <c r="Q783" s="17"/>
      <c r="R783" s="18"/>
      <c r="S783" s="18"/>
      <c r="T783" s="18"/>
      <c r="U783" s="18"/>
      <c r="V783" s="18"/>
      <c r="W783" s="18"/>
      <c r="X783" s="18"/>
      <c r="Y783" s="18"/>
      <c r="Z783" s="18"/>
      <c r="AA783" s="18"/>
      <c r="AB783" s="17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  <c r="AS783" s="18"/>
      <c r="AT783" s="18"/>
      <c r="AU783" s="18"/>
      <c r="AV783" s="18"/>
      <c r="AW783" s="18"/>
      <c r="AX783" s="18"/>
    </row>
    <row r="784" spans="1:50" ht="15">
      <c r="A784" s="18"/>
      <c r="B784" s="18"/>
      <c r="C784" s="18"/>
      <c r="D784" s="18"/>
      <c r="E784" s="18"/>
      <c r="F784" s="18"/>
      <c r="G784" s="18"/>
      <c r="H784" s="18"/>
      <c r="I784" s="17"/>
      <c r="J784" s="18"/>
      <c r="K784" s="17"/>
      <c r="L784" s="18"/>
      <c r="M784" s="20"/>
      <c r="N784" s="18"/>
      <c r="O784" s="18"/>
      <c r="P784" s="18"/>
      <c r="Q784" s="17"/>
      <c r="R784" s="18"/>
      <c r="S784" s="18"/>
      <c r="T784" s="18"/>
      <c r="U784" s="18"/>
      <c r="V784" s="18"/>
      <c r="W784" s="18"/>
      <c r="X784" s="18"/>
      <c r="Y784" s="18"/>
      <c r="Z784" s="18"/>
      <c r="AA784" s="18"/>
      <c r="AB784" s="17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  <c r="AS784" s="18"/>
      <c r="AT784" s="18"/>
      <c r="AU784" s="18"/>
      <c r="AV784" s="18"/>
      <c r="AW784" s="18"/>
      <c r="AX784" s="18"/>
    </row>
    <row r="785" spans="1:50" ht="15">
      <c r="A785" s="18"/>
      <c r="B785" s="18"/>
      <c r="C785" s="18"/>
      <c r="D785" s="18"/>
      <c r="E785" s="18"/>
      <c r="F785" s="18"/>
      <c r="G785" s="18"/>
      <c r="H785" s="18"/>
      <c r="I785" s="17"/>
      <c r="J785" s="18"/>
      <c r="K785" s="17"/>
      <c r="L785" s="18"/>
      <c r="M785" s="20"/>
      <c r="N785" s="18"/>
      <c r="O785" s="18"/>
      <c r="P785" s="18"/>
      <c r="Q785" s="17"/>
      <c r="R785" s="18"/>
      <c r="S785" s="18"/>
      <c r="T785" s="18"/>
      <c r="U785" s="18"/>
      <c r="V785" s="18"/>
      <c r="W785" s="18"/>
      <c r="X785" s="18"/>
      <c r="Y785" s="18"/>
      <c r="Z785" s="18"/>
      <c r="AA785" s="18"/>
      <c r="AB785" s="17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  <c r="AS785" s="18"/>
      <c r="AT785" s="18"/>
      <c r="AU785" s="18"/>
      <c r="AV785" s="18"/>
      <c r="AW785" s="18"/>
      <c r="AX785" s="18"/>
    </row>
    <row r="786" spans="1:50" ht="15">
      <c r="A786" s="18"/>
      <c r="B786" s="18"/>
      <c r="C786" s="18"/>
      <c r="D786" s="18"/>
      <c r="E786" s="18"/>
      <c r="F786" s="18"/>
      <c r="G786" s="18"/>
      <c r="H786" s="18"/>
      <c r="I786" s="17"/>
      <c r="J786" s="18"/>
      <c r="K786" s="17"/>
      <c r="L786" s="18"/>
      <c r="M786" s="20"/>
      <c r="N786" s="18"/>
      <c r="O786" s="18"/>
      <c r="P786" s="18"/>
      <c r="Q786" s="17"/>
      <c r="R786" s="18"/>
      <c r="S786" s="18"/>
      <c r="T786" s="18"/>
      <c r="U786" s="18"/>
      <c r="V786" s="18"/>
      <c r="W786" s="18"/>
      <c r="X786" s="18"/>
      <c r="Y786" s="18"/>
      <c r="Z786" s="18"/>
      <c r="AA786" s="18"/>
      <c r="AB786" s="17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  <c r="AS786" s="18"/>
      <c r="AT786" s="18"/>
      <c r="AU786" s="18"/>
      <c r="AV786" s="18"/>
      <c r="AW786" s="18"/>
      <c r="AX786" s="18"/>
    </row>
    <row r="787" spans="1:50" ht="15">
      <c r="A787" s="18"/>
      <c r="B787" s="18"/>
      <c r="C787" s="18"/>
      <c r="D787" s="18"/>
      <c r="E787" s="18"/>
      <c r="F787" s="18"/>
      <c r="G787" s="18"/>
      <c r="H787" s="18"/>
      <c r="I787" s="17"/>
      <c r="J787" s="18"/>
      <c r="K787" s="17"/>
      <c r="L787" s="18"/>
      <c r="M787" s="20"/>
      <c r="N787" s="18"/>
      <c r="O787" s="18"/>
      <c r="P787" s="18"/>
      <c r="Q787" s="17"/>
      <c r="R787" s="18"/>
      <c r="S787" s="18"/>
      <c r="T787" s="18"/>
      <c r="U787" s="18"/>
      <c r="V787" s="18"/>
      <c r="W787" s="18"/>
      <c r="X787" s="18"/>
      <c r="Y787" s="18"/>
      <c r="Z787" s="18"/>
      <c r="AA787" s="18"/>
      <c r="AB787" s="17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  <c r="AS787" s="18"/>
      <c r="AT787" s="18"/>
      <c r="AU787" s="18"/>
      <c r="AV787" s="18"/>
      <c r="AW787" s="18"/>
      <c r="AX787" s="18"/>
    </row>
    <row r="788" spans="1:50" ht="15">
      <c r="A788" s="18"/>
      <c r="B788" s="18"/>
      <c r="C788" s="18"/>
      <c r="D788" s="18"/>
      <c r="E788" s="18"/>
      <c r="F788" s="18"/>
      <c r="G788" s="18"/>
      <c r="H788" s="18"/>
      <c r="I788" s="17"/>
      <c r="J788" s="18"/>
      <c r="K788" s="17"/>
      <c r="L788" s="18"/>
      <c r="M788" s="20"/>
      <c r="N788" s="18"/>
      <c r="O788" s="18"/>
      <c r="P788" s="18"/>
      <c r="Q788" s="17"/>
      <c r="R788" s="18"/>
      <c r="S788" s="18"/>
      <c r="T788" s="18"/>
      <c r="U788" s="18"/>
      <c r="V788" s="18"/>
      <c r="W788" s="18"/>
      <c r="X788" s="18"/>
      <c r="Y788" s="18"/>
      <c r="Z788" s="18"/>
      <c r="AA788" s="18"/>
      <c r="AB788" s="17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  <c r="AS788" s="18"/>
      <c r="AT788" s="18"/>
      <c r="AU788" s="18"/>
      <c r="AV788" s="18"/>
      <c r="AW788" s="18"/>
      <c r="AX788" s="18"/>
    </row>
    <row r="789" spans="1:50" ht="15">
      <c r="A789" s="18"/>
      <c r="B789" s="18"/>
      <c r="C789" s="18"/>
      <c r="D789" s="18"/>
      <c r="E789" s="18"/>
      <c r="F789" s="18"/>
      <c r="G789" s="18"/>
      <c r="H789" s="18"/>
      <c r="I789" s="17"/>
      <c r="J789" s="18"/>
      <c r="K789" s="17"/>
      <c r="L789" s="18"/>
      <c r="M789" s="20"/>
      <c r="N789" s="18"/>
      <c r="O789" s="18"/>
      <c r="P789" s="18"/>
      <c r="Q789" s="17"/>
      <c r="R789" s="18"/>
      <c r="S789" s="18"/>
      <c r="T789" s="18"/>
      <c r="U789" s="18"/>
      <c r="V789" s="18"/>
      <c r="W789" s="18"/>
      <c r="X789" s="18"/>
      <c r="Y789" s="18"/>
      <c r="Z789" s="18"/>
      <c r="AA789" s="18"/>
      <c r="AB789" s="17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  <c r="AS789" s="18"/>
      <c r="AT789" s="18"/>
      <c r="AU789" s="18"/>
      <c r="AV789" s="18"/>
      <c r="AW789" s="18"/>
      <c r="AX789" s="18"/>
    </row>
    <row r="790" spans="1:50" ht="15">
      <c r="A790" s="18"/>
      <c r="B790" s="18"/>
      <c r="C790" s="18"/>
      <c r="D790" s="18"/>
      <c r="E790" s="18"/>
      <c r="F790" s="18"/>
      <c r="G790" s="18"/>
      <c r="H790" s="18"/>
      <c r="I790" s="17"/>
      <c r="J790" s="18"/>
      <c r="K790" s="17"/>
      <c r="L790" s="18"/>
      <c r="M790" s="20"/>
      <c r="N790" s="18"/>
      <c r="O790" s="18"/>
      <c r="P790" s="18"/>
      <c r="Q790" s="17"/>
      <c r="R790" s="18"/>
      <c r="S790" s="18"/>
      <c r="T790" s="18"/>
      <c r="U790" s="18"/>
      <c r="V790" s="18"/>
      <c r="W790" s="18"/>
      <c r="X790" s="18"/>
      <c r="Y790" s="18"/>
      <c r="Z790" s="18"/>
      <c r="AA790" s="18"/>
      <c r="AB790" s="17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  <c r="AS790" s="18"/>
      <c r="AT790" s="18"/>
      <c r="AU790" s="18"/>
      <c r="AV790" s="18"/>
      <c r="AW790" s="18"/>
      <c r="AX790" s="18"/>
    </row>
    <row r="791" spans="1:50" ht="15">
      <c r="A791" s="18"/>
      <c r="B791" s="18"/>
      <c r="C791" s="18"/>
      <c r="D791" s="18"/>
      <c r="E791" s="18"/>
      <c r="F791" s="18"/>
      <c r="G791" s="18"/>
      <c r="H791" s="18"/>
      <c r="I791" s="17"/>
      <c r="J791" s="18"/>
      <c r="K791" s="17"/>
      <c r="L791" s="18"/>
      <c r="M791" s="20"/>
      <c r="N791" s="18"/>
      <c r="O791" s="18"/>
      <c r="P791" s="18"/>
      <c r="Q791" s="17"/>
      <c r="R791" s="18"/>
      <c r="S791" s="18"/>
      <c r="T791" s="18"/>
      <c r="U791" s="18"/>
      <c r="V791" s="18"/>
      <c r="W791" s="18"/>
      <c r="X791" s="18"/>
      <c r="Y791" s="18"/>
      <c r="Z791" s="18"/>
      <c r="AA791" s="18"/>
      <c r="AB791" s="17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  <c r="AS791" s="18"/>
      <c r="AT791" s="18"/>
      <c r="AU791" s="18"/>
      <c r="AV791" s="18"/>
      <c r="AW791" s="18"/>
      <c r="AX791" s="18"/>
    </row>
    <row r="792" spans="1:50" ht="15">
      <c r="A792" s="18"/>
      <c r="B792" s="18"/>
      <c r="C792" s="18"/>
      <c r="D792" s="18"/>
      <c r="E792" s="18"/>
      <c r="F792" s="18"/>
      <c r="G792" s="18"/>
      <c r="H792" s="18"/>
      <c r="I792" s="17"/>
      <c r="J792" s="18"/>
      <c r="K792" s="17"/>
      <c r="L792" s="18"/>
      <c r="M792" s="20"/>
      <c r="N792" s="18"/>
      <c r="O792" s="18"/>
      <c r="P792" s="18"/>
      <c r="Q792" s="17"/>
      <c r="R792" s="18"/>
      <c r="S792" s="18"/>
      <c r="T792" s="18"/>
      <c r="U792" s="18"/>
      <c r="V792" s="18"/>
      <c r="W792" s="18"/>
      <c r="X792" s="18"/>
      <c r="Y792" s="18"/>
      <c r="Z792" s="18"/>
      <c r="AA792" s="18"/>
      <c r="AB792" s="17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  <c r="AS792" s="18"/>
      <c r="AT792" s="18"/>
      <c r="AU792" s="18"/>
      <c r="AV792" s="18"/>
      <c r="AW792" s="18"/>
      <c r="AX792" s="18"/>
    </row>
    <row r="793" spans="1:50" ht="15">
      <c r="A793" s="18"/>
      <c r="B793" s="18"/>
      <c r="C793" s="18"/>
      <c r="D793" s="18"/>
      <c r="E793" s="18"/>
      <c r="F793" s="18"/>
      <c r="G793" s="18"/>
      <c r="H793" s="18"/>
      <c r="I793" s="17"/>
      <c r="J793" s="18"/>
      <c r="K793" s="17"/>
      <c r="L793" s="18"/>
      <c r="M793" s="20"/>
      <c r="N793" s="18"/>
      <c r="O793" s="18"/>
      <c r="P793" s="18"/>
      <c r="Q793" s="17"/>
      <c r="R793" s="18"/>
      <c r="S793" s="18"/>
      <c r="T793" s="18"/>
      <c r="U793" s="18"/>
      <c r="V793" s="18"/>
      <c r="W793" s="18"/>
      <c r="X793" s="18"/>
      <c r="Y793" s="18"/>
      <c r="Z793" s="18"/>
      <c r="AA793" s="18"/>
      <c r="AB793" s="17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  <c r="AS793" s="18"/>
      <c r="AT793" s="18"/>
      <c r="AU793" s="18"/>
      <c r="AV793" s="18"/>
      <c r="AW793" s="18"/>
      <c r="AX793" s="18"/>
    </row>
    <row r="794" spans="1:50" ht="15">
      <c r="A794" s="18"/>
      <c r="B794" s="18"/>
      <c r="C794" s="18"/>
      <c r="D794" s="18"/>
      <c r="E794" s="18"/>
      <c r="F794" s="18"/>
      <c r="G794" s="18"/>
      <c r="H794" s="18"/>
      <c r="I794" s="17"/>
      <c r="J794" s="18"/>
      <c r="K794" s="17"/>
      <c r="L794" s="18"/>
      <c r="M794" s="20"/>
      <c r="N794" s="18"/>
      <c r="O794" s="18"/>
      <c r="P794" s="18"/>
      <c r="Q794" s="17"/>
      <c r="R794" s="18"/>
      <c r="S794" s="18"/>
      <c r="T794" s="18"/>
      <c r="U794" s="18"/>
      <c r="V794" s="18"/>
      <c r="W794" s="18"/>
      <c r="X794" s="18"/>
      <c r="Y794" s="18"/>
      <c r="Z794" s="18"/>
      <c r="AA794" s="18"/>
      <c r="AB794" s="17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  <c r="AS794" s="18"/>
      <c r="AT794" s="18"/>
      <c r="AU794" s="18"/>
      <c r="AV794" s="18"/>
      <c r="AW794" s="18"/>
      <c r="AX794" s="18"/>
    </row>
    <row r="795" spans="1:50" ht="15">
      <c r="A795" s="18"/>
      <c r="B795" s="18"/>
      <c r="C795" s="18"/>
      <c r="D795" s="18"/>
      <c r="E795" s="18"/>
      <c r="F795" s="18"/>
      <c r="G795" s="18"/>
      <c r="H795" s="18"/>
      <c r="I795" s="17"/>
      <c r="J795" s="18"/>
      <c r="K795" s="17"/>
      <c r="L795" s="18"/>
      <c r="M795" s="20"/>
      <c r="N795" s="18"/>
      <c r="O795" s="18"/>
      <c r="P795" s="18"/>
      <c r="Q795" s="17"/>
      <c r="R795" s="18"/>
      <c r="S795" s="18"/>
      <c r="T795" s="18"/>
      <c r="U795" s="18"/>
      <c r="V795" s="18"/>
      <c r="W795" s="18"/>
      <c r="X795" s="18"/>
      <c r="Y795" s="18"/>
      <c r="Z795" s="18"/>
      <c r="AA795" s="18"/>
      <c r="AB795" s="17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  <c r="AS795" s="18"/>
      <c r="AT795" s="18"/>
      <c r="AU795" s="18"/>
      <c r="AV795" s="18"/>
      <c r="AW795" s="18"/>
      <c r="AX795" s="18"/>
    </row>
    <row r="796" spans="1:50" ht="15">
      <c r="A796" s="18"/>
      <c r="B796" s="18"/>
      <c r="C796" s="18"/>
      <c r="D796" s="18"/>
      <c r="E796" s="18"/>
      <c r="F796" s="18"/>
      <c r="G796" s="18"/>
      <c r="H796" s="18"/>
      <c r="I796" s="17"/>
      <c r="J796" s="18"/>
      <c r="K796" s="17"/>
      <c r="L796" s="18"/>
      <c r="M796" s="20"/>
      <c r="N796" s="18"/>
      <c r="O796" s="18"/>
      <c r="P796" s="18"/>
      <c r="Q796" s="17"/>
      <c r="R796" s="18"/>
      <c r="S796" s="18"/>
      <c r="T796" s="18"/>
      <c r="U796" s="18"/>
      <c r="V796" s="18"/>
      <c r="W796" s="18"/>
      <c r="X796" s="18"/>
      <c r="Y796" s="18"/>
      <c r="Z796" s="18"/>
      <c r="AA796" s="18"/>
      <c r="AB796" s="17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  <c r="AS796" s="18"/>
      <c r="AT796" s="18"/>
      <c r="AU796" s="18"/>
      <c r="AV796" s="18"/>
      <c r="AW796" s="18"/>
      <c r="AX796" s="18"/>
    </row>
    <row r="797" spans="1:50" ht="15">
      <c r="A797" s="18"/>
      <c r="B797" s="18"/>
      <c r="C797" s="18"/>
      <c r="D797" s="18"/>
      <c r="E797" s="18"/>
      <c r="F797" s="18"/>
      <c r="G797" s="18"/>
      <c r="H797" s="18"/>
      <c r="I797" s="17"/>
      <c r="J797" s="18"/>
      <c r="K797" s="17"/>
      <c r="L797" s="18"/>
      <c r="M797" s="20"/>
      <c r="N797" s="18"/>
      <c r="O797" s="18"/>
      <c r="P797" s="18"/>
      <c r="Q797" s="17"/>
      <c r="R797" s="18"/>
      <c r="S797" s="18"/>
      <c r="T797" s="18"/>
      <c r="U797" s="18"/>
      <c r="V797" s="18"/>
      <c r="W797" s="18"/>
      <c r="X797" s="18"/>
      <c r="Y797" s="18"/>
      <c r="Z797" s="18"/>
      <c r="AA797" s="18"/>
      <c r="AB797" s="17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  <c r="AS797" s="18"/>
      <c r="AT797" s="18"/>
      <c r="AU797" s="18"/>
      <c r="AV797" s="18"/>
      <c r="AW797" s="18"/>
      <c r="AX797" s="18"/>
    </row>
    <row r="798" spans="1:50" ht="15">
      <c r="A798" s="18"/>
      <c r="B798" s="18"/>
      <c r="C798" s="18"/>
      <c r="D798" s="18"/>
      <c r="E798" s="18"/>
      <c r="F798" s="18"/>
      <c r="G798" s="18"/>
      <c r="H798" s="18"/>
      <c r="I798" s="17"/>
      <c r="J798" s="18"/>
      <c r="K798" s="17"/>
      <c r="L798" s="18"/>
      <c r="M798" s="20"/>
      <c r="N798" s="18"/>
      <c r="O798" s="18"/>
      <c r="P798" s="18"/>
      <c r="Q798" s="17"/>
      <c r="R798" s="18"/>
      <c r="S798" s="18"/>
      <c r="T798" s="18"/>
      <c r="U798" s="18"/>
      <c r="V798" s="18"/>
      <c r="W798" s="18"/>
      <c r="X798" s="18"/>
      <c r="Y798" s="18"/>
      <c r="Z798" s="18"/>
      <c r="AA798" s="18"/>
      <c r="AB798" s="17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  <c r="AS798" s="18"/>
      <c r="AT798" s="18"/>
      <c r="AU798" s="18"/>
      <c r="AV798" s="18"/>
      <c r="AW798" s="18"/>
      <c r="AX798" s="18"/>
    </row>
    <row r="799" spans="1:50" ht="15">
      <c r="A799" s="18"/>
      <c r="B799" s="18"/>
      <c r="C799" s="18"/>
      <c r="D799" s="18"/>
      <c r="E799" s="18"/>
      <c r="F799" s="18"/>
      <c r="G799" s="18"/>
      <c r="H799" s="18"/>
      <c r="I799" s="17"/>
      <c r="J799" s="18"/>
      <c r="K799" s="17"/>
      <c r="L799" s="18"/>
      <c r="M799" s="20"/>
      <c r="N799" s="18"/>
      <c r="O799" s="18"/>
      <c r="P799" s="18"/>
      <c r="Q799" s="17"/>
      <c r="R799" s="18"/>
      <c r="S799" s="18"/>
      <c r="T799" s="18"/>
      <c r="U799" s="18"/>
      <c r="V799" s="18"/>
      <c r="W799" s="18"/>
      <c r="X799" s="18"/>
      <c r="Y799" s="18"/>
      <c r="Z799" s="18"/>
      <c r="AA799" s="18"/>
      <c r="AB799" s="17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  <c r="AS799" s="18"/>
      <c r="AT799" s="18"/>
      <c r="AU799" s="18"/>
      <c r="AV799" s="18"/>
      <c r="AW799" s="18"/>
      <c r="AX799" s="18"/>
    </row>
    <row r="800" spans="1:50" ht="15">
      <c r="A800" s="18"/>
      <c r="B800" s="18"/>
      <c r="C800" s="18"/>
      <c r="D800" s="18"/>
      <c r="E800" s="18"/>
      <c r="F800" s="18"/>
      <c r="G800" s="18"/>
      <c r="H800" s="18"/>
      <c r="I800" s="17"/>
      <c r="J800" s="18"/>
      <c r="K800" s="17"/>
      <c r="L800" s="18"/>
      <c r="M800" s="20"/>
      <c r="N800" s="18"/>
      <c r="O800" s="18"/>
      <c r="P800" s="18"/>
      <c r="Q800" s="17"/>
      <c r="R800" s="18"/>
      <c r="S800" s="18"/>
      <c r="T800" s="18"/>
      <c r="U800" s="18"/>
      <c r="V800" s="18"/>
      <c r="W800" s="18"/>
      <c r="X800" s="18"/>
      <c r="Y800" s="18"/>
      <c r="Z800" s="18"/>
      <c r="AA800" s="18"/>
      <c r="AB800" s="17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  <c r="AS800" s="18"/>
      <c r="AT800" s="18"/>
      <c r="AU800" s="18"/>
      <c r="AV800" s="18"/>
      <c r="AW800" s="18"/>
      <c r="AX800" s="18"/>
    </row>
    <row r="801" spans="1:50" ht="15">
      <c r="A801" s="18"/>
      <c r="B801" s="18"/>
      <c r="C801" s="18"/>
      <c r="D801" s="18"/>
      <c r="E801" s="18"/>
      <c r="F801" s="18"/>
      <c r="G801" s="18"/>
      <c r="H801" s="18"/>
      <c r="I801" s="17"/>
      <c r="J801" s="18"/>
      <c r="K801" s="17"/>
      <c r="L801" s="18"/>
      <c r="M801" s="20"/>
      <c r="N801" s="18"/>
      <c r="O801" s="18"/>
      <c r="P801" s="18"/>
      <c r="Q801" s="17"/>
      <c r="R801" s="18"/>
      <c r="S801" s="18"/>
      <c r="T801" s="18"/>
      <c r="U801" s="18"/>
      <c r="V801" s="18"/>
      <c r="W801" s="18"/>
      <c r="X801" s="18"/>
      <c r="Y801" s="18"/>
      <c r="Z801" s="18"/>
      <c r="AA801" s="18"/>
      <c r="AB801" s="17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  <c r="AS801" s="18"/>
      <c r="AT801" s="18"/>
      <c r="AU801" s="18"/>
      <c r="AV801" s="18"/>
      <c r="AW801" s="18"/>
      <c r="AX801" s="18"/>
    </row>
    <row r="802" spans="1:50" ht="15">
      <c r="A802" s="18"/>
      <c r="B802" s="18"/>
      <c r="C802" s="18"/>
      <c r="D802" s="18"/>
      <c r="E802" s="18"/>
      <c r="F802" s="18"/>
      <c r="G802" s="18"/>
      <c r="H802" s="18"/>
      <c r="I802" s="17"/>
      <c r="J802" s="18"/>
      <c r="K802" s="17"/>
      <c r="L802" s="18"/>
      <c r="M802" s="20"/>
      <c r="N802" s="18"/>
      <c r="O802" s="18"/>
      <c r="P802" s="18"/>
      <c r="Q802" s="17"/>
      <c r="R802" s="18"/>
      <c r="S802" s="18"/>
      <c r="T802" s="18"/>
      <c r="U802" s="18"/>
      <c r="V802" s="18"/>
      <c r="W802" s="18"/>
      <c r="X802" s="18"/>
      <c r="Y802" s="18"/>
      <c r="Z802" s="18"/>
      <c r="AA802" s="18"/>
      <c r="AB802" s="17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 s="18"/>
      <c r="AV802" s="18"/>
      <c r="AW802" s="18"/>
      <c r="AX802" s="18"/>
    </row>
    <row r="803" spans="1:50" ht="15">
      <c r="A803" s="18"/>
      <c r="B803" s="18"/>
      <c r="C803" s="18"/>
      <c r="D803" s="18"/>
      <c r="E803" s="18"/>
      <c r="F803" s="18"/>
      <c r="G803" s="18"/>
      <c r="H803" s="18"/>
      <c r="I803" s="17"/>
      <c r="J803" s="18"/>
      <c r="K803" s="17"/>
      <c r="L803" s="18"/>
      <c r="M803" s="20"/>
      <c r="N803" s="18"/>
      <c r="O803" s="18"/>
      <c r="P803" s="18"/>
      <c r="Q803" s="17"/>
      <c r="R803" s="18"/>
      <c r="S803" s="18"/>
      <c r="T803" s="18"/>
      <c r="U803" s="18"/>
      <c r="V803" s="18"/>
      <c r="W803" s="18"/>
      <c r="X803" s="18"/>
      <c r="Y803" s="18"/>
      <c r="Z803" s="18"/>
      <c r="AA803" s="18"/>
      <c r="AB803" s="17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 s="18"/>
      <c r="AV803" s="18"/>
      <c r="AW803" s="18"/>
      <c r="AX803" s="18"/>
    </row>
    <row r="804" spans="1:50" ht="15">
      <c r="A804" s="18"/>
      <c r="B804" s="18"/>
      <c r="C804" s="18"/>
      <c r="D804" s="18"/>
      <c r="E804" s="18"/>
      <c r="F804" s="18"/>
      <c r="G804" s="18"/>
      <c r="H804" s="18"/>
      <c r="I804" s="17"/>
      <c r="J804" s="18"/>
      <c r="K804" s="17"/>
      <c r="L804" s="18"/>
      <c r="M804" s="20"/>
      <c r="N804" s="18"/>
      <c r="O804" s="18"/>
      <c r="P804" s="18"/>
      <c r="Q804" s="17"/>
      <c r="R804" s="18"/>
      <c r="S804" s="18"/>
      <c r="T804" s="18"/>
      <c r="U804" s="18"/>
      <c r="V804" s="18"/>
      <c r="W804" s="18"/>
      <c r="X804" s="18"/>
      <c r="Y804" s="18"/>
      <c r="Z804" s="18"/>
      <c r="AA804" s="18"/>
      <c r="AB804" s="17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 s="18"/>
      <c r="AV804" s="18"/>
      <c r="AW804" s="18"/>
      <c r="AX804" s="18"/>
    </row>
    <row r="805" spans="1:50" ht="15">
      <c r="A805" s="18"/>
      <c r="B805" s="18"/>
      <c r="C805" s="18"/>
      <c r="D805" s="18"/>
      <c r="E805" s="18"/>
      <c r="F805" s="18"/>
      <c r="G805" s="18"/>
      <c r="H805" s="18"/>
      <c r="I805" s="17"/>
      <c r="J805" s="18"/>
      <c r="K805" s="17"/>
      <c r="L805" s="18"/>
      <c r="M805" s="20"/>
      <c r="N805" s="18"/>
      <c r="O805" s="18"/>
      <c r="P805" s="18"/>
      <c r="Q805" s="17"/>
      <c r="R805" s="18"/>
      <c r="S805" s="18"/>
      <c r="T805" s="18"/>
      <c r="U805" s="18"/>
      <c r="V805" s="18"/>
      <c r="W805" s="18"/>
      <c r="X805" s="18"/>
      <c r="Y805" s="18"/>
      <c r="Z805" s="18"/>
      <c r="AA805" s="18"/>
      <c r="AB805" s="17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  <c r="AS805" s="18"/>
      <c r="AT805" s="18"/>
      <c r="AU805" s="18"/>
      <c r="AV805" s="18"/>
      <c r="AW805" s="18"/>
      <c r="AX805" s="18"/>
    </row>
    <row r="806" spans="1:50" ht="15">
      <c r="A806" s="18"/>
      <c r="B806" s="18"/>
      <c r="C806" s="18"/>
      <c r="D806" s="18"/>
      <c r="E806" s="18"/>
      <c r="F806" s="18"/>
      <c r="G806" s="18"/>
      <c r="H806" s="18"/>
      <c r="I806" s="17"/>
      <c r="J806" s="18"/>
      <c r="K806" s="17"/>
      <c r="L806" s="18"/>
      <c r="M806" s="20"/>
      <c r="N806" s="18"/>
      <c r="O806" s="18"/>
      <c r="P806" s="18"/>
      <c r="Q806" s="17"/>
      <c r="R806" s="18"/>
      <c r="S806" s="18"/>
      <c r="T806" s="18"/>
      <c r="U806" s="18"/>
      <c r="V806" s="18"/>
      <c r="W806" s="18"/>
      <c r="X806" s="18"/>
      <c r="Y806" s="18"/>
      <c r="Z806" s="18"/>
      <c r="AA806" s="18"/>
      <c r="AB806" s="17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  <c r="AS806" s="18"/>
      <c r="AT806" s="18"/>
      <c r="AU806" s="18"/>
      <c r="AV806" s="18"/>
      <c r="AW806" s="18"/>
      <c r="AX806" s="18"/>
    </row>
    <row r="807" spans="1:50" ht="15">
      <c r="A807" s="18"/>
      <c r="B807" s="18"/>
      <c r="C807" s="18"/>
      <c r="D807" s="18"/>
      <c r="E807" s="18"/>
      <c r="F807" s="18"/>
      <c r="G807" s="18"/>
      <c r="H807" s="18"/>
      <c r="I807" s="17"/>
      <c r="J807" s="18"/>
      <c r="K807" s="17"/>
      <c r="L807" s="18"/>
      <c r="M807" s="20"/>
      <c r="N807" s="18"/>
      <c r="O807" s="18"/>
      <c r="P807" s="18"/>
      <c r="Q807" s="17"/>
      <c r="R807" s="18"/>
      <c r="S807" s="18"/>
      <c r="T807" s="18"/>
      <c r="U807" s="18"/>
      <c r="V807" s="18"/>
      <c r="W807" s="18"/>
      <c r="X807" s="18"/>
      <c r="Y807" s="18"/>
      <c r="Z807" s="18"/>
      <c r="AA807" s="18"/>
      <c r="AB807" s="17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  <c r="AS807" s="18"/>
      <c r="AT807" s="18"/>
      <c r="AU807" s="18"/>
      <c r="AV807" s="18"/>
      <c r="AW807" s="18"/>
      <c r="AX807" s="18"/>
    </row>
    <row r="808" spans="1:50" ht="15">
      <c r="A808" s="18"/>
      <c r="B808" s="18"/>
      <c r="C808" s="18"/>
      <c r="D808" s="18"/>
      <c r="E808" s="18"/>
      <c r="F808" s="18"/>
      <c r="G808" s="18"/>
      <c r="H808" s="18"/>
      <c r="I808" s="17"/>
      <c r="J808" s="18"/>
      <c r="K808" s="17"/>
      <c r="L808" s="18"/>
      <c r="M808" s="20"/>
      <c r="N808" s="18"/>
      <c r="O808" s="18"/>
      <c r="P808" s="18"/>
      <c r="Q808" s="17"/>
      <c r="R808" s="18"/>
      <c r="S808" s="18"/>
      <c r="T808" s="18"/>
      <c r="U808" s="18"/>
      <c r="V808" s="18"/>
      <c r="W808" s="18"/>
      <c r="X808" s="18"/>
      <c r="Y808" s="18"/>
      <c r="Z808" s="18"/>
      <c r="AA808" s="18"/>
      <c r="AB808" s="17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  <c r="AS808" s="18"/>
      <c r="AT808" s="18"/>
      <c r="AU808" s="18"/>
      <c r="AV808" s="18"/>
      <c r="AW808" s="18"/>
      <c r="AX808" s="18"/>
    </row>
    <row r="809" spans="1:50" ht="15">
      <c r="A809" s="18"/>
      <c r="B809" s="18"/>
      <c r="C809" s="18"/>
      <c r="D809" s="18"/>
      <c r="E809" s="18"/>
      <c r="F809" s="18"/>
      <c r="G809" s="18"/>
      <c r="H809" s="18"/>
      <c r="I809" s="17"/>
      <c r="J809" s="18"/>
      <c r="K809" s="17"/>
      <c r="L809" s="18"/>
      <c r="M809" s="20"/>
      <c r="N809" s="18"/>
      <c r="O809" s="18"/>
      <c r="P809" s="18"/>
      <c r="Q809" s="17"/>
      <c r="R809" s="18"/>
      <c r="S809" s="18"/>
      <c r="T809" s="18"/>
      <c r="U809" s="18"/>
      <c r="V809" s="18"/>
      <c r="W809" s="18"/>
      <c r="X809" s="18"/>
      <c r="Y809" s="18"/>
      <c r="Z809" s="18"/>
      <c r="AA809" s="18"/>
      <c r="AB809" s="17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  <c r="AS809" s="18"/>
      <c r="AT809" s="18"/>
      <c r="AU809" s="18"/>
      <c r="AV809" s="18"/>
      <c r="AW809" s="18"/>
      <c r="AX809" s="18"/>
    </row>
    <row r="810" spans="1:50" ht="15">
      <c r="A810" s="18"/>
      <c r="B810" s="18"/>
      <c r="C810" s="18"/>
      <c r="D810" s="18"/>
      <c r="E810" s="18"/>
      <c r="F810" s="18"/>
      <c r="G810" s="18"/>
      <c r="H810" s="18"/>
      <c r="I810" s="17"/>
      <c r="J810" s="18"/>
      <c r="K810" s="17"/>
      <c r="L810" s="18"/>
      <c r="M810" s="20"/>
      <c r="N810" s="18"/>
      <c r="O810" s="18"/>
      <c r="P810" s="18"/>
      <c r="Q810" s="17"/>
      <c r="R810" s="18"/>
      <c r="S810" s="18"/>
      <c r="T810" s="18"/>
      <c r="U810" s="18"/>
      <c r="V810" s="18"/>
      <c r="W810" s="18"/>
      <c r="X810" s="18"/>
      <c r="Y810" s="18"/>
      <c r="Z810" s="18"/>
      <c r="AA810" s="18"/>
      <c r="AB810" s="17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  <c r="AS810" s="18"/>
      <c r="AT810" s="18"/>
      <c r="AU810" s="18"/>
      <c r="AV810" s="18"/>
      <c r="AW810" s="18"/>
      <c r="AX810" s="18"/>
    </row>
    <row r="811" spans="1:50" ht="15">
      <c r="A811" s="18"/>
      <c r="B811" s="18"/>
      <c r="C811" s="18"/>
      <c r="D811" s="18"/>
      <c r="E811" s="18"/>
      <c r="F811" s="18"/>
      <c r="G811" s="18"/>
      <c r="H811" s="18"/>
      <c r="I811" s="17"/>
      <c r="J811" s="18"/>
      <c r="K811" s="17"/>
      <c r="L811" s="18"/>
      <c r="M811" s="20"/>
      <c r="N811" s="18"/>
      <c r="O811" s="18"/>
      <c r="P811" s="18"/>
      <c r="Q811" s="17"/>
      <c r="R811" s="18"/>
      <c r="S811" s="18"/>
      <c r="T811" s="18"/>
      <c r="U811" s="18"/>
      <c r="V811" s="18"/>
      <c r="W811" s="18"/>
      <c r="X811" s="18"/>
      <c r="Y811" s="18"/>
      <c r="Z811" s="18"/>
      <c r="AA811" s="18"/>
      <c r="AB811" s="17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  <c r="AS811" s="18"/>
      <c r="AT811" s="18"/>
      <c r="AU811" s="18"/>
      <c r="AV811" s="18"/>
      <c r="AW811" s="18"/>
      <c r="AX811" s="18"/>
    </row>
    <row r="812" spans="1:50" ht="15">
      <c r="A812" s="18"/>
      <c r="B812" s="18"/>
      <c r="C812" s="18"/>
      <c r="D812" s="18"/>
      <c r="E812" s="18"/>
      <c r="F812" s="18"/>
      <c r="G812" s="18"/>
      <c r="H812" s="18"/>
      <c r="I812" s="17"/>
      <c r="J812" s="18"/>
      <c r="K812" s="17"/>
      <c r="L812" s="18"/>
      <c r="M812" s="20"/>
      <c r="N812" s="18"/>
      <c r="O812" s="18"/>
      <c r="P812" s="18"/>
      <c r="Q812" s="17"/>
      <c r="R812" s="18"/>
      <c r="S812" s="18"/>
      <c r="T812" s="18"/>
      <c r="U812" s="18"/>
      <c r="V812" s="18"/>
      <c r="W812" s="18"/>
      <c r="X812" s="18"/>
      <c r="Y812" s="18"/>
      <c r="Z812" s="18"/>
      <c r="AA812" s="18"/>
      <c r="AB812" s="17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  <c r="AS812" s="18"/>
      <c r="AT812" s="18"/>
      <c r="AU812" s="18"/>
      <c r="AV812" s="18"/>
      <c r="AW812" s="18"/>
      <c r="AX812" s="18"/>
    </row>
    <row r="813" spans="1:50" ht="15">
      <c r="A813" s="18"/>
      <c r="B813" s="18"/>
      <c r="C813" s="18"/>
      <c r="D813" s="18"/>
      <c r="E813" s="18"/>
      <c r="F813" s="18"/>
      <c r="G813" s="18"/>
      <c r="H813" s="18"/>
      <c r="I813" s="17"/>
      <c r="J813" s="18"/>
      <c r="K813" s="17"/>
      <c r="L813" s="18"/>
      <c r="M813" s="20"/>
      <c r="N813" s="18"/>
      <c r="O813" s="18"/>
      <c r="P813" s="18"/>
      <c r="Q813" s="17"/>
      <c r="R813" s="18"/>
      <c r="S813" s="18"/>
      <c r="T813" s="18"/>
      <c r="U813" s="18"/>
      <c r="V813" s="18"/>
      <c r="W813" s="18"/>
      <c r="X813" s="18"/>
      <c r="Y813" s="18"/>
      <c r="Z813" s="18"/>
      <c r="AA813" s="18"/>
      <c r="AB813" s="17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  <c r="AS813" s="18"/>
      <c r="AT813" s="18"/>
      <c r="AU813" s="18"/>
      <c r="AV813" s="18"/>
      <c r="AW813" s="18"/>
      <c r="AX813" s="18"/>
    </row>
    <row r="814" spans="1:50" ht="15">
      <c r="A814" s="18"/>
      <c r="B814" s="18"/>
      <c r="C814" s="18"/>
      <c r="D814" s="18"/>
      <c r="E814" s="18"/>
      <c r="F814" s="18"/>
      <c r="G814" s="18"/>
      <c r="H814" s="18"/>
      <c r="I814" s="17"/>
      <c r="J814" s="18"/>
      <c r="K814" s="17"/>
      <c r="L814" s="18"/>
      <c r="M814" s="20"/>
      <c r="N814" s="18"/>
      <c r="O814" s="18"/>
      <c r="P814" s="18"/>
      <c r="Q814" s="17"/>
      <c r="R814" s="18"/>
      <c r="S814" s="18"/>
      <c r="T814" s="18"/>
      <c r="U814" s="18"/>
      <c r="V814" s="18"/>
      <c r="W814" s="18"/>
      <c r="X814" s="18"/>
      <c r="Y814" s="18"/>
      <c r="Z814" s="18"/>
      <c r="AA814" s="18"/>
      <c r="AB814" s="17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  <c r="AS814" s="18"/>
      <c r="AT814" s="18"/>
      <c r="AU814" s="18"/>
      <c r="AV814" s="18"/>
      <c r="AW814" s="18"/>
      <c r="AX814" s="18"/>
    </row>
    <row r="815" spans="1:50" ht="15">
      <c r="A815" s="18"/>
      <c r="B815" s="18"/>
      <c r="C815" s="18"/>
      <c r="D815" s="18"/>
      <c r="E815" s="18"/>
      <c r="F815" s="18"/>
      <c r="G815" s="18"/>
      <c r="H815" s="18"/>
      <c r="I815" s="17"/>
      <c r="J815" s="18"/>
      <c r="K815" s="17"/>
      <c r="L815" s="18"/>
      <c r="M815" s="20"/>
      <c r="N815" s="18"/>
      <c r="O815" s="18"/>
      <c r="P815" s="18"/>
      <c r="Q815" s="17"/>
      <c r="R815" s="18"/>
      <c r="S815" s="18"/>
      <c r="T815" s="18"/>
      <c r="U815" s="18"/>
      <c r="V815" s="18"/>
      <c r="W815" s="18"/>
      <c r="X815" s="18"/>
      <c r="Y815" s="18"/>
      <c r="Z815" s="18"/>
      <c r="AA815" s="18"/>
      <c r="AB815" s="17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  <c r="AS815" s="18"/>
      <c r="AT815" s="18"/>
      <c r="AU815" s="18"/>
      <c r="AV815" s="18"/>
      <c r="AW815" s="18"/>
      <c r="AX815" s="18"/>
    </row>
    <row r="816" spans="1:50" ht="15">
      <c r="A816" s="18"/>
      <c r="B816" s="18"/>
      <c r="C816" s="18"/>
      <c r="D816" s="18"/>
      <c r="E816" s="18"/>
      <c r="F816" s="18"/>
      <c r="G816" s="18"/>
      <c r="H816" s="18"/>
      <c r="I816" s="17"/>
      <c r="J816" s="18"/>
      <c r="K816" s="17"/>
      <c r="L816" s="18"/>
      <c r="M816" s="20"/>
      <c r="N816" s="18"/>
      <c r="O816" s="18"/>
      <c r="P816" s="18"/>
      <c r="Q816" s="17"/>
      <c r="R816" s="18"/>
      <c r="S816" s="18"/>
      <c r="T816" s="18"/>
      <c r="U816" s="18"/>
      <c r="V816" s="18"/>
      <c r="W816" s="18"/>
      <c r="X816" s="18"/>
      <c r="Y816" s="18"/>
      <c r="Z816" s="18"/>
      <c r="AA816" s="18"/>
      <c r="AB816" s="17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  <c r="AS816" s="18"/>
      <c r="AT816" s="18"/>
      <c r="AU816" s="18"/>
      <c r="AV816" s="18"/>
      <c r="AW816" s="18"/>
      <c r="AX816" s="18"/>
    </row>
    <row r="817" spans="1:50" ht="15">
      <c r="A817" s="18"/>
      <c r="B817" s="18"/>
      <c r="C817" s="18"/>
      <c r="D817" s="18"/>
      <c r="E817" s="18"/>
      <c r="F817" s="18"/>
      <c r="G817" s="18"/>
      <c r="H817" s="18"/>
      <c r="I817" s="17"/>
      <c r="J817" s="18"/>
      <c r="K817" s="17"/>
      <c r="L817" s="18"/>
      <c r="M817" s="20"/>
      <c r="N817" s="18"/>
      <c r="O817" s="18"/>
      <c r="P817" s="18"/>
      <c r="Q817" s="17"/>
      <c r="R817" s="18"/>
      <c r="S817" s="18"/>
      <c r="T817" s="18"/>
      <c r="U817" s="18"/>
      <c r="V817" s="18"/>
      <c r="W817" s="18"/>
      <c r="X817" s="18"/>
      <c r="Y817" s="18"/>
      <c r="Z817" s="18"/>
      <c r="AA817" s="18"/>
      <c r="AB817" s="17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  <c r="AS817" s="18"/>
      <c r="AT817" s="18"/>
      <c r="AU817" s="18"/>
      <c r="AV817" s="18"/>
      <c r="AW817" s="18"/>
      <c r="AX817" s="18"/>
    </row>
    <row r="818" spans="1:50" ht="15">
      <c r="A818" s="18"/>
      <c r="B818" s="18"/>
      <c r="C818" s="18"/>
      <c r="D818" s="18"/>
      <c r="E818" s="18"/>
      <c r="F818" s="18"/>
      <c r="G818" s="18"/>
      <c r="H818" s="18"/>
      <c r="I818" s="17"/>
      <c r="J818" s="18"/>
      <c r="K818" s="17"/>
      <c r="L818" s="18"/>
      <c r="M818" s="20"/>
      <c r="N818" s="18"/>
      <c r="O818" s="18"/>
      <c r="P818" s="18"/>
      <c r="Q818" s="17"/>
      <c r="R818" s="18"/>
      <c r="S818" s="18"/>
      <c r="T818" s="18"/>
      <c r="U818" s="18"/>
      <c r="V818" s="18"/>
      <c r="W818" s="18"/>
      <c r="X818" s="18"/>
      <c r="Y818" s="18"/>
      <c r="Z818" s="18"/>
      <c r="AA818" s="18"/>
      <c r="AB818" s="17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  <c r="AS818" s="18"/>
      <c r="AT818" s="18"/>
      <c r="AU818" s="18"/>
      <c r="AV818" s="18"/>
      <c r="AW818" s="18"/>
      <c r="AX818" s="18"/>
    </row>
    <row r="819" spans="1:50" ht="15">
      <c r="A819" s="18"/>
      <c r="B819" s="18"/>
      <c r="C819" s="18"/>
      <c r="D819" s="18"/>
      <c r="E819" s="18"/>
      <c r="F819" s="18"/>
      <c r="G819" s="18"/>
      <c r="H819" s="18"/>
      <c r="I819" s="17"/>
      <c r="J819" s="18"/>
      <c r="K819" s="17"/>
      <c r="L819" s="18"/>
      <c r="M819" s="20"/>
      <c r="N819" s="18"/>
      <c r="O819" s="18"/>
      <c r="P819" s="18"/>
      <c r="Q819" s="17"/>
      <c r="R819" s="18"/>
      <c r="S819" s="18"/>
      <c r="T819" s="18"/>
      <c r="U819" s="18"/>
      <c r="V819" s="18"/>
      <c r="W819" s="18"/>
      <c r="X819" s="18"/>
      <c r="Y819" s="18"/>
      <c r="Z819" s="18"/>
      <c r="AA819" s="18"/>
      <c r="AB819" s="17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  <c r="AS819" s="18"/>
      <c r="AT819" s="18"/>
      <c r="AU819" s="18"/>
      <c r="AV819" s="18"/>
      <c r="AW819" s="18"/>
      <c r="AX819" s="18"/>
    </row>
    <row r="820" spans="1:50" ht="15">
      <c r="A820" s="18"/>
      <c r="B820" s="18"/>
      <c r="C820" s="18"/>
      <c r="D820" s="18"/>
      <c r="E820" s="18"/>
      <c r="F820" s="18"/>
      <c r="G820" s="18"/>
      <c r="H820" s="18"/>
      <c r="I820" s="17"/>
      <c r="J820" s="18"/>
      <c r="K820" s="17"/>
      <c r="L820" s="18"/>
      <c r="M820" s="20"/>
      <c r="N820" s="18"/>
      <c r="O820" s="18"/>
      <c r="P820" s="18"/>
      <c r="Q820" s="17"/>
      <c r="R820" s="18"/>
      <c r="S820" s="18"/>
      <c r="T820" s="18"/>
      <c r="U820" s="18"/>
      <c r="V820" s="18"/>
      <c r="W820" s="18"/>
      <c r="X820" s="18"/>
      <c r="Y820" s="18"/>
      <c r="Z820" s="18"/>
      <c r="AA820" s="18"/>
      <c r="AB820" s="17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  <c r="AS820" s="18"/>
      <c r="AT820" s="18"/>
      <c r="AU820" s="18"/>
      <c r="AV820" s="18"/>
      <c r="AW820" s="18"/>
      <c r="AX820" s="18"/>
    </row>
    <row r="821" spans="1:50" ht="15">
      <c r="A821" s="18"/>
      <c r="B821" s="18"/>
      <c r="C821" s="18"/>
      <c r="D821" s="18"/>
      <c r="E821" s="18"/>
      <c r="F821" s="18"/>
      <c r="G821" s="18"/>
      <c r="H821" s="18"/>
      <c r="I821" s="17"/>
      <c r="J821" s="18"/>
      <c r="K821" s="17"/>
      <c r="L821" s="18"/>
      <c r="M821" s="20"/>
      <c r="N821" s="18"/>
      <c r="O821" s="18"/>
      <c r="P821" s="18"/>
      <c r="Q821" s="17"/>
      <c r="R821" s="18"/>
      <c r="S821" s="18"/>
      <c r="T821" s="18"/>
      <c r="U821" s="18"/>
      <c r="V821" s="18"/>
      <c r="W821" s="18"/>
      <c r="X821" s="18"/>
      <c r="Y821" s="18"/>
      <c r="Z821" s="18"/>
      <c r="AA821" s="18"/>
      <c r="AB821" s="17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  <c r="AS821" s="18"/>
      <c r="AT821" s="18"/>
      <c r="AU821" s="18"/>
      <c r="AV821" s="18"/>
      <c r="AW821" s="18"/>
      <c r="AX821" s="18"/>
    </row>
    <row r="822" spans="1:50" ht="15">
      <c r="A822" s="18"/>
      <c r="B822" s="18"/>
      <c r="C822" s="18"/>
      <c r="D822" s="18"/>
      <c r="E822" s="18"/>
      <c r="F822" s="18"/>
      <c r="G822" s="18"/>
      <c r="H822" s="18"/>
      <c r="I822" s="17"/>
      <c r="J822" s="18"/>
      <c r="K822" s="17"/>
      <c r="L822" s="18"/>
      <c r="M822" s="20"/>
      <c r="N822" s="18"/>
      <c r="O822" s="18"/>
      <c r="P822" s="18"/>
      <c r="Q822" s="17"/>
      <c r="R822" s="18"/>
      <c r="S822" s="18"/>
      <c r="T822" s="18"/>
      <c r="U822" s="18"/>
      <c r="V822" s="18"/>
      <c r="W822" s="18"/>
      <c r="X822" s="18"/>
      <c r="Y822" s="18"/>
      <c r="Z822" s="18"/>
      <c r="AA822" s="18"/>
      <c r="AB822" s="17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 s="18"/>
      <c r="AV822" s="18"/>
      <c r="AW822" s="18"/>
      <c r="AX822" s="18"/>
    </row>
    <row r="823" spans="1:50" ht="15">
      <c r="A823" s="18"/>
      <c r="B823" s="18"/>
      <c r="C823" s="18"/>
      <c r="D823" s="18"/>
      <c r="E823" s="18"/>
      <c r="F823" s="18"/>
      <c r="G823" s="18"/>
      <c r="H823" s="18"/>
      <c r="I823" s="17"/>
      <c r="J823" s="18"/>
      <c r="K823" s="17"/>
      <c r="L823" s="18"/>
      <c r="M823" s="20"/>
      <c r="N823" s="18"/>
      <c r="O823" s="18"/>
      <c r="P823" s="18"/>
      <c r="Q823" s="17"/>
      <c r="R823" s="18"/>
      <c r="S823" s="18"/>
      <c r="T823" s="18"/>
      <c r="U823" s="18"/>
      <c r="V823" s="18"/>
      <c r="W823" s="18"/>
      <c r="X823" s="18"/>
      <c r="Y823" s="18"/>
      <c r="Z823" s="18"/>
      <c r="AA823" s="18"/>
      <c r="AB823" s="17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 s="18"/>
      <c r="AV823" s="18"/>
      <c r="AW823" s="18"/>
      <c r="AX823" s="18"/>
    </row>
    <row r="824" spans="1:50" ht="15">
      <c r="A824" s="18"/>
      <c r="B824" s="18"/>
      <c r="C824" s="18"/>
      <c r="D824" s="18"/>
      <c r="E824" s="18"/>
      <c r="F824" s="18"/>
      <c r="G824" s="18"/>
      <c r="H824" s="18"/>
      <c r="I824" s="17"/>
      <c r="J824" s="18"/>
      <c r="K824" s="17"/>
      <c r="L824" s="18"/>
      <c r="M824" s="20"/>
      <c r="N824" s="18"/>
      <c r="O824" s="18"/>
      <c r="P824" s="18"/>
      <c r="Q824" s="17"/>
      <c r="R824" s="18"/>
      <c r="S824" s="18"/>
      <c r="T824" s="18"/>
      <c r="U824" s="18"/>
      <c r="V824" s="18"/>
      <c r="W824" s="18"/>
      <c r="X824" s="18"/>
      <c r="Y824" s="18"/>
      <c r="Z824" s="18"/>
      <c r="AA824" s="18"/>
      <c r="AB824" s="17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 s="18"/>
      <c r="AV824" s="18"/>
      <c r="AW824" s="18"/>
      <c r="AX824" s="18"/>
    </row>
    <row r="825" spans="1:50" ht="15">
      <c r="A825" s="18"/>
      <c r="B825" s="18"/>
      <c r="C825" s="18"/>
      <c r="D825" s="18"/>
      <c r="E825" s="18"/>
      <c r="F825" s="18"/>
      <c r="G825" s="18"/>
      <c r="H825" s="18"/>
      <c r="I825" s="17"/>
      <c r="J825" s="18"/>
      <c r="K825" s="17"/>
      <c r="L825" s="18"/>
      <c r="M825" s="20"/>
      <c r="N825" s="18"/>
      <c r="O825" s="18"/>
      <c r="P825" s="18"/>
      <c r="Q825" s="17"/>
      <c r="R825" s="18"/>
      <c r="S825" s="18"/>
      <c r="T825" s="18"/>
      <c r="U825" s="18"/>
      <c r="V825" s="18"/>
      <c r="W825" s="18"/>
      <c r="X825" s="18"/>
      <c r="Y825" s="18"/>
      <c r="Z825" s="18"/>
      <c r="AA825" s="18"/>
      <c r="AB825" s="17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  <c r="AS825" s="18"/>
      <c r="AT825" s="18"/>
      <c r="AU825" s="18"/>
      <c r="AV825" s="18"/>
      <c r="AW825" s="18"/>
      <c r="AX825" s="18"/>
    </row>
    <row r="826" spans="1:50" ht="15">
      <c r="A826" s="18"/>
      <c r="B826" s="18"/>
      <c r="C826" s="18"/>
      <c r="D826" s="18"/>
      <c r="E826" s="18"/>
      <c r="F826" s="18"/>
      <c r="G826" s="18"/>
      <c r="H826" s="18"/>
      <c r="I826" s="17"/>
      <c r="J826" s="18"/>
      <c r="K826" s="17"/>
      <c r="L826" s="18"/>
      <c r="M826" s="20"/>
      <c r="N826" s="18"/>
      <c r="O826" s="18"/>
      <c r="P826" s="18"/>
      <c r="Q826" s="17"/>
      <c r="R826" s="18"/>
      <c r="S826" s="18"/>
      <c r="T826" s="18"/>
      <c r="U826" s="18"/>
      <c r="V826" s="18"/>
      <c r="W826" s="18"/>
      <c r="X826" s="18"/>
      <c r="Y826" s="18"/>
      <c r="Z826" s="18"/>
      <c r="AA826" s="18"/>
      <c r="AB826" s="17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 s="18"/>
      <c r="AV826" s="18"/>
      <c r="AW826" s="18"/>
      <c r="AX826" s="18"/>
    </row>
    <row r="827" spans="1:50" ht="15">
      <c r="A827" s="18"/>
      <c r="B827" s="18"/>
      <c r="C827" s="18"/>
      <c r="D827" s="18"/>
      <c r="E827" s="18"/>
      <c r="F827" s="18"/>
      <c r="G827" s="18"/>
      <c r="H827" s="18"/>
      <c r="I827" s="17"/>
      <c r="J827" s="18"/>
      <c r="K827" s="17"/>
      <c r="L827" s="18"/>
      <c r="M827" s="20"/>
      <c r="N827" s="18"/>
      <c r="O827" s="18"/>
      <c r="P827" s="18"/>
      <c r="Q827" s="17"/>
      <c r="R827" s="18"/>
      <c r="S827" s="18"/>
      <c r="T827" s="18"/>
      <c r="U827" s="18"/>
      <c r="V827" s="18"/>
      <c r="W827" s="18"/>
      <c r="X827" s="18"/>
      <c r="Y827" s="18"/>
      <c r="Z827" s="18"/>
      <c r="AA827" s="18"/>
      <c r="AB827" s="17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  <c r="AS827" s="18"/>
      <c r="AT827" s="18"/>
      <c r="AU827" s="18"/>
      <c r="AV827" s="18"/>
      <c r="AW827" s="18"/>
      <c r="AX827" s="18"/>
    </row>
    <row r="828" spans="1:50" ht="15">
      <c r="A828" s="18"/>
      <c r="B828" s="18"/>
      <c r="C828" s="18"/>
      <c r="D828" s="18"/>
      <c r="E828" s="18"/>
      <c r="F828" s="18"/>
      <c r="G828" s="18"/>
      <c r="H828" s="18"/>
      <c r="I828" s="17"/>
      <c r="J828" s="18"/>
      <c r="K828" s="17"/>
      <c r="L828" s="18"/>
      <c r="M828" s="20"/>
      <c r="N828" s="18"/>
      <c r="O828" s="18"/>
      <c r="P828" s="18"/>
      <c r="Q828" s="17"/>
      <c r="R828" s="18"/>
      <c r="S828" s="18"/>
      <c r="T828" s="18"/>
      <c r="U828" s="18"/>
      <c r="V828" s="18"/>
      <c r="W828" s="18"/>
      <c r="X828" s="18"/>
      <c r="Y828" s="18"/>
      <c r="Z828" s="18"/>
      <c r="AA828" s="18"/>
      <c r="AB828" s="17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  <c r="AS828" s="18"/>
      <c r="AT828" s="18"/>
      <c r="AU828" s="18"/>
      <c r="AV828" s="18"/>
      <c r="AW828" s="18"/>
      <c r="AX828" s="18"/>
    </row>
    <row r="829" spans="1:50" ht="15">
      <c r="A829" s="18"/>
      <c r="B829" s="18"/>
      <c r="C829" s="18"/>
      <c r="D829" s="18"/>
      <c r="E829" s="18"/>
      <c r="F829" s="18"/>
      <c r="G829" s="18"/>
      <c r="H829" s="18"/>
      <c r="I829" s="17"/>
      <c r="J829" s="18"/>
      <c r="K829" s="17"/>
      <c r="L829" s="18"/>
      <c r="M829" s="20"/>
      <c r="N829" s="18"/>
      <c r="O829" s="18"/>
      <c r="P829" s="18"/>
      <c r="Q829" s="17"/>
      <c r="R829" s="18"/>
      <c r="S829" s="18"/>
      <c r="T829" s="18"/>
      <c r="U829" s="18"/>
      <c r="V829" s="18"/>
      <c r="W829" s="18"/>
      <c r="X829" s="18"/>
      <c r="Y829" s="18"/>
      <c r="Z829" s="18"/>
      <c r="AA829" s="18"/>
      <c r="AB829" s="17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  <c r="AS829" s="18"/>
      <c r="AT829" s="18"/>
      <c r="AU829" s="18"/>
      <c r="AV829" s="18"/>
      <c r="AW829" s="18"/>
      <c r="AX829" s="18"/>
    </row>
    <row r="830" spans="1:50" ht="15">
      <c r="A830" s="18"/>
      <c r="B830" s="18"/>
      <c r="C830" s="18"/>
      <c r="D830" s="18"/>
      <c r="E830" s="18"/>
      <c r="F830" s="18"/>
      <c r="G830" s="18"/>
      <c r="H830" s="18"/>
      <c r="I830" s="17"/>
      <c r="J830" s="18"/>
      <c r="K830" s="17"/>
      <c r="L830" s="18"/>
      <c r="M830" s="20"/>
      <c r="N830" s="18"/>
      <c r="O830" s="18"/>
      <c r="P830" s="18"/>
      <c r="Q830" s="17"/>
      <c r="R830" s="18"/>
      <c r="S830" s="18"/>
      <c r="T830" s="18"/>
      <c r="U830" s="18"/>
      <c r="V830" s="18"/>
      <c r="W830" s="18"/>
      <c r="X830" s="18"/>
      <c r="Y830" s="18"/>
      <c r="Z830" s="18"/>
      <c r="AA830" s="18"/>
      <c r="AB830" s="17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  <c r="AS830" s="18"/>
      <c r="AT830" s="18"/>
      <c r="AU830" s="18"/>
      <c r="AV830" s="18"/>
      <c r="AW830" s="18"/>
      <c r="AX830" s="18"/>
    </row>
    <row r="831" spans="1:50" ht="15">
      <c r="A831" s="18"/>
      <c r="B831" s="18"/>
      <c r="C831" s="18"/>
      <c r="D831" s="18"/>
      <c r="E831" s="18"/>
      <c r="F831" s="18"/>
      <c r="G831" s="18"/>
      <c r="H831" s="18"/>
      <c r="I831" s="17"/>
      <c r="J831" s="18"/>
      <c r="K831" s="17"/>
      <c r="L831" s="18"/>
      <c r="M831" s="20"/>
      <c r="N831" s="18"/>
      <c r="O831" s="18"/>
      <c r="P831" s="18"/>
      <c r="Q831" s="17"/>
      <c r="R831" s="18"/>
      <c r="S831" s="18"/>
      <c r="T831" s="18"/>
      <c r="U831" s="18"/>
      <c r="V831" s="18"/>
      <c r="W831" s="18"/>
      <c r="X831" s="18"/>
      <c r="Y831" s="18"/>
      <c r="Z831" s="18"/>
      <c r="AA831" s="18"/>
      <c r="AB831" s="17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  <c r="AS831" s="18"/>
      <c r="AT831" s="18"/>
      <c r="AU831" s="18"/>
      <c r="AV831" s="18"/>
      <c r="AW831" s="18"/>
      <c r="AX831" s="18"/>
    </row>
    <row r="832" spans="1:50" ht="15">
      <c r="A832" s="18"/>
      <c r="B832" s="18"/>
      <c r="C832" s="18"/>
      <c r="D832" s="18"/>
      <c r="E832" s="18"/>
      <c r="F832" s="18"/>
      <c r="G832" s="18"/>
      <c r="H832" s="18"/>
      <c r="I832" s="17"/>
      <c r="J832" s="18"/>
      <c r="K832" s="17"/>
      <c r="L832" s="18"/>
      <c r="M832" s="20"/>
      <c r="N832" s="18"/>
      <c r="O832" s="18"/>
      <c r="P832" s="18"/>
      <c r="Q832" s="17"/>
      <c r="R832" s="18"/>
      <c r="S832" s="18"/>
      <c r="T832" s="18"/>
      <c r="U832" s="18"/>
      <c r="V832" s="18"/>
      <c r="W832" s="18"/>
      <c r="X832" s="18"/>
      <c r="Y832" s="18"/>
      <c r="Z832" s="18"/>
      <c r="AA832" s="18"/>
      <c r="AB832" s="17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  <c r="AS832" s="18"/>
      <c r="AT832" s="18"/>
      <c r="AU832" s="18"/>
      <c r="AV832" s="18"/>
      <c r="AW832" s="18"/>
      <c r="AX832" s="18"/>
    </row>
    <row r="833" spans="1:50" ht="15">
      <c r="A833" s="18"/>
      <c r="B833" s="18"/>
      <c r="C833" s="18"/>
      <c r="D833" s="18"/>
      <c r="E833" s="18"/>
      <c r="F833" s="18"/>
      <c r="G833" s="18"/>
      <c r="H833" s="18"/>
      <c r="I833" s="17"/>
      <c r="J833" s="18"/>
      <c r="K833" s="17"/>
      <c r="L833" s="18"/>
      <c r="M833" s="20"/>
      <c r="N833" s="18"/>
      <c r="O833" s="18"/>
      <c r="P833" s="18"/>
      <c r="Q833" s="17"/>
      <c r="R833" s="18"/>
      <c r="S833" s="18"/>
      <c r="T833" s="18"/>
      <c r="U833" s="18"/>
      <c r="V833" s="18"/>
      <c r="W833" s="18"/>
      <c r="X833" s="18"/>
      <c r="Y833" s="18"/>
      <c r="Z833" s="18"/>
      <c r="AA833" s="18"/>
      <c r="AB833" s="17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  <c r="AS833" s="18"/>
      <c r="AT833" s="18"/>
      <c r="AU833" s="18"/>
      <c r="AV833" s="18"/>
      <c r="AW833" s="18"/>
      <c r="AX833" s="18"/>
    </row>
    <row r="834" spans="1:50" ht="15">
      <c r="A834" s="18"/>
      <c r="B834" s="18"/>
      <c r="C834" s="18"/>
      <c r="D834" s="18"/>
      <c r="E834" s="18"/>
      <c r="F834" s="18"/>
      <c r="G834" s="18"/>
      <c r="H834" s="18"/>
      <c r="I834" s="17"/>
      <c r="J834" s="18"/>
      <c r="K834" s="17"/>
      <c r="L834" s="18"/>
      <c r="M834" s="20"/>
      <c r="N834" s="18"/>
      <c r="O834" s="18"/>
      <c r="P834" s="18"/>
      <c r="Q834" s="17"/>
      <c r="R834" s="18"/>
      <c r="S834" s="18"/>
      <c r="T834" s="18"/>
      <c r="U834" s="18"/>
      <c r="V834" s="18"/>
      <c r="W834" s="18"/>
      <c r="X834" s="18"/>
      <c r="Y834" s="18"/>
      <c r="Z834" s="18"/>
      <c r="AA834" s="18"/>
      <c r="AB834" s="17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  <c r="AS834" s="18"/>
      <c r="AT834" s="18"/>
      <c r="AU834" s="18"/>
      <c r="AV834" s="18"/>
      <c r="AW834" s="18"/>
      <c r="AX834" s="18"/>
    </row>
    <row r="835" spans="1:50" ht="15">
      <c r="A835" s="18"/>
      <c r="B835" s="18"/>
      <c r="C835" s="18"/>
      <c r="D835" s="18"/>
      <c r="E835" s="18"/>
      <c r="F835" s="18"/>
      <c r="G835" s="18"/>
      <c r="H835" s="18"/>
      <c r="I835" s="17"/>
      <c r="J835" s="18"/>
      <c r="K835" s="17"/>
      <c r="L835" s="18"/>
      <c r="M835" s="20"/>
      <c r="N835" s="18"/>
      <c r="O835" s="18"/>
      <c r="P835" s="18"/>
      <c r="Q835" s="17"/>
      <c r="R835" s="18"/>
      <c r="S835" s="18"/>
      <c r="T835" s="18"/>
      <c r="U835" s="18"/>
      <c r="V835" s="18"/>
      <c r="W835" s="18"/>
      <c r="X835" s="18"/>
      <c r="Y835" s="18"/>
      <c r="Z835" s="18"/>
      <c r="AA835" s="18"/>
      <c r="AB835" s="17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  <c r="AS835" s="18"/>
      <c r="AT835" s="18"/>
      <c r="AU835" s="18"/>
      <c r="AV835" s="18"/>
      <c r="AW835" s="18"/>
      <c r="AX835" s="18"/>
    </row>
    <row r="836" spans="1:50" ht="15">
      <c r="A836" s="18"/>
      <c r="B836" s="18"/>
      <c r="C836" s="18"/>
      <c r="D836" s="18"/>
      <c r="E836" s="18"/>
      <c r="F836" s="18"/>
      <c r="G836" s="18"/>
      <c r="H836" s="18"/>
      <c r="I836" s="17"/>
      <c r="J836" s="18"/>
      <c r="K836" s="17"/>
      <c r="L836" s="18"/>
      <c r="M836" s="20"/>
      <c r="N836" s="18"/>
      <c r="O836" s="18"/>
      <c r="P836" s="18"/>
      <c r="Q836" s="17"/>
      <c r="R836" s="18"/>
      <c r="S836" s="18"/>
      <c r="T836" s="18"/>
      <c r="U836" s="18"/>
      <c r="V836" s="18"/>
      <c r="W836" s="18"/>
      <c r="X836" s="18"/>
      <c r="Y836" s="18"/>
      <c r="Z836" s="18"/>
      <c r="AA836" s="18"/>
      <c r="AB836" s="17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  <c r="AS836" s="18"/>
      <c r="AT836" s="18"/>
      <c r="AU836" s="18"/>
      <c r="AV836" s="18"/>
      <c r="AW836" s="18"/>
      <c r="AX836" s="18"/>
    </row>
    <row r="837" spans="1:50" ht="15">
      <c r="A837" s="18"/>
      <c r="B837" s="18"/>
      <c r="C837" s="18"/>
      <c r="D837" s="18"/>
      <c r="E837" s="18"/>
      <c r="F837" s="18"/>
      <c r="G837" s="18"/>
      <c r="H837" s="18"/>
      <c r="I837" s="17"/>
      <c r="J837" s="18"/>
      <c r="K837" s="17"/>
      <c r="L837" s="18"/>
      <c r="M837" s="20"/>
      <c r="N837" s="18"/>
      <c r="O837" s="18"/>
      <c r="P837" s="18"/>
      <c r="Q837" s="17"/>
      <c r="R837" s="18"/>
      <c r="S837" s="18"/>
      <c r="T837" s="18"/>
      <c r="U837" s="18"/>
      <c r="V837" s="18"/>
      <c r="W837" s="18"/>
      <c r="X837" s="18"/>
      <c r="Y837" s="18"/>
      <c r="Z837" s="18"/>
      <c r="AA837" s="18"/>
      <c r="AB837" s="17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  <c r="AS837" s="18"/>
      <c r="AT837" s="18"/>
      <c r="AU837" s="18"/>
      <c r="AV837" s="18"/>
      <c r="AW837" s="18"/>
      <c r="AX837" s="18"/>
    </row>
    <row r="838" spans="1:50" ht="15">
      <c r="A838" s="18"/>
      <c r="B838" s="18"/>
      <c r="C838" s="18"/>
      <c r="D838" s="18"/>
      <c r="E838" s="18"/>
      <c r="F838" s="18"/>
      <c r="G838" s="18"/>
      <c r="H838" s="18"/>
      <c r="I838" s="17"/>
      <c r="J838" s="18"/>
      <c r="K838" s="17"/>
      <c r="L838" s="18"/>
      <c r="M838" s="20"/>
      <c r="N838" s="18"/>
      <c r="O838" s="18"/>
      <c r="P838" s="18"/>
      <c r="Q838" s="17"/>
      <c r="R838" s="18"/>
      <c r="S838" s="18"/>
      <c r="T838" s="18"/>
      <c r="U838" s="18"/>
      <c r="V838" s="18"/>
      <c r="W838" s="18"/>
      <c r="X838" s="18"/>
      <c r="Y838" s="18"/>
      <c r="Z838" s="18"/>
      <c r="AA838" s="18"/>
      <c r="AB838" s="17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  <c r="AS838" s="18"/>
      <c r="AT838" s="18"/>
      <c r="AU838" s="18"/>
      <c r="AV838" s="18"/>
      <c r="AW838" s="18"/>
      <c r="AX838" s="18"/>
    </row>
    <row r="839" spans="1:50" ht="15">
      <c r="A839" s="18"/>
      <c r="B839" s="18"/>
      <c r="C839" s="18"/>
      <c r="D839" s="18"/>
      <c r="E839" s="18"/>
      <c r="F839" s="18"/>
      <c r="G839" s="18"/>
      <c r="H839" s="18"/>
      <c r="I839" s="17"/>
      <c r="J839" s="18"/>
      <c r="K839" s="17"/>
      <c r="L839" s="18"/>
      <c r="M839" s="20"/>
      <c r="N839" s="18"/>
      <c r="O839" s="18"/>
      <c r="P839" s="18"/>
      <c r="Q839" s="17"/>
      <c r="R839" s="18"/>
      <c r="S839" s="18"/>
      <c r="T839" s="18"/>
      <c r="U839" s="18"/>
      <c r="V839" s="18"/>
      <c r="W839" s="18"/>
      <c r="X839" s="18"/>
      <c r="Y839" s="18"/>
      <c r="Z839" s="18"/>
      <c r="AA839" s="18"/>
      <c r="AB839" s="17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  <c r="AS839" s="18"/>
      <c r="AT839" s="18"/>
      <c r="AU839" s="18"/>
      <c r="AV839" s="18"/>
      <c r="AW839" s="18"/>
      <c r="AX839" s="18"/>
    </row>
    <row r="840" spans="1:50" ht="15">
      <c r="A840" s="18"/>
      <c r="B840" s="18"/>
      <c r="C840" s="18"/>
      <c r="D840" s="18"/>
      <c r="E840" s="18"/>
      <c r="F840" s="18"/>
      <c r="G840" s="18"/>
      <c r="H840" s="18"/>
      <c r="I840" s="17"/>
      <c r="J840" s="18"/>
      <c r="K840" s="17"/>
      <c r="L840" s="18"/>
      <c r="M840" s="20"/>
      <c r="N840" s="18"/>
      <c r="O840" s="18"/>
      <c r="P840" s="18"/>
      <c r="Q840" s="17"/>
      <c r="R840" s="18"/>
      <c r="S840" s="18"/>
      <c r="T840" s="18"/>
      <c r="U840" s="18"/>
      <c r="V840" s="18"/>
      <c r="W840" s="18"/>
      <c r="X840" s="18"/>
      <c r="Y840" s="18"/>
      <c r="Z840" s="18"/>
      <c r="AA840" s="18"/>
      <c r="AB840" s="17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  <c r="AS840" s="18"/>
      <c r="AT840" s="18"/>
      <c r="AU840" s="18"/>
      <c r="AV840" s="18"/>
      <c r="AW840" s="18"/>
      <c r="AX840" s="18"/>
    </row>
    <row r="841" spans="1:50" ht="15">
      <c r="A841" s="18"/>
      <c r="B841" s="18"/>
      <c r="C841" s="18"/>
      <c r="D841" s="18"/>
      <c r="E841" s="18"/>
      <c r="F841" s="18"/>
      <c r="G841" s="18"/>
      <c r="H841" s="18"/>
      <c r="I841" s="17"/>
      <c r="J841" s="18"/>
      <c r="K841" s="17"/>
      <c r="L841" s="18"/>
      <c r="M841" s="20"/>
      <c r="N841" s="18"/>
      <c r="O841" s="18"/>
      <c r="P841" s="18"/>
      <c r="Q841" s="17"/>
      <c r="R841" s="18"/>
      <c r="S841" s="18"/>
      <c r="T841" s="18"/>
      <c r="U841" s="18"/>
      <c r="V841" s="18"/>
      <c r="W841" s="18"/>
      <c r="X841" s="18"/>
      <c r="Y841" s="18"/>
      <c r="Z841" s="18"/>
      <c r="AA841" s="18"/>
      <c r="AB841" s="17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  <c r="AS841" s="18"/>
      <c r="AT841" s="18"/>
      <c r="AU841" s="18"/>
      <c r="AV841" s="18"/>
      <c r="AW841" s="18"/>
      <c r="AX841" s="18"/>
    </row>
    <row r="842" spans="1:50" ht="15">
      <c r="A842" s="18"/>
      <c r="B842" s="18"/>
      <c r="C842" s="18"/>
      <c r="D842" s="18"/>
      <c r="E842" s="18"/>
      <c r="F842" s="18"/>
      <c r="G842" s="18"/>
      <c r="H842" s="18"/>
      <c r="I842" s="17"/>
      <c r="J842" s="18"/>
      <c r="K842" s="17"/>
      <c r="L842" s="18"/>
      <c r="M842" s="20"/>
      <c r="N842" s="18"/>
      <c r="O842" s="18"/>
      <c r="P842" s="18"/>
      <c r="Q842" s="17"/>
      <c r="R842" s="18"/>
      <c r="S842" s="18"/>
      <c r="T842" s="18"/>
      <c r="U842" s="18"/>
      <c r="V842" s="18"/>
      <c r="W842" s="18"/>
      <c r="X842" s="18"/>
      <c r="Y842" s="18"/>
      <c r="Z842" s="18"/>
      <c r="AA842" s="18"/>
      <c r="AB842" s="17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  <c r="AS842" s="18"/>
      <c r="AT842" s="18"/>
      <c r="AU842" s="18"/>
      <c r="AV842" s="18"/>
      <c r="AW842" s="18"/>
      <c r="AX842" s="18"/>
    </row>
    <row r="843" spans="1:50" ht="15">
      <c r="A843" s="18"/>
      <c r="B843" s="18"/>
      <c r="C843" s="18"/>
      <c r="D843" s="18"/>
      <c r="E843" s="18"/>
      <c r="F843" s="18"/>
      <c r="G843" s="18"/>
      <c r="H843" s="18"/>
      <c r="I843" s="17"/>
      <c r="J843" s="18"/>
      <c r="K843" s="17"/>
      <c r="L843" s="18"/>
      <c r="M843" s="20"/>
      <c r="N843" s="18"/>
      <c r="O843" s="18"/>
      <c r="P843" s="18"/>
      <c r="Q843" s="17"/>
      <c r="R843" s="18"/>
      <c r="S843" s="18"/>
      <c r="T843" s="18"/>
      <c r="U843" s="18"/>
      <c r="V843" s="18"/>
      <c r="W843" s="18"/>
      <c r="X843" s="18"/>
      <c r="Y843" s="18"/>
      <c r="Z843" s="18"/>
      <c r="AA843" s="18"/>
      <c r="AB843" s="17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  <c r="AS843" s="18"/>
      <c r="AT843" s="18"/>
      <c r="AU843" s="18"/>
      <c r="AV843" s="18"/>
      <c r="AW843" s="18"/>
      <c r="AX843" s="18"/>
    </row>
    <row r="844" spans="1:50" ht="15">
      <c r="A844" s="18"/>
      <c r="B844" s="18"/>
      <c r="C844" s="18"/>
      <c r="D844" s="18"/>
      <c r="E844" s="18"/>
      <c r="F844" s="18"/>
      <c r="G844" s="18"/>
      <c r="H844" s="18"/>
      <c r="I844" s="17"/>
      <c r="J844" s="18"/>
      <c r="K844" s="17"/>
      <c r="L844" s="18"/>
      <c r="M844" s="20"/>
      <c r="N844" s="18"/>
      <c r="O844" s="18"/>
      <c r="P844" s="18"/>
      <c r="Q844" s="17"/>
      <c r="R844" s="18"/>
      <c r="S844" s="18"/>
      <c r="T844" s="18"/>
      <c r="U844" s="18"/>
      <c r="V844" s="18"/>
      <c r="W844" s="18"/>
      <c r="X844" s="18"/>
      <c r="Y844" s="18"/>
      <c r="Z844" s="18"/>
      <c r="AA844" s="18"/>
      <c r="AB844" s="17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  <c r="AS844" s="18"/>
      <c r="AT844" s="18"/>
      <c r="AU844" s="18"/>
      <c r="AV844" s="18"/>
      <c r="AW844" s="18"/>
      <c r="AX844" s="18"/>
    </row>
    <row r="845" spans="1:50" ht="15">
      <c r="A845" s="18"/>
      <c r="B845" s="18"/>
      <c r="C845" s="18"/>
      <c r="D845" s="18"/>
      <c r="E845" s="18"/>
      <c r="F845" s="18"/>
      <c r="G845" s="18"/>
      <c r="H845" s="18"/>
      <c r="I845" s="17"/>
      <c r="J845" s="18"/>
      <c r="K845" s="17"/>
      <c r="L845" s="18"/>
      <c r="M845" s="20"/>
      <c r="N845" s="18"/>
      <c r="O845" s="18"/>
      <c r="P845" s="18"/>
      <c r="Q845" s="17"/>
      <c r="R845" s="18"/>
      <c r="S845" s="18"/>
      <c r="T845" s="18"/>
      <c r="U845" s="18"/>
      <c r="V845" s="18"/>
      <c r="W845" s="18"/>
      <c r="X845" s="18"/>
      <c r="Y845" s="18"/>
      <c r="Z845" s="18"/>
      <c r="AA845" s="18"/>
      <c r="AB845" s="17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  <c r="AS845" s="18"/>
      <c r="AT845" s="18"/>
      <c r="AU845" s="18"/>
      <c r="AV845" s="18"/>
      <c r="AW845" s="18"/>
      <c r="AX845" s="18"/>
    </row>
    <row r="846" spans="1:50" ht="15">
      <c r="A846" s="18"/>
      <c r="B846" s="18"/>
      <c r="C846" s="18"/>
      <c r="D846" s="18"/>
      <c r="E846" s="18"/>
      <c r="F846" s="18"/>
      <c r="G846" s="18"/>
      <c r="H846" s="18"/>
      <c r="I846" s="17"/>
      <c r="J846" s="18"/>
      <c r="K846" s="17"/>
      <c r="L846" s="18"/>
      <c r="M846" s="20"/>
      <c r="N846" s="18"/>
      <c r="O846" s="18"/>
      <c r="P846" s="18"/>
      <c r="Q846" s="17"/>
      <c r="R846" s="18"/>
      <c r="S846" s="18"/>
      <c r="T846" s="18"/>
      <c r="U846" s="18"/>
      <c r="V846" s="18"/>
      <c r="W846" s="18"/>
      <c r="X846" s="18"/>
      <c r="Y846" s="18"/>
      <c r="Z846" s="18"/>
      <c r="AA846" s="18"/>
      <c r="AB846" s="17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  <c r="AS846" s="18"/>
      <c r="AT846" s="18"/>
      <c r="AU846" s="18"/>
      <c r="AV846" s="18"/>
      <c r="AW846" s="18"/>
      <c r="AX846" s="18"/>
    </row>
    <row r="847" spans="1:50" ht="15">
      <c r="A847" s="18"/>
      <c r="B847" s="18"/>
      <c r="C847" s="18"/>
      <c r="D847" s="18"/>
      <c r="E847" s="18"/>
      <c r="F847" s="18"/>
      <c r="G847" s="18"/>
      <c r="H847" s="18"/>
      <c r="I847" s="17"/>
      <c r="J847" s="18"/>
      <c r="K847" s="17"/>
      <c r="L847" s="18"/>
      <c r="M847" s="20"/>
      <c r="N847" s="18"/>
      <c r="O847" s="18"/>
      <c r="P847" s="18"/>
      <c r="Q847" s="17"/>
      <c r="R847" s="18"/>
      <c r="S847" s="18"/>
      <c r="T847" s="18"/>
      <c r="U847" s="18"/>
      <c r="V847" s="18"/>
      <c r="W847" s="18"/>
      <c r="X847" s="18"/>
      <c r="Y847" s="18"/>
      <c r="Z847" s="18"/>
      <c r="AA847" s="18"/>
      <c r="AB847" s="17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  <c r="AS847" s="18"/>
      <c r="AT847" s="18"/>
      <c r="AU847" s="18"/>
      <c r="AV847" s="18"/>
      <c r="AW847" s="18"/>
      <c r="AX847" s="18"/>
    </row>
    <row r="848" spans="1:50" ht="15">
      <c r="A848" s="18"/>
      <c r="B848" s="18"/>
      <c r="C848" s="18"/>
      <c r="D848" s="18"/>
      <c r="E848" s="18"/>
      <c r="F848" s="18"/>
      <c r="G848" s="18"/>
      <c r="H848" s="18"/>
      <c r="I848" s="17"/>
      <c r="J848" s="18"/>
      <c r="K848" s="17"/>
      <c r="L848" s="18"/>
      <c r="M848" s="20"/>
      <c r="N848" s="18"/>
      <c r="O848" s="18"/>
      <c r="P848" s="18"/>
      <c r="Q848" s="17"/>
      <c r="R848" s="18"/>
      <c r="S848" s="18"/>
      <c r="T848" s="18"/>
      <c r="U848" s="18"/>
      <c r="V848" s="18"/>
      <c r="W848" s="18"/>
      <c r="X848" s="18"/>
      <c r="Y848" s="18"/>
      <c r="Z848" s="18"/>
      <c r="AA848" s="18"/>
      <c r="AB848" s="17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  <c r="AS848" s="18"/>
      <c r="AT848" s="18"/>
      <c r="AU848" s="18"/>
      <c r="AV848" s="18"/>
      <c r="AW848" s="18"/>
      <c r="AX848" s="18"/>
    </row>
    <row r="849" spans="1:50" ht="15">
      <c r="A849" s="18"/>
      <c r="B849" s="18"/>
      <c r="C849" s="18"/>
      <c r="D849" s="18"/>
      <c r="E849" s="18"/>
      <c r="F849" s="18"/>
      <c r="G849" s="18"/>
      <c r="H849" s="18"/>
      <c r="I849" s="17"/>
      <c r="J849" s="18"/>
      <c r="K849" s="17"/>
      <c r="L849" s="18"/>
      <c r="M849" s="20"/>
      <c r="N849" s="18"/>
      <c r="O849" s="18"/>
      <c r="P849" s="18"/>
      <c r="Q849" s="17"/>
      <c r="R849" s="18"/>
      <c r="S849" s="18"/>
      <c r="T849" s="18"/>
      <c r="U849" s="18"/>
      <c r="V849" s="18"/>
      <c r="W849" s="18"/>
      <c r="X849" s="18"/>
      <c r="Y849" s="18"/>
      <c r="Z849" s="18"/>
      <c r="AA849" s="18"/>
      <c r="AB849" s="17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  <c r="AS849" s="18"/>
      <c r="AT849" s="18"/>
      <c r="AU849" s="18"/>
      <c r="AV849" s="18"/>
      <c r="AW849" s="18"/>
      <c r="AX849" s="18"/>
    </row>
    <row r="850" spans="1:50" ht="15">
      <c r="A850" s="18"/>
      <c r="B850" s="18"/>
      <c r="C850" s="18"/>
      <c r="D850" s="18"/>
      <c r="E850" s="18"/>
      <c r="F850" s="18"/>
      <c r="G850" s="18"/>
      <c r="H850" s="18"/>
      <c r="I850" s="17"/>
      <c r="J850" s="18"/>
      <c r="K850" s="17"/>
      <c r="L850" s="18"/>
      <c r="M850" s="20"/>
      <c r="N850" s="18"/>
      <c r="O850" s="18"/>
      <c r="P850" s="18"/>
      <c r="Q850" s="17"/>
      <c r="R850" s="18"/>
      <c r="S850" s="18"/>
      <c r="T850" s="18"/>
      <c r="U850" s="18"/>
      <c r="V850" s="18"/>
      <c r="W850" s="18"/>
      <c r="X850" s="18"/>
      <c r="Y850" s="18"/>
      <c r="Z850" s="18"/>
      <c r="AA850" s="18"/>
      <c r="AB850" s="17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  <c r="AS850" s="18"/>
      <c r="AT850" s="18"/>
      <c r="AU850" s="18"/>
      <c r="AV850" s="18"/>
      <c r="AW850" s="18"/>
      <c r="AX850" s="18"/>
    </row>
    <row r="851" spans="1:50" ht="15">
      <c r="A851" s="18"/>
      <c r="B851" s="18"/>
      <c r="C851" s="18"/>
      <c r="D851" s="18"/>
      <c r="E851" s="18"/>
      <c r="F851" s="18"/>
      <c r="G851" s="18"/>
      <c r="H851" s="18"/>
      <c r="I851" s="17"/>
      <c r="J851" s="18"/>
      <c r="K851" s="17"/>
      <c r="L851" s="18"/>
      <c r="M851" s="20"/>
      <c r="N851" s="18"/>
      <c r="O851" s="18"/>
      <c r="P851" s="18"/>
      <c r="Q851" s="17"/>
      <c r="R851" s="18"/>
      <c r="S851" s="18"/>
      <c r="T851" s="18"/>
      <c r="U851" s="18"/>
      <c r="V851" s="18"/>
      <c r="W851" s="18"/>
      <c r="X851" s="18"/>
      <c r="Y851" s="18"/>
      <c r="Z851" s="18"/>
      <c r="AA851" s="18"/>
      <c r="AB851" s="17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  <c r="AS851" s="18"/>
      <c r="AT851" s="18"/>
      <c r="AU851" s="18"/>
      <c r="AV851" s="18"/>
      <c r="AW851" s="18"/>
      <c r="AX851" s="18"/>
    </row>
    <row r="852" spans="1:50" ht="15">
      <c r="A852" s="18"/>
      <c r="B852" s="18"/>
      <c r="C852" s="18"/>
      <c r="D852" s="18"/>
      <c r="E852" s="18"/>
      <c r="F852" s="18"/>
      <c r="G852" s="18"/>
      <c r="H852" s="18"/>
      <c r="I852" s="17"/>
      <c r="J852" s="18"/>
      <c r="K852" s="17"/>
      <c r="L852" s="18"/>
      <c r="M852" s="20"/>
      <c r="N852" s="18"/>
      <c r="O852" s="18"/>
      <c r="P852" s="18"/>
      <c r="Q852" s="17"/>
      <c r="R852" s="18"/>
      <c r="S852" s="18"/>
      <c r="T852" s="18"/>
      <c r="U852" s="18"/>
      <c r="V852" s="18"/>
      <c r="W852" s="18"/>
      <c r="X852" s="18"/>
      <c r="Y852" s="18"/>
      <c r="Z852" s="18"/>
      <c r="AA852" s="18"/>
      <c r="AB852" s="17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  <c r="AS852" s="18"/>
      <c r="AT852" s="18"/>
      <c r="AU852" s="18"/>
      <c r="AV852" s="18"/>
      <c r="AW852" s="18"/>
      <c r="AX852" s="18"/>
    </row>
    <row r="853" spans="1:50" ht="15">
      <c r="A853" s="18"/>
      <c r="B853" s="18"/>
      <c r="C853" s="18"/>
      <c r="D853" s="18"/>
      <c r="E853" s="18"/>
      <c r="F853" s="18"/>
      <c r="G853" s="18"/>
      <c r="H853" s="18"/>
      <c r="I853" s="17"/>
      <c r="J853" s="18"/>
      <c r="K853" s="17"/>
      <c r="L853" s="18"/>
      <c r="M853" s="20"/>
      <c r="N853" s="18"/>
      <c r="O853" s="18"/>
      <c r="P853" s="18"/>
      <c r="Q853" s="17"/>
      <c r="R853" s="18"/>
      <c r="S853" s="18"/>
      <c r="T853" s="18"/>
      <c r="U853" s="18"/>
      <c r="V853" s="18"/>
      <c r="W853" s="18"/>
      <c r="X853" s="18"/>
      <c r="Y853" s="18"/>
      <c r="Z853" s="18"/>
      <c r="AA853" s="18"/>
      <c r="AB853" s="17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  <c r="AS853" s="18"/>
      <c r="AT853" s="18"/>
      <c r="AU853" s="18"/>
      <c r="AV853" s="18"/>
      <c r="AW853" s="18"/>
      <c r="AX853" s="18"/>
    </row>
    <row r="854" spans="1:50" ht="15">
      <c r="A854" s="18"/>
      <c r="B854" s="18"/>
      <c r="C854" s="18"/>
      <c r="D854" s="18"/>
      <c r="E854" s="18"/>
      <c r="F854" s="18"/>
      <c r="G854" s="18"/>
      <c r="H854" s="18"/>
      <c r="I854" s="17"/>
      <c r="J854" s="18"/>
      <c r="K854" s="17"/>
      <c r="L854" s="18"/>
      <c r="M854" s="20"/>
      <c r="N854" s="18"/>
      <c r="O854" s="18"/>
      <c r="P854" s="18"/>
      <c r="Q854" s="17"/>
      <c r="R854" s="18"/>
      <c r="S854" s="18"/>
      <c r="T854" s="18"/>
      <c r="U854" s="18"/>
      <c r="V854" s="18"/>
      <c r="W854" s="18"/>
      <c r="X854" s="18"/>
      <c r="Y854" s="18"/>
      <c r="Z854" s="18"/>
      <c r="AA854" s="18"/>
      <c r="AB854" s="17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  <c r="AS854" s="18"/>
      <c r="AT854" s="18"/>
      <c r="AU854" s="18"/>
      <c r="AV854" s="18"/>
      <c r="AW854" s="18"/>
      <c r="AX854" s="18"/>
    </row>
    <row r="855" spans="1:50" ht="15">
      <c r="A855" s="18"/>
      <c r="B855" s="18"/>
      <c r="C855" s="18"/>
      <c r="D855" s="18"/>
      <c r="E855" s="18"/>
      <c r="F855" s="18"/>
      <c r="G855" s="18"/>
      <c r="H855" s="18"/>
      <c r="I855" s="17"/>
      <c r="J855" s="18"/>
      <c r="K855" s="17"/>
      <c r="L855" s="18"/>
      <c r="M855" s="20"/>
      <c r="N855" s="18"/>
      <c r="O855" s="18"/>
      <c r="P855" s="18"/>
      <c r="Q855" s="17"/>
      <c r="R855" s="18"/>
      <c r="S855" s="18"/>
      <c r="T855" s="18"/>
      <c r="U855" s="18"/>
      <c r="V855" s="18"/>
      <c r="W855" s="18"/>
      <c r="X855" s="18"/>
      <c r="Y855" s="18"/>
      <c r="Z855" s="18"/>
      <c r="AA855" s="18"/>
      <c r="AB855" s="17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 s="18"/>
      <c r="AV855" s="18"/>
      <c r="AW855" s="18"/>
      <c r="AX855" s="18"/>
    </row>
    <row r="856" spans="1:50" ht="15">
      <c r="A856" s="18"/>
      <c r="B856" s="18"/>
      <c r="C856" s="18"/>
      <c r="D856" s="18"/>
      <c r="E856" s="18"/>
      <c r="F856" s="18"/>
      <c r="G856" s="18"/>
      <c r="H856" s="18"/>
      <c r="I856" s="17"/>
      <c r="J856" s="18"/>
      <c r="K856" s="17"/>
      <c r="L856" s="18"/>
      <c r="M856" s="20"/>
      <c r="N856" s="18"/>
      <c r="O856" s="18"/>
      <c r="P856" s="18"/>
      <c r="Q856" s="17"/>
      <c r="R856" s="18"/>
      <c r="S856" s="18"/>
      <c r="T856" s="18"/>
      <c r="U856" s="18"/>
      <c r="V856" s="18"/>
      <c r="W856" s="18"/>
      <c r="X856" s="18"/>
      <c r="Y856" s="18"/>
      <c r="Z856" s="18"/>
      <c r="AA856" s="18"/>
      <c r="AB856" s="17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  <c r="AS856" s="18"/>
      <c r="AT856" s="18"/>
      <c r="AU856" s="18"/>
      <c r="AV856" s="18"/>
      <c r="AW856" s="18"/>
      <c r="AX856" s="18"/>
    </row>
    <row r="857" spans="1:50" ht="15">
      <c r="A857" s="18"/>
      <c r="B857" s="18"/>
      <c r="C857" s="18"/>
      <c r="D857" s="18"/>
      <c r="E857" s="18"/>
      <c r="F857" s="18"/>
      <c r="G857" s="18"/>
      <c r="H857" s="18"/>
      <c r="I857" s="17"/>
      <c r="J857" s="18"/>
      <c r="K857" s="17"/>
      <c r="L857" s="18"/>
      <c r="M857" s="20"/>
      <c r="N857" s="18"/>
      <c r="O857" s="18"/>
      <c r="P857" s="18"/>
      <c r="Q857" s="17"/>
      <c r="R857" s="18"/>
      <c r="S857" s="18"/>
      <c r="T857" s="18"/>
      <c r="U857" s="18"/>
      <c r="V857" s="18"/>
      <c r="W857" s="18"/>
      <c r="X857" s="18"/>
      <c r="Y857" s="18"/>
      <c r="Z857" s="18"/>
      <c r="AA857" s="18"/>
      <c r="AB857" s="17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  <c r="AS857" s="18"/>
      <c r="AT857" s="18"/>
      <c r="AU857" s="18"/>
      <c r="AV857" s="18"/>
      <c r="AW857" s="18"/>
      <c r="AX857" s="18"/>
    </row>
    <row r="858" spans="1:50" ht="15">
      <c r="A858" s="18"/>
      <c r="B858" s="18"/>
      <c r="C858" s="18"/>
      <c r="D858" s="18"/>
      <c r="E858" s="18"/>
      <c r="F858" s="18"/>
      <c r="G858" s="18"/>
      <c r="H858" s="18"/>
      <c r="I858" s="17"/>
      <c r="J858" s="18"/>
      <c r="K858" s="17"/>
      <c r="L858" s="18"/>
      <c r="M858" s="20"/>
      <c r="N858" s="18"/>
      <c r="O858" s="18"/>
      <c r="P858" s="18"/>
      <c r="Q858" s="17"/>
      <c r="R858" s="18"/>
      <c r="S858" s="18"/>
      <c r="T858" s="18"/>
      <c r="U858" s="18"/>
      <c r="V858" s="18"/>
      <c r="W858" s="18"/>
      <c r="X858" s="18"/>
      <c r="Y858" s="18"/>
      <c r="Z858" s="18"/>
      <c r="AA858" s="18"/>
      <c r="AB858" s="17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  <c r="AS858" s="18"/>
      <c r="AT858" s="18"/>
      <c r="AU858" s="18"/>
      <c r="AV858" s="18"/>
      <c r="AW858" s="18"/>
      <c r="AX858" s="18"/>
    </row>
    <row r="859" spans="1:50" ht="15">
      <c r="A859" s="18"/>
      <c r="B859" s="18"/>
      <c r="C859" s="18"/>
      <c r="D859" s="18"/>
      <c r="E859" s="18"/>
      <c r="F859" s="18"/>
      <c r="G859" s="18"/>
      <c r="H859" s="18"/>
      <c r="I859" s="17"/>
      <c r="J859" s="18"/>
      <c r="K859" s="17"/>
      <c r="L859" s="18"/>
      <c r="M859" s="20"/>
      <c r="N859" s="18"/>
      <c r="O859" s="18"/>
      <c r="P859" s="18"/>
      <c r="Q859" s="17"/>
      <c r="R859" s="18"/>
      <c r="S859" s="18"/>
      <c r="T859" s="18"/>
      <c r="U859" s="18"/>
      <c r="V859" s="18"/>
      <c r="W859" s="18"/>
      <c r="X859" s="18"/>
      <c r="Y859" s="18"/>
      <c r="Z859" s="18"/>
      <c r="AA859" s="18"/>
      <c r="AB859" s="17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  <c r="AS859" s="18"/>
      <c r="AT859" s="18"/>
      <c r="AU859" s="18"/>
      <c r="AV859" s="18"/>
      <c r="AW859" s="18"/>
      <c r="AX859" s="18"/>
    </row>
    <row r="860" spans="1:50" ht="15">
      <c r="A860" s="18"/>
      <c r="B860" s="18"/>
      <c r="C860" s="18"/>
      <c r="D860" s="18"/>
      <c r="E860" s="18"/>
      <c r="F860" s="18"/>
      <c r="G860" s="18"/>
      <c r="H860" s="18"/>
      <c r="I860" s="17"/>
      <c r="J860" s="18"/>
      <c r="K860" s="17"/>
      <c r="L860" s="18"/>
      <c r="M860" s="20"/>
      <c r="N860" s="18"/>
      <c r="O860" s="18"/>
      <c r="P860" s="18"/>
      <c r="Q860" s="17"/>
      <c r="R860" s="18"/>
      <c r="S860" s="18"/>
      <c r="T860" s="18"/>
      <c r="U860" s="18"/>
      <c r="V860" s="18"/>
      <c r="W860" s="18"/>
      <c r="X860" s="18"/>
      <c r="Y860" s="18"/>
      <c r="Z860" s="18"/>
      <c r="AA860" s="18"/>
      <c r="AB860" s="17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  <c r="AS860" s="18"/>
      <c r="AT860" s="18"/>
      <c r="AU860" s="18"/>
      <c r="AV860" s="18"/>
      <c r="AW860" s="18"/>
      <c r="AX860" s="18"/>
    </row>
    <row r="861" spans="1:50" ht="15">
      <c r="A861" s="18"/>
      <c r="B861" s="18"/>
      <c r="C861" s="18"/>
      <c r="D861" s="18"/>
      <c r="E861" s="18"/>
      <c r="F861" s="18"/>
      <c r="G861" s="18"/>
      <c r="H861" s="18"/>
      <c r="I861" s="17"/>
      <c r="J861" s="18"/>
      <c r="K861" s="17"/>
      <c r="L861" s="18"/>
      <c r="M861" s="20"/>
      <c r="N861" s="18"/>
      <c r="O861" s="18"/>
      <c r="P861" s="18"/>
      <c r="Q861" s="17"/>
      <c r="R861" s="18"/>
      <c r="S861" s="18"/>
      <c r="T861" s="18"/>
      <c r="U861" s="18"/>
      <c r="V861" s="18"/>
      <c r="W861" s="18"/>
      <c r="X861" s="18"/>
      <c r="Y861" s="18"/>
      <c r="Z861" s="18"/>
      <c r="AA861" s="18"/>
      <c r="AB861" s="17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  <c r="AS861" s="18"/>
      <c r="AT861" s="18"/>
      <c r="AU861" s="18"/>
      <c r="AV861" s="18"/>
      <c r="AW861" s="18"/>
      <c r="AX861" s="18"/>
    </row>
    <row r="862" spans="1:50" ht="15">
      <c r="A862" s="18"/>
      <c r="B862" s="18"/>
      <c r="C862" s="18"/>
      <c r="D862" s="18"/>
      <c r="E862" s="18"/>
      <c r="F862" s="18"/>
      <c r="G862" s="18"/>
      <c r="H862" s="18"/>
      <c r="I862" s="17"/>
      <c r="J862" s="18"/>
      <c r="K862" s="17"/>
      <c r="L862" s="18"/>
      <c r="M862" s="20"/>
      <c r="N862" s="18"/>
      <c r="O862" s="18"/>
      <c r="P862" s="18"/>
      <c r="Q862" s="17"/>
      <c r="R862" s="18"/>
      <c r="S862" s="18"/>
      <c r="T862" s="18"/>
      <c r="U862" s="18"/>
      <c r="V862" s="18"/>
      <c r="W862" s="18"/>
      <c r="X862" s="18"/>
      <c r="Y862" s="18"/>
      <c r="Z862" s="18"/>
      <c r="AA862" s="18"/>
      <c r="AB862" s="17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  <c r="AS862" s="18"/>
      <c r="AT862" s="18"/>
      <c r="AU862" s="18"/>
      <c r="AV862" s="18"/>
      <c r="AW862" s="18"/>
      <c r="AX862" s="18"/>
    </row>
    <row r="863" spans="1:50" ht="15">
      <c r="A863" s="18"/>
      <c r="B863" s="18"/>
      <c r="C863" s="18"/>
      <c r="D863" s="18"/>
      <c r="E863" s="18"/>
      <c r="F863" s="18"/>
      <c r="G863" s="18"/>
      <c r="H863" s="18"/>
      <c r="I863" s="17"/>
      <c r="J863" s="18"/>
      <c r="K863" s="17"/>
      <c r="L863" s="18"/>
      <c r="M863" s="20"/>
      <c r="N863" s="18"/>
      <c r="O863" s="18"/>
      <c r="P863" s="18"/>
      <c r="Q863" s="17"/>
      <c r="R863" s="18"/>
      <c r="S863" s="18"/>
      <c r="T863" s="18"/>
      <c r="U863" s="18"/>
      <c r="V863" s="18"/>
      <c r="W863" s="18"/>
      <c r="X863" s="18"/>
      <c r="Y863" s="18"/>
      <c r="Z863" s="18"/>
      <c r="AA863" s="18"/>
      <c r="AB863" s="17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  <c r="AS863" s="18"/>
      <c r="AT863" s="18"/>
      <c r="AU863" s="18"/>
      <c r="AV863" s="18"/>
      <c r="AW863" s="18"/>
      <c r="AX863" s="18"/>
    </row>
    <row r="864" spans="1:50" ht="15">
      <c r="A864" s="18"/>
      <c r="B864" s="18"/>
      <c r="C864" s="18"/>
      <c r="D864" s="18"/>
      <c r="E864" s="18"/>
      <c r="F864" s="18"/>
      <c r="G864" s="18"/>
      <c r="H864" s="18"/>
      <c r="I864" s="17"/>
      <c r="J864" s="18"/>
      <c r="K864" s="17"/>
      <c r="L864" s="18"/>
      <c r="M864" s="20"/>
      <c r="N864" s="18"/>
      <c r="O864" s="18"/>
      <c r="P864" s="18"/>
      <c r="Q864" s="17"/>
      <c r="R864" s="18"/>
      <c r="S864" s="18"/>
      <c r="T864" s="18"/>
      <c r="U864" s="18"/>
      <c r="V864" s="18"/>
      <c r="W864" s="18"/>
      <c r="X864" s="18"/>
      <c r="Y864" s="18"/>
      <c r="Z864" s="18"/>
      <c r="AA864" s="18"/>
      <c r="AB864" s="17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 s="18"/>
      <c r="AV864" s="18"/>
      <c r="AW864" s="18"/>
      <c r="AX864" s="18"/>
    </row>
    <row r="865" spans="1:50" ht="15">
      <c r="A865" s="18"/>
      <c r="B865" s="18"/>
      <c r="C865" s="18"/>
      <c r="D865" s="18"/>
      <c r="E865" s="18"/>
      <c r="F865" s="18"/>
      <c r="G865" s="18"/>
      <c r="H865" s="18"/>
      <c r="I865" s="17"/>
      <c r="J865" s="18"/>
      <c r="K865" s="17"/>
      <c r="L865" s="18"/>
      <c r="M865" s="20"/>
      <c r="N865" s="18"/>
      <c r="O865" s="18"/>
      <c r="P865" s="18"/>
      <c r="Q865" s="17"/>
      <c r="R865" s="18"/>
      <c r="S865" s="18"/>
      <c r="T865" s="18"/>
      <c r="U865" s="18"/>
      <c r="V865" s="18"/>
      <c r="W865" s="18"/>
      <c r="X865" s="18"/>
      <c r="Y865" s="18"/>
      <c r="Z865" s="18"/>
      <c r="AA865" s="18"/>
      <c r="AB865" s="17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  <c r="AS865" s="18"/>
      <c r="AT865" s="18"/>
      <c r="AU865" s="18"/>
      <c r="AV865" s="18"/>
      <c r="AW865" s="18"/>
      <c r="AX865" s="18"/>
    </row>
    <row r="866" spans="1:50" ht="15">
      <c r="A866" s="18"/>
      <c r="B866" s="18"/>
      <c r="C866" s="18"/>
      <c r="D866" s="18"/>
      <c r="E866" s="18"/>
      <c r="F866" s="18"/>
      <c r="G866" s="18"/>
      <c r="H866" s="18"/>
      <c r="I866" s="17"/>
      <c r="J866" s="18"/>
      <c r="K866" s="17"/>
      <c r="L866" s="18"/>
      <c r="M866" s="20"/>
      <c r="N866" s="18"/>
      <c r="O866" s="18"/>
      <c r="P866" s="18"/>
      <c r="Q866" s="17"/>
      <c r="R866" s="18"/>
      <c r="S866" s="18"/>
      <c r="T866" s="18"/>
      <c r="U866" s="18"/>
      <c r="V866" s="18"/>
      <c r="W866" s="18"/>
      <c r="X866" s="18"/>
      <c r="Y866" s="18"/>
      <c r="Z866" s="18"/>
      <c r="AA866" s="18"/>
      <c r="AB866" s="17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 s="18"/>
      <c r="AV866" s="18"/>
      <c r="AW866" s="18"/>
      <c r="AX866" s="18"/>
    </row>
    <row r="867" spans="1:50" ht="15">
      <c r="A867" s="18"/>
      <c r="B867" s="18"/>
      <c r="C867" s="18"/>
      <c r="D867" s="18"/>
      <c r="E867" s="18"/>
      <c r="F867" s="18"/>
      <c r="G867" s="18"/>
      <c r="H867" s="18"/>
      <c r="I867" s="17"/>
      <c r="J867" s="18"/>
      <c r="K867" s="17"/>
      <c r="L867" s="18"/>
      <c r="M867" s="20"/>
      <c r="N867" s="18"/>
      <c r="O867" s="18"/>
      <c r="P867" s="18"/>
      <c r="Q867" s="17"/>
      <c r="R867" s="18"/>
      <c r="S867" s="18"/>
      <c r="T867" s="18"/>
      <c r="U867" s="18"/>
      <c r="V867" s="18"/>
      <c r="W867" s="18"/>
      <c r="X867" s="18"/>
      <c r="Y867" s="18"/>
      <c r="Z867" s="18"/>
      <c r="AA867" s="18"/>
      <c r="AB867" s="17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 s="18"/>
      <c r="AV867" s="18"/>
      <c r="AW867" s="18"/>
      <c r="AX867" s="18"/>
    </row>
    <row r="868" spans="1:50" ht="15">
      <c r="A868" s="18"/>
      <c r="B868" s="18"/>
      <c r="C868" s="18"/>
      <c r="D868" s="18"/>
      <c r="E868" s="18"/>
      <c r="F868" s="18"/>
      <c r="G868" s="18"/>
      <c r="H868" s="18"/>
      <c r="I868" s="17"/>
      <c r="J868" s="18"/>
      <c r="K868" s="17"/>
      <c r="L868" s="18"/>
      <c r="M868" s="20"/>
      <c r="N868" s="18"/>
      <c r="O868" s="18"/>
      <c r="P868" s="18"/>
      <c r="Q868" s="17"/>
      <c r="R868" s="18"/>
      <c r="S868" s="18"/>
      <c r="T868" s="18"/>
      <c r="U868" s="18"/>
      <c r="V868" s="18"/>
      <c r="W868" s="18"/>
      <c r="X868" s="18"/>
      <c r="Y868" s="18"/>
      <c r="Z868" s="18"/>
      <c r="AA868" s="18"/>
      <c r="AB868" s="17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 s="18"/>
      <c r="AV868" s="18"/>
      <c r="AW868" s="18"/>
      <c r="AX868" s="18"/>
    </row>
    <row r="869" spans="1:50" ht="15">
      <c r="A869" s="18"/>
      <c r="B869" s="18"/>
      <c r="C869" s="18"/>
      <c r="D869" s="18"/>
      <c r="E869" s="18"/>
      <c r="F869" s="18"/>
      <c r="G869" s="18"/>
      <c r="H869" s="18"/>
      <c r="I869" s="17"/>
      <c r="J869" s="18"/>
      <c r="K869" s="17"/>
      <c r="L869" s="18"/>
      <c r="M869" s="20"/>
      <c r="N869" s="18"/>
      <c r="O869" s="18"/>
      <c r="P869" s="18"/>
      <c r="Q869" s="17"/>
      <c r="R869" s="18"/>
      <c r="S869" s="18"/>
      <c r="T869" s="18"/>
      <c r="U869" s="18"/>
      <c r="V869" s="18"/>
      <c r="W869" s="18"/>
      <c r="X869" s="18"/>
      <c r="Y869" s="18"/>
      <c r="Z869" s="18"/>
      <c r="AA869" s="18"/>
      <c r="AB869" s="17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  <c r="AS869" s="18"/>
      <c r="AT869" s="18"/>
      <c r="AU869" s="18"/>
      <c r="AV869" s="18"/>
      <c r="AW869" s="18"/>
      <c r="AX869" s="18"/>
    </row>
    <row r="870" spans="1:50" ht="15">
      <c r="A870" s="18"/>
      <c r="B870" s="18"/>
      <c r="C870" s="18"/>
      <c r="D870" s="18"/>
      <c r="E870" s="18"/>
      <c r="F870" s="18"/>
      <c r="G870" s="18"/>
      <c r="H870" s="18"/>
      <c r="I870" s="17"/>
      <c r="J870" s="18"/>
      <c r="K870" s="17"/>
      <c r="L870" s="18"/>
      <c r="M870" s="20"/>
      <c r="N870" s="18"/>
      <c r="O870" s="18"/>
      <c r="P870" s="18"/>
      <c r="Q870" s="17"/>
      <c r="R870" s="18"/>
      <c r="S870" s="18"/>
      <c r="T870" s="18"/>
      <c r="U870" s="18"/>
      <c r="V870" s="18"/>
      <c r="W870" s="18"/>
      <c r="X870" s="18"/>
      <c r="Y870" s="18"/>
      <c r="Z870" s="18"/>
      <c r="AA870" s="18"/>
      <c r="AB870" s="17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  <c r="AS870" s="18"/>
      <c r="AT870" s="18"/>
      <c r="AU870" s="18"/>
      <c r="AV870" s="18"/>
      <c r="AW870" s="18"/>
      <c r="AX870" s="18"/>
    </row>
    <row r="871" spans="1:50" ht="15">
      <c r="A871" s="18"/>
      <c r="B871" s="18"/>
      <c r="C871" s="18"/>
      <c r="D871" s="18"/>
      <c r="E871" s="18"/>
      <c r="F871" s="18"/>
      <c r="G871" s="18"/>
      <c r="H871" s="18"/>
      <c r="I871" s="17"/>
      <c r="J871" s="18"/>
      <c r="K871" s="17"/>
      <c r="L871" s="18"/>
      <c r="M871" s="20"/>
      <c r="N871" s="18"/>
      <c r="O871" s="18"/>
      <c r="P871" s="18"/>
      <c r="Q871" s="17"/>
      <c r="R871" s="18"/>
      <c r="S871" s="18"/>
      <c r="T871" s="18"/>
      <c r="U871" s="18"/>
      <c r="V871" s="18"/>
      <c r="W871" s="18"/>
      <c r="X871" s="18"/>
      <c r="Y871" s="18"/>
      <c r="Z871" s="18"/>
      <c r="AA871" s="18"/>
      <c r="AB871" s="17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  <c r="AS871" s="18"/>
      <c r="AT871" s="18"/>
      <c r="AU871" s="18"/>
      <c r="AV871" s="18"/>
      <c r="AW871" s="18"/>
      <c r="AX871" s="18"/>
    </row>
    <row r="872" spans="1:50" ht="15">
      <c r="A872" s="18"/>
      <c r="B872" s="18"/>
      <c r="C872" s="18"/>
      <c r="D872" s="18"/>
      <c r="E872" s="18"/>
      <c r="F872" s="18"/>
      <c r="G872" s="18"/>
      <c r="H872" s="18"/>
      <c r="I872" s="17"/>
      <c r="J872" s="18"/>
      <c r="K872" s="17"/>
      <c r="L872" s="18"/>
      <c r="M872" s="20"/>
      <c r="N872" s="18"/>
      <c r="O872" s="18"/>
      <c r="P872" s="18"/>
      <c r="Q872" s="17"/>
      <c r="R872" s="18"/>
      <c r="S872" s="18"/>
      <c r="T872" s="18"/>
      <c r="U872" s="18"/>
      <c r="V872" s="18"/>
      <c r="W872" s="18"/>
      <c r="X872" s="18"/>
      <c r="Y872" s="18"/>
      <c r="Z872" s="18"/>
      <c r="AA872" s="18"/>
      <c r="AB872" s="17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  <c r="AS872" s="18"/>
      <c r="AT872" s="18"/>
      <c r="AU872" s="18"/>
      <c r="AV872" s="18"/>
      <c r="AW872" s="18"/>
      <c r="AX872" s="18"/>
    </row>
    <row r="873" spans="1:50" ht="15">
      <c r="A873" s="18"/>
      <c r="B873" s="18"/>
      <c r="C873" s="18"/>
      <c r="D873" s="18"/>
      <c r="E873" s="18"/>
      <c r="F873" s="18"/>
      <c r="G873" s="18"/>
      <c r="H873" s="18"/>
      <c r="I873" s="17"/>
      <c r="J873" s="18"/>
      <c r="K873" s="17"/>
      <c r="L873" s="18"/>
      <c r="M873" s="20"/>
      <c r="N873" s="18"/>
      <c r="O873" s="18"/>
      <c r="P873" s="18"/>
      <c r="Q873" s="17"/>
      <c r="R873" s="18"/>
      <c r="S873" s="18"/>
      <c r="T873" s="18"/>
      <c r="U873" s="18"/>
      <c r="V873" s="18"/>
      <c r="W873" s="18"/>
      <c r="X873" s="18"/>
      <c r="Y873" s="18"/>
      <c r="Z873" s="18"/>
      <c r="AA873" s="18"/>
      <c r="AB873" s="17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  <c r="AS873" s="18"/>
      <c r="AT873" s="18"/>
      <c r="AU873" s="18"/>
      <c r="AV873" s="18"/>
      <c r="AW873" s="18"/>
      <c r="AX873" s="18"/>
    </row>
    <row r="874" spans="1:50" ht="15">
      <c r="A874" s="18"/>
      <c r="B874" s="18"/>
      <c r="C874" s="18"/>
      <c r="D874" s="18"/>
      <c r="E874" s="18"/>
      <c r="F874" s="18"/>
      <c r="G874" s="18"/>
      <c r="H874" s="18"/>
      <c r="I874" s="17"/>
      <c r="J874" s="18"/>
      <c r="K874" s="17"/>
      <c r="L874" s="18"/>
      <c r="M874" s="20"/>
      <c r="N874" s="18"/>
      <c r="O874" s="18"/>
      <c r="P874" s="18"/>
      <c r="Q874" s="17"/>
      <c r="R874" s="18"/>
      <c r="S874" s="18"/>
      <c r="T874" s="18"/>
      <c r="U874" s="18"/>
      <c r="V874" s="18"/>
      <c r="W874" s="18"/>
      <c r="X874" s="18"/>
      <c r="Y874" s="18"/>
      <c r="Z874" s="18"/>
      <c r="AA874" s="18"/>
      <c r="AB874" s="17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  <c r="AS874" s="18"/>
      <c r="AT874" s="18"/>
      <c r="AU874" s="18"/>
      <c r="AV874" s="18"/>
      <c r="AW874" s="18"/>
      <c r="AX874" s="18"/>
    </row>
    <row r="875" spans="1:50" ht="15">
      <c r="A875" s="18"/>
      <c r="B875" s="18"/>
      <c r="C875" s="18"/>
      <c r="D875" s="18"/>
      <c r="E875" s="18"/>
      <c r="F875" s="18"/>
      <c r="G875" s="18"/>
      <c r="H875" s="18"/>
      <c r="I875" s="17"/>
      <c r="J875" s="18"/>
      <c r="K875" s="17"/>
      <c r="L875" s="18"/>
      <c r="M875" s="20"/>
      <c r="N875" s="18"/>
      <c r="O875" s="18"/>
      <c r="P875" s="18"/>
      <c r="Q875" s="17"/>
      <c r="R875" s="18"/>
      <c r="S875" s="18"/>
      <c r="T875" s="18"/>
      <c r="U875" s="18"/>
      <c r="V875" s="18"/>
      <c r="W875" s="18"/>
      <c r="X875" s="18"/>
      <c r="Y875" s="18"/>
      <c r="Z875" s="18"/>
      <c r="AA875" s="18"/>
      <c r="AB875" s="17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  <c r="AS875" s="18"/>
      <c r="AT875" s="18"/>
      <c r="AU875" s="18"/>
      <c r="AV875" s="18"/>
      <c r="AW875" s="18"/>
      <c r="AX875" s="18"/>
    </row>
    <row r="876" spans="1:50" ht="15">
      <c r="A876" s="18"/>
      <c r="B876" s="18"/>
      <c r="C876" s="18"/>
      <c r="D876" s="18"/>
      <c r="E876" s="18"/>
      <c r="F876" s="18"/>
      <c r="G876" s="18"/>
      <c r="H876" s="18"/>
      <c r="I876" s="17"/>
      <c r="J876" s="18"/>
      <c r="K876" s="17"/>
      <c r="L876" s="18"/>
      <c r="M876" s="20"/>
      <c r="N876" s="18"/>
      <c r="O876" s="18"/>
      <c r="P876" s="18"/>
      <c r="Q876" s="17"/>
      <c r="R876" s="18"/>
      <c r="S876" s="18"/>
      <c r="T876" s="18"/>
      <c r="U876" s="18"/>
      <c r="V876" s="18"/>
      <c r="W876" s="18"/>
      <c r="X876" s="18"/>
      <c r="Y876" s="18"/>
      <c r="Z876" s="18"/>
      <c r="AA876" s="18"/>
      <c r="AB876" s="17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  <c r="AS876" s="18"/>
      <c r="AT876" s="18"/>
      <c r="AU876" s="18"/>
      <c r="AV876" s="18"/>
      <c r="AW876" s="18"/>
      <c r="AX876" s="18"/>
    </row>
    <row r="877" spans="1:50" ht="15">
      <c r="A877" s="18"/>
      <c r="B877" s="18"/>
      <c r="C877" s="18"/>
      <c r="D877" s="18"/>
      <c r="E877" s="18"/>
      <c r="F877" s="18"/>
      <c r="G877" s="18"/>
      <c r="H877" s="18"/>
      <c r="I877" s="17"/>
      <c r="J877" s="18"/>
      <c r="K877" s="17"/>
      <c r="L877" s="18"/>
      <c r="M877" s="20"/>
      <c r="N877" s="18"/>
      <c r="O877" s="18"/>
      <c r="P877" s="18"/>
      <c r="Q877" s="17"/>
      <c r="R877" s="18"/>
      <c r="S877" s="18"/>
      <c r="T877" s="18"/>
      <c r="U877" s="18"/>
      <c r="V877" s="18"/>
      <c r="W877" s="18"/>
      <c r="X877" s="18"/>
      <c r="Y877" s="18"/>
      <c r="Z877" s="18"/>
      <c r="AA877" s="18"/>
      <c r="AB877" s="17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  <c r="AS877" s="18"/>
      <c r="AT877" s="18"/>
      <c r="AU877" s="18"/>
      <c r="AV877" s="18"/>
      <c r="AW877" s="18"/>
      <c r="AX877" s="18"/>
    </row>
    <row r="878" spans="1:50" ht="15">
      <c r="A878" s="18"/>
      <c r="B878" s="18"/>
      <c r="C878" s="18"/>
      <c r="D878" s="18"/>
      <c r="E878" s="18"/>
      <c r="F878" s="18"/>
      <c r="G878" s="18"/>
      <c r="H878" s="18"/>
      <c r="I878" s="17"/>
      <c r="J878" s="18"/>
      <c r="K878" s="17"/>
      <c r="L878" s="18"/>
      <c r="M878" s="20"/>
      <c r="N878" s="18"/>
      <c r="O878" s="18"/>
      <c r="P878" s="18"/>
      <c r="Q878" s="17"/>
      <c r="R878" s="18"/>
      <c r="S878" s="18"/>
      <c r="T878" s="18"/>
      <c r="U878" s="18"/>
      <c r="V878" s="18"/>
      <c r="W878" s="18"/>
      <c r="X878" s="18"/>
      <c r="Y878" s="18"/>
      <c r="Z878" s="18"/>
      <c r="AA878" s="18"/>
      <c r="AB878" s="17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  <c r="AS878" s="18"/>
      <c r="AT878" s="18"/>
      <c r="AU878" s="18"/>
      <c r="AV878" s="18"/>
      <c r="AW878" s="18"/>
      <c r="AX878" s="18"/>
    </row>
    <row r="879" spans="1:50" ht="15">
      <c r="A879" s="18"/>
      <c r="B879" s="18"/>
      <c r="C879" s="18"/>
      <c r="D879" s="18"/>
      <c r="E879" s="18"/>
      <c r="F879" s="18"/>
      <c r="G879" s="18"/>
      <c r="H879" s="18"/>
      <c r="I879" s="17"/>
      <c r="J879" s="18"/>
      <c r="K879" s="17"/>
      <c r="L879" s="18"/>
      <c r="M879" s="20"/>
      <c r="N879" s="18"/>
      <c r="O879" s="18"/>
      <c r="P879" s="18"/>
      <c r="Q879" s="17"/>
      <c r="R879" s="18"/>
      <c r="S879" s="18"/>
      <c r="T879" s="18"/>
      <c r="U879" s="18"/>
      <c r="V879" s="18"/>
      <c r="W879" s="18"/>
      <c r="X879" s="18"/>
      <c r="Y879" s="18"/>
      <c r="Z879" s="18"/>
      <c r="AA879" s="18"/>
      <c r="AB879" s="17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  <c r="AS879" s="18"/>
      <c r="AT879" s="18"/>
      <c r="AU879" s="18"/>
      <c r="AV879" s="18"/>
      <c r="AW879" s="18"/>
      <c r="AX879" s="18"/>
    </row>
    <row r="880" spans="1:50" ht="15">
      <c r="A880" s="18"/>
      <c r="B880" s="18"/>
      <c r="C880" s="18"/>
      <c r="D880" s="18"/>
      <c r="E880" s="18"/>
      <c r="F880" s="18"/>
      <c r="G880" s="18"/>
      <c r="H880" s="18"/>
      <c r="I880" s="17"/>
      <c r="J880" s="18"/>
      <c r="K880" s="17"/>
      <c r="L880" s="18"/>
      <c r="M880" s="20"/>
      <c r="N880" s="18"/>
      <c r="O880" s="18"/>
      <c r="P880" s="18"/>
      <c r="Q880" s="17"/>
      <c r="R880" s="18"/>
      <c r="S880" s="18"/>
      <c r="T880" s="18"/>
      <c r="U880" s="18"/>
      <c r="V880" s="18"/>
      <c r="W880" s="18"/>
      <c r="X880" s="18"/>
      <c r="Y880" s="18"/>
      <c r="Z880" s="18"/>
      <c r="AA880" s="18"/>
      <c r="AB880" s="17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  <c r="AS880" s="18"/>
      <c r="AT880" s="18"/>
      <c r="AU880" s="18"/>
      <c r="AV880" s="18"/>
      <c r="AW880" s="18"/>
      <c r="AX880" s="18"/>
    </row>
    <row r="881" spans="1:50" ht="15">
      <c r="A881" s="18"/>
      <c r="B881" s="18"/>
      <c r="C881" s="18"/>
      <c r="D881" s="18"/>
      <c r="E881" s="18"/>
      <c r="F881" s="18"/>
      <c r="G881" s="18"/>
      <c r="H881" s="18"/>
      <c r="I881" s="17"/>
      <c r="J881" s="18"/>
      <c r="K881" s="17"/>
      <c r="L881" s="18"/>
      <c r="M881" s="20"/>
      <c r="N881" s="18"/>
      <c r="O881" s="18"/>
      <c r="P881" s="18"/>
      <c r="Q881" s="17"/>
      <c r="R881" s="18"/>
      <c r="S881" s="18"/>
      <c r="T881" s="18"/>
      <c r="U881" s="18"/>
      <c r="V881" s="18"/>
      <c r="W881" s="18"/>
      <c r="X881" s="18"/>
      <c r="Y881" s="18"/>
      <c r="Z881" s="18"/>
      <c r="AA881" s="18"/>
      <c r="AB881" s="17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  <c r="AS881" s="18"/>
      <c r="AT881" s="18"/>
      <c r="AU881" s="18"/>
      <c r="AV881" s="18"/>
      <c r="AW881" s="18"/>
      <c r="AX881" s="18"/>
    </row>
    <row r="882" spans="1:50" ht="15">
      <c r="A882" s="18"/>
      <c r="B882" s="18"/>
      <c r="C882" s="18"/>
      <c r="D882" s="18"/>
      <c r="E882" s="18"/>
      <c r="F882" s="18"/>
      <c r="G882" s="18"/>
      <c r="H882" s="18"/>
      <c r="I882" s="17"/>
      <c r="J882" s="18"/>
      <c r="K882" s="17"/>
      <c r="L882" s="18"/>
      <c r="M882" s="20"/>
      <c r="N882" s="18"/>
      <c r="O882" s="18"/>
      <c r="P882" s="18"/>
      <c r="Q882" s="17"/>
      <c r="R882" s="18"/>
      <c r="S882" s="18"/>
      <c r="T882" s="18"/>
      <c r="U882" s="18"/>
      <c r="V882" s="18"/>
      <c r="W882" s="18"/>
      <c r="X882" s="18"/>
      <c r="Y882" s="18"/>
      <c r="Z882" s="18"/>
      <c r="AA882" s="18"/>
      <c r="AB882" s="17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  <c r="AS882" s="18"/>
      <c r="AT882" s="18"/>
      <c r="AU882" s="18"/>
      <c r="AV882" s="18"/>
      <c r="AW882" s="18"/>
      <c r="AX882" s="18"/>
    </row>
    <row r="883" spans="1:50" ht="15">
      <c r="A883" s="18"/>
      <c r="B883" s="18"/>
      <c r="C883" s="18"/>
      <c r="D883" s="18"/>
      <c r="E883" s="18"/>
      <c r="F883" s="18"/>
      <c r="G883" s="18"/>
      <c r="H883" s="18"/>
      <c r="I883" s="17"/>
      <c r="J883" s="18"/>
      <c r="K883" s="17"/>
      <c r="L883" s="18"/>
      <c r="M883" s="20"/>
      <c r="N883" s="18"/>
      <c r="O883" s="18"/>
      <c r="P883" s="18"/>
      <c r="Q883" s="17"/>
      <c r="R883" s="18"/>
      <c r="S883" s="18"/>
      <c r="T883" s="18"/>
      <c r="U883" s="18"/>
      <c r="V883" s="18"/>
      <c r="W883" s="18"/>
      <c r="X883" s="18"/>
      <c r="Y883" s="18"/>
      <c r="Z883" s="18"/>
      <c r="AA883" s="18"/>
      <c r="AB883" s="17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  <c r="AS883" s="18"/>
      <c r="AT883" s="18"/>
      <c r="AU883" s="18"/>
      <c r="AV883" s="18"/>
      <c r="AW883" s="18"/>
      <c r="AX883" s="18"/>
    </row>
    <row r="884" spans="1:50" ht="15">
      <c r="A884" s="18"/>
      <c r="B884" s="18"/>
      <c r="C884" s="18"/>
      <c r="D884" s="18"/>
      <c r="E884" s="18"/>
      <c r="F884" s="18"/>
      <c r="G884" s="18"/>
      <c r="H884" s="18"/>
      <c r="I884" s="17"/>
      <c r="J884" s="18"/>
      <c r="K884" s="17"/>
      <c r="L884" s="18"/>
      <c r="M884" s="20"/>
      <c r="N884" s="18"/>
      <c r="O884" s="18"/>
      <c r="P884" s="18"/>
      <c r="Q884" s="17"/>
      <c r="R884" s="18"/>
      <c r="S884" s="18"/>
      <c r="T884" s="18"/>
      <c r="U884" s="18"/>
      <c r="V884" s="18"/>
      <c r="W884" s="18"/>
      <c r="X884" s="18"/>
      <c r="Y884" s="18"/>
      <c r="Z884" s="18"/>
      <c r="AA884" s="18"/>
      <c r="AB884" s="17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  <c r="AS884" s="18"/>
      <c r="AT884" s="18"/>
      <c r="AU884" s="18"/>
      <c r="AV884" s="18"/>
      <c r="AW884" s="18"/>
      <c r="AX884" s="18"/>
    </row>
    <row r="885" spans="1:50" ht="15">
      <c r="A885" s="18"/>
      <c r="B885" s="18"/>
      <c r="C885" s="18"/>
      <c r="D885" s="18"/>
      <c r="E885" s="18"/>
      <c r="F885" s="18"/>
      <c r="G885" s="18"/>
      <c r="H885" s="18"/>
      <c r="I885" s="17"/>
      <c r="J885" s="18"/>
      <c r="K885" s="17"/>
      <c r="L885" s="18"/>
      <c r="M885" s="20"/>
      <c r="N885" s="18"/>
      <c r="O885" s="18"/>
      <c r="P885" s="18"/>
      <c r="Q885" s="17"/>
      <c r="R885" s="18"/>
      <c r="S885" s="18"/>
      <c r="T885" s="18"/>
      <c r="U885" s="18"/>
      <c r="V885" s="18"/>
      <c r="W885" s="18"/>
      <c r="X885" s="18"/>
      <c r="Y885" s="18"/>
      <c r="Z885" s="18"/>
      <c r="AA885" s="18"/>
      <c r="AB885" s="17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 s="18"/>
      <c r="AV885" s="18"/>
      <c r="AW885" s="18"/>
      <c r="AX885" s="18"/>
    </row>
    <row r="886" spans="1:50" ht="15">
      <c r="A886" s="18"/>
      <c r="B886" s="18"/>
      <c r="C886" s="18"/>
      <c r="D886" s="18"/>
      <c r="E886" s="18"/>
      <c r="F886" s="18"/>
      <c r="G886" s="18"/>
      <c r="H886" s="18"/>
      <c r="I886" s="17"/>
      <c r="J886" s="18"/>
      <c r="K886" s="17"/>
      <c r="L886" s="18"/>
      <c r="M886" s="20"/>
      <c r="N886" s="18"/>
      <c r="O886" s="18"/>
      <c r="P886" s="18"/>
      <c r="Q886" s="17"/>
      <c r="R886" s="18"/>
      <c r="S886" s="18"/>
      <c r="T886" s="18"/>
      <c r="U886" s="18"/>
      <c r="V886" s="18"/>
      <c r="W886" s="18"/>
      <c r="X886" s="18"/>
      <c r="Y886" s="18"/>
      <c r="Z886" s="18"/>
      <c r="AA886" s="18"/>
      <c r="AB886" s="17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 s="18"/>
      <c r="AV886" s="18"/>
      <c r="AW886" s="18"/>
      <c r="AX886" s="18"/>
    </row>
    <row r="887" spans="1:50" ht="15">
      <c r="A887" s="18"/>
      <c r="B887" s="18"/>
      <c r="C887" s="18"/>
      <c r="D887" s="18"/>
      <c r="E887" s="18"/>
      <c r="F887" s="18"/>
      <c r="G887" s="18"/>
      <c r="H887" s="18"/>
      <c r="I887" s="17"/>
      <c r="J887" s="18"/>
      <c r="K887" s="17"/>
      <c r="L887" s="18"/>
      <c r="M887" s="20"/>
      <c r="N887" s="18"/>
      <c r="O887" s="18"/>
      <c r="P887" s="18"/>
      <c r="Q887" s="17"/>
      <c r="R887" s="18"/>
      <c r="S887" s="18"/>
      <c r="T887" s="18"/>
      <c r="U887" s="18"/>
      <c r="V887" s="18"/>
      <c r="W887" s="18"/>
      <c r="X887" s="18"/>
      <c r="Y887" s="18"/>
      <c r="Z887" s="18"/>
      <c r="AA887" s="18"/>
      <c r="AB887" s="17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  <c r="AS887" s="18"/>
      <c r="AT887" s="18"/>
      <c r="AU887" s="18"/>
      <c r="AV887" s="18"/>
      <c r="AW887" s="18"/>
      <c r="AX887" s="18"/>
    </row>
    <row r="888" spans="1:50" ht="15">
      <c r="A888" s="18"/>
      <c r="B888" s="18"/>
      <c r="C888" s="18"/>
      <c r="D888" s="18"/>
      <c r="E888" s="18"/>
      <c r="F888" s="18"/>
      <c r="G888" s="18"/>
      <c r="H888" s="18"/>
      <c r="I888" s="17"/>
      <c r="J888" s="18"/>
      <c r="K888" s="17"/>
      <c r="L888" s="18"/>
      <c r="M888" s="20"/>
      <c r="N888" s="18"/>
      <c r="O888" s="18"/>
      <c r="P888" s="18"/>
      <c r="Q888" s="17"/>
      <c r="R888" s="18"/>
      <c r="S888" s="18"/>
      <c r="T888" s="18"/>
      <c r="U888" s="18"/>
      <c r="V888" s="18"/>
      <c r="W888" s="18"/>
      <c r="X888" s="18"/>
      <c r="Y888" s="18"/>
      <c r="Z888" s="18"/>
      <c r="AA888" s="18"/>
      <c r="AB888" s="17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  <c r="AS888" s="18"/>
      <c r="AT888" s="18"/>
      <c r="AU888" s="18"/>
      <c r="AV888" s="18"/>
      <c r="AW888" s="18"/>
      <c r="AX888" s="18"/>
    </row>
    <row r="889" spans="1:50" ht="15">
      <c r="A889" s="18"/>
      <c r="B889" s="18"/>
      <c r="C889" s="18"/>
      <c r="D889" s="18"/>
      <c r="E889" s="18"/>
      <c r="F889" s="18"/>
      <c r="G889" s="18"/>
      <c r="H889" s="18"/>
      <c r="I889" s="17"/>
      <c r="J889" s="18"/>
      <c r="K889" s="17"/>
      <c r="L889" s="18"/>
      <c r="M889" s="20"/>
      <c r="N889" s="18"/>
      <c r="O889" s="18"/>
      <c r="P889" s="18"/>
      <c r="Q889" s="17"/>
      <c r="R889" s="18"/>
      <c r="S889" s="18"/>
      <c r="T889" s="18"/>
      <c r="U889" s="18"/>
      <c r="V889" s="18"/>
      <c r="W889" s="18"/>
      <c r="X889" s="18"/>
      <c r="Y889" s="18"/>
      <c r="Z889" s="18"/>
      <c r="AA889" s="18"/>
      <c r="AB889" s="17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 s="18"/>
      <c r="AV889" s="18"/>
      <c r="AW889" s="18"/>
      <c r="AX889" s="18"/>
    </row>
    <row r="890" spans="1:50" ht="15">
      <c r="A890" s="18"/>
      <c r="B890" s="18"/>
      <c r="C890" s="18"/>
      <c r="D890" s="18"/>
      <c r="E890" s="18"/>
      <c r="F890" s="18"/>
      <c r="G890" s="18"/>
      <c r="H890" s="18"/>
      <c r="I890" s="17"/>
      <c r="J890" s="18"/>
      <c r="K890" s="17"/>
      <c r="L890" s="18"/>
      <c r="M890" s="20"/>
      <c r="N890" s="18"/>
      <c r="O890" s="18"/>
      <c r="P890" s="18"/>
      <c r="Q890" s="17"/>
      <c r="R890" s="18"/>
      <c r="S890" s="18"/>
      <c r="T890" s="18"/>
      <c r="U890" s="18"/>
      <c r="V890" s="18"/>
      <c r="W890" s="18"/>
      <c r="X890" s="18"/>
      <c r="Y890" s="18"/>
      <c r="Z890" s="18"/>
      <c r="AA890" s="18"/>
      <c r="AB890" s="17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  <c r="AS890" s="18"/>
      <c r="AT890" s="18"/>
      <c r="AU890" s="18"/>
      <c r="AV890" s="18"/>
      <c r="AW890" s="18"/>
      <c r="AX890" s="18"/>
    </row>
    <row r="891" spans="1:50" ht="15">
      <c r="A891" s="18"/>
      <c r="B891" s="18"/>
      <c r="C891" s="18"/>
      <c r="D891" s="18"/>
      <c r="E891" s="18"/>
      <c r="F891" s="18"/>
      <c r="G891" s="18"/>
      <c r="H891" s="18"/>
      <c r="I891" s="17"/>
      <c r="J891" s="18"/>
      <c r="K891" s="17"/>
      <c r="L891" s="18"/>
      <c r="M891" s="20"/>
      <c r="N891" s="18"/>
      <c r="O891" s="18"/>
      <c r="P891" s="18"/>
      <c r="Q891" s="17"/>
      <c r="R891" s="18"/>
      <c r="S891" s="18"/>
      <c r="T891" s="18"/>
      <c r="U891" s="18"/>
      <c r="V891" s="18"/>
      <c r="W891" s="18"/>
      <c r="X891" s="18"/>
      <c r="Y891" s="18"/>
      <c r="Z891" s="18"/>
      <c r="AA891" s="18"/>
      <c r="AB891" s="17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  <c r="AS891" s="18"/>
      <c r="AT891" s="18"/>
      <c r="AU891" s="18"/>
      <c r="AV891" s="18"/>
      <c r="AW891" s="18"/>
      <c r="AX891" s="18"/>
    </row>
    <row r="892" spans="1:50" ht="15">
      <c r="A892" s="18"/>
      <c r="B892" s="18"/>
      <c r="C892" s="18"/>
      <c r="D892" s="18"/>
      <c r="E892" s="18"/>
      <c r="F892" s="18"/>
      <c r="G892" s="18"/>
      <c r="H892" s="18"/>
      <c r="I892" s="17"/>
      <c r="J892" s="18"/>
      <c r="K892" s="17"/>
      <c r="L892" s="18"/>
      <c r="M892" s="20"/>
      <c r="N892" s="18"/>
      <c r="O892" s="18"/>
      <c r="P892" s="18"/>
      <c r="Q892" s="17"/>
      <c r="R892" s="18"/>
      <c r="S892" s="18"/>
      <c r="T892" s="18"/>
      <c r="U892" s="18"/>
      <c r="V892" s="18"/>
      <c r="W892" s="18"/>
      <c r="X892" s="18"/>
      <c r="Y892" s="18"/>
      <c r="Z892" s="18"/>
      <c r="AA892" s="18"/>
      <c r="AB892" s="17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  <c r="AS892" s="18"/>
      <c r="AT892" s="18"/>
      <c r="AU892" s="18"/>
      <c r="AV892" s="18"/>
      <c r="AW892" s="18"/>
      <c r="AX892" s="18"/>
    </row>
    <row r="893" spans="1:50" ht="15">
      <c r="A893" s="18"/>
      <c r="B893" s="18"/>
      <c r="C893" s="18"/>
      <c r="D893" s="18"/>
      <c r="E893" s="18"/>
      <c r="F893" s="18"/>
      <c r="G893" s="18"/>
      <c r="H893" s="18"/>
      <c r="I893" s="17"/>
      <c r="J893" s="18"/>
      <c r="K893" s="17"/>
      <c r="L893" s="18"/>
      <c r="M893" s="20"/>
      <c r="N893" s="18"/>
      <c r="O893" s="18"/>
      <c r="P893" s="18"/>
      <c r="Q893" s="17"/>
      <c r="R893" s="18"/>
      <c r="S893" s="18"/>
      <c r="T893" s="18"/>
      <c r="U893" s="18"/>
      <c r="V893" s="18"/>
      <c r="W893" s="18"/>
      <c r="X893" s="18"/>
      <c r="Y893" s="18"/>
      <c r="Z893" s="18"/>
      <c r="AA893" s="18"/>
      <c r="AB893" s="17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  <c r="AS893" s="18"/>
      <c r="AT893" s="18"/>
      <c r="AU893" s="18"/>
      <c r="AV893" s="18"/>
      <c r="AW893" s="18"/>
      <c r="AX893" s="18"/>
    </row>
    <row r="894" spans="1:50" ht="15">
      <c r="A894" s="18"/>
      <c r="B894" s="18"/>
      <c r="C894" s="18"/>
      <c r="D894" s="18"/>
      <c r="E894" s="18"/>
      <c r="F894" s="18"/>
      <c r="G894" s="18"/>
      <c r="H894" s="18"/>
      <c r="I894" s="17"/>
      <c r="J894" s="18"/>
      <c r="K894" s="17"/>
      <c r="L894" s="18"/>
      <c r="M894" s="20"/>
      <c r="N894" s="18"/>
      <c r="O894" s="18"/>
      <c r="P894" s="18"/>
      <c r="Q894" s="17"/>
      <c r="R894" s="18"/>
      <c r="S894" s="18"/>
      <c r="T894" s="18"/>
      <c r="U894" s="18"/>
      <c r="V894" s="18"/>
      <c r="W894" s="18"/>
      <c r="X894" s="18"/>
      <c r="Y894" s="18"/>
      <c r="Z894" s="18"/>
      <c r="AA894" s="18"/>
      <c r="AB894" s="17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  <c r="AS894" s="18"/>
      <c r="AT894" s="18"/>
      <c r="AU894" s="18"/>
      <c r="AV894" s="18"/>
      <c r="AW894" s="18"/>
      <c r="AX894" s="18"/>
    </row>
    <row r="895" spans="1:50" ht="15">
      <c r="A895" s="18"/>
      <c r="B895" s="18"/>
      <c r="C895" s="18"/>
      <c r="D895" s="18"/>
      <c r="E895" s="18"/>
      <c r="F895" s="18"/>
      <c r="G895" s="18"/>
      <c r="H895" s="18"/>
      <c r="I895" s="17"/>
      <c r="J895" s="18"/>
      <c r="K895" s="17"/>
      <c r="L895" s="18"/>
      <c r="M895" s="20"/>
      <c r="N895" s="18"/>
      <c r="O895" s="18"/>
      <c r="P895" s="18"/>
      <c r="Q895" s="17"/>
      <c r="R895" s="18"/>
      <c r="S895" s="18"/>
      <c r="T895" s="18"/>
      <c r="U895" s="18"/>
      <c r="V895" s="18"/>
      <c r="W895" s="18"/>
      <c r="X895" s="18"/>
      <c r="Y895" s="18"/>
      <c r="Z895" s="18"/>
      <c r="AA895" s="18"/>
      <c r="AB895" s="17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  <c r="AS895" s="18"/>
      <c r="AT895" s="18"/>
      <c r="AU895" s="18"/>
      <c r="AV895" s="18"/>
      <c r="AW895" s="18"/>
      <c r="AX895" s="18"/>
    </row>
    <row r="896" spans="1:50" ht="15">
      <c r="A896" s="18"/>
      <c r="B896" s="18"/>
      <c r="C896" s="18"/>
      <c r="D896" s="18"/>
      <c r="E896" s="18"/>
      <c r="F896" s="18"/>
      <c r="G896" s="18"/>
      <c r="H896" s="18"/>
      <c r="I896" s="17"/>
      <c r="J896" s="18"/>
      <c r="K896" s="17"/>
      <c r="L896" s="18"/>
      <c r="M896" s="20"/>
      <c r="N896" s="18"/>
      <c r="O896" s="18"/>
      <c r="P896" s="18"/>
      <c r="Q896" s="17"/>
      <c r="R896" s="18"/>
      <c r="S896" s="18"/>
      <c r="T896" s="18"/>
      <c r="U896" s="18"/>
      <c r="V896" s="18"/>
      <c r="W896" s="18"/>
      <c r="X896" s="18"/>
      <c r="Y896" s="18"/>
      <c r="Z896" s="18"/>
      <c r="AA896" s="18"/>
      <c r="AB896" s="17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 s="18"/>
      <c r="AV896" s="18"/>
      <c r="AW896" s="18"/>
      <c r="AX896" s="18"/>
    </row>
    <row r="897" spans="1:50" ht="15">
      <c r="A897" s="18"/>
      <c r="B897" s="18"/>
      <c r="C897" s="18"/>
      <c r="D897" s="18"/>
      <c r="E897" s="18"/>
      <c r="F897" s="18"/>
      <c r="G897" s="18"/>
      <c r="H897" s="18"/>
      <c r="I897" s="17"/>
      <c r="J897" s="18"/>
      <c r="K897" s="17"/>
      <c r="L897" s="18"/>
      <c r="M897" s="20"/>
      <c r="N897" s="18"/>
      <c r="O897" s="18"/>
      <c r="P897" s="18"/>
      <c r="Q897" s="17"/>
      <c r="R897" s="18"/>
      <c r="S897" s="18"/>
      <c r="T897" s="18"/>
      <c r="U897" s="18"/>
      <c r="V897" s="18"/>
      <c r="W897" s="18"/>
      <c r="X897" s="18"/>
      <c r="Y897" s="18"/>
      <c r="Z897" s="18"/>
      <c r="AA897" s="18"/>
      <c r="AB897" s="17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 s="18"/>
      <c r="AV897" s="18"/>
      <c r="AW897" s="18"/>
      <c r="AX897" s="18"/>
    </row>
    <row r="898" spans="1:50" ht="15">
      <c r="A898" s="18"/>
      <c r="B898" s="18"/>
      <c r="C898" s="18"/>
      <c r="D898" s="18"/>
      <c r="E898" s="18"/>
      <c r="F898" s="18"/>
      <c r="G898" s="18"/>
      <c r="H898" s="18"/>
      <c r="I898" s="17"/>
      <c r="J898" s="18"/>
      <c r="K898" s="17"/>
      <c r="L898" s="18"/>
      <c r="M898" s="20"/>
      <c r="N898" s="18"/>
      <c r="O898" s="18"/>
      <c r="P898" s="18"/>
      <c r="Q898" s="17"/>
      <c r="R898" s="18"/>
      <c r="S898" s="18"/>
      <c r="T898" s="18"/>
      <c r="U898" s="18"/>
      <c r="V898" s="18"/>
      <c r="W898" s="18"/>
      <c r="X898" s="18"/>
      <c r="Y898" s="18"/>
      <c r="Z898" s="18"/>
      <c r="AA898" s="18"/>
      <c r="AB898" s="17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  <c r="AS898" s="18"/>
      <c r="AT898" s="18"/>
      <c r="AU898" s="18"/>
      <c r="AV898" s="18"/>
      <c r="AW898" s="18"/>
      <c r="AX898" s="18"/>
    </row>
    <row r="899" spans="1:50" ht="15">
      <c r="A899" s="18"/>
      <c r="B899" s="18"/>
      <c r="C899" s="18"/>
      <c r="D899" s="18"/>
      <c r="E899" s="18"/>
      <c r="F899" s="18"/>
      <c r="G899" s="18"/>
      <c r="H899" s="18"/>
      <c r="I899" s="17"/>
      <c r="J899" s="18"/>
      <c r="K899" s="17"/>
      <c r="L899" s="18"/>
      <c r="M899" s="20"/>
      <c r="N899" s="18"/>
      <c r="O899" s="18"/>
      <c r="P899" s="18"/>
      <c r="Q899" s="17"/>
      <c r="R899" s="18"/>
      <c r="S899" s="18"/>
      <c r="T899" s="18"/>
      <c r="U899" s="18"/>
      <c r="V899" s="18"/>
      <c r="W899" s="18"/>
      <c r="X899" s="18"/>
      <c r="Y899" s="18"/>
      <c r="Z899" s="18"/>
      <c r="AA899" s="18"/>
      <c r="AB899" s="17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  <c r="AS899" s="18"/>
      <c r="AT899" s="18"/>
      <c r="AU899" s="18"/>
      <c r="AV899" s="18"/>
      <c r="AW899" s="18"/>
      <c r="AX899" s="18"/>
    </row>
    <row r="900" spans="1:50" ht="15">
      <c r="A900" s="18"/>
      <c r="B900" s="18"/>
      <c r="C900" s="18"/>
      <c r="D900" s="18"/>
      <c r="E900" s="18"/>
      <c r="F900" s="18"/>
      <c r="G900" s="18"/>
      <c r="H900" s="18"/>
      <c r="I900" s="17"/>
      <c r="J900" s="18"/>
      <c r="K900" s="17"/>
      <c r="L900" s="18"/>
      <c r="M900" s="20"/>
      <c r="N900" s="18"/>
      <c r="O900" s="18"/>
      <c r="P900" s="18"/>
      <c r="Q900" s="17"/>
      <c r="R900" s="18"/>
      <c r="S900" s="18"/>
      <c r="T900" s="18"/>
      <c r="U900" s="18"/>
      <c r="V900" s="18"/>
      <c r="W900" s="18"/>
      <c r="X900" s="18"/>
      <c r="Y900" s="18"/>
      <c r="Z900" s="18"/>
      <c r="AA900" s="18"/>
      <c r="AB900" s="17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  <c r="AS900" s="18"/>
      <c r="AT900" s="18"/>
      <c r="AU900" s="18"/>
      <c r="AV900" s="18"/>
      <c r="AW900" s="18"/>
      <c r="AX900" s="18"/>
    </row>
    <row r="901" spans="1:50" ht="15">
      <c r="A901" s="18"/>
      <c r="B901" s="18"/>
      <c r="C901" s="18"/>
      <c r="D901" s="18"/>
      <c r="E901" s="18"/>
      <c r="F901" s="18"/>
      <c r="G901" s="18"/>
      <c r="H901" s="18"/>
      <c r="I901" s="17"/>
      <c r="J901" s="18"/>
      <c r="K901" s="17"/>
      <c r="L901" s="18"/>
      <c r="M901" s="20"/>
      <c r="N901" s="18"/>
      <c r="O901" s="18"/>
      <c r="P901" s="18"/>
      <c r="Q901" s="17"/>
      <c r="R901" s="18"/>
      <c r="S901" s="18"/>
      <c r="T901" s="18"/>
      <c r="U901" s="18"/>
      <c r="V901" s="18"/>
      <c r="W901" s="18"/>
      <c r="X901" s="18"/>
      <c r="Y901" s="18"/>
      <c r="Z901" s="18"/>
      <c r="AA901" s="18"/>
      <c r="AB901" s="17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  <c r="AS901" s="18"/>
      <c r="AT901" s="18"/>
      <c r="AU901" s="18"/>
      <c r="AV901" s="18"/>
      <c r="AW901" s="18"/>
      <c r="AX901" s="18"/>
    </row>
    <row r="902" spans="1:50" ht="15">
      <c r="A902" s="18"/>
      <c r="B902" s="18"/>
      <c r="C902" s="18"/>
      <c r="D902" s="18"/>
      <c r="E902" s="18"/>
      <c r="F902" s="18"/>
      <c r="G902" s="18"/>
      <c r="H902" s="18"/>
      <c r="I902" s="17"/>
      <c r="J902" s="18"/>
      <c r="K902" s="17"/>
      <c r="L902" s="18"/>
      <c r="M902" s="20"/>
      <c r="N902" s="18"/>
      <c r="O902" s="18"/>
      <c r="P902" s="18"/>
      <c r="Q902" s="17"/>
      <c r="R902" s="18"/>
      <c r="S902" s="18"/>
      <c r="T902" s="18"/>
      <c r="U902" s="18"/>
      <c r="V902" s="18"/>
      <c r="W902" s="18"/>
      <c r="X902" s="18"/>
      <c r="Y902" s="18"/>
      <c r="Z902" s="18"/>
      <c r="AA902" s="18"/>
      <c r="AB902" s="17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  <c r="AS902" s="18"/>
      <c r="AT902" s="18"/>
      <c r="AU902" s="18"/>
      <c r="AV902" s="18"/>
      <c r="AW902" s="18"/>
      <c r="AX902" s="18"/>
    </row>
    <row r="903" spans="1:50" ht="15">
      <c r="A903" s="18"/>
      <c r="B903" s="18"/>
      <c r="C903" s="18"/>
      <c r="D903" s="18"/>
      <c r="E903" s="18"/>
      <c r="F903" s="18"/>
      <c r="G903" s="18"/>
      <c r="H903" s="18"/>
      <c r="I903" s="17"/>
      <c r="J903" s="18"/>
      <c r="K903" s="17"/>
      <c r="L903" s="18"/>
      <c r="M903" s="20"/>
      <c r="N903" s="18"/>
      <c r="O903" s="18"/>
      <c r="P903" s="18"/>
      <c r="Q903" s="17"/>
      <c r="R903" s="18"/>
      <c r="S903" s="18"/>
      <c r="T903" s="18"/>
      <c r="U903" s="18"/>
      <c r="V903" s="18"/>
      <c r="W903" s="18"/>
      <c r="X903" s="18"/>
      <c r="Y903" s="18"/>
      <c r="Z903" s="18"/>
      <c r="AA903" s="18"/>
      <c r="AB903" s="17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  <c r="AS903" s="18"/>
      <c r="AT903" s="18"/>
      <c r="AU903" s="18"/>
      <c r="AV903" s="18"/>
      <c r="AW903" s="18"/>
      <c r="AX903" s="18"/>
    </row>
    <row r="904" spans="1:50" ht="15">
      <c r="A904" s="18"/>
      <c r="B904" s="18"/>
      <c r="C904" s="18"/>
      <c r="D904" s="18"/>
      <c r="E904" s="18"/>
      <c r="F904" s="18"/>
      <c r="G904" s="18"/>
      <c r="H904" s="18"/>
      <c r="I904" s="17"/>
      <c r="J904" s="18"/>
      <c r="K904" s="17"/>
      <c r="L904" s="18"/>
      <c r="M904" s="20"/>
      <c r="N904" s="18"/>
      <c r="O904" s="18"/>
      <c r="P904" s="18"/>
      <c r="Q904" s="17"/>
      <c r="R904" s="18"/>
      <c r="S904" s="18"/>
      <c r="T904" s="18"/>
      <c r="U904" s="18"/>
      <c r="V904" s="18"/>
      <c r="W904" s="18"/>
      <c r="X904" s="18"/>
      <c r="Y904" s="18"/>
      <c r="Z904" s="18"/>
      <c r="AA904" s="18"/>
      <c r="AB904" s="17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  <c r="AS904" s="18"/>
      <c r="AT904" s="18"/>
      <c r="AU904" s="18"/>
      <c r="AV904" s="18"/>
      <c r="AW904" s="18"/>
      <c r="AX904" s="18"/>
    </row>
    <row r="905" spans="1:50" ht="15">
      <c r="A905" s="18"/>
      <c r="B905" s="18"/>
      <c r="C905" s="18"/>
      <c r="D905" s="18"/>
      <c r="E905" s="18"/>
      <c r="F905" s="18"/>
      <c r="G905" s="18"/>
      <c r="H905" s="18"/>
      <c r="I905" s="17"/>
      <c r="J905" s="18"/>
      <c r="K905" s="17"/>
      <c r="L905" s="18"/>
      <c r="M905" s="20"/>
      <c r="N905" s="18"/>
      <c r="O905" s="18"/>
      <c r="P905" s="18"/>
      <c r="Q905" s="17"/>
      <c r="R905" s="18"/>
      <c r="S905" s="18"/>
      <c r="T905" s="18"/>
      <c r="U905" s="18"/>
      <c r="V905" s="18"/>
      <c r="W905" s="18"/>
      <c r="X905" s="18"/>
      <c r="Y905" s="18"/>
      <c r="Z905" s="18"/>
      <c r="AA905" s="18"/>
      <c r="AB905" s="17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  <c r="AS905" s="18"/>
      <c r="AT905" s="18"/>
      <c r="AU905" s="18"/>
      <c r="AV905" s="18"/>
      <c r="AW905" s="18"/>
      <c r="AX905" s="18"/>
    </row>
    <row r="906" spans="1:50" ht="15">
      <c r="A906" s="18"/>
      <c r="B906" s="18"/>
      <c r="C906" s="18"/>
      <c r="D906" s="18"/>
      <c r="E906" s="18"/>
      <c r="F906" s="18"/>
      <c r="G906" s="18"/>
      <c r="H906" s="18"/>
      <c r="I906" s="17"/>
      <c r="J906" s="18"/>
      <c r="K906" s="17"/>
      <c r="L906" s="18"/>
      <c r="M906" s="20"/>
      <c r="N906" s="18"/>
      <c r="O906" s="18"/>
      <c r="P906" s="18"/>
      <c r="Q906" s="17"/>
      <c r="R906" s="18"/>
      <c r="S906" s="18"/>
      <c r="T906" s="18"/>
      <c r="U906" s="18"/>
      <c r="V906" s="18"/>
      <c r="W906" s="18"/>
      <c r="X906" s="18"/>
      <c r="Y906" s="18"/>
      <c r="Z906" s="18"/>
      <c r="AA906" s="18"/>
      <c r="AB906" s="17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 s="18"/>
      <c r="AV906" s="18"/>
      <c r="AW906" s="18"/>
      <c r="AX906" s="18"/>
    </row>
    <row r="907" spans="1:50" ht="15">
      <c r="A907" s="18"/>
      <c r="B907" s="18"/>
      <c r="C907" s="18"/>
      <c r="D907" s="18"/>
      <c r="E907" s="18"/>
      <c r="F907" s="18"/>
      <c r="G907" s="18"/>
      <c r="H907" s="18"/>
      <c r="I907" s="17"/>
      <c r="J907" s="18"/>
      <c r="K907" s="17"/>
      <c r="L907" s="18"/>
      <c r="M907" s="20"/>
      <c r="N907" s="18"/>
      <c r="O907" s="18"/>
      <c r="P907" s="18"/>
      <c r="Q907" s="17"/>
      <c r="R907" s="18"/>
      <c r="S907" s="18"/>
      <c r="T907" s="18"/>
      <c r="U907" s="18"/>
      <c r="V907" s="18"/>
      <c r="W907" s="18"/>
      <c r="X907" s="18"/>
      <c r="Y907" s="18"/>
      <c r="Z907" s="18"/>
      <c r="AA907" s="18"/>
      <c r="AB907" s="17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 s="18"/>
      <c r="AV907" s="18"/>
      <c r="AW907" s="18"/>
      <c r="AX907" s="18"/>
    </row>
    <row r="908" spans="1:50" ht="15">
      <c r="A908" s="18"/>
      <c r="B908" s="18"/>
      <c r="C908" s="18"/>
      <c r="D908" s="18"/>
      <c r="E908" s="18"/>
      <c r="F908" s="18"/>
      <c r="G908" s="18"/>
      <c r="H908" s="18"/>
      <c r="I908" s="17"/>
      <c r="J908" s="18"/>
      <c r="K908" s="17"/>
      <c r="L908" s="18"/>
      <c r="M908" s="20"/>
      <c r="N908" s="18"/>
      <c r="O908" s="18"/>
      <c r="P908" s="18"/>
      <c r="Q908" s="17"/>
      <c r="R908" s="18"/>
      <c r="S908" s="18"/>
      <c r="T908" s="18"/>
      <c r="U908" s="18"/>
      <c r="V908" s="18"/>
      <c r="W908" s="18"/>
      <c r="X908" s="18"/>
      <c r="Y908" s="18"/>
      <c r="Z908" s="18"/>
      <c r="AA908" s="18"/>
      <c r="AB908" s="17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  <c r="AS908" s="18"/>
      <c r="AT908" s="18"/>
      <c r="AU908" s="18"/>
      <c r="AV908" s="18"/>
      <c r="AW908" s="18"/>
      <c r="AX908" s="18"/>
    </row>
    <row r="909" spans="1:50" ht="15">
      <c r="A909" s="18"/>
      <c r="B909" s="18"/>
      <c r="C909" s="18"/>
      <c r="D909" s="18"/>
      <c r="E909" s="18"/>
      <c r="F909" s="18"/>
      <c r="G909" s="18"/>
      <c r="H909" s="18"/>
      <c r="I909" s="17"/>
      <c r="J909" s="18"/>
      <c r="K909" s="17"/>
      <c r="L909" s="18"/>
      <c r="M909" s="20"/>
      <c r="N909" s="18"/>
      <c r="O909" s="18"/>
      <c r="P909" s="18"/>
      <c r="Q909" s="17"/>
      <c r="R909" s="18"/>
      <c r="S909" s="18"/>
      <c r="T909" s="18"/>
      <c r="U909" s="18"/>
      <c r="V909" s="18"/>
      <c r="W909" s="18"/>
      <c r="X909" s="18"/>
      <c r="Y909" s="18"/>
      <c r="Z909" s="18"/>
      <c r="AA909" s="18"/>
      <c r="AB909" s="17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  <c r="AS909" s="18"/>
      <c r="AT909" s="18"/>
      <c r="AU909" s="18"/>
      <c r="AV909" s="18"/>
      <c r="AW909" s="18"/>
      <c r="AX909" s="18"/>
    </row>
    <row r="910" spans="1:50" ht="15">
      <c r="A910" s="18"/>
      <c r="B910" s="18"/>
      <c r="C910" s="18"/>
      <c r="D910" s="18"/>
      <c r="E910" s="18"/>
      <c r="F910" s="18"/>
      <c r="G910" s="18"/>
      <c r="H910" s="18"/>
      <c r="I910" s="17"/>
      <c r="J910" s="18"/>
      <c r="K910" s="17"/>
      <c r="L910" s="18"/>
      <c r="M910" s="20"/>
      <c r="N910" s="18"/>
      <c r="O910" s="18"/>
      <c r="P910" s="18"/>
      <c r="Q910" s="17"/>
      <c r="R910" s="18"/>
      <c r="S910" s="18"/>
      <c r="T910" s="18"/>
      <c r="U910" s="18"/>
      <c r="V910" s="18"/>
      <c r="W910" s="18"/>
      <c r="X910" s="18"/>
      <c r="Y910" s="18"/>
      <c r="Z910" s="18"/>
      <c r="AA910" s="18"/>
      <c r="AB910" s="17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  <c r="AS910" s="18"/>
      <c r="AT910" s="18"/>
      <c r="AU910" s="18"/>
      <c r="AV910" s="18"/>
      <c r="AW910" s="18"/>
      <c r="AX910" s="18"/>
    </row>
    <row r="911" spans="1:50" ht="15">
      <c r="A911" s="18"/>
      <c r="B911" s="18"/>
      <c r="C911" s="18"/>
      <c r="D911" s="18"/>
      <c r="E911" s="18"/>
      <c r="F911" s="18"/>
      <c r="G911" s="18"/>
      <c r="H911" s="18"/>
      <c r="I911" s="17"/>
      <c r="J911" s="18"/>
      <c r="K911" s="17"/>
      <c r="L911" s="18"/>
      <c r="M911" s="20"/>
      <c r="N911" s="18"/>
      <c r="O911" s="18"/>
      <c r="P911" s="18"/>
      <c r="Q911" s="17"/>
      <c r="R911" s="18"/>
      <c r="S911" s="18"/>
      <c r="T911" s="18"/>
      <c r="U911" s="18"/>
      <c r="V911" s="18"/>
      <c r="W911" s="18"/>
      <c r="X911" s="18"/>
      <c r="Y911" s="18"/>
      <c r="Z911" s="18"/>
      <c r="AA911" s="18"/>
      <c r="AB911" s="17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  <c r="AS911" s="18"/>
      <c r="AT911" s="18"/>
      <c r="AU911" s="18"/>
      <c r="AV911" s="18"/>
      <c r="AW911" s="18"/>
      <c r="AX911" s="18"/>
    </row>
    <row r="912" spans="1:50" ht="15">
      <c r="A912" s="18"/>
      <c r="B912" s="18"/>
      <c r="C912" s="18"/>
      <c r="D912" s="18"/>
      <c r="E912" s="18"/>
      <c r="F912" s="18"/>
      <c r="G912" s="18"/>
      <c r="H912" s="18"/>
      <c r="I912" s="17"/>
      <c r="J912" s="18"/>
      <c r="K912" s="17"/>
      <c r="L912" s="18"/>
      <c r="M912" s="20"/>
      <c r="N912" s="18"/>
      <c r="O912" s="18"/>
      <c r="P912" s="18"/>
      <c r="Q912" s="17"/>
      <c r="R912" s="18"/>
      <c r="S912" s="18"/>
      <c r="T912" s="18"/>
      <c r="U912" s="18"/>
      <c r="V912" s="18"/>
      <c r="W912" s="18"/>
      <c r="X912" s="18"/>
      <c r="Y912" s="18"/>
      <c r="Z912" s="18"/>
      <c r="AA912" s="18"/>
      <c r="AB912" s="17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  <c r="AS912" s="18"/>
      <c r="AT912" s="18"/>
      <c r="AU912" s="18"/>
      <c r="AV912" s="18"/>
      <c r="AW912" s="18"/>
      <c r="AX912" s="18"/>
    </row>
    <row r="913" spans="1:50" ht="15">
      <c r="A913" s="18"/>
      <c r="B913" s="18"/>
      <c r="C913" s="18"/>
      <c r="D913" s="18"/>
      <c r="E913" s="18"/>
      <c r="F913" s="18"/>
      <c r="G913" s="18"/>
      <c r="H913" s="18"/>
      <c r="I913" s="17"/>
      <c r="J913" s="18"/>
      <c r="K913" s="17"/>
      <c r="L913" s="18"/>
      <c r="M913" s="20"/>
      <c r="N913" s="18"/>
      <c r="O913" s="18"/>
      <c r="P913" s="18"/>
      <c r="Q913" s="17"/>
      <c r="R913" s="18"/>
      <c r="S913" s="18"/>
      <c r="T913" s="18"/>
      <c r="U913" s="18"/>
      <c r="V913" s="18"/>
      <c r="W913" s="18"/>
      <c r="X913" s="18"/>
      <c r="Y913" s="18"/>
      <c r="Z913" s="18"/>
      <c r="AA913" s="18"/>
      <c r="AB913" s="17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  <c r="AS913" s="18"/>
      <c r="AT913" s="18"/>
      <c r="AU913" s="18"/>
      <c r="AV913" s="18"/>
      <c r="AW913" s="18"/>
      <c r="AX913" s="18"/>
    </row>
    <row r="914" spans="1:50" ht="15">
      <c r="A914" s="18"/>
      <c r="B914" s="18"/>
      <c r="C914" s="18"/>
      <c r="D914" s="18"/>
      <c r="E914" s="18"/>
      <c r="F914" s="18"/>
      <c r="G914" s="18"/>
      <c r="H914" s="18"/>
      <c r="I914" s="17"/>
      <c r="J914" s="18"/>
      <c r="K914" s="17"/>
      <c r="L914" s="18"/>
      <c r="M914" s="20"/>
      <c r="N914" s="18"/>
      <c r="O914" s="18"/>
      <c r="P914" s="18"/>
      <c r="Q914" s="17"/>
      <c r="R914" s="18"/>
      <c r="S914" s="18"/>
      <c r="T914" s="18"/>
      <c r="U914" s="18"/>
      <c r="V914" s="18"/>
      <c r="W914" s="18"/>
      <c r="X914" s="18"/>
      <c r="Y914" s="18"/>
      <c r="Z914" s="18"/>
      <c r="AA914" s="18"/>
      <c r="AB914" s="17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  <c r="AS914" s="18"/>
      <c r="AT914" s="18"/>
      <c r="AU914" s="18"/>
      <c r="AV914" s="18"/>
      <c r="AW914" s="18"/>
      <c r="AX914" s="18"/>
    </row>
    <row r="915" spans="1:50" ht="15">
      <c r="A915" s="18"/>
      <c r="B915" s="18"/>
      <c r="C915" s="18"/>
      <c r="D915" s="18"/>
      <c r="E915" s="18"/>
      <c r="F915" s="18"/>
      <c r="G915" s="18"/>
      <c r="H915" s="18"/>
      <c r="I915" s="17"/>
      <c r="J915" s="18"/>
      <c r="K915" s="17"/>
      <c r="L915" s="18"/>
      <c r="M915" s="20"/>
      <c r="N915" s="18"/>
      <c r="O915" s="18"/>
      <c r="P915" s="18"/>
      <c r="Q915" s="17"/>
      <c r="R915" s="18"/>
      <c r="S915" s="18"/>
      <c r="T915" s="18"/>
      <c r="U915" s="18"/>
      <c r="V915" s="18"/>
      <c r="W915" s="18"/>
      <c r="X915" s="18"/>
      <c r="Y915" s="18"/>
      <c r="Z915" s="18"/>
      <c r="AA915" s="18"/>
      <c r="AB915" s="17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  <c r="AS915" s="18"/>
      <c r="AT915" s="18"/>
      <c r="AU915" s="18"/>
      <c r="AV915" s="18"/>
      <c r="AW915" s="18"/>
      <c r="AX915" s="18"/>
    </row>
    <row r="916" spans="1:50" ht="15">
      <c r="A916" s="18"/>
      <c r="B916" s="18"/>
      <c r="C916" s="18"/>
      <c r="D916" s="18"/>
      <c r="E916" s="18"/>
      <c r="F916" s="18"/>
      <c r="G916" s="18"/>
      <c r="H916" s="18"/>
      <c r="I916" s="17"/>
      <c r="J916" s="18"/>
      <c r="K916" s="17"/>
      <c r="L916" s="18"/>
      <c r="M916" s="20"/>
      <c r="N916" s="18"/>
      <c r="O916" s="18"/>
      <c r="P916" s="18"/>
      <c r="Q916" s="17"/>
      <c r="R916" s="18"/>
      <c r="S916" s="18"/>
      <c r="T916" s="18"/>
      <c r="U916" s="18"/>
      <c r="V916" s="18"/>
      <c r="W916" s="18"/>
      <c r="X916" s="18"/>
      <c r="Y916" s="18"/>
      <c r="Z916" s="18"/>
      <c r="AA916" s="18"/>
      <c r="AB916" s="17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  <c r="AS916" s="18"/>
      <c r="AT916" s="18"/>
      <c r="AU916" s="18"/>
      <c r="AV916" s="18"/>
      <c r="AW916" s="18"/>
      <c r="AX916" s="18"/>
    </row>
    <row r="917" spans="1:50" ht="15">
      <c r="A917" s="18"/>
      <c r="B917" s="18"/>
      <c r="C917" s="18"/>
      <c r="D917" s="18"/>
      <c r="E917" s="18"/>
      <c r="F917" s="18"/>
      <c r="G917" s="18"/>
      <c r="H917" s="18"/>
      <c r="I917" s="17"/>
      <c r="J917" s="18"/>
      <c r="K917" s="17"/>
      <c r="L917" s="18"/>
      <c r="M917" s="20"/>
      <c r="N917" s="18"/>
      <c r="O917" s="18"/>
      <c r="P917" s="18"/>
      <c r="Q917" s="17"/>
      <c r="R917" s="18"/>
      <c r="S917" s="18"/>
      <c r="T917" s="18"/>
      <c r="U917" s="18"/>
      <c r="V917" s="18"/>
      <c r="W917" s="18"/>
      <c r="X917" s="18"/>
      <c r="Y917" s="18"/>
      <c r="Z917" s="18"/>
      <c r="AA917" s="18"/>
      <c r="AB917" s="17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  <c r="AS917" s="18"/>
      <c r="AT917" s="18"/>
      <c r="AU917" s="18"/>
      <c r="AV917" s="18"/>
      <c r="AW917" s="18"/>
      <c r="AX917" s="18"/>
    </row>
    <row r="918" spans="1:50" ht="15">
      <c r="A918" s="18"/>
      <c r="B918" s="18"/>
      <c r="C918" s="18"/>
      <c r="D918" s="18"/>
      <c r="E918" s="18"/>
      <c r="F918" s="18"/>
      <c r="G918" s="18"/>
      <c r="H918" s="18"/>
      <c r="I918" s="17"/>
      <c r="J918" s="18"/>
      <c r="K918" s="17"/>
      <c r="L918" s="18"/>
      <c r="M918" s="20"/>
      <c r="N918" s="18"/>
      <c r="O918" s="18"/>
      <c r="P918" s="18"/>
      <c r="Q918" s="17"/>
      <c r="R918" s="18"/>
      <c r="S918" s="18"/>
      <c r="T918" s="18"/>
      <c r="U918" s="18"/>
      <c r="V918" s="18"/>
      <c r="W918" s="18"/>
      <c r="X918" s="18"/>
      <c r="Y918" s="18"/>
      <c r="Z918" s="18"/>
      <c r="AA918" s="18"/>
      <c r="AB918" s="17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  <c r="AS918" s="18"/>
      <c r="AT918" s="18"/>
      <c r="AU918" s="18"/>
      <c r="AV918" s="18"/>
      <c r="AW918" s="18"/>
      <c r="AX918" s="18"/>
    </row>
    <row r="919" spans="1:50" ht="15">
      <c r="A919" s="18"/>
      <c r="B919" s="18"/>
      <c r="C919" s="18"/>
      <c r="D919" s="18"/>
      <c r="E919" s="18"/>
      <c r="F919" s="18"/>
      <c r="G919" s="18"/>
      <c r="H919" s="18"/>
      <c r="I919" s="17"/>
      <c r="J919" s="18"/>
      <c r="K919" s="17"/>
      <c r="L919" s="18"/>
      <c r="M919" s="20"/>
      <c r="N919" s="18"/>
      <c r="O919" s="18"/>
      <c r="P919" s="18"/>
      <c r="Q919" s="17"/>
      <c r="R919" s="18"/>
      <c r="S919" s="18"/>
      <c r="T919" s="18"/>
      <c r="U919" s="18"/>
      <c r="V919" s="18"/>
      <c r="W919" s="18"/>
      <c r="X919" s="18"/>
      <c r="Y919" s="18"/>
      <c r="Z919" s="18"/>
      <c r="AA919" s="18"/>
      <c r="AB919" s="17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  <c r="AS919" s="18"/>
      <c r="AT919" s="18"/>
      <c r="AU919" s="18"/>
      <c r="AV919" s="18"/>
      <c r="AW919" s="18"/>
      <c r="AX919" s="18"/>
    </row>
    <row r="920" spans="1:50" ht="15">
      <c r="A920" s="18"/>
      <c r="B920" s="18"/>
      <c r="C920" s="18"/>
      <c r="D920" s="18"/>
      <c r="E920" s="18"/>
      <c r="F920" s="18"/>
      <c r="G920" s="18"/>
      <c r="H920" s="18"/>
      <c r="I920" s="17"/>
      <c r="J920" s="18"/>
      <c r="K920" s="17"/>
      <c r="L920" s="18"/>
      <c r="M920" s="20"/>
      <c r="N920" s="18"/>
      <c r="O920" s="18"/>
      <c r="P920" s="18"/>
      <c r="Q920" s="17"/>
      <c r="R920" s="18"/>
      <c r="S920" s="18"/>
      <c r="T920" s="18"/>
      <c r="U920" s="18"/>
      <c r="V920" s="18"/>
      <c r="W920" s="18"/>
      <c r="X920" s="18"/>
      <c r="Y920" s="18"/>
      <c r="Z920" s="18"/>
      <c r="AA920" s="18"/>
      <c r="AB920" s="17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  <c r="AS920" s="18"/>
      <c r="AT920" s="18"/>
      <c r="AU920" s="18"/>
      <c r="AV920" s="18"/>
      <c r="AW920" s="18"/>
      <c r="AX920" s="18"/>
    </row>
    <row r="921" spans="1:50" ht="15">
      <c r="A921" s="18"/>
      <c r="B921" s="18"/>
      <c r="C921" s="18"/>
      <c r="D921" s="18"/>
      <c r="E921" s="18"/>
      <c r="F921" s="18"/>
      <c r="G921" s="18"/>
      <c r="H921" s="18"/>
      <c r="I921" s="17"/>
      <c r="J921" s="18"/>
      <c r="K921" s="17"/>
      <c r="L921" s="18"/>
      <c r="M921" s="20"/>
      <c r="N921" s="18"/>
      <c r="O921" s="18"/>
      <c r="P921" s="18"/>
      <c r="Q921" s="17"/>
      <c r="R921" s="18"/>
      <c r="S921" s="18"/>
      <c r="T921" s="18"/>
      <c r="U921" s="18"/>
      <c r="V921" s="18"/>
      <c r="W921" s="18"/>
      <c r="X921" s="18"/>
      <c r="Y921" s="18"/>
      <c r="Z921" s="18"/>
      <c r="AA921" s="18"/>
      <c r="AB921" s="17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  <c r="AS921" s="18"/>
      <c r="AT921" s="18"/>
      <c r="AU921" s="18"/>
      <c r="AV921" s="18"/>
      <c r="AW921" s="18"/>
      <c r="AX921" s="18"/>
    </row>
    <row r="922" spans="1:50" ht="15">
      <c r="A922" s="18"/>
      <c r="B922" s="18"/>
      <c r="C922" s="18"/>
      <c r="D922" s="18"/>
      <c r="E922" s="18"/>
      <c r="F922" s="18"/>
      <c r="G922" s="18"/>
      <c r="H922" s="18"/>
      <c r="I922" s="17"/>
      <c r="J922" s="18"/>
      <c r="K922" s="17"/>
      <c r="L922" s="18"/>
      <c r="M922" s="20"/>
      <c r="N922" s="18"/>
      <c r="O922" s="18"/>
      <c r="P922" s="18"/>
      <c r="Q922" s="17"/>
      <c r="R922" s="18"/>
      <c r="S922" s="18"/>
      <c r="T922" s="18"/>
      <c r="U922" s="18"/>
      <c r="V922" s="18"/>
      <c r="W922" s="18"/>
      <c r="X922" s="18"/>
      <c r="Y922" s="18"/>
      <c r="Z922" s="18"/>
      <c r="AA922" s="18"/>
      <c r="AB922" s="17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  <c r="AS922" s="18"/>
      <c r="AT922" s="18"/>
      <c r="AU922" s="18"/>
      <c r="AV922" s="18"/>
      <c r="AW922" s="18"/>
      <c r="AX922" s="18"/>
    </row>
    <row r="923" spans="1:50" ht="15">
      <c r="A923" s="18"/>
      <c r="B923" s="18"/>
      <c r="C923" s="18"/>
      <c r="D923" s="18"/>
      <c r="E923" s="18"/>
      <c r="F923" s="18"/>
      <c r="G923" s="18"/>
      <c r="H923" s="18"/>
      <c r="I923" s="17"/>
      <c r="J923" s="18"/>
      <c r="K923" s="17"/>
      <c r="L923" s="18"/>
      <c r="M923" s="20"/>
      <c r="N923" s="18"/>
      <c r="O923" s="18"/>
      <c r="P923" s="18"/>
      <c r="Q923" s="17"/>
      <c r="R923" s="18"/>
      <c r="S923" s="18"/>
      <c r="T923" s="18"/>
      <c r="U923" s="18"/>
      <c r="V923" s="18"/>
      <c r="W923" s="18"/>
      <c r="X923" s="18"/>
      <c r="Y923" s="18"/>
      <c r="Z923" s="18"/>
      <c r="AA923" s="18"/>
      <c r="AB923" s="17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  <c r="AS923" s="18"/>
      <c r="AT923" s="18"/>
      <c r="AU923" s="18"/>
      <c r="AV923" s="18"/>
      <c r="AW923" s="18"/>
      <c r="AX923" s="18"/>
    </row>
    <row r="924" spans="1:50" ht="15">
      <c r="A924" s="18"/>
      <c r="B924" s="18"/>
      <c r="C924" s="18"/>
      <c r="D924" s="18"/>
      <c r="E924" s="18"/>
      <c r="F924" s="18"/>
      <c r="G924" s="18"/>
      <c r="H924" s="18"/>
      <c r="I924" s="17"/>
      <c r="J924" s="18"/>
      <c r="K924" s="17"/>
      <c r="L924" s="18"/>
      <c r="M924" s="20"/>
      <c r="N924" s="18"/>
      <c r="O924" s="18"/>
      <c r="P924" s="18"/>
      <c r="Q924" s="17"/>
      <c r="R924" s="18"/>
      <c r="S924" s="18"/>
      <c r="T924" s="18"/>
      <c r="U924" s="18"/>
      <c r="V924" s="18"/>
      <c r="W924" s="18"/>
      <c r="X924" s="18"/>
      <c r="Y924" s="18"/>
      <c r="Z924" s="18"/>
      <c r="AA924" s="18"/>
      <c r="AB924" s="17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  <c r="AS924" s="18"/>
      <c r="AT924" s="18"/>
      <c r="AU924" s="18"/>
      <c r="AV924" s="18"/>
      <c r="AW924" s="18"/>
      <c r="AX924" s="18"/>
    </row>
    <row r="925" spans="1:50" ht="15">
      <c r="A925" s="18"/>
      <c r="B925" s="18"/>
      <c r="C925" s="18"/>
      <c r="D925" s="18"/>
      <c r="E925" s="18"/>
      <c r="F925" s="18"/>
      <c r="G925" s="18"/>
      <c r="H925" s="18"/>
      <c r="I925" s="17"/>
      <c r="J925" s="18"/>
      <c r="K925" s="17"/>
      <c r="L925" s="18"/>
      <c r="M925" s="20"/>
      <c r="N925" s="18"/>
      <c r="O925" s="18"/>
      <c r="P925" s="18"/>
      <c r="Q925" s="17"/>
      <c r="R925" s="18"/>
      <c r="S925" s="18"/>
      <c r="T925" s="18"/>
      <c r="U925" s="18"/>
      <c r="V925" s="18"/>
      <c r="W925" s="18"/>
      <c r="X925" s="18"/>
      <c r="Y925" s="18"/>
      <c r="Z925" s="18"/>
      <c r="AA925" s="18"/>
      <c r="AB925" s="17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  <c r="AS925" s="18"/>
      <c r="AT925" s="18"/>
      <c r="AU925" s="18"/>
      <c r="AV925" s="18"/>
      <c r="AW925" s="18"/>
      <c r="AX925" s="18"/>
    </row>
    <row r="926" spans="1:50" ht="15">
      <c r="A926" s="18"/>
      <c r="B926" s="18"/>
      <c r="C926" s="18"/>
      <c r="D926" s="18"/>
      <c r="E926" s="18"/>
      <c r="F926" s="18"/>
      <c r="G926" s="18"/>
      <c r="H926" s="18"/>
      <c r="I926" s="17"/>
      <c r="J926" s="18"/>
      <c r="K926" s="17"/>
      <c r="L926" s="18"/>
      <c r="M926" s="20"/>
      <c r="N926" s="18"/>
      <c r="O926" s="18"/>
      <c r="P926" s="18"/>
      <c r="Q926" s="17"/>
      <c r="R926" s="18"/>
      <c r="S926" s="18"/>
      <c r="T926" s="18"/>
      <c r="U926" s="18"/>
      <c r="V926" s="18"/>
      <c r="W926" s="18"/>
      <c r="X926" s="18"/>
      <c r="Y926" s="18"/>
      <c r="Z926" s="18"/>
      <c r="AA926" s="18"/>
      <c r="AB926" s="17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  <c r="AS926" s="18"/>
      <c r="AT926" s="18"/>
      <c r="AU926" s="18"/>
      <c r="AV926" s="18"/>
      <c r="AW926" s="18"/>
      <c r="AX926" s="18"/>
    </row>
    <row r="927" spans="1:50" ht="15">
      <c r="A927" s="18"/>
      <c r="B927" s="18"/>
      <c r="C927" s="18"/>
      <c r="D927" s="18"/>
      <c r="E927" s="18"/>
      <c r="F927" s="18"/>
      <c r="G927" s="18"/>
      <c r="H927" s="18"/>
      <c r="I927" s="17"/>
      <c r="J927" s="18"/>
      <c r="K927" s="17"/>
      <c r="L927" s="18"/>
      <c r="M927" s="20"/>
      <c r="N927" s="18"/>
      <c r="O927" s="18"/>
      <c r="P927" s="18"/>
      <c r="Q927" s="17"/>
      <c r="R927" s="18"/>
      <c r="S927" s="18"/>
      <c r="T927" s="18"/>
      <c r="U927" s="18"/>
      <c r="V927" s="18"/>
      <c r="W927" s="18"/>
      <c r="X927" s="18"/>
      <c r="Y927" s="18"/>
      <c r="Z927" s="18"/>
      <c r="AA927" s="18"/>
      <c r="AB927" s="17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</row>
    <row r="928" spans="1:50" ht="15">
      <c r="A928" s="18"/>
      <c r="B928" s="18"/>
      <c r="C928" s="18"/>
      <c r="D928" s="18"/>
      <c r="E928" s="18"/>
      <c r="F928" s="18"/>
      <c r="G928" s="18"/>
      <c r="H928" s="18"/>
      <c r="I928" s="17"/>
      <c r="J928" s="18"/>
      <c r="K928" s="17"/>
      <c r="L928" s="18"/>
      <c r="M928" s="20"/>
      <c r="N928" s="18"/>
      <c r="O928" s="18"/>
      <c r="P928" s="18"/>
      <c r="Q928" s="17"/>
      <c r="R928" s="18"/>
      <c r="S928" s="18"/>
      <c r="T928" s="18"/>
      <c r="U928" s="18"/>
      <c r="V928" s="18"/>
      <c r="W928" s="18"/>
      <c r="X928" s="18"/>
      <c r="Y928" s="18"/>
      <c r="Z928" s="18"/>
      <c r="AA928" s="18"/>
      <c r="AB928" s="17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</row>
    <row r="929" spans="1:50" ht="15">
      <c r="A929" s="18"/>
      <c r="B929" s="18"/>
      <c r="C929" s="18"/>
      <c r="D929" s="18"/>
      <c r="E929" s="18"/>
      <c r="F929" s="18"/>
      <c r="G929" s="18"/>
      <c r="H929" s="18"/>
      <c r="I929" s="17"/>
      <c r="J929" s="18"/>
      <c r="K929" s="17"/>
      <c r="L929" s="18"/>
      <c r="M929" s="20"/>
      <c r="N929" s="18"/>
      <c r="O929" s="18"/>
      <c r="P929" s="18"/>
      <c r="Q929" s="17"/>
      <c r="R929" s="18"/>
      <c r="S929" s="18"/>
      <c r="T929" s="18"/>
      <c r="U929" s="18"/>
      <c r="V929" s="18"/>
      <c r="W929" s="18"/>
      <c r="X929" s="18"/>
      <c r="Y929" s="18"/>
      <c r="Z929" s="18"/>
      <c r="AA929" s="18"/>
      <c r="AB929" s="17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  <c r="AS929" s="18"/>
      <c r="AT929" s="18"/>
      <c r="AU929" s="18"/>
      <c r="AV929" s="18"/>
      <c r="AW929" s="18"/>
      <c r="AX929" s="18"/>
    </row>
    <row r="930" spans="1:50" ht="15">
      <c r="A930" s="18"/>
      <c r="B930" s="18"/>
      <c r="C930" s="18"/>
      <c r="D930" s="18"/>
      <c r="E930" s="18"/>
      <c r="F930" s="18"/>
      <c r="G930" s="18"/>
      <c r="H930" s="18"/>
      <c r="I930" s="17"/>
      <c r="J930" s="18"/>
      <c r="K930" s="17"/>
      <c r="L930" s="18"/>
      <c r="M930" s="20"/>
      <c r="N930" s="18"/>
      <c r="O930" s="18"/>
      <c r="P930" s="18"/>
      <c r="Q930" s="17"/>
      <c r="R930" s="18"/>
      <c r="S930" s="18"/>
      <c r="T930" s="18"/>
      <c r="U930" s="18"/>
      <c r="V930" s="18"/>
      <c r="W930" s="18"/>
      <c r="X930" s="18"/>
      <c r="Y930" s="18"/>
      <c r="Z930" s="18"/>
      <c r="AA930" s="18"/>
      <c r="AB930" s="17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</row>
    <row r="931" spans="1:50" ht="15">
      <c r="A931" s="18"/>
      <c r="B931" s="18"/>
      <c r="C931" s="18"/>
      <c r="D931" s="18"/>
      <c r="E931" s="18"/>
      <c r="F931" s="18"/>
      <c r="G931" s="18"/>
      <c r="H931" s="18"/>
      <c r="I931" s="17"/>
      <c r="J931" s="18"/>
      <c r="K931" s="17"/>
      <c r="L931" s="18"/>
      <c r="M931" s="20"/>
      <c r="N931" s="18"/>
      <c r="O931" s="18"/>
      <c r="P931" s="18"/>
      <c r="Q931" s="17"/>
      <c r="R931" s="18"/>
      <c r="S931" s="18"/>
      <c r="T931" s="18"/>
      <c r="U931" s="18"/>
      <c r="V931" s="18"/>
      <c r="W931" s="18"/>
      <c r="X931" s="18"/>
      <c r="Y931" s="18"/>
      <c r="Z931" s="18"/>
      <c r="AA931" s="18"/>
      <c r="AB931" s="17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  <c r="AS931" s="18"/>
      <c r="AT931" s="18"/>
      <c r="AU931" s="18"/>
      <c r="AV931" s="18"/>
      <c r="AW931" s="18"/>
      <c r="AX931" s="18"/>
    </row>
    <row r="932" spans="1:50" ht="15">
      <c r="A932" s="18"/>
      <c r="B932" s="18"/>
      <c r="C932" s="18"/>
      <c r="D932" s="18"/>
      <c r="E932" s="18"/>
      <c r="F932" s="18"/>
      <c r="G932" s="18"/>
      <c r="H932" s="18"/>
      <c r="I932" s="17"/>
      <c r="J932" s="18"/>
      <c r="K932" s="17"/>
      <c r="L932" s="18"/>
      <c r="M932" s="20"/>
      <c r="N932" s="18"/>
      <c r="O932" s="18"/>
      <c r="P932" s="18"/>
      <c r="Q932" s="17"/>
      <c r="R932" s="18"/>
      <c r="S932" s="18"/>
      <c r="T932" s="18"/>
      <c r="U932" s="18"/>
      <c r="V932" s="18"/>
      <c r="W932" s="18"/>
      <c r="X932" s="18"/>
      <c r="Y932" s="18"/>
      <c r="Z932" s="18"/>
      <c r="AA932" s="18"/>
      <c r="AB932" s="17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  <c r="AS932" s="18"/>
      <c r="AT932" s="18"/>
      <c r="AU932" s="18"/>
      <c r="AV932" s="18"/>
      <c r="AW932" s="18"/>
      <c r="AX932" s="18"/>
    </row>
    <row r="933" spans="1:50" ht="15">
      <c r="A933" s="18"/>
      <c r="B933" s="18"/>
      <c r="C933" s="18"/>
      <c r="D933" s="18"/>
      <c r="E933" s="18"/>
      <c r="F933" s="18"/>
      <c r="G933" s="18"/>
      <c r="H933" s="18"/>
      <c r="I933" s="17"/>
      <c r="J933" s="18"/>
      <c r="K933" s="17"/>
      <c r="L933" s="18"/>
      <c r="M933" s="20"/>
      <c r="N933" s="18"/>
      <c r="O933" s="18"/>
      <c r="P933" s="18"/>
      <c r="Q933" s="17"/>
      <c r="R933" s="18"/>
      <c r="S933" s="18"/>
      <c r="T933" s="18"/>
      <c r="U933" s="18"/>
      <c r="V933" s="18"/>
      <c r="W933" s="18"/>
      <c r="X933" s="18"/>
      <c r="Y933" s="18"/>
      <c r="Z933" s="18"/>
      <c r="AA933" s="18"/>
      <c r="AB933" s="17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  <c r="AS933" s="18"/>
      <c r="AT933" s="18"/>
      <c r="AU933" s="18"/>
      <c r="AV933" s="18"/>
      <c r="AW933" s="18"/>
      <c r="AX933" s="18"/>
    </row>
    <row r="934" spans="1:50" ht="15">
      <c r="A934" s="18"/>
      <c r="B934" s="18"/>
      <c r="C934" s="18"/>
      <c r="D934" s="18"/>
      <c r="E934" s="18"/>
      <c r="F934" s="18"/>
      <c r="G934" s="18"/>
      <c r="H934" s="18"/>
      <c r="I934" s="17"/>
      <c r="J934" s="18"/>
      <c r="K934" s="17"/>
      <c r="L934" s="18"/>
      <c r="M934" s="20"/>
      <c r="N934" s="18"/>
      <c r="O934" s="18"/>
      <c r="P934" s="18"/>
      <c r="Q934" s="17"/>
      <c r="R934" s="18"/>
      <c r="S934" s="18"/>
      <c r="T934" s="18"/>
      <c r="U934" s="18"/>
      <c r="V934" s="18"/>
      <c r="W934" s="18"/>
      <c r="X934" s="18"/>
      <c r="Y934" s="18"/>
      <c r="Z934" s="18"/>
      <c r="AA934" s="18"/>
      <c r="AB934" s="17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  <c r="AS934" s="18"/>
      <c r="AT934" s="18"/>
      <c r="AU934" s="18"/>
      <c r="AV934" s="18"/>
      <c r="AW934" s="18"/>
      <c r="AX934" s="18"/>
    </row>
    <row r="935" spans="1:50" ht="15">
      <c r="A935" s="18"/>
      <c r="B935" s="18"/>
      <c r="C935" s="18"/>
      <c r="D935" s="18"/>
      <c r="E935" s="18"/>
      <c r="F935" s="18"/>
      <c r="G935" s="18"/>
      <c r="H935" s="18"/>
      <c r="I935" s="17"/>
      <c r="J935" s="18"/>
      <c r="K935" s="17"/>
      <c r="L935" s="18"/>
      <c r="M935" s="20"/>
      <c r="N935" s="18"/>
      <c r="O935" s="18"/>
      <c r="P935" s="18"/>
      <c r="Q935" s="17"/>
      <c r="R935" s="18"/>
      <c r="S935" s="18"/>
      <c r="T935" s="18"/>
      <c r="U935" s="18"/>
      <c r="V935" s="18"/>
      <c r="W935" s="18"/>
      <c r="X935" s="18"/>
      <c r="Y935" s="18"/>
      <c r="Z935" s="18"/>
      <c r="AA935" s="18"/>
      <c r="AB935" s="17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  <c r="AS935" s="18"/>
      <c r="AT935" s="18"/>
      <c r="AU935" s="18"/>
      <c r="AV935" s="18"/>
      <c r="AW935" s="18"/>
      <c r="AX935" s="18"/>
    </row>
    <row r="936" spans="1:50" ht="15">
      <c r="A936" s="18"/>
      <c r="B936" s="18"/>
      <c r="C936" s="18"/>
      <c r="D936" s="18"/>
      <c r="E936" s="18"/>
      <c r="F936" s="18"/>
      <c r="G936" s="18"/>
      <c r="H936" s="18"/>
      <c r="I936" s="17"/>
      <c r="J936" s="18"/>
      <c r="K936" s="17"/>
      <c r="L936" s="18"/>
      <c r="M936" s="20"/>
      <c r="N936" s="18"/>
      <c r="O936" s="18"/>
      <c r="P936" s="18"/>
      <c r="Q936" s="17"/>
      <c r="R936" s="18"/>
      <c r="S936" s="18"/>
      <c r="T936" s="18"/>
      <c r="U936" s="18"/>
      <c r="V936" s="18"/>
      <c r="W936" s="18"/>
      <c r="X936" s="18"/>
      <c r="Y936" s="18"/>
      <c r="Z936" s="18"/>
      <c r="AA936" s="18"/>
      <c r="AB936" s="17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  <c r="AS936" s="18"/>
      <c r="AT936" s="18"/>
      <c r="AU936" s="18"/>
      <c r="AV936" s="18"/>
      <c r="AW936" s="18"/>
      <c r="AX936" s="18"/>
    </row>
    <row r="937" spans="1:50" ht="15">
      <c r="A937" s="18"/>
      <c r="B937" s="18"/>
      <c r="C937" s="18"/>
      <c r="D937" s="18"/>
      <c r="E937" s="18"/>
      <c r="F937" s="18"/>
      <c r="G937" s="18"/>
      <c r="H937" s="18"/>
      <c r="I937" s="17"/>
      <c r="J937" s="18"/>
      <c r="K937" s="17"/>
      <c r="L937" s="18"/>
      <c r="M937" s="20"/>
      <c r="N937" s="18"/>
      <c r="O937" s="18"/>
      <c r="P937" s="18"/>
      <c r="Q937" s="17"/>
      <c r="R937" s="18"/>
      <c r="S937" s="18"/>
      <c r="T937" s="18"/>
      <c r="U937" s="18"/>
      <c r="V937" s="18"/>
      <c r="W937" s="18"/>
      <c r="X937" s="18"/>
      <c r="Y937" s="18"/>
      <c r="Z937" s="18"/>
      <c r="AA937" s="18"/>
      <c r="AB937" s="17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  <c r="AS937" s="18"/>
      <c r="AT937" s="18"/>
      <c r="AU937" s="18"/>
      <c r="AV937" s="18"/>
      <c r="AW937" s="18"/>
      <c r="AX937" s="18"/>
    </row>
    <row r="938" spans="1:50" ht="15">
      <c r="A938" s="18"/>
      <c r="B938" s="18"/>
      <c r="C938" s="18"/>
      <c r="D938" s="18"/>
      <c r="E938" s="18"/>
      <c r="F938" s="18"/>
      <c r="G938" s="18"/>
      <c r="H938" s="18"/>
      <c r="I938" s="17"/>
      <c r="J938" s="18"/>
      <c r="K938" s="17"/>
      <c r="L938" s="18"/>
      <c r="M938" s="20"/>
      <c r="N938" s="18"/>
      <c r="O938" s="18"/>
      <c r="P938" s="18"/>
      <c r="Q938" s="17"/>
      <c r="R938" s="18"/>
      <c r="S938" s="18"/>
      <c r="T938" s="18"/>
      <c r="U938" s="18"/>
      <c r="V938" s="18"/>
      <c r="W938" s="18"/>
      <c r="X938" s="18"/>
      <c r="Y938" s="18"/>
      <c r="Z938" s="18"/>
      <c r="AA938" s="18"/>
      <c r="AB938" s="17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  <c r="AS938" s="18"/>
      <c r="AT938" s="18"/>
      <c r="AU938" s="18"/>
      <c r="AV938" s="18"/>
      <c r="AW938" s="18"/>
      <c r="AX938" s="18"/>
    </row>
    <row r="939" spans="1:50" ht="15">
      <c r="A939" s="18"/>
      <c r="B939" s="18"/>
      <c r="C939" s="18"/>
      <c r="D939" s="18"/>
      <c r="E939" s="18"/>
      <c r="F939" s="18"/>
      <c r="G939" s="18"/>
      <c r="H939" s="18"/>
      <c r="I939" s="17"/>
      <c r="J939" s="18"/>
      <c r="K939" s="17"/>
      <c r="L939" s="18"/>
      <c r="M939" s="20"/>
      <c r="N939" s="18"/>
      <c r="O939" s="18"/>
      <c r="P939" s="18"/>
      <c r="Q939" s="17"/>
      <c r="R939" s="18"/>
      <c r="S939" s="18"/>
      <c r="T939" s="18"/>
      <c r="U939" s="18"/>
      <c r="V939" s="18"/>
      <c r="W939" s="18"/>
      <c r="X939" s="18"/>
      <c r="Y939" s="18"/>
      <c r="Z939" s="18"/>
      <c r="AA939" s="18"/>
      <c r="AB939" s="17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  <c r="AS939" s="18"/>
      <c r="AT939" s="18"/>
      <c r="AU939" s="18"/>
      <c r="AV939" s="18"/>
      <c r="AW939" s="18"/>
      <c r="AX939" s="18"/>
    </row>
    <row r="940" spans="1:50" ht="15">
      <c r="A940" s="18"/>
      <c r="B940" s="18"/>
      <c r="C940" s="18"/>
      <c r="D940" s="18"/>
      <c r="E940" s="18"/>
      <c r="F940" s="18"/>
      <c r="G940" s="18"/>
      <c r="H940" s="18"/>
      <c r="I940" s="17"/>
      <c r="J940" s="18"/>
      <c r="K940" s="17"/>
      <c r="L940" s="18"/>
      <c r="M940" s="20"/>
      <c r="N940" s="18"/>
      <c r="O940" s="18"/>
      <c r="P940" s="18"/>
      <c r="Q940" s="17"/>
      <c r="R940" s="18"/>
      <c r="S940" s="18"/>
      <c r="T940" s="18"/>
      <c r="U940" s="18"/>
      <c r="V940" s="18"/>
      <c r="W940" s="18"/>
      <c r="X940" s="18"/>
      <c r="Y940" s="18"/>
      <c r="Z940" s="18"/>
      <c r="AA940" s="18"/>
      <c r="AB940" s="17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  <c r="AS940" s="18"/>
      <c r="AT940" s="18"/>
      <c r="AU940" s="18"/>
      <c r="AV940" s="18"/>
      <c r="AW940" s="18"/>
      <c r="AX940" s="18"/>
    </row>
    <row r="941" spans="1:50" ht="15">
      <c r="A941" s="18"/>
      <c r="B941" s="18"/>
      <c r="C941" s="18"/>
      <c r="D941" s="18"/>
      <c r="E941" s="18"/>
      <c r="F941" s="18"/>
      <c r="G941" s="18"/>
      <c r="H941" s="18"/>
      <c r="I941" s="17"/>
      <c r="J941" s="18"/>
      <c r="K941" s="17"/>
      <c r="L941" s="18"/>
      <c r="M941" s="20"/>
      <c r="N941" s="18"/>
      <c r="O941" s="18"/>
      <c r="P941" s="18"/>
      <c r="Q941" s="17"/>
      <c r="R941" s="18"/>
      <c r="S941" s="18"/>
      <c r="T941" s="18"/>
      <c r="U941" s="18"/>
      <c r="V941" s="18"/>
      <c r="W941" s="18"/>
      <c r="X941" s="18"/>
      <c r="Y941" s="18"/>
      <c r="Z941" s="18"/>
      <c r="AA941" s="18"/>
      <c r="AB941" s="17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  <c r="AS941" s="18"/>
      <c r="AT941" s="18"/>
      <c r="AU941" s="18"/>
      <c r="AV941" s="18"/>
      <c r="AW941" s="18"/>
      <c r="AX941" s="18"/>
    </row>
    <row r="942" spans="1:50" ht="15">
      <c r="A942" s="18"/>
      <c r="B942" s="18"/>
      <c r="C942" s="18"/>
      <c r="D942" s="18"/>
      <c r="E942" s="18"/>
      <c r="F942" s="18"/>
      <c r="G942" s="18"/>
      <c r="H942" s="18"/>
      <c r="I942" s="17"/>
      <c r="J942" s="18"/>
      <c r="K942" s="17"/>
      <c r="L942" s="18"/>
      <c r="M942" s="20"/>
      <c r="N942" s="18"/>
      <c r="O942" s="18"/>
      <c r="P942" s="18"/>
      <c r="Q942" s="17"/>
      <c r="R942" s="18"/>
      <c r="S942" s="18"/>
      <c r="T942" s="18"/>
      <c r="U942" s="18"/>
      <c r="V942" s="18"/>
      <c r="W942" s="18"/>
      <c r="X942" s="18"/>
      <c r="Y942" s="18"/>
      <c r="Z942" s="18"/>
      <c r="AA942" s="18"/>
      <c r="AB942" s="17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  <c r="AS942" s="18"/>
      <c r="AT942" s="18"/>
      <c r="AU942" s="18"/>
      <c r="AV942" s="18"/>
      <c r="AW942" s="18"/>
      <c r="AX942" s="18"/>
    </row>
    <row r="943" spans="1:50" ht="15">
      <c r="A943" s="18"/>
      <c r="B943" s="18"/>
      <c r="C943" s="18"/>
      <c r="D943" s="18"/>
      <c r="E943" s="18"/>
      <c r="F943" s="18"/>
      <c r="G943" s="18"/>
      <c r="H943" s="18"/>
      <c r="I943" s="17"/>
      <c r="J943" s="18"/>
      <c r="K943" s="17"/>
      <c r="L943" s="18"/>
      <c r="M943" s="20"/>
      <c r="N943" s="18"/>
      <c r="O943" s="18"/>
      <c r="P943" s="18"/>
      <c r="Q943" s="17"/>
      <c r="R943" s="18"/>
      <c r="S943" s="18"/>
      <c r="T943" s="18"/>
      <c r="U943" s="18"/>
      <c r="V943" s="18"/>
      <c r="W943" s="18"/>
      <c r="X943" s="18"/>
      <c r="Y943" s="18"/>
      <c r="Z943" s="18"/>
      <c r="AA943" s="18"/>
      <c r="AB943" s="17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  <c r="AS943" s="18"/>
      <c r="AT943" s="18"/>
      <c r="AU943" s="18"/>
      <c r="AV943" s="18"/>
      <c r="AW943" s="18"/>
      <c r="AX943" s="18"/>
    </row>
    <row r="944" spans="1:50" ht="15">
      <c r="A944" s="18"/>
      <c r="B944" s="18"/>
      <c r="C944" s="18"/>
      <c r="D944" s="18"/>
      <c r="E944" s="18"/>
      <c r="F944" s="18"/>
      <c r="G944" s="18"/>
      <c r="H944" s="18"/>
      <c r="I944" s="17"/>
      <c r="J944" s="18"/>
      <c r="K944" s="17"/>
      <c r="L944" s="18"/>
      <c r="M944" s="20"/>
      <c r="N944" s="18"/>
      <c r="O944" s="18"/>
      <c r="P944" s="18"/>
      <c r="Q944" s="17"/>
      <c r="R944" s="18"/>
      <c r="S944" s="18"/>
      <c r="T944" s="18"/>
      <c r="U944" s="18"/>
      <c r="V944" s="18"/>
      <c r="W944" s="18"/>
      <c r="X944" s="18"/>
      <c r="Y944" s="18"/>
      <c r="Z944" s="18"/>
      <c r="AA944" s="18"/>
      <c r="AB944" s="17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  <c r="AS944" s="18"/>
      <c r="AT944" s="18"/>
      <c r="AU944" s="18"/>
      <c r="AV944" s="18"/>
      <c r="AW944" s="18"/>
      <c r="AX944" s="18"/>
    </row>
    <row r="945" spans="1:50" ht="15">
      <c r="A945" s="18"/>
      <c r="B945" s="18"/>
      <c r="C945" s="18"/>
      <c r="D945" s="18"/>
      <c r="E945" s="18"/>
      <c r="F945" s="18"/>
      <c r="G945" s="18"/>
      <c r="H945" s="18"/>
      <c r="I945" s="17"/>
      <c r="J945" s="18"/>
      <c r="K945" s="17"/>
      <c r="L945" s="18"/>
      <c r="M945" s="20"/>
      <c r="N945" s="18"/>
      <c r="O945" s="18"/>
      <c r="P945" s="18"/>
      <c r="Q945" s="17"/>
      <c r="R945" s="18"/>
      <c r="S945" s="18"/>
      <c r="T945" s="18"/>
      <c r="U945" s="18"/>
      <c r="V945" s="18"/>
      <c r="W945" s="18"/>
      <c r="X945" s="18"/>
      <c r="Y945" s="18"/>
      <c r="Z945" s="18"/>
      <c r="AA945" s="18"/>
      <c r="AB945" s="17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  <c r="AS945" s="18"/>
      <c r="AT945" s="18"/>
      <c r="AU945" s="18"/>
      <c r="AV945" s="18"/>
      <c r="AW945" s="18"/>
      <c r="AX945" s="18"/>
    </row>
    <row r="946" spans="1:50" ht="15">
      <c r="A946" s="18"/>
      <c r="B946" s="18"/>
      <c r="C946" s="18"/>
      <c r="D946" s="18"/>
      <c r="E946" s="18"/>
      <c r="F946" s="18"/>
      <c r="G946" s="18"/>
      <c r="H946" s="18"/>
      <c r="I946" s="17"/>
      <c r="J946" s="18"/>
      <c r="K946" s="17"/>
      <c r="L946" s="18"/>
      <c r="M946" s="20"/>
      <c r="N946" s="18"/>
      <c r="O946" s="18"/>
      <c r="P946" s="18"/>
      <c r="Q946" s="17"/>
      <c r="R946" s="18"/>
      <c r="S946" s="18"/>
      <c r="T946" s="18"/>
      <c r="U946" s="18"/>
      <c r="V946" s="18"/>
      <c r="W946" s="18"/>
      <c r="X946" s="18"/>
      <c r="Y946" s="18"/>
      <c r="Z946" s="18"/>
      <c r="AA946" s="18"/>
      <c r="AB946" s="17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  <c r="AS946" s="18"/>
      <c r="AT946" s="18"/>
      <c r="AU946" s="18"/>
      <c r="AV946" s="18"/>
      <c r="AW946" s="18"/>
      <c r="AX946" s="18"/>
    </row>
    <row r="947" spans="1:50" ht="15">
      <c r="A947" s="18"/>
      <c r="B947" s="18"/>
      <c r="C947" s="18"/>
      <c r="D947" s="18"/>
      <c r="E947" s="18"/>
      <c r="F947" s="18"/>
      <c r="G947" s="18"/>
      <c r="H947" s="18"/>
      <c r="I947" s="17"/>
      <c r="J947" s="18"/>
      <c r="K947" s="17"/>
      <c r="L947" s="18"/>
      <c r="M947" s="20"/>
      <c r="N947" s="18"/>
      <c r="O947" s="18"/>
      <c r="P947" s="18"/>
      <c r="Q947" s="17"/>
      <c r="R947" s="18"/>
      <c r="S947" s="18"/>
      <c r="T947" s="18"/>
      <c r="U947" s="18"/>
      <c r="V947" s="18"/>
      <c r="W947" s="18"/>
      <c r="X947" s="18"/>
      <c r="Y947" s="18"/>
      <c r="Z947" s="18"/>
      <c r="AA947" s="18"/>
      <c r="AB947" s="17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  <c r="AS947" s="18"/>
      <c r="AT947" s="18"/>
      <c r="AU947" s="18"/>
      <c r="AV947" s="18"/>
      <c r="AW947" s="18"/>
      <c r="AX947" s="18"/>
    </row>
    <row r="948" spans="1:50" ht="15">
      <c r="A948" s="18"/>
      <c r="B948" s="18"/>
      <c r="C948" s="18"/>
      <c r="D948" s="18"/>
      <c r="E948" s="18"/>
      <c r="F948" s="18"/>
      <c r="G948" s="18"/>
      <c r="H948" s="18"/>
      <c r="I948" s="17"/>
      <c r="J948" s="18"/>
      <c r="K948" s="17"/>
      <c r="L948" s="18"/>
      <c r="M948" s="20"/>
      <c r="N948" s="18"/>
      <c r="O948" s="18"/>
      <c r="P948" s="18"/>
      <c r="Q948" s="17"/>
      <c r="R948" s="18"/>
      <c r="S948" s="18"/>
      <c r="T948" s="18"/>
      <c r="U948" s="18"/>
      <c r="V948" s="18"/>
      <c r="W948" s="18"/>
      <c r="X948" s="18"/>
      <c r="Y948" s="18"/>
      <c r="Z948" s="18"/>
      <c r="AA948" s="18"/>
      <c r="AB948" s="17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  <c r="AS948" s="18"/>
      <c r="AT948" s="18"/>
      <c r="AU948" s="18"/>
      <c r="AV948" s="18"/>
      <c r="AW948" s="18"/>
      <c r="AX948" s="18"/>
    </row>
    <row r="949" spans="1:50" ht="15">
      <c r="A949" s="18"/>
      <c r="B949" s="18"/>
      <c r="C949" s="18"/>
      <c r="D949" s="18"/>
      <c r="E949" s="18"/>
      <c r="F949" s="18"/>
      <c r="G949" s="18"/>
      <c r="H949" s="18"/>
      <c r="I949" s="17"/>
      <c r="J949" s="18"/>
      <c r="K949" s="17"/>
      <c r="L949" s="18"/>
      <c r="M949" s="20"/>
      <c r="N949" s="18"/>
      <c r="O949" s="18"/>
      <c r="P949" s="18"/>
      <c r="Q949" s="17"/>
      <c r="R949" s="18"/>
      <c r="S949" s="18"/>
      <c r="T949" s="18"/>
      <c r="U949" s="18"/>
      <c r="V949" s="18"/>
      <c r="W949" s="18"/>
      <c r="X949" s="18"/>
      <c r="Y949" s="18"/>
      <c r="Z949" s="18"/>
      <c r="AA949" s="18"/>
      <c r="AB949" s="17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  <c r="AS949" s="18"/>
      <c r="AT949" s="18"/>
      <c r="AU949" s="18"/>
      <c r="AV949" s="18"/>
      <c r="AW949" s="18"/>
      <c r="AX949" s="18"/>
    </row>
    <row r="950" spans="1:50" ht="15">
      <c r="A950" s="18"/>
      <c r="B950" s="18"/>
      <c r="C950" s="18"/>
      <c r="D950" s="18"/>
      <c r="E950" s="18"/>
      <c r="F950" s="18"/>
      <c r="G950" s="18"/>
      <c r="H950" s="18"/>
      <c r="I950" s="17"/>
      <c r="J950" s="18"/>
      <c r="K950" s="17"/>
      <c r="L950" s="18"/>
      <c r="M950" s="20"/>
      <c r="N950" s="18"/>
      <c r="O950" s="18"/>
      <c r="P950" s="18"/>
      <c r="Q950" s="17"/>
      <c r="R950" s="18"/>
      <c r="S950" s="18"/>
      <c r="T950" s="18"/>
      <c r="U950" s="18"/>
      <c r="V950" s="18"/>
      <c r="W950" s="18"/>
      <c r="X950" s="18"/>
      <c r="Y950" s="18"/>
      <c r="Z950" s="18"/>
      <c r="AA950" s="18"/>
      <c r="AB950" s="17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  <c r="AS950" s="18"/>
      <c r="AT950" s="18"/>
      <c r="AU950" s="18"/>
      <c r="AV950" s="18"/>
      <c r="AW950" s="18"/>
      <c r="AX950" s="18"/>
    </row>
    <row r="951" spans="1:50" ht="15">
      <c r="A951" s="18"/>
      <c r="B951" s="18"/>
      <c r="C951" s="18"/>
      <c r="D951" s="18"/>
      <c r="E951" s="18"/>
      <c r="F951" s="18"/>
      <c r="G951" s="18"/>
      <c r="H951" s="18"/>
      <c r="I951" s="17"/>
      <c r="J951" s="18"/>
      <c r="K951" s="17"/>
      <c r="L951" s="18"/>
      <c r="M951" s="20"/>
      <c r="N951" s="18"/>
      <c r="O951" s="18"/>
      <c r="P951" s="18"/>
      <c r="Q951" s="17"/>
      <c r="R951" s="18"/>
      <c r="S951" s="18"/>
      <c r="T951" s="18"/>
      <c r="U951" s="18"/>
      <c r="V951" s="18"/>
      <c r="W951" s="18"/>
      <c r="X951" s="18"/>
      <c r="Y951" s="18"/>
      <c r="Z951" s="18"/>
      <c r="AA951" s="18"/>
      <c r="AB951" s="17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  <c r="AS951" s="18"/>
      <c r="AT951" s="18"/>
      <c r="AU951" s="18"/>
      <c r="AV951" s="18"/>
      <c r="AW951" s="18"/>
      <c r="AX951" s="18"/>
    </row>
    <row r="952" spans="1:50" ht="15">
      <c r="A952" s="18"/>
      <c r="B952" s="18"/>
      <c r="C952" s="18"/>
      <c r="D952" s="18"/>
      <c r="E952" s="18"/>
      <c r="F952" s="18"/>
      <c r="G952" s="18"/>
      <c r="H952" s="18"/>
      <c r="I952" s="17"/>
      <c r="J952" s="18"/>
      <c r="K952" s="17"/>
      <c r="L952" s="18"/>
      <c r="M952" s="20"/>
      <c r="N952" s="18"/>
      <c r="O952" s="18"/>
      <c r="P952" s="18"/>
      <c r="Q952" s="17"/>
      <c r="R952" s="18"/>
      <c r="S952" s="18"/>
      <c r="T952" s="18"/>
      <c r="U952" s="18"/>
      <c r="V952" s="18"/>
      <c r="W952" s="18"/>
      <c r="X952" s="18"/>
      <c r="Y952" s="18"/>
      <c r="Z952" s="18"/>
      <c r="AA952" s="18"/>
      <c r="AB952" s="17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  <c r="AS952" s="18"/>
      <c r="AT952" s="18"/>
      <c r="AU952" s="18"/>
      <c r="AV952" s="18"/>
      <c r="AW952" s="18"/>
      <c r="AX952" s="18"/>
    </row>
    <row r="953" spans="1:50" ht="15">
      <c r="A953" s="18"/>
      <c r="B953" s="18"/>
      <c r="C953" s="18"/>
      <c r="D953" s="18"/>
      <c r="E953" s="18"/>
      <c r="F953" s="18"/>
      <c r="G953" s="18"/>
      <c r="H953" s="18"/>
      <c r="I953" s="17"/>
      <c r="J953" s="18"/>
      <c r="K953" s="17"/>
      <c r="L953" s="18"/>
      <c r="M953" s="20"/>
      <c r="N953" s="18"/>
      <c r="O953" s="18"/>
      <c r="P953" s="18"/>
      <c r="Q953" s="17"/>
      <c r="R953" s="18"/>
      <c r="S953" s="18"/>
      <c r="T953" s="18"/>
      <c r="U953" s="18"/>
      <c r="V953" s="18"/>
      <c r="W953" s="18"/>
      <c r="X953" s="18"/>
      <c r="Y953" s="18"/>
      <c r="Z953" s="18"/>
      <c r="AA953" s="18"/>
      <c r="AB953" s="17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  <c r="AS953" s="18"/>
      <c r="AT953" s="18"/>
      <c r="AU953" s="18"/>
      <c r="AV953" s="18"/>
      <c r="AW953" s="18"/>
      <c r="AX953" s="18"/>
    </row>
    <row r="954" spans="1:50" ht="15">
      <c r="A954" s="18"/>
      <c r="B954" s="18"/>
      <c r="C954" s="18"/>
      <c r="D954" s="18"/>
      <c r="E954" s="18"/>
      <c r="F954" s="18"/>
      <c r="G954" s="18"/>
      <c r="H954" s="18"/>
      <c r="I954" s="17"/>
      <c r="J954" s="18"/>
      <c r="K954" s="17"/>
      <c r="L954" s="18"/>
      <c r="M954" s="20"/>
      <c r="N954" s="18"/>
      <c r="O954" s="18"/>
      <c r="P954" s="18"/>
      <c r="Q954" s="17"/>
      <c r="R954" s="18"/>
      <c r="S954" s="18"/>
      <c r="T954" s="18"/>
      <c r="U954" s="18"/>
      <c r="V954" s="18"/>
      <c r="W954" s="18"/>
      <c r="X954" s="18"/>
      <c r="Y954" s="18"/>
      <c r="Z954" s="18"/>
      <c r="AA954" s="18"/>
      <c r="AB954" s="17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  <c r="AS954" s="18"/>
      <c r="AT954" s="18"/>
      <c r="AU954" s="18"/>
      <c r="AV954" s="18"/>
      <c r="AW954" s="18"/>
      <c r="AX954" s="18"/>
    </row>
    <row r="955" spans="1:50" ht="15">
      <c r="A955" s="18"/>
      <c r="B955" s="18"/>
      <c r="C955" s="18"/>
      <c r="D955" s="18"/>
      <c r="E955" s="18"/>
      <c r="F955" s="18"/>
      <c r="G955" s="18"/>
      <c r="H955" s="18"/>
      <c r="I955" s="17"/>
      <c r="J955" s="18"/>
      <c r="K955" s="17"/>
      <c r="L955" s="18"/>
      <c r="M955" s="20"/>
      <c r="N955" s="18"/>
      <c r="O955" s="18"/>
      <c r="P955" s="18"/>
      <c r="Q955" s="17"/>
      <c r="R955" s="18"/>
      <c r="S955" s="18"/>
      <c r="T955" s="18"/>
      <c r="U955" s="18"/>
      <c r="V955" s="18"/>
      <c r="W955" s="18"/>
      <c r="X955" s="18"/>
      <c r="Y955" s="18"/>
      <c r="Z955" s="18"/>
      <c r="AA955" s="18"/>
      <c r="AB955" s="17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  <c r="AS955" s="18"/>
      <c r="AT955" s="18"/>
      <c r="AU955" s="18"/>
      <c r="AV955" s="18"/>
      <c r="AW955" s="18"/>
      <c r="AX955" s="18"/>
    </row>
    <row r="956" spans="1:50" ht="15">
      <c r="A956" s="18"/>
      <c r="B956" s="18"/>
      <c r="C956" s="18"/>
      <c r="D956" s="18"/>
      <c r="E956" s="18"/>
      <c r="F956" s="18"/>
      <c r="G956" s="18"/>
      <c r="H956" s="18"/>
      <c r="I956" s="17"/>
      <c r="J956" s="18"/>
      <c r="K956" s="17"/>
      <c r="L956" s="18"/>
      <c r="M956" s="20"/>
      <c r="N956" s="18"/>
      <c r="O956" s="18"/>
      <c r="P956" s="18"/>
      <c r="Q956" s="17"/>
      <c r="R956" s="18"/>
      <c r="S956" s="18"/>
      <c r="T956" s="18"/>
      <c r="U956" s="18"/>
      <c r="V956" s="18"/>
      <c r="W956" s="18"/>
      <c r="X956" s="18"/>
      <c r="Y956" s="18"/>
      <c r="Z956" s="18"/>
      <c r="AA956" s="18"/>
      <c r="AB956" s="17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  <c r="AS956" s="18"/>
      <c r="AT956" s="18"/>
      <c r="AU956" s="18"/>
      <c r="AV956" s="18"/>
      <c r="AW956" s="18"/>
      <c r="AX956" s="18"/>
    </row>
    <row r="957" spans="1:50" ht="15">
      <c r="A957" s="18"/>
      <c r="B957" s="18"/>
      <c r="C957" s="18"/>
      <c r="D957" s="18"/>
      <c r="E957" s="18"/>
      <c r="F957" s="18"/>
      <c r="G957" s="18"/>
      <c r="H957" s="18"/>
      <c r="I957" s="17"/>
      <c r="J957" s="18"/>
      <c r="K957" s="17"/>
      <c r="L957" s="18"/>
      <c r="M957" s="20"/>
      <c r="N957" s="18"/>
      <c r="O957" s="18"/>
      <c r="P957" s="18"/>
      <c r="Q957" s="17"/>
      <c r="R957" s="18"/>
      <c r="S957" s="18"/>
      <c r="T957" s="18"/>
      <c r="U957" s="18"/>
      <c r="V957" s="18"/>
      <c r="W957" s="18"/>
      <c r="X957" s="18"/>
      <c r="Y957" s="18"/>
      <c r="Z957" s="18"/>
      <c r="AA957" s="18"/>
      <c r="AB957" s="17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  <c r="AS957" s="18"/>
      <c r="AT957" s="18"/>
      <c r="AU957" s="18"/>
      <c r="AV957" s="18"/>
      <c r="AW957" s="18"/>
      <c r="AX957" s="18"/>
    </row>
    <row r="958" spans="1:50" ht="15">
      <c r="A958" s="18"/>
      <c r="B958" s="18"/>
      <c r="C958" s="18"/>
      <c r="D958" s="18"/>
      <c r="E958" s="18"/>
      <c r="F958" s="18"/>
      <c r="G958" s="18"/>
      <c r="H958" s="18"/>
      <c r="I958" s="17"/>
      <c r="J958" s="18"/>
      <c r="K958" s="17"/>
      <c r="L958" s="18"/>
      <c r="M958" s="20"/>
      <c r="N958" s="18"/>
      <c r="O958" s="18"/>
      <c r="P958" s="18"/>
      <c r="Q958" s="17"/>
      <c r="R958" s="18"/>
      <c r="S958" s="18"/>
      <c r="T958" s="18"/>
      <c r="U958" s="18"/>
      <c r="V958" s="18"/>
      <c r="W958" s="18"/>
      <c r="X958" s="18"/>
      <c r="Y958" s="18"/>
      <c r="Z958" s="18"/>
      <c r="AA958" s="18"/>
      <c r="AB958" s="17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  <c r="AS958" s="18"/>
      <c r="AT958" s="18"/>
      <c r="AU958" s="18"/>
      <c r="AV958" s="18"/>
      <c r="AW958" s="18"/>
      <c r="AX958" s="18"/>
    </row>
    <row r="959" spans="1:50" ht="15">
      <c r="A959" s="18"/>
      <c r="B959" s="18"/>
      <c r="C959" s="18"/>
      <c r="D959" s="18"/>
      <c r="E959" s="18"/>
      <c r="F959" s="18"/>
      <c r="G959" s="18"/>
      <c r="H959" s="18"/>
      <c r="I959" s="17"/>
      <c r="J959" s="18"/>
      <c r="K959" s="17"/>
      <c r="L959" s="18"/>
      <c r="M959" s="20"/>
      <c r="N959" s="18"/>
      <c r="O959" s="18"/>
      <c r="P959" s="18"/>
      <c r="Q959" s="17"/>
      <c r="R959" s="18"/>
      <c r="S959" s="18"/>
      <c r="T959" s="18"/>
      <c r="U959" s="18"/>
      <c r="V959" s="18"/>
      <c r="W959" s="18"/>
      <c r="X959" s="18"/>
      <c r="Y959" s="18"/>
      <c r="Z959" s="18"/>
      <c r="AA959" s="18"/>
      <c r="AB959" s="17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  <c r="AS959" s="18"/>
      <c r="AT959" s="18"/>
      <c r="AU959" s="18"/>
      <c r="AV959" s="18"/>
      <c r="AW959" s="18"/>
      <c r="AX959" s="18"/>
    </row>
    <row r="960" spans="1:50" ht="15">
      <c r="A960" s="18"/>
      <c r="B960" s="18"/>
      <c r="C960" s="18"/>
      <c r="D960" s="18"/>
      <c r="E960" s="18"/>
      <c r="F960" s="18"/>
      <c r="G960" s="18"/>
      <c r="H960" s="18"/>
      <c r="I960" s="17"/>
      <c r="J960" s="18"/>
      <c r="K960" s="17"/>
      <c r="L960" s="18"/>
      <c r="M960" s="20"/>
      <c r="N960" s="18"/>
      <c r="O960" s="18"/>
      <c r="P960" s="18"/>
      <c r="Q960" s="17"/>
      <c r="R960" s="18"/>
      <c r="S960" s="18"/>
      <c r="T960" s="18"/>
      <c r="U960" s="18"/>
      <c r="V960" s="18"/>
      <c r="W960" s="18"/>
      <c r="X960" s="18"/>
      <c r="Y960" s="18"/>
      <c r="Z960" s="18"/>
      <c r="AA960" s="18"/>
      <c r="AB960" s="17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  <c r="AS960" s="18"/>
      <c r="AT960" s="18"/>
      <c r="AU960" s="18"/>
      <c r="AV960" s="18"/>
      <c r="AW960" s="18"/>
      <c r="AX960" s="18"/>
    </row>
    <row r="961" spans="1:50" ht="15">
      <c r="A961" s="18"/>
      <c r="B961" s="18"/>
      <c r="C961" s="18"/>
      <c r="D961" s="18"/>
      <c r="E961" s="18"/>
      <c r="F961" s="18"/>
      <c r="G961" s="18"/>
      <c r="H961" s="18"/>
      <c r="I961" s="17"/>
      <c r="J961" s="18"/>
      <c r="K961" s="17"/>
      <c r="L961" s="18"/>
      <c r="M961" s="20"/>
      <c r="N961" s="18"/>
      <c r="O961" s="18"/>
      <c r="P961" s="18"/>
      <c r="Q961" s="17"/>
      <c r="R961" s="18"/>
      <c r="S961" s="18"/>
      <c r="T961" s="18"/>
      <c r="U961" s="18"/>
      <c r="V961" s="18"/>
      <c r="W961" s="18"/>
      <c r="X961" s="18"/>
      <c r="Y961" s="18"/>
      <c r="Z961" s="18"/>
      <c r="AA961" s="18"/>
      <c r="AB961" s="17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  <c r="AS961" s="18"/>
      <c r="AT961" s="18"/>
      <c r="AU961" s="18"/>
      <c r="AV961" s="18"/>
      <c r="AW961" s="18"/>
      <c r="AX961" s="18"/>
    </row>
    <row r="962" spans="1:50" ht="15">
      <c r="A962" s="18"/>
      <c r="B962" s="18"/>
      <c r="C962" s="18"/>
      <c r="D962" s="18"/>
      <c r="E962" s="18"/>
      <c r="F962" s="18"/>
      <c r="G962" s="18"/>
      <c r="H962" s="18"/>
      <c r="I962" s="17"/>
      <c r="J962" s="18"/>
      <c r="K962" s="17"/>
      <c r="L962" s="18"/>
      <c r="M962" s="20"/>
      <c r="N962" s="18"/>
      <c r="O962" s="18"/>
      <c r="P962" s="18"/>
      <c r="Q962" s="17"/>
      <c r="R962" s="18"/>
      <c r="S962" s="18"/>
      <c r="T962" s="18"/>
      <c r="U962" s="18"/>
      <c r="V962" s="18"/>
      <c r="W962" s="18"/>
      <c r="X962" s="18"/>
      <c r="Y962" s="18"/>
      <c r="Z962" s="18"/>
      <c r="AA962" s="18"/>
      <c r="AB962" s="17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  <c r="AS962" s="18"/>
      <c r="AT962" s="18"/>
      <c r="AU962" s="18"/>
      <c r="AV962" s="18"/>
      <c r="AW962" s="18"/>
      <c r="AX962" s="18"/>
    </row>
    <row r="963" spans="1:50" ht="15">
      <c r="A963" s="18"/>
      <c r="B963" s="18"/>
      <c r="C963" s="18"/>
      <c r="D963" s="18"/>
      <c r="E963" s="18"/>
      <c r="F963" s="18"/>
      <c r="G963" s="18"/>
      <c r="H963" s="18"/>
      <c r="I963" s="17"/>
      <c r="J963" s="18"/>
      <c r="K963" s="17"/>
      <c r="L963" s="18"/>
      <c r="M963" s="20"/>
      <c r="N963" s="18"/>
      <c r="O963" s="18"/>
      <c r="P963" s="18"/>
      <c r="Q963" s="17"/>
      <c r="R963" s="18"/>
      <c r="S963" s="18"/>
      <c r="T963" s="18"/>
      <c r="U963" s="18"/>
      <c r="V963" s="18"/>
      <c r="W963" s="18"/>
      <c r="X963" s="18"/>
      <c r="Y963" s="18"/>
      <c r="Z963" s="18"/>
      <c r="AA963" s="18"/>
      <c r="AB963" s="17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  <c r="AS963" s="18"/>
      <c r="AT963" s="18"/>
      <c r="AU963" s="18"/>
      <c r="AV963" s="18"/>
      <c r="AW963" s="18"/>
      <c r="AX963" s="18"/>
    </row>
    <row r="964" spans="1:50" ht="15">
      <c r="A964" s="18"/>
      <c r="B964" s="18"/>
      <c r="C964" s="18"/>
      <c r="D964" s="18"/>
      <c r="E964" s="18"/>
      <c r="F964" s="18"/>
      <c r="G964" s="18"/>
      <c r="H964" s="18"/>
      <c r="I964" s="17"/>
      <c r="J964" s="18"/>
      <c r="K964" s="17"/>
      <c r="L964" s="18"/>
      <c r="M964" s="20"/>
      <c r="N964" s="18"/>
      <c r="O964" s="18"/>
      <c r="P964" s="18"/>
      <c r="Q964" s="17"/>
      <c r="R964" s="18"/>
      <c r="S964" s="18"/>
      <c r="T964" s="18"/>
      <c r="U964" s="18"/>
      <c r="V964" s="18"/>
      <c r="W964" s="18"/>
      <c r="X964" s="18"/>
      <c r="Y964" s="18"/>
      <c r="Z964" s="18"/>
      <c r="AA964" s="18"/>
      <c r="AB964" s="17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  <c r="AS964" s="18"/>
      <c r="AT964" s="18"/>
      <c r="AU964" s="18"/>
      <c r="AV964" s="18"/>
      <c r="AW964" s="18"/>
      <c r="AX964" s="18"/>
    </row>
    <row r="965" spans="1:50" ht="15">
      <c r="A965" s="18"/>
      <c r="B965" s="18"/>
      <c r="C965" s="18"/>
      <c r="D965" s="18"/>
      <c r="E965" s="18"/>
      <c r="F965" s="18"/>
      <c r="G965" s="18"/>
      <c r="H965" s="18"/>
      <c r="I965" s="17"/>
      <c r="J965" s="18"/>
      <c r="K965" s="17"/>
      <c r="L965" s="18"/>
      <c r="M965" s="20"/>
      <c r="N965" s="18"/>
      <c r="O965" s="18"/>
      <c r="P965" s="18"/>
      <c r="Q965" s="17"/>
      <c r="R965" s="18"/>
      <c r="S965" s="18"/>
      <c r="T965" s="18"/>
      <c r="U965" s="18"/>
      <c r="V965" s="18"/>
      <c r="W965" s="18"/>
      <c r="X965" s="18"/>
      <c r="Y965" s="18"/>
      <c r="Z965" s="18"/>
      <c r="AA965" s="18"/>
      <c r="AB965" s="17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  <c r="AS965" s="18"/>
      <c r="AT965" s="18"/>
      <c r="AU965" s="18"/>
      <c r="AV965" s="18"/>
      <c r="AW965" s="18"/>
      <c r="AX965" s="18"/>
    </row>
    <row r="966" spans="1:50" ht="15">
      <c r="A966" s="18"/>
      <c r="B966" s="18"/>
      <c r="C966" s="18"/>
      <c r="D966" s="18"/>
      <c r="E966" s="18"/>
      <c r="F966" s="18"/>
      <c r="G966" s="18"/>
      <c r="H966" s="18"/>
      <c r="I966" s="17"/>
      <c r="J966" s="18"/>
      <c r="K966" s="17"/>
      <c r="L966" s="18"/>
      <c r="M966" s="20"/>
      <c r="N966" s="18"/>
      <c r="O966" s="18"/>
      <c r="P966" s="18"/>
      <c r="Q966" s="17"/>
      <c r="R966" s="18"/>
      <c r="S966" s="18"/>
      <c r="T966" s="18"/>
      <c r="U966" s="18"/>
      <c r="V966" s="18"/>
      <c r="W966" s="18"/>
      <c r="X966" s="18"/>
      <c r="Y966" s="18"/>
      <c r="Z966" s="18"/>
      <c r="AA966" s="18"/>
      <c r="AB966" s="17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  <c r="AS966" s="18"/>
      <c r="AT966" s="18"/>
      <c r="AU966" s="18"/>
      <c r="AV966" s="18"/>
      <c r="AW966" s="18"/>
      <c r="AX966" s="18"/>
    </row>
    <row r="967" spans="1:50" ht="15">
      <c r="A967" s="18"/>
      <c r="B967" s="18"/>
      <c r="C967" s="18"/>
      <c r="D967" s="18"/>
      <c r="E967" s="18"/>
      <c r="F967" s="18"/>
      <c r="G967" s="18"/>
      <c r="H967" s="18"/>
      <c r="I967" s="17"/>
      <c r="J967" s="18"/>
      <c r="K967" s="17"/>
      <c r="L967" s="18"/>
      <c r="M967" s="20"/>
      <c r="N967" s="18"/>
      <c r="O967" s="18"/>
      <c r="P967" s="18"/>
      <c r="Q967" s="17"/>
      <c r="R967" s="18"/>
      <c r="S967" s="18"/>
      <c r="T967" s="18"/>
      <c r="U967" s="18"/>
      <c r="V967" s="18"/>
      <c r="W967" s="18"/>
      <c r="X967" s="18"/>
      <c r="Y967" s="18"/>
      <c r="Z967" s="18"/>
      <c r="AA967" s="18"/>
      <c r="AB967" s="17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  <c r="AS967" s="18"/>
      <c r="AT967" s="18"/>
      <c r="AU967" s="18"/>
      <c r="AV967" s="18"/>
      <c r="AW967" s="18"/>
      <c r="AX967" s="18"/>
    </row>
    <row r="968" spans="1:50" ht="15">
      <c r="A968" s="18"/>
      <c r="B968" s="18"/>
      <c r="C968" s="18"/>
      <c r="D968" s="18"/>
      <c r="E968" s="18"/>
      <c r="F968" s="18"/>
      <c r="G968" s="18"/>
      <c r="H968" s="18"/>
      <c r="I968" s="17"/>
      <c r="J968" s="18"/>
      <c r="K968" s="17"/>
      <c r="L968" s="18"/>
      <c r="M968" s="20"/>
      <c r="N968" s="18"/>
      <c r="O968" s="18"/>
      <c r="P968" s="18"/>
      <c r="Q968" s="17"/>
      <c r="R968" s="18"/>
      <c r="S968" s="18"/>
      <c r="T968" s="18"/>
      <c r="U968" s="18"/>
      <c r="V968" s="18"/>
      <c r="W968" s="18"/>
      <c r="X968" s="18"/>
      <c r="Y968" s="18"/>
      <c r="Z968" s="18"/>
      <c r="AA968" s="18"/>
      <c r="AB968" s="17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  <c r="AS968" s="18"/>
      <c r="AT968" s="18"/>
      <c r="AU968" s="18"/>
      <c r="AV968" s="18"/>
      <c r="AW968" s="18"/>
      <c r="AX968" s="18"/>
    </row>
    <row r="969" spans="1:50" ht="15">
      <c r="A969" s="18"/>
      <c r="B969" s="18"/>
      <c r="C969" s="18"/>
      <c r="D969" s="18"/>
      <c r="E969" s="18"/>
      <c r="F969" s="18"/>
      <c r="G969" s="18"/>
      <c r="H969" s="18"/>
      <c r="I969" s="17"/>
      <c r="J969" s="18"/>
      <c r="K969" s="17"/>
      <c r="L969" s="18"/>
      <c r="M969" s="20"/>
      <c r="N969" s="18"/>
      <c r="O969" s="18"/>
      <c r="P969" s="18"/>
      <c r="Q969" s="17"/>
      <c r="R969" s="18"/>
      <c r="S969" s="18"/>
      <c r="T969" s="18"/>
      <c r="U969" s="18"/>
      <c r="V969" s="18"/>
      <c r="W969" s="18"/>
      <c r="X969" s="18"/>
      <c r="Y969" s="18"/>
      <c r="Z969" s="18"/>
      <c r="AA969" s="18"/>
      <c r="AB969" s="17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  <c r="AS969" s="18"/>
      <c r="AT969" s="18"/>
      <c r="AU969" s="18"/>
      <c r="AV969" s="18"/>
      <c r="AW969" s="18"/>
      <c r="AX969" s="18"/>
    </row>
    <row r="970" spans="1:50" ht="15">
      <c r="A970" s="18"/>
      <c r="B970" s="18"/>
      <c r="C970" s="18"/>
      <c r="D970" s="18"/>
      <c r="E970" s="18"/>
      <c r="F970" s="18"/>
      <c r="G970" s="18"/>
      <c r="H970" s="18"/>
      <c r="I970" s="17"/>
      <c r="J970" s="18"/>
      <c r="K970" s="17"/>
      <c r="L970" s="18"/>
      <c r="M970" s="20"/>
      <c r="N970" s="18"/>
      <c r="O970" s="18"/>
      <c r="P970" s="18"/>
      <c r="Q970" s="17"/>
      <c r="R970" s="18"/>
      <c r="S970" s="18"/>
      <c r="T970" s="18"/>
      <c r="U970" s="18"/>
      <c r="V970" s="18"/>
      <c r="W970" s="18"/>
      <c r="X970" s="18"/>
      <c r="Y970" s="18"/>
      <c r="Z970" s="18"/>
      <c r="AA970" s="18"/>
      <c r="AB970" s="17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  <c r="AS970" s="18"/>
      <c r="AT970" s="18"/>
      <c r="AU970" s="18"/>
      <c r="AV970" s="18"/>
      <c r="AW970" s="18"/>
      <c r="AX970" s="18"/>
    </row>
    <row r="971" spans="1:50" ht="15">
      <c r="A971" s="18"/>
      <c r="B971" s="18"/>
      <c r="C971" s="18"/>
      <c r="D971" s="18"/>
      <c r="E971" s="18"/>
      <c r="F971" s="18"/>
      <c r="G971" s="18"/>
      <c r="H971" s="18"/>
      <c r="I971" s="17"/>
      <c r="J971" s="18"/>
      <c r="K971" s="17"/>
      <c r="L971" s="18"/>
      <c r="M971" s="20"/>
      <c r="N971" s="18"/>
      <c r="O971" s="18"/>
      <c r="P971" s="18"/>
      <c r="Q971" s="17"/>
      <c r="R971" s="18"/>
      <c r="S971" s="18"/>
      <c r="T971" s="18"/>
      <c r="U971" s="18"/>
      <c r="V971" s="18"/>
      <c r="W971" s="18"/>
      <c r="X971" s="18"/>
      <c r="Y971" s="18"/>
      <c r="Z971" s="18"/>
      <c r="AA971" s="18"/>
      <c r="AB971" s="17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  <c r="AS971" s="18"/>
      <c r="AT971" s="18"/>
      <c r="AU971" s="18"/>
      <c r="AV971" s="18"/>
      <c r="AW971" s="18"/>
      <c r="AX971" s="18"/>
    </row>
    <row r="972" spans="1:50" ht="15">
      <c r="A972" s="18"/>
      <c r="B972" s="18"/>
      <c r="C972" s="18"/>
      <c r="D972" s="18"/>
      <c r="E972" s="18"/>
      <c r="F972" s="18"/>
      <c r="G972" s="18"/>
      <c r="H972" s="18"/>
      <c r="I972" s="17"/>
      <c r="J972" s="18"/>
      <c r="K972" s="17"/>
      <c r="L972" s="18"/>
      <c r="M972" s="20"/>
      <c r="N972" s="18"/>
      <c r="O972" s="18"/>
      <c r="P972" s="18"/>
      <c r="Q972" s="17"/>
      <c r="R972" s="18"/>
      <c r="S972" s="18"/>
      <c r="T972" s="18"/>
      <c r="U972" s="18"/>
      <c r="V972" s="18"/>
      <c r="W972" s="18"/>
      <c r="X972" s="18"/>
      <c r="Y972" s="18"/>
      <c r="Z972" s="18"/>
      <c r="AA972" s="18"/>
      <c r="AB972" s="17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  <c r="AS972" s="18"/>
      <c r="AT972" s="18"/>
      <c r="AU972" s="18"/>
      <c r="AV972" s="18"/>
      <c r="AW972" s="18"/>
      <c r="AX972" s="18"/>
    </row>
    <row r="973" spans="1:50" ht="15">
      <c r="A973" s="18"/>
      <c r="B973" s="18"/>
      <c r="C973" s="18"/>
      <c r="D973" s="18"/>
      <c r="E973" s="18"/>
      <c r="F973" s="18"/>
      <c r="G973" s="18"/>
      <c r="H973" s="18"/>
      <c r="I973" s="17"/>
      <c r="J973" s="18"/>
      <c r="K973" s="17"/>
      <c r="L973" s="18"/>
      <c r="M973" s="20"/>
      <c r="N973" s="18"/>
      <c r="O973" s="18"/>
      <c r="P973" s="18"/>
      <c r="Q973" s="17"/>
      <c r="R973" s="18"/>
      <c r="S973" s="18"/>
      <c r="T973" s="18"/>
      <c r="U973" s="18"/>
      <c r="V973" s="18"/>
      <c r="W973" s="18"/>
      <c r="X973" s="18"/>
      <c r="Y973" s="18"/>
      <c r="Z973" s="18"/>
      <c r="AA973" s="18"/>
      <c r="AB973" s="17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  <c r="AS973" s="18"/>
      <c r="AT973" s="18"/>
      <c r="AU973" s="18"/>
      <c r="AV973" s="18"/>
      <c r="AW973" s="18"/>
      <c r="AX973" s="18"/>
    </row>
    <row r="974" spans="1:50" ht="15">
      <c r="A974" s="18"/>
      <c r="B974" s="18"/>
      <c r="C974" s="18"/>
      <c r="D974" s="18"/>
      <c r="E974" s="18"/>
      <c r="F974" s="18"/>
      <c r="G974" s="18"/>
      <c r="H974" s="18"/>
      <c r="I974" s="17"/>
      <c r="J974" s="18"/>
      <c r="K974" s="17"/>
      <c r="L974" s="18"/>
      <c r="M974" s="20"/>
      <c r="N974" s="18"/>
      <c r="O974" s="18"/>
      <c r="P974" s="18"/>
      <c r="Q974" s="17"/>
      <c r="R974" s="18"/>
      <c r="S974" s="18"/>
      <c r="T974" s="18"/>
      <c r="U974" s="18"/>
      <c r="V974" s="18"/>
      <c r="W974" s="18"/>
      <c r="X974" s="18"/>
      <c r="Y974" s="18"/>
      <c r="Z974" s="18"/>
      <c r="AA974" s="18"/>
      <c r="AB974" s="17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  <c r="AS974" s="18"/>
      <c r="AT974" s="18"/>
      <c r="AU974" s="18"/>
      <c r="AV974" s="18"/>
      <c r="AW974" s="18"/>
      <c r="AX974" s="18"/>
    </row>
    <row r="975" spans="1:50" ht="15">
      <c r="A975" s="18"/>
      <c r="B975" s="18"/>
      <c r="C975" s="18"/>
      <c r="D975" s="18"/>
      <c r="E975" s="18"/>
      <c r="F975" s="18"/>
      <c r="G975" s="18"/>
      <c r="H975" s="18"/>
      <c r="I975" s="17"/>
      <c r="J975" s="18"/>
      <c r="K975" s="17"/>
      <c r="L975" s="18"/>
      <c r="M975" s="20"/>
      <c r="N975" s="18"/>
      <c r="O975" s="18"/>
      <c r="P975" s="18"/>
      <c r="Q975" s="17"/>
      <c r="R975" s="18"/>
      <c r="S975" s="18"/>
      <c r="T975" s="18"/>
      <c r="U975" s="18"/>
      <c r="V975" s="18"/>
      <c r="W975" s="18"/>
      <c r="X975" s="18"/>
      <c r="Y975" s="18"/>
      <c r="Z975" s="18"/>
      <c r="AA975" s="18"/>
      <c r="AB975" s="17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  <c r="AS975" s="18"/>
      <c r="AT975" s="18"/>
      <c r="AU975" s="18"/>
      <c r="AV975" s="18"/>
      <c r="AW975" s="18"/>
      <c r="AX975" s="18"/>
    </row>
    <row r="976" spans="1:50" ht="15">
      <c r="A976" s="18"/>
      <c r="B976" s="18"/>
      <c r="C976" s="18"/>
      <c r="D976" s="18"/>
      <c r="E976" s="18"/>
      <c r="F976" s="18"/>
      <c r="G976" s="18"/>
      <c r="H976" s="18"/>
      <c r="I976" s="17"/>
      <c r="J976" s="18"/>
      <c r="K976" s="17"/>
      <c r="L976" s="18"/>
      <c r="M976" s="20"/>
      <c r="N976" s="18"/>
      <c r="O976" s="18"/>
      <c r="P976" s="18"/>
      <c r="Q976" s="17"/>
      <c r="R976" s="18"/>
      <c r="S976" s="18"/>
      <c r="T976" s="18"/>
      <c r="U976" s="18"/>
      <c r="V976" s="18"/>
      <c r="W976" s="18"/>
      <c r="X976" s="18"/>
      <c r="Y976" s="18"/>
      <c r="Z976" s="18"/>
      <c r="AA976" s="18"/>
      <c r="AB976" s="17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  <c r="AS976" s="18"/>
      <c r="AT976" s="18"/>
      <c r="AU976" s="18"/>
      <c r="AV976" s="18"/>
      <c r="AW976" s="18"/>
      <c r="AX976" s="18"/>
    </row>
    <row r="977" spans="1:50" ht="15">
      <c r="A977" s="18"/>
      <c r="B977" s="18"/>
      <c r="C977" s="18"/>
      <c r="D977" s="18"/>
      <c r="E977" s="18"/>
      <c r="F977" s="18"/>
      <c r="G977" s="18"/>
      <c r="H977" s="18"/>
      <c r="I977" s="17"/>
      <c r="J977" s="18"/>
      <c r="K977" s="17"/>
      <c r="L977" s="18"/>
      <c r="M977" s="20"/>
      <c r="N977" s="18"/>
      <c r="O977" s="18"/>
      <c r="P977" s="18"/>
      <c r="Q977" s="17"/>
      <c r="R977" s="18"/>
      <c r="S977" s="18"/>
      <c r="T977" s="18"/>
      <c r="U977" s="18"/>
      <c r="V977" s="18"/>
      <c r="W977" s="18"/>
      <c r="X977" s="18"/>
      <c r="Y977" s="18"/>
      <c r="Z977" s="18"/>
      <c r="AA977" s="18"/>
      <c r="AB977" s="17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  <c r="AS977" s="18"/>
      <c r="AT977" s="18"/>
      <c r="AU977" s="18"/>
      <c r="AV977" s="18"/>
      <c r="AW977" s="18"/>
      <c r="AX977" s="18"/>
    </row>
    <row r="978" spans="1:50" ht="15">
      <c r="A978" s="18"/>
      <c r="B978" s="18"/>
      <c r="C978" s="18"/>
      <c r="D978" s="18"/>
      <c r="E978" s="18"/>
      <c r="F978" s="18"/>
      <c r="G978" s="18"/>
      <c r="H978" s="18"/>
      <c r="I978" s="17"/>
      <c r="J978" s="18"/>
      <c r="K978" s="17"/>
      <c r="L978" s="18"/>
      <c r="M978" s="20"/>
      <c r="N978" s="18"/>
      <c r="O978" s="18"/>
      <c r="P978" s="18"/>
      <c r="Q978" s="17"/>
      <c r="R978" s="18"/>
      <c r="S978" s="18"/>
      <c r="T978" s="18"/>
      <c r="U978" s="18"/>
      <c r="V978" s="18"/>
      <c r="W978" s="18"/>
      <c r="X978" s="18"/>
      <c r="Y978" s="18"/>
      <c r="Z978" s="18"/>
      <c r="AA978" s="18"/>
      <c r="AB978" s="17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  <c r="AS978" s="18"/>
      <c r="AT978" s="18"/>
      <c r="AU978" s="18"/>
      <c r="AV978" s="18"/>
      <c r="AW978" s="18"/>
      <c r="AX978" s="18"/>
    </row>
    <row r="979" spans="1:50" ht="15">
      <c r="A979" s="18"/>
      <c r="B979" s="18"/>
      <c r="C979" s="18"/>
      <c r="D979" s="18"/>
      <c r="E979" s="18"/>
      <c r="F979" s="18"/>
      <c r="G979" s="18"/>
      <c r="H979" s="18"/>
      <c r="I979" s="17"/>
      <c r="J979" s="18"/>
      <c r="K979" s="17"/>
      <c r="L979" s="18"/>
      <c r="M979" s="20"/>
      <c r="N979" s="18"/>
      <c r="O979" s="18"/>
      <c r="P979" s="18"/>
      <c r="Q979" s="17"/>
      <c r="R979" s="18"/>
      <c r="S979" s="18"/>
      <c r="T979" s="18"/>
      <c r="U979" s="18"/>
      <c r="V979" s="18"/>
      <c r="W979" s="18"/>
      <c r="X979" s="18"/>
      <c r="Y979" s="18"/>
      <c r="Z979" s="18"/>
      <c r="AA979" s="18"/>
      <c r="AB979" s="17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  <c r="AS979" s="18"/>
      <c r="AT979" s="18"/>
      <c r="AU979" s="18"/>
      <c r="AV979" s="18"/>
      <c r="AW979" s="18"/>
      <c r="AX979" s="18"/>
    </row>
    <row r="980" spans="1:50" ht="15">
      <c r="A980" s="18"/>
      <c r="B980" s="18"/>
      <c r="C980" s="18"/>
      <c r="D980" s="18"/>
      <c r="E980" s="18"/>
      <c r="F980" s="18"/>
      <c r="G980" s="18"/>
      <c r="H980" s="18"/>
      <c r="I980" s="17"/>
      <c r="J980" s="18"/>
      <c r="K980" s="17"/>
      <c r="L980" s="18"/>
      <c r="M980" s="20"/>
      <c r="N980" s="18"/>
      <c r="O980" s="18"/>
      <c r="P980" s="18"/>
      <c r="Q980" s="17"/>
      <c r="R980" s="18"/>
      <c r="S980" s="18"/>
      <c r="T980" s="18"/>
      <c r="U980" s="18"/>
      <c r="V980" s="18"/>
      <c r="W980" s="18"/>
      <c r="X980" s="18"/>
      <c r="Y980" s="18"/>
      <c r="Z980" s="18"/>
      <c r="AA980" s="18"/>
      <c r="AB980" s="17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  <c r="AS980" s="18"/>
      <c r="AT980" s="18"/>
      <c r="AU980" s="18"/>
      <c r="AV980" s="18"/>
      <c r="AW980" s="18"/>
      <c r="AX980" s="18"/>
    </row>
    <row r="981" spans="1:50" ht="15">
      <c r="A981" s="18"/>
      <c r="B981" s="18"/>
      <c r="C981" s="18"/>
      <c r="D981" s="18"/>
      <c r="E981" s="18"/>
      <c r="F981" s="18"/>
      <c r="G981" s="18"/>
      <c r="H981" s="18"/>
      <c r="I981" s="17"/>
      <c r="J981" s="18"/>
      <c r="K981" s="17"/>
      <c r="L981" s="18"/>
      <c r="M981" s="20"/>
      <c r="N981" s="18"/>
      <c r="O981" s="18"/>
      <c r="P981" s="18"/>
      <c r="Q981" s="17"/>
      <c r="R981" s="18"/>
      <c r="S981" s="18"/>
      <c r="T981" s="18"/>
      <c r="U981" s="18"/>
      <c r="V981" s="18"/>
      <c r="W981" s="18"/>
      <c r="X981" s="18"/>
      <c r="Y981" s="18"/>
      <c r="Z981" s="18"/>
      <c r="AA981" s="18"/>
      <c r="AB981" s="17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  <c r="AS981" s="18"/>
      <c r="AT981" s="18"/>
      <c r="AU981" s="18"/>
      <c r="AV981" s="18"/>
      <c r="AW981" s="18"/>
      <c r="AX981" s="18"/>
    </row>
    <row r="982" spans="1:50" ht="15">
      <c r="A982" s="18"/>
      <c r="B982" s="18"/>
      <c r="C982" s="18"/>
      <c r="D982" s="18"/>
      <c r="E982" s="18"/>
      <c r="F982" s="18"/>
      <c r="G982" s="18"/>
      <c r="H982" s="18"/>
      <c r="I982" s="17"/>
      <c r="J982" s="18"/>
      <c r="K982" s="17"/>
      <c r="L982" s="18"/>
      <c r="M982" s="20"/>
      <c r="N982" s="18"/>
      <c r="O982" s="18"/>
      <c r="P982" s="18"/>
      <c r="Q982" s="17"/>
      <c r="R982" s="18"/>
      <c r="S982" s="18"/>
      <c r="T982" s="18"/>
      <c r="U982" s="18"/>
      <c r="V982" s="18"/>
      <c r="W982" s="18"/>
      <c r="X982" s="18"/>
      <c r="Y982" s="18"/>
      <c r="Z982" s="18"/>
      <c r="AA982" s="18"/>
      <c r="AB982" s="17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  <c r="AS982" s="18"/>
      <c r="AT982" s="18"/>
      <c r="AU982" s="18"/>
      <c r="AV982" s="18"/>
      <c r="AW982" s="18"/>
      <c r="AX982" s="18"/>
    </row>
    <row r="983" spans="1:50" ht="15">
      <c r="A983" s="18"/>
      <c r="B983" s="18"/>
      <c r="C983" s="18"/>
      <c r="D983" s="18"/>
      <c r="E983" s="18"/>
      <c r="F983" s="18"/>
      <c r="G983" s="18"/>
      <c r="H983" s="18"/>
      <c r="I983" s="17"/>
      <c r="J983" s="18"/>
      <c r="K983" s="17"/>
      <c r="L983" s="18"/>
      <c r="M983" s="20"/>
      <c r="N983" s="18"/>
      <c r="O983" s="18"/>
      <c r="P983" s="18"/>
      <c r="Q983" s="17"/>
      <c r="R983" s="18"/>
      <c r="S983" s="18"/>
      <c r="T983" s="18"/>
      <c r="U983" s="18"/>
      <c r="V983" s="18"/>
      <c r="W983" s="18"/>
      <c r="X983" s="18"/>
      <c r="Y983" s="18"/>
      <c r="Z983" s="18"/>
      <c r="AA983" s="18"/>
      <c r="AB983" s="17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  <c r="AS983" s="18"/>
      <c r="AT983" s="18"/>
      <c r="AU983" s="18"/>
      <c r="AV983" s="18"/>
      <c r="AW983" s="18"/>
      <c r="AX983" s="18"/>
    </row>
    <row r="984" spans="1:50" ht="15">
      <c r="A984" s="18"/>
      <c r="B984" s="18"/>
      <c r="C984" s="18"/>
      <c r="D984" s="18"/>
      <c r="E984" s="18"/>
      <c r="F984" s="18"/>
      <c r="G984" s="18"/>
      <c r="H984" s="18"/>
      <c r="I984" s="17"/>
      <c r="J984" s="18"/>
      <c r="K984" s="17"/>
      <c r="L984" s="18"/>
      <c r="M984" s="20"/>
      <c r="N984" s="18"/>
      <c r="O984" s="18"/>
      <c r="P984" s="18"/>
      <c r="Q984" s="17"/>
      <c r="R984" s="18"/>
      <c r="S984" s="18"/>
      <c r="T984" s="18"/>
      <c r="U984" s="18"/>
      <c r="V984" s="18"/>
      <c r="W984" s="18"/>
      <c r="X984" s="18"/>
      <c r="Y984" s="18"/>
      <c r="Z984" s="18"/>
      <c r="AA984" s="18"/>
      <c r="AB984" s="17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  <c r="AS984" s="18"/>
      <c r="AT984" s="18"/>
      <c r="AU984" s="18"/>
      <c r="AV984" s="18"/>
      <c r="AW984" s="18"/>
      <c r="AX984" s="18"/>
    </row>
    <row r="985" spans="1:50" ht="15">
      <c r="A985" s="18"/>
      <c r="B985" s="18"/>
      <c r="C985" s="18"/>
      <c r="D985" s="18"/>
      <c r="E985" s="18"/>
      <c r="F985" s="18"/>
      <c r="G985" s="18"/>
      <c r="H985" s="18"/>
      <c r="I985" s="17"/>
      <c r="J985" s="18"/>
      <c r="K985" s="17"/>
      <c r="L985" s="18"/>
      <c r="M985" s="20"/>
      <c r="N985" s="18"/>
      <c r="O985" s="18"/>
      <c r="P985" s="18"/>
      <c r="Q985" s="17"/>
      <c r="R985" s="18"/>
      <c r="S985" s="18"/>
      <c r="T985" s="18"/>
      <c r="U985" s="18"/>
      <c r="V985" s="18"/>
      <c r="W985" s="18"/>
      <c r="X985" s="18"/>
      <c r="Y985" s="18"/>
      <c r="Z985" s="18"/>
      <c r="AA985" s="18"/>
      <c r="AB985" s="17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  <c r="AS985" s="18"/>
      <c r="AT985" s="18"/>
      <c r="AU985" s="18"/>
      <c r="AV985" s="18"/>
      <c r="AW985" s="18"/>
      <c r="AX985" s="18"/>
    </row>
    <row r="986" spans="1:50" ht="15">
      <c r="A986" s="18"/>
      <c r="B986" s="18"/>
      <c r="C986" s="18"/>
      <c r="D986" s="18"/>
      <c r="E986" s="18"/>
      <c r="F986" s="18"/>
      <c r="G986" s="18"/>
      <c r="H986" s="18"/>
      <c r="I986" s="17"/>
      <c r="J986" s="18"/>
      <c r="K986" s="17"/>
      <c r="L986" s="18"/>
      <c r="M986" s="20"/>
      <c r="N986" s="18"/>
      <c r="O986" s="18"/>
      <c r="P986" s="18"/>
      <c r="Q986" s="17"/>
      <c r="R986" s="18"/>
      <c r="S986" s="18"/>
      <c r="T986" s="18"/>
      <c r="U986" s="18"/>
      <c r="V986" s="18"/>
      <c r="W986" s="18"/>
      <c r="X986" s="18"/>
      <c r="Y986" s="18"/>
      <c r="Z986" s="18"/>
      <c r="AA986" s="18"/>
      <c r="AB986" s="17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  <c r="AS986" s="18"/>
      <c r="AT986" s="18"/>
      <c r="AU986" s="18"/>
      <c r="AV986" s="18"/>
      <c r="AW986" s="18"/>
      <c r="AX986" s="18"/>
    </row>
    <row r="987" spans="1:50" ht="15">
      <c r="A987" s="18"/>
      <c r="B987" s="18"/>
      <c r="C987" s="18"/>
      <c r="D987" s="18"/>
      <c r="E987" s="18"/>
      <c r="F987" s="18"/>
      <c r="G987" s="18"/>
      <c r="H987" s="18"/>
      <c r="I987" s="17"/>
      <c r="J987" s="18"/>
      <c r="K987" s="17"/>
      <c r="L987" s="18"/>
      <c r="M987" s="20"/>
      <c r="N987" s="18"/>
      <c r="O987" s="18"/>
      <c r="P987" s="18"/>
      <c r="Q987" s="17"/>
      <c r="R987" s="18"/>
      <c r="S987" s="18"/>
      <c r="T987" s="18"/>
      <c r="U987" s="18"/>
      <c r="V987" s="18"/>
      <c r="W987" s="18"/>
      <c r="X987" s="18"/>
      <c r="Y987" s="18"/>
      <c r="Z987" s="18"/>
      <c r="AA987" s="18"/>
      <c r="AB987" s="17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  <c r="AS987" s="18"/>
      <c r="AT987" s="18"/>
      <c r="AU987" s="18"/>
      <c r="AV987" s="18"/>
      <c r="AW987" s="18"/>
      <c r="AX987" s="18"/>
    </row>
    <row r="988" spans="1:50" ht="15">
      <c r="A988" s="18"/>
      <c r="B988" s="18"/>
      <c r="C988" s="18"/>
      <c r="D988" s="18"/>
      <c r="E988" s="18"/>
      <c r="F988" s="18"/>
      <c r="G988" s="18"/>
      <c r="H988" s="18"/>
      <c r="I988" s="17"/>
      <c r="J988" s="18"/>
      <c r="K988" s="17"/>
      <c r="L988" s="18"/>
      <c r="M988" s="20"/>
      <c r="N988" s="18"/>
      <c r="O988" s="18"/>
      <c r="P988" s="18"/>
      <c r="Q988" s="17"/>
      <c r="R988" s="18"/>
      <c r="S988" s="18"/>
      <c r="T988" s="18"/>
      <c r="U988" s="18"/>
      <c r="V988" s="18"/>
      <c r="W988" s="18"/>
      <c r="X988" s="18"/>
      <c r="Y988" s="18"/>
      <c r="Z988" s="18"/>
      <c r="AA988" s="18"/>
      <c r="AB988" s="17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  <c r="AS988" s="18"/>
      <c r="AT988" s="18"/>
      <c r="AU988" s="18"/>
      <c r="AV988" s="18"/>
      <c r="AW988" s="18"/>
      <c r="AX988" s="18"/>
    </row>
    <row r="989" spans="1:50" ht="15">
      <c r="A989" s="18"/>
      <c r="B989" s="18"/>
      <c r="C989" s="18"/>
      <c r="D989" s="18"/>
      <c r="E989" s="18"/>
      <c r="F989" s="18"/>
      <c r="G989" s="18"/>
      <c r="H989" s="18"/>
      <c r="I989" s="17"/>
      <c r="J989" s="18"/>
      <c r="K989" s="17"/>
      <c r="L989" s="18"/>
      <c r="M989" s="20"/>
      <c r="N989" s="18"/>
      <c r="O989" s="18"/>
      <c r="P989" s="18"/>
      <c r="Q989" s="17"/>
      <c r="R989" s="18"/>
      <c r="S989" s="18"/>
      <c r="T989" s="18"/>
      <c r="U989" s="18"/>
      <c r="V989" s="18"/>
      <c r="W989" s="18"/>
      <c r="X989" s="18"/>
      <c r="Y989" s="18"/>
      <c r="Z989" s="18"/>
      <c r="AA989" s="18"/>
      <c r="AB989" s="17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  <c r="AS989" s="18"/>
      <c r="AT989" s="18"/>
      <c r="AU989" s="18"/>
      <c r="AV989" s="18"/>
      <c r="AW989" s="18"/>
      <c r="AX989" s="18"/>
    </row>
    <row r="990" spans="1:50" ht="15">
      <c r="A990" s="18"/>
      <c r="B990" s="18"/>
      <c r="C990" s="18"/>
      <c r="D990" s="18"/>
      <c r="E990" s="18"/>
      <c r="F990" s="18"/>
      <c r="G990" s="18"/>
      <c r="H990" s="18"/>
      <c r="I990" s="17"/>
      <c r="J990" s="18"/>
      <c r="K990" s="17"/>
      <c r="L990" s="18"/>
      <c r="M990" s="20"/>
      <c r="N990" s="18"/>
      <c r="O990" s="18"/>
      <c r="P990" s="18"/>
      <c r="Q990" s="17"/>
      <c r="R990" s="18"/>
      <c r="S990" s="18"/>
      <c r="T990" s="18"/>
      <c r="U990" s="18"/>
      <c r="V990" s="18"/>
      <c r="W990" s="18"/>
      <c r="X990" s="18"/>
      <c r="Y990" s="18"/>
      <c r="Z990" s="18"/>
      <c r="AA990" s="18"/>
      <c r="AB990" s="17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  <c r="AS990" s="18"/>
      <c r="AT990" s="18"/>
      <c r="AU990" s="18"/>
      <c r="AV990" s="18"/>
      <c r="AW990" s="18"/>
      <c r="AX990" s="18"/>
    </row>
    <row r="991" spans="1:50" ht="15">
      <c r="A991" s="18"/>
      <c r="B991" s="18"/>
      <c r="C991" s="18"/>
      <c r="D991" s="18"/>
      <c r="E991" s="18"/>
      <c r="F991" s="18"/>
      <c r="G991" s="18"/>
      <c r="H991" s="18"/>
      <c r="I991" s="17"/>
      <c r="J991" s="18"/>
      <c r="K991" s="17"/>
      <c r="L991" s="18"/>
      <c r="M991" s="20"/>
      <c r="N991" s="18"/>
      <c r="O991" s="18"/>
      <c r="P991" s="18"/>
      <c r="Q991" s="17"/>
      <c r="R991" s="18"/>
      <c r="S991" s="18"/>
      <c r="T991" s="18"/>
      <c r="U991" s="18"/>
      <c r="V991" s="18"/>
      <c r="W991" s="18"/>
      <c r="X991" s="18"/>
      <c r="Y991" s="18"/>
      <c r="Z991" s="18"/>
      <c r="AA991" s="18"/>
      <c r="AB991" s="17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  <c r="AS991" s="18"/>
      <c r="AT991" s="18"/>
      <c r="AU991" s="18"/>
      <c r="AV991" s="18"/>
      <c r="AW991" s="18"/>
      <c r="AX991" s="18"/>
    </row>
    <row r="992" spans="1:50" ht="15">
      <c r="A992" s="18"/>
      <c r="B992" s="18"/>
      <c r="C992" s="18"/>
      <c r="D992" s="18"/>
      <c r="E992" s="18"/>
      <c r="F992" s="18"/>
      <c r="G992" s="18"/>
      <c r="H992" s="18"/>
      <c r="I992" s="17"/>
      <c r="J992" s="18"/>
      <c r="K992" s="17"/>
      <c r="L992" s="18"/>
      <c r="M992" s="20"/>
      <c r="N992" s="18"/>
      <c r="O992" s="18"/>
      <c r="P992" s="18"/>
      <c r="Q992" s="17"/>
      <c r="R992" s="18"/>
      <c r="S992" s="18"/>
      <c r="T992" s="18"/>
      <c r="U992" s="18"/>
      <c r="V992" s="18"/>
      <c r="W992" s="18"/>
      <c r="X992" s="18"/>
      <c r="Y992" s="18"/>
      <c r="Z992" s="18"/>
      <c r="AA992" s="18"/>
      <c r="AB992" s="17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  <c r="AS992" s="18"/>
      <c r="AT992" s="18"/>
      <c r="AU992" s="18"/>
      <c r="AV992" s="18"/>
      <c r="AW992" s="18"/>
      <c r="AX992" s="18"/>
    </row>
    <row r="993" spans="1:50" ht="15">
      <c r="A993" s="18"/>
      <c r="B993" s="18"/>
      <c r="C993" s="18"/>
      <c r="D993" s="18"/>
      <c r="E993" s="18"/>
      <c r="F993" s="18"/>
      <c r="G993" s="18"/>
      <c r="H993" s="18"/>
      <c r="I993" s="17"/>
      <c r="J993" s="18"/>
      <c r="K993" s="17"/>
      <c r="L993" s="18"/>
      <c r="M993" s="20"/>
      <c r="N993" s="18"/>
      <c r="O993" s="18"/>
      <c r="P993" s="18"/>
      <c r="Q993" s="17"/>
      <c r="R993" s="18"/>
      <c r="S993" s="18"/>
      <c r="T993" s="18"/>
      <c r="U993" s="18"/>
      <c r="V993" s="18"/>
      <c r="W993" s="18"/>
      <c r="X993" s="18"/>
      <c r="Y993" s="18"/>
      <c r="Z993" s="18"/>
      <c r="AA993" s="18"/>
      <c r="AB993" s="17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  <c r="AS993" s="18"/>
      <c r="AT993" s="18"/>
      <c r="AU993" s="18"/>
      <c r="AV993" s="18"/>
      <c r="AW993" s="18"/>
      <c r="AX993" s="18"/>
    </row>
    <row r="994" spans="1:50" ht="15">
      <c r="A994" s="18"/>
      <c r="B994" s="18"/>
      <c r="C994" s="18"/>
      <c r="D994" s="18"/>
      <c r="E994" s="18"/>
      <c r="F994" s="18"/>
      <c r="G994" s="18"/>
      <c r="H994" s="18"/>
      <c r="I994" s="17"/>
      <c r="J994" s="18"/>
      <c r="K994" s="17"/>
      <c r="L994" s="18"/>
      <c r="M994" s="20"/>
      <c r="N994" s="18"/>
      <c r="O994" s="18"/>
      <c r="P994" s="18"/>
      <c r="Q994" s="17"/>
      <c r="R994" s="18"/>
      <c r="S994" s="18"/>
      <c r="T994" s="18"/>
      <c r="U994" s="18"/>
      <c r="V994" s="18"/>
      <c r="W994" s="18"/>
      <c r="X994" s="18"/>
      <c r="Y994" s="18"/>
      <c r="Z994" s="18"/>
      <c r="AA994" s="18"/>
      <c r="AB994" s="17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  <c r="AS994" s="18"/>
      <c r="AT994" s="18"/>
      <c r="AU994" s="18"/>
      <c r="AV994" s="18"/>
      <c r="AW994" s="18"/>
      <c r="AX994" s="18"/>
    </row>
    <row r="995" spans="1:50" ht="15">
      <c r="A995" s="18"/>
      <c r="B995" s="18"/>
      <c r="C995" s="18"/>
      <c r="D995" s="18"/>
      <c r="E995" s="18"/>
      <c r="F995" s="18"/>
      <c r="G995" s="18"/>
      <c r="H995" s="18"/>
      <c r="I995" s="17"/>
      <c r="J995" s="18"/>
      <c r="K995" s="17"/>
      <c r="L995" s="18"/>
      <c r="M995" s="20"/>
      <c r="N995" s="18"/>
      <c r="O995" s="18"/>
      <c r="P995" s="18"/>
      <c r="Q995" s="17"/>
      <c r="R995" s="18"/>
      <c r="S995" s="18"/>
      <c r="T995" s="18"/>
      <c r="U995" s="18"/>
      <c r="V995" s="18"/>
      <c r="W995" s="18"/>
      <c r="X995" s="18"/>
      <c r="Y995" s="18"/>
      <c r="Z995" s="18"/>
      <c r="AA995" s="18"/>
      <c r="AB995" s="17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  <c r="AS995" s="18"/>
      <c r="AT995" s="18"/>
      <c r="AU995" s="18"/>
      <c r="AV995" s="18"/>
      <c r="AW995" s="18"/>
      <c r="AX995" s="18"/>
    </row>
    <row r="996" spans="1:50" ht="15">
      <c r="A996" s="18"/>
      <c r="B996" s="18"/>
      <c r="C996" s="18"/>
      <c r="D996" s="18"/>
      <c r="E996" s="18"/>
      <c r="F996" s="18"/>
      <c r="G996" s="18"/>
      <c r="H996" s="18"/>
      <c r="I996" s="17"/>
      <c r="J996" s="18"/>
      <c r="K996" s="17"/>
      <c r="L996" s="18"/>
      <c r="M996" s="20"/>
      <c r="N996" s="18"/>
      <c r="O996" s="18"/>
      <c r="P996" s="18"/>
      <c r="Q996" s="17"/>
      <c r="R996" s="18"/>
      <c r="S996" s="18"/>
      <c r="T996" s="18"/>
      <c r="U996" s="18"/>
      <c r="V996" s="18"/>
      <c r="W996" s="18"/>
      <c r="X996" s="18"/>
      <c r="Y996" s="18"/>
      <c r="Z996" s="18"/>
      <c r="AA996" s="18"/>
      <c r="AB996" s="17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  <c r="AS996" s="18"/>
      <c r="AT996" s="18"/>
      <c r="AU996" s="18"/>
      <c r="AV996" s="18"/>
      <c r="AW996" s="18"/>
      <c r="AX996" s="18"/>
    </row>
    <row r="997" spans="1:50" ht="15">
      <c r="A997" s="18"/>
      <c r="B997" s="18"/>
      <c r="C997" s="18"/>
      <c r="D997" s="18"/>
      <c r="E997" s="18"/>
      <c r="F997" s="18"/>
      <c r="G997" s="18"/>
      <c r="H997" s="18"/>
      <c r="I997" s="17"/>
      <c r="J997" s="18"/>
      <c r="K997" s="17"/>
      <c r="L997" s="18"/>
      <c r="M997" s="20"/>
      <c r="N997" s="18"/>
      <c r="O997" s="18"/>
      <c r="P997" s="18"/>
      <c r="Q997" s="17"/>
      <c r="R997" s="18"/>
      <c r="S997" s="18"/>
      <c r="T997" s="18"/>
      <c r="U997" s="18"/>
      <c r="V997" s="18"/>
      <c r="W997" s="18"/>
      <c r="X997" s="18"/>
      <c r="Y997" s="18"/>
      <c r="Z997" s="18"/>
      <c r="AA997" s="18"/>
      <c r="AB997" s="17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  <c r="AS997" s="18"/>
      <c r="AT997" s="18"/>
      <c r="AU997" s="18"/>
      <c r="AV997" s="18"/>
      <c r="AW997" s="18"/>
      <c r="AX997" s="18"/>
    </row>
    <row r="998" spans="1:50" ht="15">
      <c r="A998" s="18"/>
      <c r="B998" s="18"/>
      <c r="C998" s="18"/>
      <c r="D998" s="18"/>
      <c r="E998" s="18"/>
      <c r="F998" s="18"/>
      <c r="G998" s="18"/>
      <c r="H998" s="18"/>
      <c r="I998" s="17"/>
      <c r="J998" s="18"/>
      <c r="K998" s="17"/>
      <c r="L998" s="18"/>
      <c r="M998" s="20"/>
      <c r="N998" s="18"/>
      <c r="O998" s="18"/>
      <c r="P998" s="18"/>
      <c r="Q998" s="17"/>
      <c r="R998" s="18"/>
      <c r="S998" s="18"/>
      <c r="T998" s="18"/>
      <c r="U998" s="18"/>
      <c r="V998" s="18"/>
      <c r="W998" s="18"/>
      <c r="X998" s="18"/>
      <c r="Y998" s="18"/>
      <c r="Z998" s="18"/>
      <c r="AA998" s="18"/>
      <c r="AB998" s="17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  <c r="AS998" s="18"/>
      <c r="AT998" s="18"/>
      <c r="AU998" s="18"/>
      <c r="AV998" s="18"/>
      <c r="AW998" s="18"/>
      <c r="AX998" s="18"/>
    </row>
    <row r="999" spans="1:50" ht="15">
      <c r="A999" s="18"/>
      <c r="B999" s="18"/>
      <c r="C999" s="18"/>
      <c r="D999" s="18"/>
      <c r="E999" s="18"/>
      <c r="F999" s="18"/>
      <c r="G999" s="18"/>
      <c r="H999" s="18"/>
      <c r="I999" s="17"/>
      <c r="J999" s="18"/>
      <c r="K999" s="17"/>
      <c r="L999" s="18"/>
      <c r="M999" s="20"/>
      <c r="N999" s="18"/>
      <c r="O999" s="18"/>
      <c r="P999" s="18"/>
      <c r="Q999" s="17"/>
      <c r="R999" s="18"/>
      <c r="S999" s="18"/>
      <c r="T999" s="18"/>
      <c r="U999" s="18"/>
      <c r="V999" s="18"/>
      <c r="W999" s="18"/>
      <c r="X999" s="18"/>
      <c r="Y999" s="18"/>
      <c r="Z999" s="18"/>
      <c r="AA999" s="18"/>
      <c r="AB999" s="17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  <c r="AS999" s="18"/>
      <c r="AT999" s="18"/>
      <c r="AU999" s="18"/>
      <c r="AV999" s="18"/>
      <c r="AW999" s="18"/>
      <c r="AX999" s="18"/>
    </row>
    <row r="1000" spans="1:50" ht="15">
      <c r="A1000" s="18"/>
      <c r="B1000" s="18"/>
      <c r="C1000" s="18"/>
      <c r="D1000" s="18"/>
      <c r="E1000" s="18"/>
      <c r="F1000" s="18"/>
      <c r="G1000" s="18"/>
      <c r="H1000" s="18"/>
      <c r="I1000" s="17"/>
      <c r="J1000" s="18"/>
      <c r="K1000" s="17"/>
      <c r="L1000" s="18"/>
      <c r="M1000" s="20"/>
      <c r="N1000" s="18"/>
      <c r="O1000" s="18"/>
      <c r="P1000" s="18"/>
      <c r="Q1000" s="17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  <c r="AB1000" s="17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  <c r="AS1000" s="18"/>
      <c r="AT1000" s="18"/>
      <c r="AU1000" s="18"/>
      <c r="AV1000" s="18"/>
      <c r="AW1000" s="18"/>
      <c r="AX1000" s="18"/>
    </row>
  </sheetData>
  <mergeCells count="1">
    <mergeCell ref="E3:F3"/>
  </mergeCells>
  <phoneticPr fontId="14"/>
  <conditionalFormatting sqref="A1:AX53 A54:Y64 AA54:AX64">
    <cfRule type="expression" dxfId="47" priority="1">
      <formula>CELL("protect", A1)=0</formula>
    </cfRule>
  </conditionalFormatting>
  <conditionalFormatting sqref="P48:P50">
    <cfRule type="expression" dxfId="46" priority="4">
      <formula>CELL("protect", P48)=0</formula>
    </cfRule>
  </conditionalFormatting>
  <conditionalFormatting sqref="Q48:S49">
    <cfRule type="expression" dxfId="45" priority="5">
      <formula>CELL("protect", Q48)=0</formula>
    </cfRule>
  </conditionalFormatting>
  <conditionalFormatting sqref="S54:T58">
    <cfRule type="expression" dxfId="44" priority="13">
      <formula>CELL("protect", S54)=0</formula>
    </cfRule>
  </conditionalFormatting>
  <conditionalFormatting sqref="S60:U67">
    <cfRule type="expression" dxfId="43" priority="10">
      <formula>CELL("protect", S60)=0</formula>
    </cfRule>
  </conditionalFormatting>
  <conditionalFormatting sqref="T32:U32 T36:U36">
    <cfRule type="expression" dxfId="42" priority="2">
      <formula>CELL("protect", T32)=0</formula>
    </cfRule>
  </conditionalFormatting>
  <conditionalFormatting sqref="T40:U40 T44:U44">
    <cfRule type="expression" dxfId="41" priority="3">
      <formula>CELL("protect", T40)=0</formula>
    </cfRule>
  </conditionalFormatting>
  <conditionalFormatting sqref="T52:U52">
    <cfRule type="expression" dxfId="40" priority="8">
      <formula>CELL("protect", T52)=0</formula>
    </cfRule>
  </conditionalFormatting>
  <conditionalFormatting sqref="T53:W53 U54:W56">
    <cfRule type="expression" dxfId="39" priority="9">
      <formula>CELL("protect", T53)=0</formula>
    </cfRule>
  </conditionalFormatting>
  <conditionalFormatting sqref="AA54:AB58">
    <cfRule type="expression" dxfId="38" priority="20">
      <formula>CELL("protect", AA54)=0</formula>
    </cfRule>
  </conditionalFormatting>
  <conditionalFormatting sqref="AA60:AC64">
    <cfRule type="expression" dxfId="37" priority="17">
      <formula>CELL("protect", AA60)=0</formula>
    </cfRule>
  </conditionalFormatting>
  <conditionalFormatting sqref="AC54:AC56">
    <cfRule type="expression" dxfId="36" priority="16">
      <formula>CELL("protect", AC54)=0</formula>
    </cfRule>
  </conditionalFormatting>
  <dataValidations count="1">
    <dataValidation type="list" allowBlank="1" showErrorMessage="1" sqref="G41" xr:uid="{00000000-0002-0000-0900-000000000000}">
      <formula1>$D$32:$I$32</formula1>
    </dataValidation>
  </dataValidations>
  <pageMargins left="0.5" right="0.3" top="0.5" bottom="0.3" header="0" footer="0"/>
  <pageSetup paperSize="9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B2:Z8"/>
  <sheetViews>
    <sheetView workbookViewId="0">
      <pane xSplit="2" topLeftCell="C1" activePane="topRight" state="frozen"/>
      <selection pane="topRight" activeCell="D2" sqref="D2"/>
    </sheetView>
  </sheetViews>
  <sheetFormatPr defaultColWidth="12.6640625" defaultRowHeight="15.75" customHeight="1"/>
  <cols>
    <col min="1" max="1" width="3.33203125" customWidth="1"/>
  </cols>
  <sheetData>
    <row r="2" spans="2:26" ht="15.75" customHeight="1">
      <c r="C2" s="7" t="s">
        <v>207</v>
      </c>
    </row>
    <row r="3" spans="2:26" ht="15.75" customHeight="1">
      <c r="B3" s="135"/>
      <c r="C3" s="136">
        <f>借入一覧表!F3</f>
        <v>45869</v>
      </c>
      <c r="D3" s="136">
        <f>借入一覧表!G3</f>
        <v>45900</v>
      </c>
      <c r="E3" s="136">
        <f>借入一覧表!H3</f>
        <v>45930</v>
      </c>
      <c r="F3" s="136">
        <f>借入一覧表!I3</f>
        <v>45961</v>
      </c>
      <c r="G3" s="136">
        <f>借入一覧表!J3</f>
        <v>45991</v>
      </c>
      <c r="H3" s="136">
        <f>借入一覧表!K3</f>
        <v>46022</v>
      </c>
      <c r="I3" s="136">
        <f>借入一覧表!L3</f>
        <v>46053</v>
      </c>
      <c r="J3" s="136">
        <f>借入一覧表!M3</f>
        <v>46081</v>
      </c>
      <c r="K3" s="136">
        <f>借入一覧表!N3</f>
        <v>46112</v>
      </c>
      <c r="L3" s="136">
        <f>借入一覧表!O3</f>
        <v>46142</v>
      </c>
      <c r="M3" s="136">
        <f>借入一覧表!P3</f>
        <v>46173</v>
      </c>
      <c r="N3" s="136">
        <f>借入一覧表!Q3</f>
        <v>46203</v>
      </c>
      <c r="O3" s="136">
        <f>借入一覧表!R3</f>
        <v>46234</v>
      </c>
      <c r="P3" s="136">
        <f>借入一覧表!S3</f>
        <v>46265</v>
      </c>
      <c r="Q3" s="136">
        <f>借入一覧表!T3</f>
        <v>46295</v>
      </c>
      <c r="R3" s="136">
        <f>借入一覧表!U3</f>
        <v>46326</v>
      </c>
      <c r="S3" s="136">
        <f>借入一覧表!V3</f>
        <v>46356</v>
      </c>
      <c r="T3" s="136">
        <f>借入一覧表!W3</f>
        <v>46387</v>
      </c>
      <c r="U3" s="136">
        <f>借入一覧表!X3</f>
        <v>46418</v>
      </c>
      <c r="V3" s="136">
        <f>借入一覧表!Y3</f>
        <v>46446</v>
      </c>
      <c r="W3" s="136">
        <f>借入一覧表!Z3</f>
        <v>46477</v>
      </c>
      <c r="X3" s="136">
        <f>借入一覧表!AA3</f>
        <v>46507</v>
      </c>
      <c r="Y3" s="136">
        <f>借入一覧表!AB3</f>
        <v>46538</v>
      </c>
      <c r="Z3" s="136">
        <f>借入一覧表!AC3</f>
        <v>46568</v>
      </c>
    </row>
    <row r="4" spans="2:26" ht="15.75" customHeight="1">
      <c r="B4" s="137" t="s">
        <v>30</v>
      </c>
      <c r="C4" s="137"/>
      <c r="D4" s="138"/>
      <c r="E4" s="137"/>
      <c r="F4" s="137"/>
      <c r="G4" s="137"/>
      <c r="H4" s="137"/>
      <c r="I4" s="137"/>
      <c r="J4" s="139">
        <f>税金計算!G13</f>
        <v>883000</v>
      </c>
      <c r="K4" s="140"/>
      <c r="L4" s="140"/>
      <c r="M4" s="140"/>
      <c r="N4" s="137"/>
      <c r="O4" s="137"/>
      <c r="P4" s="139">
        <f>税金計算!H13</f>
        <v>1879100</v>
      </c>
      <c r="Q4" s="137"/>
      <c r="R4" s="137"/>
      <c r="S4" s="137"/>
      <c r="T4" s="137"/>
      <c r="U4" s="137"/>
      <c r="V4" s="139">
        <f>税金計算!I13</f>
        <v>1380800</v>
      </c>
      <c r="W4" s="137"/>
      <c r="X4" s="137"/>
      <c r="Y4" s="137"/>
      <c r="Z4" s="137"/>
    </row>
    <row r="5" spans="2:26" ht="15.75" customHeight="1">
      <c r="B5" s="137" t="s">
        <v>208</v>
      </c>
      <c r="C5" s="137"/>
      <c r="D5" s="138"/>
      <c r="E5" s="137"/>
      <c r="F5" s="137"/>
      <c r="G5" s="139">
        <f>税金計算!D49</f>
        <v>350000</v>
      </c>
      <c r="H5" s="137"/>
      <c r="I5" s="137"/>
      <c r="J5" s="139">
        <f>税金計算!E49</f>
        <v>350000</v>
      </c>
      <c r="K5" s="140"/>
      <c r="L5" s="140"/>
      <c r="M5" s="139">
        <f>税金計算!F49</f>
        <v>350000</v>
      </c>
      <c r="N5" s="137"/>
      <c r="O5" s="137"/>
      <c r="P5" s="139">
        <f>税金計算!G49</f>
        <v>1450000</v>
      </c>
      <c r="Q5" s="137"/>
      <c r="R5" s="137"/>
      <c r="S5" s="139">
        <f>税金計算!H49</f>
        <v>0</v>
      </c>
      <c r="T5" s="137"/>
      <c r="U5" s="137"/>
      <c r="V5" s="139">
        <f>税金計算!I49</f>
        <v>1250000</v>
      </c>
      <c r="W5" s="137"/>
      <c r="X5" s="137"/>
      <c r="Y5" s="141">
        <f>税金計算!J49</f>
        <v>0</v>
      </c>
      <c r="Z5" s="137"/>
    </row>
    <row r="6" spans="2:26" ht="15.75" customHeight="1">
      <c r="B6" s="137" t="s">
        <v>209</v>
      </c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</row>
    <row r="7" spans="2:26" ht="15.75" customHeight="1">
      <c r="B7" s="137" t="s">
        <v>147</v>
      </c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</row>
    <row r="8" spans="2:26" ht="15.75" customHeight="1">
      <c r="B8" s="137" t="s">
        <v>48</v>
      </c>
      <c r="C8" s="137">
        <f t="shared" ref="C8:Z8" si="0">SUM(C4:C7)</f>
        <v>0</v>
      </c>
      <c r="D8" s="137">
        <f t="shared" si="0"/>
        <v>0</v>
      </c>
      <c r="E8" s="137">
        <f t="shared" si="0"/>
        <v>0</v>
      </c>
      <c r="F8" s="137">
        <f t="shared" si="0"/>
        <v>0</v>
      </c>
      <c r="G8" s="137">
        <f t="shared" si="0"/>
        <v>350000</v>
      </c>
      <c r="H8" s="137">
        <f t="shared" si="0"/>
        <v>0</v>
      </c>
      <c r="I8" s="137">
        <f t="shared" si="0"/>
        <v>0</v>
      </c>
      <c r="J8" s="141">
        <f t="shared" si="0"/>
        <v>1233000</v>
      </c>
      <c r="K8" s="137">
        <f t="shared" si="0"/>
        <v>0</v>
      </c>
      <c r="L8" s="137">
        <f t="shared" si="0"/>
        <v>0</v>
      </c>
      <c r="M8" s="137">
        <f t="shared" si="0"/>
        <v>350000</v>
      </c>
      <c r="N8" s="137">
        <f t="shared" si="0"/>
        <v>0</v>
      </c>
      <c r="O8" s="137">
        <f t="shared" si="0"/>
        <v>0</v>
      </c>
      <c r="P8" s="141">
        <f t="shared" si="0"/>
        <v>3329100</v>
      </c>
      <c r="Q8" s="137">
        <f t="shared" si="0"/>
        <v>0</v>
      </c>
      <c r="R8" s="137">
        <f t="shared" si="0"/>
        <v>0</v>
      </c>
      <c r="S8" s="137">
        <f t="shared" si="0"/>
        <v>0</v>
      </c>
      <c r="T8" s="137">
        <f t="shared" si="0"/>
        <v>0</v>
      </c>
      <c r="U8" s="137">
        <f t="shared" si="0"/>
        <v>0</v>
      </c>
      <c r="V8" s="141">
        <f t="shared" si="0"/>
        <v>2630800</v>
      </c>
      <c r="W8" s="137">
        <f t="shared" si="0"/>
        <v>0</v>
      </c>
      <c r="X8" s="137">
        <f t="shared" si="0"/>
        <v>0</v>
      </c>
      <c r="Y8" s="137">
        <f t="shared" si="0"/>
        <v>0</v>
      </c>
      <c r="Z8" s="137">
        <f t="shared" si="0"/>
        <v>0</v>
      </c>
    </row>
  </sheetData>
  <phoneticPr fontId="1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outlinePr summaryBelow="0" summaryRight="0"/>
  </sheetPr>
  <dimension ref="A1:AK53"/>
  <sheetViews>
    <sheetView workbookViewId="0">
      <pane xSplit="1" topLeftCell="B1" activePane="topRight" state="frozen"/>
      <selection pane="topRight" activeCell="C2" sqref="C2"/>
    </sheetView>
  </sheetViews>
  <sheetFormatPr defaultColWidth="12.6640625" defaultRowHeight="15.75" customHeight="1"/>
  <cols>
    <col min="1" max="1" width="27.44140625" customWidth="1"/>
  </cols>
  <sheetData>
    <row r="1" spans="1:37" ht="15.75" customHeight="1">
      <c r="A1" s="7" t="s">
        <v>210</v>
      </c>
    </row>
    <row r="2" spans="1:37" ht="15.75" customHeight="1">
      <c r="C2" s="2">
        <f>資金繰り予定表!B2</f>
        <v>45839</v>
      </c>
      <c r="F2" s="2">
        <f>資金繰り予定表!C2</f>
        <v>45870</v>
      </c>
      <c r="I2" s="2">
        <f>資金繰り予定表!D2</f>
        <v>45901</v>
      </c>
      <c r="L2" s="2">
        <f>資金繰り予定表!E2</f>
        <v>45931</v>
      </c>
      <c r="O2" s="2">
        <f>資金繰り予定表!F2</f>
        <v>45962</v>
      </c>
      <c r="R2" s="2">
        <f>資金繰り予定表!G2</f>
        <v>45992</v>
      </c>
      <c r="U2" s="2">
        <f>資金繰り予定表!H2</f>
        <v>46023</v>
      </c>
      <c r="X2" s="2">
        <f>資金繰り予定表!I2</f>
        <v>46054</v>
      </c>
      <c r="AA2" s="2">
        <f>資金繰り予定表!J2</f>
        <v>46082</v>
      </c>
      <c r="AD2" s="2">
        <f>資金繰り予定表!K2</f>
        <v>46113</v>
      </c>
      <c r="AG2" s="2">
        <f>資金繰り予定表!L2</f>
        <v>46143</v>
      </c>
      <c r="AJ2" s="2">
        <f>資金繰り予定表!M2</f>
        <v>46174</v>
      </c>
    </row>
    <row r="3" spans="1:37" ht="15.75" customHeight="1">
      <c r="A3" s="1"/>
      <c r="B3" s="8" t="s">
        <v>211</v>
      </c>
      <c r="C3" s="8" t="s">
        <v>110</v>
      </c>
      <c r="D3" s="9" t="s">
        <v>111</v>
      </c>
      <c r="E3" s="8" t="s">
        <v>211</v>
      </c>
      <c r="F3" s="8" t="s">
        <v>110</v>
      </c>
      <c r="G3" s="9" t="s">
        <v>111</v>
      </c>
      <c r="H3" s="8" t="s">
        <v>211</v>
      </c>
      <c r="I3" s="8" t="s">
        <v>110</v>
      </c>
      <c r="J3" s="9" t="s">
        <v>111</v>
      </c>
      <c r="K3" s="8" t="s">
        <v>211</v>
      </c>
      <c r="L3" s="8" t="s">
        <v>110</v>
      </c>
      <c r="M3" s="9" t="s">
        <v>111</v>
      </c>
      <c r="N3" s="8" t="s">
        <v>211</v>
      </c>
      <c r="O3" s="8" t="s">
        <v>110</v>
      </c>
      <c r="P3" s="8" t="s">
        <v>111</v>
      </c>
      <c r="Q3" s="8" t="s">
        <v>211</v>
      </c>
      <c r="R3" s="8" t="s">
        <v>110</v>
      </c>
      <c r="S3" s="9" t="s">
        <v>111</v>
      </c>
      <c r="T3" s="8" t="s">
        <v>211</v>
      </c>
      <c r="U3" s="8" t="s">
        <v>110</v>
      </c>
      <c r="V3" s="8" t="s">
        <v>111</v>
      </c>
      <c r="W3" s="8" t="s">
        <v>211</v>
      </c>
      <c r="X3" s="8" t="s">
        <v>110</v>
      </c>
      <c r="Y3" s="9" t="s">
        <v>111</v>
      </c>
      <c r="Z3" s="8" t="s">
        <v>211</v>
      </c>
      <c r="AA3" s="8" t="s">
        <v>110</v>
      </c>
      <c r="AB3" s="8" t="s">
        <v>111</v>
      </c>
      <c r="AC3" s="8" t="s">
        <v>211</v>
      </c>
      <c r="AD3" s="8" t="s">
        <v>110</v>
      </c>
      <c r="AE3" s="9" t="s">
        <v>111</v>
      </c>
      <c r="AF3" s="8" t="s">
        <v>211</v>
      </c>
      <c r="AG3" s="8" t="s">
        <v>110</v>
      </c>
      <c r="AH3" s="8" t="s">
        <v>111</v>
      </c>
      <c r="AI3" s="8" t="s">
        <v>211</v>
      </c>
      <c r="AJ3" s="8" t="s">
        <v>110</v>
      </c>
      <c r="AK3" s="8" t="s">
        <v>111</v>
      </c>
    </row>
    <row r="4" spans="1:37" ht="15.75" customHeight="1">
      <c r="A4" s="3" t="s">
        <v>2</v>
      </c>
      <c r="B4" s="4">
        <f>前年度資金繰り実績表!B2</f>
        <v>5467668</v>
      </c>
      <c r="C4" s="4">
        <f>資金繰り実績表!B2</f>
        <v>54397318</v>
      </c>
      <c r="D4" s="10">
        <f t="shared" ref="D4:D52" si="0">C4-B4</f>
        <v>48929650</v>
      </c>
      <c r="E4" s="4">
        <f>前年度資金繰り実績表!C2</f>
        <v>5241766</v>
      </c>
      <c r="F4" s="4">
        <f>資金繰り実績表!C2</f>
        <v>36633326</v>
      </c>
      <c r="G4" s="10">
        <f t="shared" ref="G4:G52" si="1">F4-E4</f>
        <v>31391560</v>
      </c>
      <c r="H4" s="4">
        <f>前年度資金繰り実績表!D2</f>
        <v>5982156</v>
      </c>
      <c r="I4" s="4">
        <f>資金繰り実績表!D2</f>
        <v>27663609</v>
      </c>
      <c r="J4" s="10">
        <f t="shared" ref="J4:J52" si="2">I4-H4</f>
        <v>21681453</v>
      </c>
      <c r="K4" s="4">
        <f>前年度資金繰り実績表!E2</f>
        <v>6099324</v>
      </c>
      <c r="L4" s="4">
        <f>資金繰り実績表!E2</f>
        <v>40698359</v>
      </c>
      <c r="M4" s="10">
        <f t="shared" ref="M4:M30" si="3">L4-K4</f>
        <v>34599035</v>
      </c>
      <c r="N4" s="4">
        <f>前年度資金繰り実績表!F2</f>
        <v>5879537</v>
      </c>
      <c r="O4" s="4">
        <f>資金繰り実績表!F2</f>
        <v>32379584</v>
      </c>
      <c r="P4" s="4">
        <f t="shared" ref="P4:P30" si="4">O4-N4</f>
        <v>26500047</v>
      </c>
      <c r="Q4" s="4">
        <f>前年度資金繰り実績表!G2</f>
        <v>6638153</v>
      </c>
      <c r="R4" s="4">
        <f>資金繰り実績表!G2</f>
        <v>25729152</v>
      </c>
      <c r="S4" s="10">
        <f t="shared" ref="S4:S30" si="5">R4-Q4</f>
        <v>19090999</v>
      </c>
      <c r="T4" s="4">
        <f>前年度資金繰り実績表!H2</f>
        <v>6318372</v>
      </c>
      <c r="U4" s="4">
        <f>資金繰り実績表!H2</f>
        <v>54558653</v>
      </c>
      <c r="V4" s="4">
        <f t="shared" ref="V4:V30" si="6">U4-T4</f>
        <v>48240281</v>
      </c>
      <c r="W4" s="4">
        <f>前年度資金繰り実績表!I2</f>
        <v>6273273</v>
      </c>
      <c r="X4" s="4">
        <f>資金繰り実績表!I2</f>
        <v>51184381</v>
      </c>
      <c r="Y4" s="10">
        <f t="shared" ref="Y4:Y30" si="7">X4-W4</f>
        <v>44911108</v>
      </c>
      <c r="Z4" s="4">
        <f>前年度資金繰り実績表!J2</f>
        <v>6201491</v>
      </c>
      <c r="AA4" s="4">
        <f>資金繰り実績表!J2</f>
        <v>18835978</v>
      </c>
      <c r="AB4" s="4">
        <f t="shared" ref="AB4:AB30" si="8">AA4-Z4</f>
        <v>12634487</v>
      </c>
      <c r="AC4" s="4">
        <f>前年度資金繰り実績表!K2</f>
        <v>8339894</v>
      </c>
      <c r="AD4" s="4">
        <f>資金繰り実績表!K2</f>
        <v>0</v>
      </c>
      <c r="AE4" s="10">
        <f t="shared" ref="AE4:AE30" si="9">AD4-AC4</f>
        <v>-8339894</v>
      </c>
      <c r="AF4" s="4">
        <f>前年度資金繰り実績表!L2</f>
        <v>6117159</v>
      </c>
      <c r="AG4" s="4">
        <f>資金繰り実績表!L2</f>
        <v>0</v>
      </c>
      <c r="AH4" s="4">
        <f t="shared" ref="AH4:AH30" si="10">AG4-AF4</f>
        <v>-6117159</v>
      </c>
      <c r="AI4" s="4">
        <f>前年度資金繰り実績表!M2</f>
        <v>6134060</v>
      </c>
      <c r="AJ4" s="4">
        <f>資金繰り実績表!M2</f>
        <v>0</v>
      </c>
      <c r="AK4" s="4">
        <f t="shared" ref="AK4:AK30" si="11">AJ4-AI4</f>
        <v>-6134060</v>
      </c>
    </row>
    <row r="5" spans="1:37" ht="15.75" customHeight="1">
      <c r="A5" s="3" t="s">
        <v>3</v>
      </c>
      <c r="B5" s="4">
        <f>前年度資金繰り実績表!B3</f>
        <v>0</v>
      </c>
      <c r="C5" s="4">
        <f>資金繰り実績表!B3</f>
        <v>169220</v>
      </c>
      <c r="D5" s="10">
        <f t="shared" si="0"/>
        <v>169220</v>
      </c>
      <c r="E5" s="4">
        <f>前年度資金繰り実績表!C3</f>
        <v>0</v>
      </c>
      <c r="F5" s="4">
        <f>資金繰り実績表!C3</f>
        <v>488103</v>
      </c>
      <c r="G5" s="10">
        <f t="shared" si="1"/>
        <v>488103</v>
      </c>
      <c r="H5" s="4">
        <f>前年度資金繰り実績表!D3</f>
        <v>0</v>
      </c>
      <c r="I5" s="4">
        <f>資金繰り実績表!D3</f>
        <v>341540</v>
      </c>
      <c r="J5" s="10">
        <f t="shared" si="2"/>
        <v>341540</v>
      </c>
      <c r="K5" s="4">
        <f>前年度資金繰り実績表!E3</f>
        <v>0</v>
      </c>
      <c r="L5" s="4">
        <f>資金繰り実績表!E3</f>
        <v>283198</v>
      </c>
      <c r="M5" s="10">
        <f t="shared" si="3"/>
        <v>283198</v>
      </c>
      <c r="N5" s="4">
        <f>前年度資金繰り実績表!F3</f>
        <v>0</v>
      </c>
      <c r="O5" s="4">
        <f>資金繰り実績表!F3</f>
        <v>394321</v>
      </c>
      <c r="P5" s="4">
        <f t="shared" si="4"/>
        <v>394321</v>
      </c>
      <c r="Q5" s="4">
        <f>前年度資金繰り実績表!G3</f>
        <v>0</v>
      </c>
      <c r="R5" s="4">
        <f>資金繰り実績表!G3</f>
        <v>2009209</v>
      </c>
      <c r="S5" s="10">
        <f t="shared" si="5"/>
        <v>2009209</v>
      </c>
      <c r="T5" s="4">
        <f>前年度資金繰り実績表!H3</f>
        <v>0</v>
      </c>
      <c r="U5" s="4">
        <f>資金繰り実績表!H3</f>
        <v>282433</v>
      </c>
      <c r="V5" s="4">
        <f t="shared" si="6"/>
        <v>282433</v>
      </c>
      <c r="W5" s="4">
        <f>前年度資金繰り実績表!I3</f>
        <v>0</v>
      </c>
      <c r="X5" s="4">
        <f>資金繰り実績表!I3</f>
        <v>282868</v>
      </c>
      <c r="Y5" s="10">
        <f t="shared" si="7"/>
        <v>282868</v>
      </c>
      <c r="Z5" s="4">
        <f>前年度資金繰り実績表!J3</f>
        <v>0</v>
      </c>
      <c r="AA5" s="4">
        <f>資金繰り実績表!J3</f>
        <v>282653</v>
      </c>
      <c r="AB5" s="4">
        <f t="shared" si="8"/>
        <v>282653</v>
      </c>
      <c r="AC5" s="4">
        <f>前年度資金繰り実績表!K3</f>
        <v>0</v>
      </c>
      <c r="AD5" s="4">
        <f>資金繰り実績表!K3</f>
        <v>0</v>
      </c>
      <c r="AE5" s="10">
        <f t="shared" si="9"/>
        <v>0</v>
      </c>
      <c r="AF5" s="4">
        <f>前年度資金繰り実績表!L3</f>
        <v>0</v>
      </c>
      <c r="AG5" s="4">
        <f>資金繰り実績表!L3</f>
        <v>0</v>
      </c>
      <c r="AH5" s="4">
        <f t="shared" si="10"/>
        <v>0</v>
      </c>
      <c r="AI5" s="4">
        <f>前年度資金繰り実績表!M3</f>
        <v>0</v>
      </c>
      <c r="AJ5" s="4">
        <f>資金繰り実績表!M3</f>
        <v>0</v>
      </c>
      <c r="AK5" s="4">
        <f t="shared" si="11"/>
        <v>0</v>
      </c>
    </row>
    <row r="6" spans="1:37" ht="15.75" customHeight="1">
      <c r="A6" s="6" t="s">
        <v>49</v>
      </c>
      <c r="B6" s="5">
        <f t="shared" ref="B6:C6" si="12">SUM(B4:B5)</f>
        <v>5467668</v>
      </c>
      <c r="C6" s="5">
        <f t="shared" si="12"/>
        <v>54566538</v>
      </c>
      <c r="D6" s="11">
        <f t="shared" si="0"/>
        <v>49098870</v>
      </c>
      <c r="E6" s="5">
        <f t="shared" ref="E6:F6" si="13">SUM(E4:E5)</f>
        <v>5241766</v>
      </c>
      <c r="F6" s="5">
        <f t="shared" si="13"/>
        <v>37121429</v>
      </c>
      <c r="G6" s="11">
        <f t="shared" si="1"/>
        <v>31879663</v>
      </c>
      <c r="H6" s="5">
        <f t="shared" ref="H6:I6" si="14">SUM(H4:H5)</f>
        <v>5982156</v>
      </c>
      <c r="I6" s="5">
        <f t="shared" si="14"/>
        <v>28005149</v>
      </c>
      <c r="J6" s="11">
        <f t="shared" si="2"/>
        <v>22022993</v>
      </c>
      <c r="K6" s="5">
        <f t="shared" ref="K6:L6" si="15">SUM(K4:K5)</f>
        <v>6099324</v>
      </c>
      <c r="L6" s="5">
        <f t="shared" si="15"/>
        <v>40981557</v>
      </c>
      <c r="M6" s="11">
        <f t="shared" si="3"/>
        <v>34882233</v>
      </c>
      <c r="N6" s="5">
        <f t="shared" ref="N6:O6" si="16">SUM(N4:N5)</f>
        <v>5879537</v>
      </c>
      <c r="O6" s="5">
        <f t="shared" si="16"/>
        <v>32773905</v>
      </c>
      <c r="P6" s="5">
        <f t="shared" si="4"/>
        <v>26894368</v>
      </c>
      <c r="Q6" s="5">
        <f t="shared" ref="Q6:R6" si="17">SUM(Q4:Q5)</f>
        <v>6638153</v>
      </c>
      <c r="R6" s="5">
        <f t="shared" si="17"/>
        <v>27738361</v>
      </c>
      <c r="S6" s="11">
        <f t="shared" si="5"/>
        <v>21100208</v>
      </c>
      <c r="T6" s="5">
        <f t="shared" ref="T6:U6" si="18">SUM(T4:T5)</f>
        <v>6318372</v>
      </c>
      <c r="U6" s="5">
        <f t="shared" si="18"/>
        <v>54841086</v>
      </c>
      <c r="V6" s="5">
        <f t="shared" si="6"/>
        <v>48522714</v>
      </c>
      <c r="W6" s="5">
        <f t="shared" ref="W6:X6" si="19">SUM(W4:W5)</f>
        <v>6273273</v>
      </c>
      <c r="X6" s="5">
        <f t="shared" si="19"/>
        <v>51467249</v>
      </c>
      <c r="Y6" s="11">
        <f t="shared" si="7"/>
        <v>45193976</v>
      </c>
      <c r="Z6" s="5">
        <f t="shared" ref="Z6:AA6" si="20">SUM(Z4:Z5)</f>
        <v>6201491</v>
      </c>
      <c r="AA6" s="5">
        <f t="shared" si="20"/>
        <v>19118631</v>
      </c>
      <c r="AB6" s="5">
        <f t="shared" si="8"/>
        <v>12917140</v>
      </c>
      <c r="AC6" s="5">
        <f t="shared" ref="AC6:AD6" si="21">SUM(AC4:AC5)</f>
        <v>8339894</v>
      </c>
      <c r="AD6" s="5">
        <f t="shared" si="21"/>
        <v>0</v>
      </c>
      <c r="AE6" s="11">
        <f t="shared" si="9"/>
        <v>-8339894</v>
      </c>
      <c r="AF6" s="5">
        <f t="shared" ref="AF6:AG6" si="22">SUM(AF4:AF5)</f>
        <v>6117159</v>
      </c>
      <c r="AG6" s="5">
        <f t="shared" si="22"/>
        <v>0</v>
      </c>
      <c r="AH6" s="5">
        <f t="shared" si="10"/>
        <v>-6117159</v>
      </c>
      <c r="AI6" s="5">
        <f t="shared" ref="AI6:AJ6" si="23">SUM(AI4:AI5)</f>
        <v>6134060</v>
      </c>
      <c r="AJ6" s="5">
        <f t="shared" si="23"/>
        <v>0</v>
      </c>
      <c r="AK6" s="5">
        <f t="shared" si="11"/>
        <v>-6134060</v>
      </c>
    </row>
    <row r="7" spans="1:37" ht="15.75" customHeight="1">
      <c r="A7" s="3" t="s">
        <v>4</v>
      </c>
      <c r="B7" s="4">
        <f>前年度資金繰り実績表!B4</f>
        <v>0</v>
      </c>
      <c r="C7" s="4">
        <f>資金繰り実績表!B4</f>
        <v>47765346</v>
      </c>
      <c r="D7" s="10">
        <f t="shared" si="0"/>
        <v>47765346</v>
      </c>
      <c r="E7" s="4">
        <f>前年度資金繰り実績表!C4</f>
        <v>0</v>
      </c>
      <c r="F7" s="4">
        <f>資金繰り実績表!C4</f>
        <v>23771476</v>
      </c>
      <c r="G7" s="10">
        <f t="shared" si="1"/>
        <v>23771476</v>
      </c>
      <c r="H7" s="4">
        <f>前年度資金繰り実績表!D4</f>
        <v>0</v>
      </c>
      <c r="I7" s="4">
        <f>資金繰り実績表!D4</f>
        <v>17888831</v>
      </c>
      <c r="J7" s="10">
        <f t="shared" si="2"/>
        <v>17888831</v>
      </c>
      <c r="K7" s="4">
        <f>前年度資金繰り実績表!E4</f>
        <v>0</v>
      </c>
      <c r="L7" s="4">
        <f>資金繰り実績表!E4</f>
        <v>23481022</v>
      </c>
      <c r="M7" s="10">
        <f t="shared" si="3"/>
        <v>23481022</v>
      </c>
      <c r="N7" s="4">
        <f>前年度資金繰り実績表!F4</f>
        <v>0</v>
      </c>
      <c r="O7" s="4">
        <f>資金繰り実績表!F4</f>
        <v>22792525</v>
      </c>
      <c r="P7" s="4">
        <f t="shared" si="4"/>
        <v>22792525</v>
      </c>
      <c r="Q7" s="4">
        <f>前年度資金繰り実績表!G4</f>
        <v>0</v>
      </c>
      <c r="R7" s="4">
        <f>資金繰り実績表!G4</f>
        <v>6318533</v>
      </c>
      <c r="S7" s="10">
        <f t="shared" si="5"/>
        <v>6318533</v>
      </c>
      <c r="T7" s="4">
        <f>前年度資金繰り実績表!H4</f>
        <v>0</v>
      </c>
      <c r="U7" s="4">
        <f>資金繰り実績表!H4</f>
        <v>28239252</v>
      </c>
      <c r="V7" s="4">
        <f t="shared" si="6"/>
        <v>28239252</v>
      </c>
      <c r="W7" s="4">
        <f>前年度資金繰り実績表!I4</f>
        <v>0</v>
      </c>
      <c r="X7" s="4">
        <f>資金繰り実績表!I4</f>
        <v>23680587</v>
      </c>
      <c r="Y7" s="10">
        <f t="shared" si="7"/>
        <v>23680587</v>
      </c>
      <c r="Z7" s="4">
        <f>前年度資金繰り実績表!J4</f>
        <v>0</v>
      </c>
      <c r="AA7" s="4">
        <f>資金繰り実績表!J4</f>
        <v>21000375</v>
      </c>
      <c r="AB7" s="4">
        <f t="shared" si="8"/>
        <v>21000375</v>
      </c>
      <c r="AC7" s="4">
        <f>前年度資金繰り実績表!K4</f>
        <v>0</v>
      </c>
      <c r="AD7" s="4">
        <f>資金繰り実績表!K4</f>
        <v>0</v>
      </c>
      <c r="AE7" s="10">
        <f t="shared" si="9"/>
        <v>0</v>
      </c>
      <c r="AF7" s="4">
        <f>前年度資金繰り実績表!L4</f>
        <v>0</v>
      </c>
      <c r="AG7" s="4">
        <f>資金繰り実績表!L4</f>
        <v>0</v>
      </c>
      <c r="AH7" s="4">
        <f t="shared" si="10"/>
        <v>0</v>
      </c>
      <c r="AI7" s="4">
        <f>前年度資金繰り実績表!M4</f>
        <v>0</v>
      </c>
      <c r="AJ7" s="4">
        <f>資金繰り実績表!M4</f>
        <v>0</v>
      </c>
      <c r="AK7" s="4">
        <f t="shared" si="11"/>
        <v>0</v>
      </c>
    </row>
    <row r="8" spans="1:37" ht="15.75" customHeight="1">
      <c r="A8" s="3" t="s">
        <v>5</v>
      </c>
      <c r="B8" s="4">
        <f>前年度資金繰り実績表!B5</f>
        <v>1227871</v>
      </c>
      <c r="C8" s="4">
        <f>資金繰り実績表!B5</f>
        <v>3962380</v>
      </c>
      <c r="D8" s="10">
        <f t="shared" si="0"/>
        <v>2734509</v>
      </c>
      <c r="E8" s="4">
        <f>前年度資金繰り実績表!C5</f>
        <v>1208692</v>
      </c>
      <c r="F8" s="4">
        <f>資金繰り実績表!C5</f>
        <v>5465980</v>
      </c>
      <c r="G8" s="10">
        <f t="shared" si="1"/>
        <v>4257288</v>
      </c>
      <c r="H8" s="4">
        <f>前年度資金繰り実績表!D5</f>
        <v>1184090</v>
      </c>
      <c r="I8" s="4">
        <f>資金繰り実績表!D5</f>
        <v>3316614</v>
      </c>
      <c r="J8" s="10">
        <f t="shared" si="2"/>
        <v>2132524</v>
      </c>
      <c r="K8" s="4">
        <f>前年度資金繰り実績表!E5</f>
        <v>1418042</v>
      </c>
      <c r="L8" s="4">
        <f>資金繰り実績表!E5</f>
        <v>2490000</v>
      </c>
      <c r="M8" s="10">
        <f t="shared" si="3"/>
        <v>1071958</v>
      </c>
      <c r="N8" s="4">
        <f>前年度資金繰り実績表!F5</f>
        <v>1229568</v>
      </c>
      <c r="O8" s="4">
        <f>資金繰り実績表!F5</f>
        <v>4710426</v>
      </c>
      <c r="P8" s="4">
        <f t="shared" si="4"/>
        <v>3480858</v>
      </c>
      <c r="Q8" s="4">
        <f>前年度資金繰り実績表!G5</f>
        <v>1258576</v>
      </c>
      <c r="R8" s="4">
        <f>資金繰り実績表!G5</f>
        <v>27279202</v>
      </c>
      <c r="S8" s="10">
        <f t="shared" si="5"/>
        <v>26020626</v>
      </c>
      <c r="T8" s="4">
        <f>前年度資金繰り実績表!H5</f>
        <v>1146290</v>
      </c>
      <c r="U8" s="4">
        <f>資金繰り実績表!H5</f>
        <v>6344902</v>
      </c>
      <c r="V8" s="4">
        <f t="shared" si="6"/>
        <v>5198612</v>
      </c>
      <c r="W8" s="4">
        <f>前年度資金繰り実績表!I5</f>
        <v>1364381</v>
      </c>
      <c r="X8" s="4">
        <f>資金繰り実績表!I5</f>
        <v>3371348</v>
      </c>
      <c r="Y8" s="10">
        <f t="shared" si="7"/>
        <v>2006967</v>
      </c>
      <c r="Z8" s="4">
        <f>前年度資金繰り実績表!J5</f>
        <v>1286468</v>
      </c>
      <c r="AA8" s="4">
        <f>資金繰り実績表!J5</f>
        <v>165210</v>
      </c>
      <c r="AB8" s="4">
        <f t="shared" si="8"/>
        <v>-1121258</v>
      </c>
      <c r="AC8" s="4">
        <f>前年度資金繰り実績表!K5</f>
        <v>1333162</v>
      </c>
      <c r="AD8" s="4">
        <f>資金繰り実績表!K5</f>
        <v>0</v>
      </c>
      <c r="AE8" s="10">
        <f t="shared" si="9"/>
        <v>-1333162</v>
      </c>
      <c r="AF8" s="4">
        <f>前年度資金繰り実績表!L5</f>
        <v>1346457</v>
      </c>
      <c r="AG8" s="4">
        <f>資金繰り実績表!L5</f>
        <v>0</v>
      </c>
      <c r="AH8" s="4">
        <f t="shared" si="10"/>
        <v>-1346457</v>
      </c>
      <c r="AI8" s="4">
        <f>前年度資金繰り実績表!M5</f>
        <v>1362225</v>
      </c>
      <c r="AJ8" s="4">
        <f>資金繰り実績表!M5</f>
        <v>0</v>
      </c>
      <c r="AK8" s="4">
        <f t="shared" si="11"/>
        <v>-1362225</v>
      </c>
    </row>
    <row r="9" spans="1:37" ht="15.75" customHeight="1">
      <c r="A9" s="3" t="s">
        <v>6</v>
      </c>
      <c r="B9" s="4">
        <f>前年度資金繰り実績表!B6</f>
        <v>960788</v>
      </c>
      <c r="C9" s="4">
        <f>資金繰り実績表!B6</f>
        <v>1778257</v>
      </c>
      <c r="D9" s="10">
        <f t="shared" si="0"/>
        <v>817469</v>
      </c>
      <c r="E9" s="4">
        <f>前年度資金繰り実績表!C6</f>
        <v>858888</v>
      </c>
      <c r="F9" s="4">
        <f>資金繰り実績表!C6</f>
        <v>1752394</v>
      </c>
      <c r="G9" s="10">
        <f t="shared" si="1"/>
        <v>893506</v>
      </c>
      <c r="H9" s="4">
        <f>前年度資金繰り実績表!D6</f>
        <v>1082218</v>
      </c>
      <c r="I9" s="4">
        <f>資金繰り実績表!D6</f>
        <v>2260053</v>
      </c>
      <c r="J9" s="10">
        <f t="shared" si="2"/>
        <v>1177835</v>
      </c>
      <c r="K9" s="4">
        <f>前年度資金繰り実績表!E6</f>
        <v>1282218</v>
      </c>
      <c r="L9" s="4">
        <f>資金繰り実績表!E6</f>
        <v>1756330</v>
      </c>
      <c r="M9" s="10">
        <f t="shared" si="3"/>
        <v>474112</v>
      </c>
      <c r="N9" s="4">
        <f>前年度資金繰り実績表!F6</f>
        <v>1042218</v>
      </c>
      <c r="O9" s="4">
        <f>資金繰り実績表!F6</f>
        <v>1872813</v>
      </c>
      <c r="P9" s="4">
        <f t="shared" si="4"/>
        <v>830595</v>
      </c>
      <c r="Q9" s="4">
        <f>前年度資金繰り実績表!G6</f>
        <v>1861079</v>
      </c>
      <c r="R9" s="4">
        <f>資金繰り実績表!G6</f>
        <v>3035179</v>
      </c>
      <c r="S9" s="10">
        <f t="shared" si="5"/>
        <v>1174100</v>
      </c>
      <c r="T9" s="4">
        <f>前年度資金繰り実績表!H6</f>
        <v>1015684</v>
      </c>
      <c r="U9" s="4">
        <f>資金繰り実績表!H6</f>
        <v>1628672</v>
      </c>
      <c r="V9" s="4">
        <f t="shared" si="6"/>
        <v>612988</v>
      </c>
      <c r="W9" s="4">
        <f>前年度資金繰り実績表!I6</f>
        <v>1140448</v>
      </c>
      <c r="X9" s="4">
        <f>資金繰り実績表!I6</f>
        <v>1671365</v>
      </c>
      <c r="Y9" s="10">
        <f t="shared" si="7"/>
        <v>530917</v>
      </c>
      <c r="Z9" s="4">
        <f>前年度資金繰り実績表!J6</f>
        <v>1127668</v>
      </c>
      <c r="AA9" s="4">
        <f>資金繰り実績表!J6</f>
        <v>1586132</v>
      </c>
      <c r="AB9" s="4">
        <f t="shared" si="8"/>
        <v>458464</v>
      </c>
      <c r="AC9" s="4">
        <f>前年度資金繰り実績表!K6</f>
        <v>1105543</v>
      </c>
      <c r="AD9" s="4">
        <f>資金繰り実績表!K6</f>
        <v>0</v>
      </c>
      <c r="AE9" s="10">
        <f t="shared" si="9"/>
        <v>-1105543</v>
      </c>
      <c r="AF9" s="4">
        <f>前年度資金繰り実績表!L6</f>
        <v>1491579</v>
      </c>
      <c r="AG9" s="4">
        <f>資金繰り実績表!L6</f>
        <v>0</v>
      </c>
      <c r="AH9" s="4">
        <f t="shared" si="10"/>
        <v>-1491579</v>
      </c>
      <c r="AI9" s="4">
        <f>前年度資金繰り実績表!M6</f>
        <v>1090673</v>
      </c>
      <c r="AJ9" s="4">
        <f>資金繰り実績表!M6</f>
        <v>0</v>
      </c>
      <c r="AK9" s="4">
        <f t="shared" si="11"/>
        <v>-1090673</v>
      </c>
    </row>
    <row r="10" spans="1:37" ht="15.75" customHeight="1">
      <c r="A10" s="1" t="s">
        <v>7</v>
      </c>
      <c r="B10" s="4">
        <f>前年度資金繰り実績表!B7</f>
        <v>1218398</v>
      </c>
      <c r="C10" s="4">
        <f>資金繰り実績表!B7</f>
        <v>577203</v>
      </c>
      <c r="D10" s="10">
        <f t="shared" si="0"/>
        <v>-641195</v>
      </c>
      <c r="E10" s="4">
        <f>前年度資金繰り実績表!C7</f>
        <v>0</v>
      </c>
      <c r="F10" s="4">
        <f>資金繰り実績表!C7</f>
        <v>0</v>
      </c>
      <c r="G10" s="10">
        <f t="shared" si="1"/>
        <v>0</v>
      </c>
      <c r="H10" s="4">
        <f>前年度資金繰り実績表!D7</f>
        <v>472488</v>
      </c>
      <c r="I10" s="4">
        <f>資金繰り実績表!D7</f>
        <v>1154406</v>
      </c>
      <c r="J10" s="10">
        <f t="shared" si="2"/>
        <v>681918</v>
      </c>
      <c r="K10" s="4">
        <f>前年度資金繰り実績表!E7</f>
        <v>236244</v>
      </c>
      <c r="L10" s="4">
        <f>資金繰り実績表!E7</f>
        <v>878810</v>
      </c>
      <c r="M10" s="10">
        <f t="shared" si="3"/>
        <v>642566</v>
      </c>
      <c r="N10" s="4">
        <f>前年度資金繰り実績表!F7</f>
        <v>0</v>
      </c>
      <c r="O10" s="4">
        <f>資金繰り実績表!F7</f>
        <v>0</v>
      </c>
      <c r="P10" s="4">
        <f t="shared" si="4"/>
        <v>0</v>
      </c>
      <c r="Q10" s="4">
        <f>前年度資金繰り実績表!G7</f>
        <v>236244</v>
      </c>
      <c r="R10" s="4">
        <f>資金繰り実績表!G7</f>
        <v>567978</v>
      </c>
      <c r="S10" s="10">
        <f t="shared" si="5"/>
        <v>331734</v>
      </c>
      <c r="T10" s="4">
        <f>前年度資金繰り実績表!H7</f>
        <v>1309022</v>
      </c>
      <c r="U10" s="4">
        <f>資金繰り実績表!H7</f>
        <v>694225</v>
      </c>
      <c r="V10" s="4">
        <f t="shared" si="6"/>
        <v>-614797</v>
      </c>
      <c r="W10" s="4">
        <f>前年度資金繰り実績表!I7</f>
        <v>285518</v>
      </c>
      <c r="X10" s="4">
        <f>資金繰り実績表!I7</f>
        <v>1193098</v>
      </c>
      <c r="Y10" s="10">
        <f t="shared" si="7"/>
        <v>907580</v>
      </c>
      <c r="Z10" s="4">
        <f>前年度資金繰り実績表!J7</f>
        <v>285518</v>
      </c>
      <c r="AA10" s="4">
        <f>資金繰り実績表!J7</f>
        <v>1135956</v>
      </c>
      <c r="AB10" s="4">
        <f t="shared" si="8"/>
        <v>850438</v>
      </c>
      <c r="AC10" s="4">
        <f>前年度資金繰り実績表!K7</f>
        <v>313029</v>
      </c>
      <c r="AD10" s="4">
        <f>資金繰り実績表!K7</f>
        <v>0</v>
      </c>
      <c r="AE10" s="10">
        <f t="shared" si="9"/>
        <v>-313029</v>
      </c>
      <c r="AF10" s="4">
        <f>前年度資金繰り実績表!L7</f>
        <v>0</v>
      </c>
      <c r="AG10" s="4">
        <f>資金繰り実績表!L7</f>
        <v>0</v>
      </c>
      <c r="AH10" s="4">
        <f t="shared" si="10"/>
        <v>0</v>
      </c>
      <c r="AI10" s="4">
        <f>前年度資金繰り実績表!M7</f>
        <v>568258</v>
      </c>
      <c r="AJ10" s="4">
        <f>資金繰り実績表!M7</f>
        <v>0</v>
      </c>
      <c r="AK10" s="4">
        <f t="shared" si="11"/>
        <v>-568258</v>
      </c>
    </row>
    <row r="11" spans="1:37" ht="15.75" customHeight="1">
      <c r="A11" s="3" t="s">
        <v>8</v>
      </c>
      <c r="B11" s="4">
        <f>前年度資金繰り実績表!B8</f>
        <v>2129339</v>
      </c>
      <c r="C11" s="4">
        <f>資金繰り実績表!B8</f>
        <v>127446</v>
      </c>
      <c r="D11" s="10">
        <f t="shared" si="0"/>
        <v>-2001893</v>
      </c>
      <c r="E11" s="4">
        <f>前年度資金繰り実績表!C8</f>
        <v>1811721</v>
      </c>
      <c r="F11" s="4">
        <f>資金繰り実績表!C8</f>
        <v>0</v>
      </c>
      <c r="G11" s="10">
        <f t="shared" si="1"/>
        <v>-1811721</v>
      </c>
      <c r="H11" s="4">
        <f>前年度資金繰り実績表!D8</f>
        <v>1516787</v>
      </c>
      <c r="I11" s="4">
        <f>資金繰り実績表!D8</f>
        <v>409420</v>
      </c>
      <c r="J11" s="10">
        <f t="shared" si="2"/>
        <v>-1107367</v>
      </c>
      <c r="K11" s="4">
        <f>前年度資金繰り実績表!E8</f>
        <v>1629145</v>
      </c>
      <c r="L11" s="4">
        <f>資金繰り実績表!E8</f>
        <v>0</v>
      </c>
      <c r="M11" s="10">
        <f t="shared" si="3"/>
        <v>-1629145</v>
      </c>
      <c r="N11" s="4">
        <f>前年度資金繰り実績表!F8</f>
        <v>1671595</v>
      </c>
      <c r="O11" s="4">
        <f>資金繰り実績表!F8</f>
        <v>209550</v>
      </c>
      <c r="P11" s="4">
        <f t="shared" si="4"/>
        <v>-1462045</v>
      </c>
      <c r="Q11" s="4">
        <f>前年度資金繰り実績表!G8</f>
        <v>1911518</v>
      </c>
      <c r="R11" s="4">
        <f>資金繰り実績表!G8</f>
        <v>171285</v>
      </c>
      <c r="S11" s="10">
        <f t="shared" si="5"/>
        <v>-1740233</v>
      </c>
      <c r="T11" s="4">
        <f>前年度資金繰り実績表!H8</f>
        <v>2005211</v>
      </c>
      <c r="U11" s="4">
        <f>資金繰り実績表!H8</f>
        <v>77000</v>
      </c>
      <c r="V11" s="4">
        <f t="shared" si="6"/>
        <v>-1928211</v>
      </c>
      <c r="W11" s="4">
        <f>前年度資金繰り実績表!I8</f>
        <v>1774520</v>
      </c>
      <c r="X11" s="4">
        <f>資金繰り実績表!I8</f>
        <v>235300</v>
      </c>
      <c r="Y11" s="10">
        <f t="shared" si="7"/>
        <v>-1539220</v>
      </c>
      <c r="Z11" s="4">
        <f>前年度資金繰り実績表!J8</f>
        <v>1927026</v>
      </c>
      <c r="AA11" s="4">
        <f>資金繰り実績表!J8</f>
        <v>77000</v>
      </c>
      <c r="AB11" s="4">
        <f t="shared" si="8"/>
        <v>-1850026</v>
      </c>
      <c r="AC11" s="4">
        <f>前年度資金繰り実績表!K8</f>
        <v>1907837</v>
      </c>
      <c r="AD11" s="4">
        <f>資金繰り実績表!K8</f>
        <v>0</v>
      </c>
      <c r="AE11" s="10">
        <f t="shared" si="9"/>
        <v>-1907837</v>
      </c>
      <c r="AF11" s="4">
        <f>前年度資金繰り実績表!L8</f>
        <v>1906290</v>
      </c>
      <c r="AG11" s="4">
        <f>資金繰り実績表!L8</f>
        <v>0</v>
      </c>
      <c r="AH11" s="4">
        <f t="shared" si="10"/>
        <v>-1906290</v>
      </c>
      <c r="AI11" s="4">
        <f>前年度資金繰り実績表!M8</f>
        <v>1877681</v>
      </c>
      <c r="AJ11" s="4">
        <f>資金繰り実績表!M8</f>
        <v>0</v>
      </c>
      <c r="AK11" s="4">
        <f t="shared" si="11"/>
        <v>-1877681</v>
      </c>
    </row>
    <row r="12" spans="1:37" ht="15.75" customHeight="1">
      <c r="A12" s="3" t="s">
        <v>9</v>
      </c>
      <c r="B12" s="4">
        <f>前年度資金繰り実績表!B9</f>
        <v>16500</v>
      </c>
      <c r="C12" s="4">
        <f>資金繰り実績表!B9</f>
        <v>5150</v>
      </c>
      <c r="D12" s="10">
        <f t="shared" si="0"/>
        <v>-11350</v>
      </c>
      <c r="E12" s="4">
        <f>前年度資金繰り実績表!C9</f>
        <v>15270</v>
      </c>
      <c r="F12" s="4">
        <f>資金繰り実績表!C9</f>
        <v>5150</v>
      </c>
      <c r="G12" s="10">
        <f t="shared" si="1"/>
        <v>-10120</v>
      </c>
      <c r="H12" s="4">
        <f>前年度資金繰り実績表!D9</f>
        <v>0</v>
      </c>
      <c r="I12" s="4">
        <f>資金繰り実績表!D9</f>
        <v>5150</v>
      </c>
      <c r="J12" s="10">
        <f t="shared" si="2"/>
        <v>5150</v>
      </c>
      <c r="K12" s="4">
        <f>前年度資金繰り実績表!E9</f>
        <v>0</v>
      </c>
      <c r="L12" s="4">
        <f>資金繰り実績表!E9</f>
        <v>5150</v>
      </c>
      <c r="M12" s="10">
        <f t="shared" si="3"/>
        <v>5150</v>
      </c>
      <c r="N12" s="4">
        <f>前年度資金繰り実績表!F9</f>
        <v>0</v>
      </c>
      <c r="O12" s="4">
        <f>資金繰り実績表!F9</f>
        <v>5150</v>
      </c>
      <c r="P12" s="4">
        <f t="shared" si="4"/>
        <v>5150</v>
      </c>
      <c r="Q12" s="4">
        <f>前年度資金繰り実績表!G9</f>
        <v>0</v>
      </c>
      <c r="R12" s="4">
        <f>資金繰り実績表!G9</f>
        <v>150113</v>
      </c>
      <c r="S12" s="10">
        <f t="shared" si="5"/>
        <v>150113</v>
      </c>
      <c r="T12" s="4">
        <f>前年度資金繰り実績表!H9</f>
        <v>0</v>
      </c>
      <c r="U12" s="4">
        <f>資金繰り実績表!H9</f>
        <v>5150</v>
      </c>
      <c r="V12" s="4">
        <f t="shared" si="6"/>
        <v>5150</v>
      </c>
      <c r="W12" s="4">
        <f>前年度資金繰り実績表!I9</f>
        <v>0</v>
      </c>
      <c r="X12" s="4">
        <f>資金繰り実績表!I9</f>
        <v>5150</v>
      </c>
      <c r="Y12" s="10">
        <f t="shared" si="7"/>
        <v>5150</v>
      </c>
      <c r="Z12" s="4">
        <f>前年度資金繰り実績表!J9</f>
        <v>0</v>
      </c>
      <c r="AA12" s="4">
        <f>資金繰り実績表!J9</f>
        <v>5150</v>
      </c>
      <c r="AB12" s="4">
        <f t="shared" si="8"/>
        <v>5150</v>
      </c>
      <c r="AC12" s="4">
        <f>前年度資金繰り実績表!K9</f>
        <v>0</v>
      </c>
      <c r="AD12" s="4">
        <f>資金繰り実績表!K9</f>
        <v>0</v>
      </c>
      <c r="AE12" s="10">
        <f t="shared" si="9"/>
        <v>0</v>
      </c>
      <c r="AF12" s="4">
        <f>前年度資金繰り実績表!L9</f>
        <v>0</v>
      </c>
      <c r="AG12" s="4">
        <f>資金繰り実績表!L9</f>
        <v>0</v>
      </c>
      <c r="AH12" s="4">
        <f t="shared" si="10"/>
        <v>0</v>
      </c>
      <c r="AI12" s="4">
        <f>前年度資金繰り実績表!M9</f>
        <v>0</v>
      </c>
      <c r="AJ12" s="4">
        <f>資金繰り実績表!M9</f>
        <v>0</v>
      </c>
      <c r="AK12" s="4">
        <f t="shared" si="11"/>
        <v>0</v>
      </c>
    </row>
    <row r="13" spans="1:37" ht="15.75" customHeight="1">
      <c r="A13" s="3" t="s">
        <v>10</v>
      </c>
      <c r="B13" s="4">
        <f>前年度資金繰り実績表!B10</f>
        <v>0</v>
      </c>
      <c r="C13" s="4">
        <f>資金繰り実績表!B10</f>
        <v>36606</v>
      </c>
      <c r="D13" s="10">
        <f t="shared" si="0"/>
        <v>36606</v>
      </c>
      <c r="E13" s="4">
        <f>前年度資金繰り実績表!C10</f>
        <v>74000</v>
      </c>
      <c r="F13" s="4">
        <f>資金繰り実績表!C10</f>
        <v>61189</v>
      </c>
      <c r="G13" s="10">
        <f t="shared" si="1"/>
        <v>-12811</v>
      </c>
      <c r="H13" s="4">
        <f>前年度資金繰り実績表!D10</f>
        <v>74250</v>
      </c>
      <c r="I13" s="4">
        <f>資金繰り実績表!D10</f>
        <v>38697</v>
      </c>
      <c r="J13" s="10">
        <f t="shared" si="2"/>
        <v>-35553</v>
      </c>
      <c r="K13" s="4">
        <f>前年度資金繰り実績表!E10</f>
        <v>14080</v>
      </c>
      <c r="L13" s="4">
        <f>資金繰り実績表!E10</f>
        <v>37724</v>
      </c>
      <c r="M13" s="10">
        <f t="shared" si="3"/>
        <v>23644</v>
      </c>
      <c r="N13" s="4">
        <f>前年度資金繰り実績表!F10</f>
        <v>37100</v>
      </c>
      <c r="O13" s="4">
        <f>資金繰り実績表!F10</f>
        <v>36004</v>
      </c>
      <c r="P13" s="4">
        <f t="shared" si="4"/>
        <v>-1096</v>
      </c>
      <c r="Q13" s="4">
        <f>前年度資金繰り実績表!G10</f>
        <v>0</v>
      </c>
      <c r="R13" s="4">
        <f>資金繰り実績表!G10</f>
        <v>38295</v>
      </c>
      <c r="S13" s="10">
        <f t="shared" si="5"/>
        <v>38295</v>
      </c>
      <c r="T13" s="4">
        <f>前年度資金繰り実績表!H10</f>
        <v>75700</v>
      </c>
      <c r="U13" s="4">
        <f>資金繰り実績表!H10</f>
        <v>37487</v>
      </c>
      <c r="V13" s="4">
        <f t="shared" si="6"/>
        <v>-38213</v>
      </c>
      <c r="W13" s="4">
        <f>前年度資金繰り実績表!I10</f>
        <v>81660</v>
      </c>
      <c r="X13" s="4">
        <f>資金繰り実績表!I10</f>
        <v>43089</v>
      </c>
      <c r="Y13" s="10">
        <f t="shared" si="7"/>
        <v>-38571</v>
      </c>
      <c r="Z13" s="4">
        <f>前年度資金繰り実績表!J10</f>
        <v>36700</v>
      </c>
      <c r="AA13" s="4">
        <f>資金繰り実績表!J10</f>
        <v>35572</v>
      </c>
      <c r="AB13" s="4">
        <f t="shared" si="8"/>
        <v>-1128</v>
      </c>
      <c r="AC13" s="4">
        <f>前年度資金繰り実績表!K10</f>
        <v>0</v>
      </c>
      <c r="AD13" s="4">
        <f>資金繰り実績表!K10</f>
        <v>0</v>
      </c>
      <c r="AE13" s="10">
        <f t="shared" si="9"/>
        <v>0</v>
      </c>
      <c r="AF13" s="4">
        <f>前年度資金繰り実績表!L10</f>
        <v>0</v>
      </c>
      <c r="AG13" s="4">
        <f>資金繰り実績表!L10</f>
        <v>0</v>
      </c>
      <c r="AH13" s="4">
        <f t="shared" si="10"/>
        <v>0</v>
      </c>
      <c r="AI13" s="4">
        <f>前年度資金繰り実績表!M10</f>
        <v>32230</v>
      </c>
      <c r="AJ13" s="4">
        <f>資金繰り実績表!M10</f>
        <v>0</v>
      </c>
      <c r="AK13" s="4">
        <f t="shared" si="11"/>
        <v>-32230</v>
      </c>
    </row>
    <row r="14" spans="1:37" ht="15.75" customHeight="1">
      <c r="A14" s="3" t="s">
        <v>11</v>
      </c>
      <c r="B14" s="4">
        <f>前年度資金繰り実績表!B11</f>
        <v>12300</v>
      </c>
      <c r="C14" s="4">
        <f>資金繰り実績表!B11</f>
        <v>217870</v>
      </c>
      <c r="D14" s="10">
        <f t="shared" si="0"/>
        <v>205570</v>
      </c>
      <c r="E14" s="4">
        <f>前年度資金繰り実績表!C11</f>
        <v>12300</v>
      </c>
      <c r="F14" s="4">
        <f>資金繰り実績表!C11</f>
        <v>237099</v>
      </c>
      <c r="G14" s="10">
        <f t="shared" si="1"/>
        <v>224799</v>
      </c>
      <c r="H14" s="4">
        <f>前年度資金繰り実績表!D11</f>
        <v>12300</v>
      </c>
      <c r="I14" s="4">
        <f>資金繰り実績表!D11</f>
        <v>225955</v>
      </c>
      <c r="J14" s="10">
        <f t="shared" si="2"/>
        <v>213655</v>
      </c>
      <c r="K14" s="4">
        <f>前年度資金繰り実績表!E11</f>
        <v>12300</v>
      </c>
      <c r="L14" s="4">
        <f>資金繰り実績表!E11</f>
        <v>262403</v>
      </c>
      <c r="M14" s="10">
        <f t="shared" si="3"/>
        <v>250103</v>
      </c>
      <c r="N14" s="4">
        <f>前年度資金繰り実績表!F11</f>
        <v>12300</v>
      </c>
      <c r="O14" s="4">
        <f>資金繰り実績表!F11</f>
        <v>235033</v>
      </c>
      <c r="P14" s="4">
        <f t="shared" si="4"/>
        <v>222733</v>
      </c>
      <c r="Q14" s="4">
        <f>前年度資金繰り実績表!G11</f>
        <v>12300</v>
      </c>
      <c r="R14" s="4">
        <f>資金繰り実績表!G11</f>
        <v>223229</v>
      </c>
      <c r="S14" s="10">
        <f t="shared" si="5"/>
        <v>210929</v>
      </c>
      <c r="T14" s="4">
        <f>前年度資金繰り実績表!H11</f>
        <v>0</v>
      </c>
      <c r="U14" s="4">
        <f>資金繰り実績表!H11</f>
        <v>320365</v>
      </c>
      <c r="V14" s="4">
        <f t="shared" si="6"/>
        <v>320365</v>
      </c>
      <c r="W14" s="4">
        <f>前年度資金繰り実績表!I11</f>
        <v>3300</v>
      </c>
      <c r="X14" s="4">
        <f>資金繰り実績表!I11</f>
        <v>360489</v>
      </c>
      <c r="Y14" s="10">
        <f t="shared" si="7"/>
        <v>357189</v>
      </c>
      <c r="Z14" s="4">
        <f>前年度資金繰り実績表!J11</f>
        <v>3300</v>
      </c>
      <c r="AA14" s="4">
        <f>資金繰り実績表!J11</f>
        <v>213615</v>
      </c>
      <c r="AB14" s="4">
        <f t="shared" si="8"/>
        <v>210315</v>
      </c>
      <c r="AC14" s="4">
        <f>前年度資金繰り実績表!K11</f>
        <v>0</v>
      </c>
      <c r="AD14" s="4">
        <f>資金繰り実績表!K11</f>
        <v>0</v>
      </c>
      <c r="AE14" s="10">
        <f t="shared" si="9"/>
        <v>0</v>
      </c>
      <c r="AF14" s="4">
        <f>前年度資金繰り実績表!L11</f>
        <v>6600</v>
      </c>
      <c r="AG14" s="4">
        <f>資金繰り実績表!L11</f>
        <v>0</v>
      </c>
      <c r="AH14" s="4">
        <f t="shared" si="10"/>
        <v>-6600</v>
      </c>
      <c r="AI14" s="4">
        <f>前年度資金繰り実績表!M11</f>
        <v>3300</v>
      </c>
      <c r="AJ14" s="4">
        <f>資金繰り実績表!M11</f>
        <v>0</v>
      </c>
      <c r="AK14" s="4">
        <f t="shared" si="11"/>
        <v>-3300</v>
      </c>
    </row>
    <row r="15" spans="1:37" ht="15.75" customHeight="1">
      <c r="A15" s="3" t="s">
        <v>12</v>
      </c>
      <c r="B15" s="4">
        <f>前年度資金繰り実績表!B12</f>
        <v>12860</v>
      </c>
      <c r="C15" s="4">
        <f>資金繰り実績表!B12</f>
        <v>349711</v>
      </c>
      <c r="D15" s="10">
        <f t="shared" si="0"/>
        <v>336851</v>
      </c>
      <c r="E15" s="4">
        <f>前年度資金繰り実績表!C12</f>
        <v>66780</v>
      </c>
      <c r="F15" s="4">
        <f>資金繰り実績表!C12</f>
        <v>329771</v>
      </c>
      <c r="G15" s="10">
        <f t="shared" si="1"/>
        <v>262991</v>
      </c>
      <c r="H15" s="4">
        <f>前年度資金繰り実績表!D12</f>
        <v>12750</v>
      </c>
      <c r="I15" s="4">
        <f>資金繰り実績表!D12</f>
        <v>342391</v>
      </c>
      <c r="J15" s="10">
        <f t="shared" si="2"/>
        <v>329641</v>
      </c>
      <c r="K15" s="4">
        <f>前年度資金繰り実績表!E12</f>
        <v>12750</v>
      </c>
      <c r="L15" s="4">
        <f>資金繰り実績表!E12</f>
        <v>332881</v>
      </c>
      <c r="M15" s="10">
        <f t="shared" si="3"/>
        <v>320131</v>
      </c>
      <c r="N15" s="4">
        <f>前年度資金繰り実績表!F12</f>
        <v>12750</v>
      </c>
      <c r="O15" s="4">
        <f>資金繰り実績表!F12</f>
        <v>329771</v>
      </c>
      <c r="P15" s="4">
        <f t="shared" si="4"/>
        <v>317021</v>
      </c>
      <c r="Q15" s="4">
        <f>前年度資金繰り実績表!G12</f>
        <v>12750</v>
      </c>
      <c r="R15" s="4">
        <f>資金繰り実績表!G12</f>
        <v>338481</v>
      </c>
      <c r="S15" s="10">
        <f t="shared" si="5"/>
        <v>325731</v>
      </c>
      <c r="T15" s="4">
        <f>前年度資金繰り実績表!H12</f>
        <v>12750</v>
      </c>
      <c r="U15" s="4">
        <f>資金繰り実績表!H12</f>
        <v>325861</v>
      </c>
      <c r="V15" s="4">
        <f t="shared" si="6"/>
        <v>313111</v>
      </c>
      <c r="W15" s="4">
        <f>前年度資金繰り実績表!I12</f>
        <v>12750</v>
      </c>
      <c r="X15" s="4">
        <f>資金繰り実績表!I12</f>
        <v>354051</v>
      </c>
      <c r="Y15" s="10">
        <f t="shared" si="7"/>
        <v>341301</v>
      </c>
      <c r="Z15" s="4">
        <f>前年度資金繰り実績表!J12</f>
        <v>12750</v>
      </c>
      <c r="AA15" s="4">
        <f>資金繰り実績表!J12</f>
        <v>341431</v>
      </c>
      <c r="AB15" s="4">
        <f t="shared" si="8"/>
        <v>328681</v>
      </c>
      <c r="AC15" s="4">
        <f>前年度資金繰り実績表!K12</f>
        <v>12750</v>
      </c>
      <c r="AD15" s="4">
        <f>資金繰り実績表!K12</f>
        <v>0</v>
      </c>
      <c r="AE15" s="10">
        <f t="shared" si="9"/>
        <v>-12750</v>
      </c>
      <c r="AF15" s="4">
        <f>前年度資金繰り実績表!L12</f>
        <v>12750</v>
      </c>
      <c r="AG15" s="4">
        <f>資金繰り実績表!L12</f>
        <v>0</v>
      </c>
      <c r="AH15" s="4">
        <f t="shared" si="10"/>
        <v>-12750</v>
      </c>
      <c r="AI15" s="4">
        <f>前年度資金繰り実績表!M12</f>
        <v>88770</v>
      </c>
      <c r="AJ15" s="4">
        <f>資金繰り実績表!M12</f>
        <v>0</v>
      </c>
      <c r="AK15" s="4">
        <f t="shared" si="11"/>
        <v>-88770</v>
      </c>
    </row>
    <row r="16" spans="1:37" ht="15.75" customHeight="1">
      <c r="A16" s="3" t="s">
        <v>13</v>
      </c>
      <c r="B16" s="4">
        <f>前年度資金繰り実績表!B13</f>
        <v>37720</v>
      </c>
      <c r="C16" s="4">
        <f>資金繰り実績表!B13</f>
        <v>57788</v>
      </c>
      <c r="D16" s="10">
        <f t="shared" si="0"/>
        <v>20068</v>
      </c>
      <c r="E16" s="4">
        <f>前年度資金繰り実績表!C13</f>
        <v>238300</v>
      </c>
      <c r="F16" s="4">
        <f>資金繰り実績表!C13</f>
        <v>85398</v>
      </c>
      <c r="G16" s="10">
        <f t="shared" si="1"/>
        <v>-152902</v>
      </c>
      <c r="H16" s="4">
        <f>前年度資金繰り実績表!D13</f>
        <v>238300</v>
      </c>
      <c r="I16" s="4">
        <f>資金繰り実績表!D13</f>
        <v>164103</v>
      </c>
      <c r="J16" s="10">
        <f t="shared" si="2"/>
        <v>-74197</v>
      </c>
      <c r="K16" s="4">
        <f>前年度資金繰り実績表!E13</f>
        <v>238300</v>
      </c>
      <c r="L16" s="4">
        <f>資金繰り実績表!E13</f>
        <v>356971</v>
      </c>
      <c r="M16" s="10">
        <f t="shared" si="3"/>
        <v>118671</v>
      </c>
      <c r="N16" s="4">
        <f>前年度資金繰り実績表!F13</f>
        <v>238300</v>
      </c>
      <c r="O16" s="4">
        <f>資金繰り実績表!F13</f>
        <v>212458</v>
      </c>
      <c r="P16" s="4">
        <f t="shared" si="4"/>
        <v>-25842</v>
      </c>
      <c r="Q16" s="4">
        <f>前年度資金繰り実績表!G13</f>
        <v>188405</v>
      </c>
      <c r="R16" s="4">
        <f>資金繰り実績表!G13</f>
        <v>142598</v>
      </c>
      <c r="S16" s="10">
        <f t="shared" si="5"/>
        <v>-45807</v>
      </c>
      <c r="T16" s="4">
        <f>前年度資金繰り実績表!H13</f>
        <v>193905</v>
      </c>
      <c r="U16" s="4">
        <f>資金繰り実績表!H13</f>
        <v>143148</v>
      </c>
      <c r="V16" s="4">
        <f t="shared" si="6"/>
        <v>-50757</v>
      </c>
      <c r="W16" s="4">
        <f>前年度資金繰り実績表!I13</f>
        <v>243405</v>
      </c>
      <c r="X16" s="4">
        <f>資金繰り実績表!I13</f>
        <v>223533</v>
      </c>
      <c r="Y16" s="10">
        <f t="shared" si="7"/>
        <v>-19872</v>
      </c>
      <c r="Z16" s="4">
        <f>前年度資金繰り実績表!J13</f>
        <v>214585</v>
      </c>
      <c r="AA16" s="4">
        <f>資金繰り実績表!J13</f>
        <v>141945</v>
      </c>
      <c r="AB16" s="4">
        <f t="shared" si="8"/>
        <v>-72640</v>
      </c>
      <c r="AC16" s="4">
        <f>前年度資金繰り実績表!K13</f>
        <v>206885</v>
      </c>
      <c r="AD16" s="4">
        <f>資金繰り実績表!K13</f>
        <v>0</v>
      </c>
      <c r="AE16" s="10">
        <f t="shared" si="9"/>
        <v>-206885</v>
      </c>
      <c r="AF16" s="4">
        <f>前年度資金繰り実績表!L13</f>
        <v>242085</v>
      </c>
      <c r="AG16" s="4">
        <f>資金繰り実績表!L13</f>
        <v>0</v>
      </c>
      <c r="AH16" s="4">
        <f t="shared" si="10"/>
        <v>-242085</v>
      </c>
      <c r="AI16" s="4">
        <f>前年度資金繰り実績表!M13</f>
        <v>212385</v>
      </c>
      <c r="AJ16" s="4">
        <f>資金繰り実績表!M13</f>
        <v>0</v>
      </c>
      <c r="AK16" s="4">
        <f t="shared" si="11"/>
        <v>-212385</v>
      </c>
    </row>
    <row r="17" spans="1:37" ht="15.75" customHeight="1">
      <c r="A17" s="3" t="s">
        <v>14</v>
      </c>
      <c r="B17" s="4">
        <f>前年度資金繰り実績表!B14</f>
        <v>1908580</v>
      </c>
      <c r="C17" s="4">
        <f>資金繰り実績表!B14</f>
        <v>0</v>
      </c>
      <c r="D17" s="10">
        <f t="shared" si="0"/>
        <v>-1908580</v>
      </c>
      <c r="E17" s="4">
        <f>前年度資金繰り実績表!C14</f>
        <v>10000</v>
      </c>
      <c r="F17" s="4">
        <f>資金繰り実績表!C14</f>
        <v>0</v>
      </c>
      <c r="G17" s="10">
        <f t="shared" si="1"/>
        <v>-10000</v>
      </c>
      <c r="H17" s="4">
        <f>前年度資金繰り実績表!D14</f>
        <v>10000</v>
      </c>
      <c r="I17" s="4">
        <f>資金繰り実績表!D14</f>
        <v>0</v>
      </c>
      <c r="J17" s="10">
        <f t="shared" si="2"/>
        <v>-10000</v>
      </c>
      <c r="K17" s="4">
        <f>前年度資金繰り実績表!E14</f>
        <v>10000</v>
      </c>
      <c r="L17" s="4">
        <f>資金繰り実績表!E14</f>
        <v>0</v>
      </c>
      <c r="M17" s="10">
        <f t="shared" si="3"/>
        <v>-10000</v>
      </c>
      <c r="N17" s="4">
        <f>前年度資金繰り実績表!F14</f>
        <v>10000</v>
      </c>
      <c r="O17" s="4">
        <f>資金繰り実績表!F14</f>
        <v>0</v>
      </c>
      <c r="P17" s="4">
        <f t="shared" si="4"/>
        <v>-10000</v>
      </c>
      <c r="Q17" s="4">
        <f>前年度資金繰り実績表!G14</f>
        <v>10000</v>
      </c>
      <c r="R17" s="4">
        <f>資金繰り実績表!G14</f>
        <v>0</v>
      </c>
      <c r="S17" s="10">
        <f t="shared" si="5"/>
        <v>-10000</v>
      </c>
      <c r="T17" s="4">
        <f>前年度資金繰り実績表!H14</f>
        <v>10000</v>
      </c>
      <c r="U17" s="4">
        <f>資金繰り実績表!H14</f>
        <v>0</v>
      </c>
      <c r="V17" s="4">
        <f t="shared" si="6"/>
        <v>-10000</v>
      </c>
      <c r="W17" s="4">
        <f>前年度資金繰り実績表!I14</f>
        <v>10000</v>
      </c>
      <c r="X17" s="4">
        <f>資金繰り実績表!I14</f>
        <v>0</v>
      </c>
      <c r="Y17" s="10">
        <f t="shared" si="7"/>
        <v>-10000</v>
      </c>
      <c r="Z17" s="4">
        <f>前年度資金繰り実績表!J14</f>
        <v>10000</v>
      </c>
      <c r="AA17" s="4">
        <f>資金繰り実績表!J14</f>
        <v>0</v>
      </c>
      <c r="AB17" s="4">
        <f t="shared" si="8"/>
        <v>-10000</v>
      </c>
      <c r="AC17" s="4">
        <f>前年度資金繰り実績表!K14</f>
        <v>10000</v>
      </c>
      <c r="AD17" s="4">
        <f>資金繰り実績表!K14</f>
        <v>0</v>
      </c>
      <c r="AE17" s="10">
        <f t="shared" si="9"/>
        <v>-10000</v>
      </c>
      <c r="AF17" s="4">
        <f>前年度資金繰り実績表!L14</f>
        <v>10000</v>
      </c>
      <c r="AG17" s="4">
        <f>資金繰り実績表!L14</f>
        <v>0</v>
      </c>
      <c r="AH17" s="4">
        <f t="shared" si="10"/>
        <v>-10000</v>
      </c>
      <c r="AI17" s="4">
        <f>前年度資金繰り実績表!M14</f>
        <v>43000</v>
      </c>
      <c r="AJ17" s="4">
        <f>資金繰り実績表!M14</f>
        <v>0</v>
      </c>
      <c r="AK17" s="4">
        <f t="shared" si="11"/>
        <v>-43000</v>
      </c>
    </row>
    <row r="18" spans="1:37" ht="15.75" customHeight="1">
      <c r="A18" s="3" t="s">
        <v>15</v>
      </c>
      <c r="B18" s="4">
        <f>前年度資金繰り実績表!B15</f>
        <v>65800</v>
      </c>
      <c r="C18" s="4">
        <f>資金繰り実績表!B15</f>
        <v>23980</v>
      </c>
      <c r="D18" s="10">
        <f t="shared" si="0"/>
        <v>-41820</v>
      </c>
      <c r="E18" s="4">
        <f>前年度資金繰り実績表!C15</f>
        <v>65800</v>
      </c>
      <c r="F18" s="4">
        <f>資金繰り実績表!C15</f>
        <v>60940</v>
      </c>
      <c r="G18" s="10">
        <f t="shared" si="1"/>
        <v>-4860</v>
      </c>
      <c r="H18" s="4">
        <f>前年度資金繰り実績表!D15</f>
        <v>65800</v>
      </c>
      <c r="I18" s="4">
        <f>資金繰り実績表!D15</f>
        <v>108900</v>
      </c>
      <c r="J18" s="10">
        <f t="shared" si="2"/>
        <v>43100</v>
      </c>
      <c r="K18" s="4">
        <f>前年度資金繰り実績表!E15</f>
        <v>65800</v>
      </c>
      <c r="L18" s="4">
        <f>資金繰り実績表!E15</f>
        <v>84920</v>
      </c>
      <c r="M18" s="10">
        <f t="shared" si="3"/>
        <v>19120</v>
      </c>
      <c r="N18" s="4">
        <f>前年度資金繰り実績表!F15</f>
        <v>82960</v>
      </c>
      <c r="O18" s="4">
        <f>資金繰り実績表!F15</f>
        <v>60940</v>
      </c>
      <c r="P18" s="4">
        <f t="shared" si="4"/>
        <v>-22020</v>
      </c>
      <c r="Q18" s="4">
        <f>前年度資金繰り実績表!G15</f>
        <v>65800</v>
      </c>
      <c r="R18" s="4">
        <f>資金繰り実績表!G15</f>
        <v>187370</v>
      </c>
      <c r="S18" s="10">
        <f t="shared" si="5"/>
        <v>121570</v>
      </c>
      <c r="T18" s="4">
        <f>前年度資金繰り実績表!H15</f>
        <v>65800</v>
      </c>
      <c r="U18" s="4">
        <f>資金繰り実績表!H15</f>
        <v>186820</v>
      </c>
      <c r="V18" s="4">
        <f t="shared" si="6"/>
        <v>121020</v>
      </c>
      <c r="W18" s="4">
        <f>前年度資金繰り実績表!I15</f>
        <v>65800</v>
      </c>
      <c r="X18" s="4">
        <f>資金繰り実績表!I15</f>
        <v>186820</v>
      </c>
      <c r="Y18" s="10">
        <f t="shared" si="7"/>
        <v>121020</v>
      </c>
      <c r="Z18" s="4">
        <f>前年度資金繰り実績表!J15</f>
        <v>65800</v>
      </c>
      <c r="AA18" s="4">
        <f>資金繰り実績表!J15</f>
        <v>210800</v>
      </c>
      <c r="AB18" s="4">
        <f t="shared" si="8"/>
        <v>145000</v>
      </c>
      <c r="AC18" s="4">
        <f>前年度資金繰り実績表!K15</f>
        <v>65800</v>
      </c>
      <c r="AD18" s="4">
        <f>資金繰り実績表!K15</f>
        <v>0</v>
      </c>
      <c r="AE18" s="10">
        <f t="shared" si="9"/>
        <v>-65800</v>
      </c>
      <c r="AF18" s="4">
        <f>前年度資金繰り実績表!L15</f>
        <v>65800</v>
      </c>
      <c r="AG18" s="4">
        <f>資金繰り実績表!L15</f>
        <v>0</v>
      </c>
      <c r="AH18" s="4">
        <f t="shared" si="10"/>
        <v>-65800</v>
      </c>
      <c r="AI18" s="4">
        <f>前年度資金繰り実績表!M15</f>
        <v>65800</v>
      </c>
      <c r="AJ18" s="4">
        <f>資金繰り実績表!M15</f>
        <v>0</v>
      </c>
      <c r="AK18" s="4">
        <f t="shared" si="11"/>
        <v>-65800</v>
      </c>
    </row>
    <row r="19" spans="1:37" ht="15.75" customHeight="1">
      <c r="A19" s="3" t="s">
        <v>16</v>
      </c>
      <c r="B19" s="4">
        <f>前年度資金繰り実績表!B16</f>
        <v>0</v>
      </c>
      <c r="C19" s="4">
        <f>資金繰り実績表!B16</f>
        <v>297131</v>
      </c>
      <c r="D19" s="10">
        <f t="shared" si="0"/>
        <v>297131</v>
      </c>
      <c r="E19" s="4">
        <f>前年度資金繰り実績表!C16</f>
        <v>0</v>
      </c>
      <c r="F19" s="4">
        <f>資金繰り実績表!C16</f>
        <v>149131</v>
      </c>
      <c r="G19" s="10">
        <f t="shared" si="1"/>
        <v>149131</v>
      </c>
      <c r="H19" s="4">
        <f>前年度資金繰り実績表!D16</f>
        <v>135410</v>
      </c>
      <c r="I19" s="4">
        <f>資金繰り実績表!D16</f>
        <v>110428</v>
      </c>
      <c r="J19" s="10">
        <f t="shared" si="2"/>
        <v>-24982</v>
      </c>
      <c r="K19" s="4">
        <f>前年度資金繰り実績表!E16</f>
        <v>0</v>
      </c>
      <c r="L19" s="4">
        <f>資金繰り実績表!E16</f>
        <v>163267</v>
      </c>
      <c r="M19" s="10">
        <f t="shared" si="3"/>
        <v>163267</v>
      </c>
      <c r="N19" s="4">
        <f>前年度資金繰り実績表!F16</f>
        <v>0</v>
      </c>
      <c r="O19" s="4">
        <f>資金繰り実績表!F16</f>
        <v>204900</v>
      </c>
      <c r="P19" s="4">
        <f t="shared" si="4"/>
        <v>204900</v>
      </c>
      <c r="Q19" s="4">
        <f>前年度資金繰り実績表!G16</f>
        <v>72659</v>
      </c>
      <c r="R19" s="4">
        <f>資金繰り実績表!G16</f>
        <v>0</v>
      </c>
      <c r="S19" s="10">
        <f t="shared" si="5"/>
        <v>-72659</v>
      </c>
      <c r="T19" s="4">
        <f>前年度資金繰り実績表!H16</f>
        <v>0</v>
      </c>
      <c r="U19" s="4">
        <f>資金繰り実績表!H16</f>
        <v>0</v>
      </c>
      <c r="V19" s="4">
        <f t="shared" si="6"/>
        <v>0</v>
      </c>
      <c r="W19" s="4">
        <f>前年度資金繰り実績表!I16</f>
        <v>0</v>
      </c>
      <c r="X19" s="4">
        <f>資金繰り実績表!I16</f>
        <v>147291</v>
      </c>
      <c r="Y19" s="10">
        <f t="shared" si="7"/>
        <v>147291</v>
      </c>
      <c r="Z19" s="4">
        <f>前年度資金繰り実績表!J16</f>
        <v>21835</v>
      </c>
      <c r="AA19" s="4">
        <f>資金繰り実績表!J16</f>
        <v>0</v>
      </c>
      <c r="AB19" s="4">
        <f t="shared" si="8"/>
        <v>-21835</v>
      </c>
      <c r="AC19" s="4">
        <f>前年度資金繰り実績表!K16</f>
        <v>590810</v>
      </c>
      <c r="AD19" s="4">
        <f>資金繰り実績表!K16</f>
        <v>0</v>
      </c>
      <c r="AE19" s="10">
        <f t="shared" si="9"/>
        <v>-590810</v>
      </c>
      <c r="AF19" s="4">
        <f>前年度資金繰り実績表!L16</f>
        <v>0</v>
      </c>
      <c r="AG19" s="4">
        <f>資金繰り実績表!L16</f>
        <v>0</v>
      </c>
      <c r="AH19" s="4">
        <f t="shared" si="10"/>
        <v>0</v>
      </c>
      <c r="AI19" s="4">
        <f>前年度資金繰り実績表!M16</f>
        <v>1100</v>
      </c>
      <c r="AJ19" s="4">
        <f>資金繰り実績表!M16</f>
        <v>0</v>
      </c>
      <c r="AK19" s="4">
        <f t="shared" si="11"/>
        <v>-1100</v>
      </c>
    </row>
    <row r="20" spans="1:37" ht="15.75" customHeight="1">
      <c r="A20" s="3" t="s">
        <v>17</v>
      </c>
      <c r="B20" s="4">
        <f>前年度資金繰り実績表!B17</f>
        <v>5960</v>
      </c>
      <c r="C20" s="4">
        <f>資金繰り実績表!B17</f>
        <v>120603</v>
      </c>
      <c r="D20" s="10">
        <f t="shared" si="0"/>
        <v>114643</v>
      </c>
      <c r="E20" s="4">
        <f>前年度資金繰り実績表!C17</f>
        <v>4825</v>
      </c>
      <c r="F20" s="4">
        <f>資金繰り実績表!C17</f>
        <v>121273</v>
      </c>
      <c r="G20" s="10">
        <f t="shared" si="1"/>
        <v>116448</v>
      </c>
      <c r="H20" s="4">
        <f>前年度資金繰り実績表!D17</f>
        <v>5890</v>
      </c>
      <c r="I20" s="4">
        <f>資金繰り実績表!D17</f>
        <v>859980</v>
      </c>
      <c r="J20" s="10">
        <f t="shared" si="2"/>
        <v>854090</v>
      </c>
      <c r="K20" s="4">
        <f>前年度資金繰り実績表!E17</f>
        <v>4930</v>
      </c>
      <c r="L20" s="4">
        <f>資金繰り実績表!E17</f>
        <v>127800</v>
      </c>
      <c r="M20" s="10">
        <f t="shared" si="3"/>
        <v>122870</v>
      </c>
      <c r="N20" s="4">
        <f>前年度資金繰り実績表!F17</f>
        <v>4610</v>
      </c>
      <c r="O20" s="4">
        <f>資金繰り実績表!F17</f>
        <v>116058</v>
      </c>
      <c r="P20" s="4">
        <f t="shared" si="4"/>
        <v>111448</v>
      </c>
      <c r="Q20" s="4">
        <f>前年度資金繰り実績表!G17</f>
        <v>5090</v>
      </c>
      <c r="R20" s="4">
        <f>資金繰り実績表!G17</f>
        <v>123666</v>
      </c>
      <c r="S20" s="10">
        <f t="shared" si="5"/>
        <v>118576</v>
      </c>
      <c r="T20" s="4">
        <f>前年度資金繰り実績表!H17</f>
        <v>5035</v>
      </c>
      <c r="U20" s="4">
        <f>資金繰り実績表!H17</f>
        <v>110895</v>
      </c>
      <c r="V20" s="4">
        <f t="shared" si="6"/>
        <v>105860</v>
      </c>
      <c r="W20" s="4">
        <f>前年度資金繰り実績表!I17</f>
        <v>5570</v>
      </c>
      <c r="X20" s="4">
        <f>資金繰り実績表!I17</f>
        <v>134756</v>
      </c>
      <c r="Y20" s="10">
        <f t="shared" si="7"/>
        <v>129186</v>
      </c>
      <c r="Z20" s="4">
        <f>前年度資金繰り実績表!J17</f>
        <v>5410</v>
      </c>
      <c r="AA20" s="4">
        <f>資金繰り実績表!J17</f>
        <v>115523</v>
      </c>
      <c r="AB20" s="4">
        <f t="shared" si="8"/>
        <v>110113</v>
      </c>
      <c r="AC20" s="4">
        <f>前年度資金繰り実績表!K17</f>
        <v>5250</v>
      </c>
      <c r="AD20" s="4">
        <f>資金繰り実績表!K17</f>
        <v>0</v>
      </c>
      <c r="AE20" s="10">
        <f t="shared" si="9"/>
        <v>-5250</v>
      </c>
      <c r="AF20" s="4">
        <f>前年度資金繰り実績表!L17</f>
        <v>5360</v>
      </c>
      <c r="AG20" s="4">
        <f>資金繰り実績表!L17</f>
        <v>0</v>
      </c>
      <c r="AH20" s="4">
        <f t="shared" si="10"/>
        <v>-5360</v>
      </c>
      <c r="AI20" s="4">
        <f>前年度資金繰り実績表!M17</f>
        <v>4665</v>
      </c>
      <c r="AJ20" s="4">
        <f>資金繰り実績表!M17</f>
        <v>0</v>
      </c>
      <c r="AK20" s="4">
        <f t="shared" si="11"/>
        <v>-4665</v>
      </c>
    </row>
    <row r="21" spans="1:37" ht="15.75" customHeight="1">
      <c r="A21" s="3" t="s">
        <v>18</v>
      </c>
      <c r="B21" s="4">
        <f>前年度資金繰り実績表!B18</f>
        <v>71950</v>
      </c>
      <c r="C21" s="4">
        <f>資金繰り実績表!B18</f>
        <v>79782</v>
      </c>
      <c r="D21" s="10">
        <f t="shared" si="0"/>
        <v>7832</v>
      </c>
      <c r="E21" s="4">
        <f>前年度資金繰り実績表!C18</f>
        <v>0</v>
      </c>
      <c r="F21" s="4">
        <f>資金繰り実績表!C18</f>
        <v>0</v>
      </c>
      <c r="G21" s="10">
        <f t="shared" si="1"/>
        <v>0</v>
      </c>
      <c r="H21" s="4">
        <f>前年度資金繰り実績表!D18</f>
        <v>0</v>
      </c>
      <c r="I21" s="4">
        <f>資金繰り実績表!D18</f>
        <v>385000</v>
      </c>
      <c r="J21" s="10">
        <f t="shared" si="2"/>
        <v>385000</v>
      </c>
      <c r="K21" s="4">
        <f>前年度資金繰り実績表!E18</f>
        <v>0</v>
      </c>
      <c r="L21" s="4">
        <f>資金繰り実績表!E18</f>
        <v>591965</v>
      </c>
      <c r="M21" s="10">
        <f t="shared" si="3"/>
        <v>591965</v>
      </c>
      <c r="N21" s="4">
        <f>前年度資金繰り実績表!F18</f>
        <v>0</v>
      </c>
      <c r="O21" s="4">
        <f>資金繰り実績表!F18</f>
        <v>892720</v>
      </c>
      <c r="P21" s="4">
        <f t="shared" si="4"/>
        <v>892720</v>
      </c>
      <c r="Q21" s="4">
        <f>前年度資金繰り実績表!G18</f>
        <v>0</v>
      </c>
      <c r="R21" s="4">
        <f>資金繰り実績表!G18</f>
        <v>1257480</v>
      </c>
      <c r="S21" s="10">
        <f t="shared" si="5"/>
        <v>1257480</v>
      </c>
      <c r="T21" s="4">
        <f>前年度資金繰り実績表!H18</f>
        <v>0</v>
      </c>
      <c r="U21" s="4">
        <f>資金繰り実績表!H18</f>
        <v>601255</v>
      </c>
      <c r="V21" s="4">
        <f t="shared" si="6"/>
        <v>601255</v>
      </c>
      <c r="W21" s="4">
        <f>前年度資金繰り実績表!I18</f>
        <v>0</v>
      </c>
      <c r="X21" s="4">
        <f>資金繰り実績表!I18</f>
        <v>2220580</v>
      </c>
      <c r="Y21" s="10">
        <f t="shared" si="7"/>
        <v>2220580</v>
      </c>
      <c r="Z21" s="4">
        <f>前年度資金繰り実績表!J18</f>
        <v>0</v>
      </c>
      <c r="AA21" s="4">
        <f>資金繰り実績表!J18</f>
        <v>198634</v>
      </c>
      <c r="AB21" s="4">
        <f t="shared" si="8"/>
        <v>198634</v>
      </c>
      <c r="AC21" s="4">
        <f>前年度資金繰り実績表!K18</f>
        <v>0</v>
      </c>
      <c r="AD21" s="4">
        <f>資金繰り実績表!K18</f>
        <v>0</v>
      </c>
      <c r="AE21" s="10">
        <f t="shared" si="9"/>
        <v>0</v>
      </c>
      <c r="AF21" s="4">
        <f>前年度資金繰り実績表!L18</f>
        <v>23400</v>
      </c>
      <c r="AG21" s="4">
        <f>資金繰り実績表!L18</f>
        <v>0</v>
      </c>
      <c r="AH21" s="4">
        <f t="shared" si="10"/>
        <v>-23400</v>
      </c>
      <c r="AI21" s="4">
        <f>前年度資金繰り実績表!M18</f>
        <v>0</v>
      </c>
      <c r="AJ21" s="4">
        <f>資金繰り実績表!M18</f>
        <v>0</v>
      </c>
      <c r="AK21" s="4">
        <f t="shared" si="11"/>
        <v>0</v>
      </c>
    </row>
    <row r="22" spans="1:37" ht="15.75" customHeight="1">
      <c r="A22" s="3" t="s">
        <v>19</v>
      </c>
      <c r="B22" s="4">
        <f>前年度資金繰り実績表!B19</f>
        <v>115500</v>
      </c>
      <c r="C22" s="4">
        <f>資金繰り実績表!B19</f>
        <v>0</v>
      </c>
      <c r="D22" s="10">
        <f t="shared" si="0"/>
        <v>-115500</v>
      </c>
      <c r="E22" s="4">
        <f>前年度資金繰り実績表!C19</f>
        <v>0</v>
      </c>
      <c r="F22" s="4">
        <f>資金繰り実績表!C19</f>
        <v>240000</v>
      </c>
      <c r="G22" s="10">
        <f t="shared" si="1"/>
        <v>240000</v>
      </c>
      <c r="H22" s="4">
        <f>前年度資金繰り実績表!D19</f>
        <v>64680</v>
      </c>
      <c r="I22" s="4">
        <f>資金繰り実績表!D19</f>
        <v>487904</v>
      </c>
      <c r="J22" s="10">
        <f t="shared" si="2"/>
        <v>423224</v>
      </c>
      <c r="K22" s="4">
        <f>前年度資金繰り実績表!E19</f>
        <v>0</v>
      </c>
      <c r="L22" s="4">
        <f>資金繰り実績表!E19</f>
        <v>0</v>
      </c>
      <c r="M22" s="10">
        <f t="shared" si="3"/>
        <v>0</v>
      </c>
      <c r="N22" s="4">
        <f>前年度資金繰り実績表!F19</f>
        <v>0</v>
      </c>
      <c r="O22" s="4">
        <f>資金繰り実績表!F19</f>
        <v>166550</v>
      </c>
      <c r="P22" s="4">
        <f t="shared" si="4"/>
        <v>166550</v>
      </c>
      <c r="Q22" s="4">
        <f>前年度資金繰り実績表!G19</f>
        <v>0</v>
      </c>
      <c r="R22" s="4">
        <f>資金繰り実績表!G19</f>
        <v>1154000</v>
      </c>
      <c r="S22" s="10">
        <f t="shared" si="5"/>
        <v>1154000</v>
      </c>
      <c r="T22" s="4">
        <f>前年度資金繰り実績表!H19</f>
        <v>0</v>
      </c>
      <c r="U22" s="4">
        <f>資金繰り実績表!H19</f>
        <v>740000</v>
      </c>
      <c r="V22" s="4">
        <f t="shared" si="6"/>
        <v>740000</v>
      </c>
      <c r="W22" s="4">
        <f>前年度資金繰り実績表!I19</f>
        <v>0</v>
      </c>
      <c r="X22" s="4">
        <f>資金繰り実績表!I19</f>
        <v>620000</v>
      </c>
      <c r="Y22" s="10">
        <f t="shared" si="7"/>
        <v>620000</v>
      </c>
      <c r="Z22" s="4">
        <f>前年度資金繰り実績表!J19</f>
        <v>0</v>
      </c>
      <c r="AA22" s="4">
        <f>資金繰り実績表!J19</f>
        <v>500000</v>
      </c>
      <c r="AB22" s="4">
        <f t="shared" si="8"/>
        <v>500000</v>
      </c>
      <c r="AC22" s="4">
        <f>前年度資金繰り実績表!K19</f>
        <v>0</v>
      </c>
      <c r="AD22" s="4">
        <f>資金繰り実績表!K19</f>
        <v>0</v>
      </c>
      <c r="AE22" s="10">
        <f t="shared" si="9"/>
        <v>0</v>
      </c>
      <c r="AF22" s="4">
        <f>前年度資金繰り実績表!L19</f>
        <v>0</v>
      </c>
      <c r="AG22" s="4">
        <f>資金繰り実績表!L19</f>
        <v>0</v>
      </c>
      <c r="AH22" s="4">
        <f t="shared" si="10"/>
        <v>0</v>
      </c>
      <c r="AI22" s="4">
        <f>前年度資金繰り実績表!M19</f>
        <v>0</v>
      </c>
      <c r="AJ22" s="4">
        <f>資金繰り実績表!M19</f>
        <v>0</v>
      </c>
      <c r="AK22" s="4">
        <f t="shared" si="11"/>
        <v>0</v>
      </c>
    </row>
    <row r="23" spans="1:37" ht="15.75" customHeight="1">
      <c r="A23" s="3" t="s">
        <v>20</v>
      </c>
      <c r="B23" s="4">
        <f>前年度資金繰り実績表!B20</f>
        <v>60000</v>
      </c>
      <c r="C23" s="4">
        <f>資金繰り実績表!B20</f>
        <v>2445715</v>
      </c>
      <c r="D23" s="10">
        <f t="shared" si="0"/>
        <v>2385715</v>
      </c>
      <c r="E23" s="4">
        <f>前年度資金繰り実績表!C20</f>
        <v>102000</v>
      </c>
      <c r="F23" s="4">
        <f>資金繰り実績表!C20</f>
        <v>500000</v>
      </c>
      <c r="G23" s="10">
        <f t="shared" si="1"/>
        <v>398000</v>
      </c>
      <c r="H23" s="4">
        <f>前年度資金繰り実績表!D20</f>
        <v>0</v>
      </c>
      <c r="I23" s="4">
        <f>資金繰り実績表!D20</f>
        <v>400110</v>
      </c>
      <c r="J23" s="10">
        <f t="shared" si="2"/>
        <v>400110</v>
      </c>
      <c r="K23" s="4">
        <f>前年度資金繰り実績表!E20</f>
        <v>131000</v>
      </c>
      <c r="L23" s="4">
        <f>資金繰り実績表!E20</f>
        <v>0</v>
      </c>
      <c r="M23" s="10">
        <f t="shared" si="3"/>
        <v>-131000</v>
      </c>
      <c r="N23" s="4">
        <f>前年度資金繰り実績表!F20</f>
        <v>0</v>
      </c>
      <c r="O23" s="4">
        <f>資金繰り実績表!F20</f>
        <v>0</v>
      </c>
      <c r="P23" s="4">
        <f t="shared" si="4"/>
        <v>0</v>
      </c>
      <c r="Q23" s="4">
        <f>前年度資金繰り実績表!G20</f>
        <v>203000</v>
      </c>
      <c r="R23" s="4">
        <f>資金繰り実績表!G20</f>
        <v>0</v>
      </c>
      <c r="S23" s="10">
        <f t="shared" si="5"/>
        <v>-203000</v>
      </c>
      <c r="T23" s="4">
        <f>前年度資金繰り実績表!H20</f>
        <v>127000</v>
      </c>
      <c r="U23" s="4">
        <f>資金繰り実績表!H20</f>
        <v>0</v>
      </c>
      <c r="V23" s="4">
        <f t="shared" si="6"/>
        <v>-127000</v>
      </c>
      <c r="W23" s="4">
        <f>前年度資金繰り実績表!I20</f>
        <v>203000</v>
      </c>
      <c r="X23" s="4">
        <f>資金繰り実績表!I20</f>
        <v>0</v>
      </c>
      <c r="Y23" s="10">
        <f t="shared" si="7"/>
        <v>-203000</v>
      </c>
      <c r="Z23" s="4">
        <f>前年度資金繰り実績表!J20</f>
        <v>30000</v>
      </c>
      <c r="AA23" s="4">
        <f>資金繰り実績表!J20</f>
        <v>0</v>
      </c>
      <c r="AB23" s="4">
        <f t="shared" si="8"/>
        <v>-30000</v>
      </c>
      <c r="AC23" s="4">
        <f>前年度資金繰り実績表!K20</f>
        <v>0</v>
      </c>
      <c r="AD23" s="4">
        <f>資金繰り実績表!K20</f>
        <v>0</v>
      </c>
      <c r="AE23" s="10">
        <f t="shared" si="9"/>
        <v>0</v>
      </c>
      <c r="AF23" s="4">
        <f>前年度資金繰り実績表!L20</f>
        <v>0</v>
      </c>
      <c r="AG23" s="4">
        <f>資金繰り実績表!L20</f>
        <v>0</v>
      </c>
      <c r="AH23" s="4">
        <f t="shared" si="10"/>
        <v>0</v>
      </c>
      <c r="AI23" s="4">
        <f>前年度資金繰り実績表!M20</f>
        <v>0</v>
      </c>
      <c r="AJ23" s="4">
        <f>資金繰り実績表!M20</f>
        <v>0</v>
      </c>
      <c r="AK23" s="4">
        <f t="shared" si="11"/>
        <v>0</v>
      </c>
    </row>
    <row r="24" spans="1:37" ht="15.75" customHeight="1">
      <c r="A24" s="3" t="s">
        <v>21</v>
      </c>
      <c r="B24" s="4">
        <f>前年度資金繰り実績表!B21</f>
        <v>577969</v>
      </c>
      <c r="C24" s="4">
        <f>資金繰り実績表!B21</f>
        <v>1168512</v>
      </c>
      <c r="D24" s="10">
        <f t="shared" si="0"/>
        <v>590543</v>
      </c>
      <c r="E24" s="4">
        <f>前年度資金繰り実績表!C21</f>
        <v>681452</v>
      </c>
      <c r="F24" s="4">
        <f>資金繰り実績表!C21</f>
        <v>1438835</v>
      </c>
      <c r="G24" s="10">
        <f t="shared" si="1"/>
        <v>757383</v>
      </c>
      <c r="H24" s="4">
        <f>前年度資金繰り実績表!D21</f>
        <v>564856</v>
      </c>
      <c r="I24" s="4">
        <f>資金繰り実績表!D21</f>
        <v>1117344</v>
      </c>
      <c r="J24" s="10">
        <f t="shared" si="2"/>
        <v>552488</v>
      </c>
      <c r="K24" s="4">
        <f>前年度資金繰り実績表!E21</f>
        <v>2427731</v>
      </c>
      <c r="L24" s="4">
        <f>資金繰り実績表!E21</f>
        <v>4277837</v>
      </c>
      <c r="M24" s="10">
        <f t="shared" si="3"/>
        <v>1850106</v>
      </c>
      <c r="N24" s="4">
        <f>前年度資金繰り実績表!F21</f>
        <v>523042</v>
      </c>
      <c r="O24" s="4">
        <f>資金繰り実績表!F21</f>
        <v>2359073</v>
      </c>
      <c r="P24" s="4">
        <f t="shared" si="4"/>
        <v>1836031</v>
      </c>
      <c r="Q24" s="4">
        <f>前年度資金繰り実績表!G21</f>
        <v>502377</v>
      </c>
      <c r="R24" s="4">
        <f>資金繰り実績表!G21</f>
        <v>1298814</v>
      </c>
      <c r="S24" s="10">
        <f t="shared" si="5"/>
        <v>796437</v>
      </c>
      <c r="T24" s="4">
        <f>前年度資金繰り実績表!H21</f>
        <v>594457</v>
      </c>
      <c r="U24" s="4">
        <f>資金繰り実績表!H21</f>
        <v>1629718</v>
      </c>
      <c r="V24" s="4">
        <f t="shared" si="6"/>
        <v>1035261</v>
      </c>
      <c r="W24" s="4">
        <f>前年度資金繰り実績表!I21</f>
        <v>1040015</v>
      </c>
      <c r="X24" s="4">
        <f>資金繰り実績表!I21</f>
        <v>1923013</v>
      </c>
      <c r="Y24" s="10">
        <f t="shared" si="7"/>
        <v>882998</v>
      </c>
      <c r="Z24" s="4">
        <f>前年度資金繰り実績表!J21</f>
        <v>549594</v>
      </c>
      <c r="AA24" s="4">
        <f>資金繰り実績表!J21</f>
        <v>2734390</v>
      </c>
      <c r="AB24" s="4">
        <f t="shared" si="8"/>
        <v>2184796</v>
      </c>
      <c r="AC24" s="4">
        <f>前年度資金繰り実績表!K21</f>
        <v>443953</v>
      </c>
      <c r="AD24" s="4">
        <f>資金繰り実績表!K21</f>
        <v>0</v>
      </c>
      <c r="AE24" s="10">
        <f t="shared" si="9"/>
        <v>-443953</v>
      </c>
      <c r="AF24" s="4">
        <f>前年度資金繰り実績表!L21</f>
        <v>669040</v>
      </c>
      <c r="AG24" s="4">
        <f>資金繰り実績表!L21</f>
        <v>0</v>
      </c>
      <c r="AH24" s="4">
        <f t="shared" si="10"/>
        <v>-669040</v>
      </c>
      <c r="AI24" s="4">
        <f>前年度資金繰り実績表!M21</f>
        <v>900002</v>
      </c>
      <c r="AJ24" s="4">
        <f>資金繰り実績表!M21</f>
        <v>0</v>
      </c>
      <c r="AK24" s="4">
        <f t="shared" si="11"/>
        <v>-900002</v>
      </c>
    </row>
    <row r="25" spans="1:37" ht="15.75" customHeight="1">
      <c r="A25" s="3" t="s">
        <v>22</v>
      </c>
      <c r="B25" s="4">
        <f>前年度資金繰り実績表!B22</f>
        <v>0</v>
      </c>
      <c r="C25" s="4">
        <f>資金繰り実績表!B22</f>
        <v>0</v>
      </c>
      <c r="D25" s="10">
        <f t="shared" si="0"/>
        <v>0</v>
      </c>
      <c r="E25" s="4">
        <f>前年度資金繰り実績表!C22</f>
        <v>0</v>
      </c>
      <c r="F25" s="4">
        <f>資金繰り実績表!C22</f>
        <v>0</v>
      </c>
      <c r="G25" s="10">
        <f t="shared" si="1"/>
        <v>0</v>
      </c>
      <c r="H25" s="4">
        <f>前年度資金繰り実績表!D22</f>
        <v>0</v>
      </c>
      <c r="I25" s="4">
        <f>資金繰り実績表!D22</f>
        <v>0</v>
      </c>
      <c r="J25" s="10">
        <f t="shared" si="2"/>
        <v>0</v>
      </c>
      <c r="K25" s="4">
        <f>前年度資金繰り実績表!E22</f>
        <v>200</v>
      </c>
      <c r="L25" s="4">
        <f>資金繰り実績表!E22</f>
        <v>0</v>
      </c>
      <c r="M25" s="10">
        <f t="shared" si="3"/>
        <v>-200</v>
      </c>
      <c r="N25" s="4">
        <f>前年度資金繰り実績表!F22</f>
        <v>0</v>
      </c>
      <c r="O25" s="4">
        <f>資金繰り実績表!F22</f>
        <v>60400</v>
      </c>
      <c r="P25" s="4">
        <f t="shared" si="4"/>
        <v>60400</v>
      </c>
      <c r="Q25" s="4">
        <f>前年度資金繰り実績表!G22</f>
        <v>0</v>
      </c>
      <c r="R25" s="4">
        <f>資金繰り実績表!G22</f>
        <v>0</v>
      </c>
      <c r="S25" s="10">
        <f t="shared" si="5"/>
        <v>0</v>
      </c>
      <c r="T25" s="4">
        <f>前年度資金繰り実績表!H22</f>
        <v>0</v>
      </c>
      <c r="U25" s="4">
        <f>資金繰り実績表!H22</f>
        <v>0</v>
      </c>
      <c r="V25" s="4">
        <f t="shared" si="6"/>
        <v>0</v>
      </c>
      <c r="W25" s="4">
        <f>前年度資金繰り実績表!I22</f>
        <v>0</v>
      </c>
      <c r="X25" s="4">
        <f>資金繰り実績表!I22</f>
        <v>0</v>
      </c>
      <c r="Y25" s="10">
        <f t="shared" si="7"/>
        <v>0</v>
      </c>
      <c r="Z25" s="4">
        <f>前年度資金繰り実績表!J22</f>
        <v>0</v>
      </c>
      <c r="AA25" s="4">
        <f>資金繰り実績表!J22</f>
        <v>0</v>
      </c>
      <c r="AB25" s="4">
        <f t="shared" si="8"/>
        <v>0</v>
      </c>
      <c r="AC25" s="4">
        <f>前年度資金繰り実績表!K22</f>
        <v>101500</v>
      </c>
      <c r="AD25" s="4">
        <f>資金繰り実績表!K22</f>
        <v>0</v>
      </c>
      <c r="AE25" s="10">
        <f t="shared" si="9"/>
        <v>-101500</v>
      </c>
      <c r="AF25" s="4">
        <f>前年度資金繰り実績表!L22</f>
        <v>132000</v>
      </c>
      <c r="AG25" s="4">
        <f>資金繰り実績表!L22</f>
        <v>0</v>
      </c>
      <c r="AH25" s="4">
        <f t="shared" si="10"/>
        <v>-132000</v>
      </c>
      <c r="AI25" s="4">
        <f>前年度資金繰り実績表!M22</f>
        <v>101500</v>
      </c>
      <c r="AJ25" s="4">
        <f>資金繰り実績表!M22</f>
        <v>0</v>
      </c>
      <c r="AK25" s="4">
        <f t="shared" si="11"/>
        <v>-101500</v>
      </c>
    </row>
    <row r="26" spans="1:37" ht="15.75" customHeight="1">
      <c r="A26" s="3" t="s">
        <v>23</v>
      </c>
      <c r="B26" s="4">
        <f>前年度資金繰り実績表!B23</f>
        <v>0</v>
      </c>
      <c r="C26" s="4">
        <f>資金繰り実績表!B23</f>
        <v>0</v>
      </c>
      <c r="D26" s="10">
        <f t="shared" si="0"/>
        <v>0</v>
      </c>
      <c r="E26" s="4">
        <f>前年度資金繰り実績表!C23</f>
        <v>0</v>
      </c>
      <c r="F26" s="4">
        <f>資金繰り実績表!C23</f>
        <v>0</v>
      </c>
      <c r="G26" s="10">
        <f t="shared" si="1"/>
        <v>0</v>
      </c>
      <c r="H26" s="4">
        <f>前年度資金繰り実績表!D23</f>
        <v>0</v>
      </c>
      <c r="I26" s="4">
        <f>資金繰り実績表!D23</f>
        <v>0</v>
      </c>
      <c r="J26" s="10">
        <f t="shared" si="2"/>
        <v>0</v>
      </c>
      <c r="K26" s="4">
        <f>前年度資金繰り実績表!E23</f>
        <v>0</v>
      </c>
      <c r="L26" s="4">
        <f>資金繰り実績表!E23</f>
        <v>0</v>
      </c>
      <c r="M26" s="10">
        <f t="shared" si="3"/>
        <v>0</v>
      </c>
      <c r="N26" s="4">
        <f>前年度資金繰り実績表!F23</f>
        <v>0</v>
      </c>
      <c r="O26" s="4">
        <f>資金繰り実績表!F23</f>
        <v>0</v>
      </c>
      <c r="P26" s="4">
        <f t="shared" si="4"/>
        <v>0</v>
      </c>
      <c r="Q26" s="4">
        <f>前年度資金繰り実績表!G23</f>
        <v>0</v>
      </c>
      <c r="R26" s="4">
        <f>資金繰り実績表!G23</f>
        <v>0</v>
      </c>
      <c r="S26" s="10">
        <f t="shared" si="5"/>
        <v>0</v>
      </c>
      <c r="T26" s="4">
        <f>前年度資金繰り実績表!H23</f>
        <v>0</v>
      </c>
      <c r="U26" s="4">
        <f>資金繰り実績表!H23</f>
        <v>0</v>
      </c>
      <c r="V26" s="4">
        <f t="shared" si="6"/>
        <v>0</v>
      </c>
      <c r="W26" s="4">
        <f>前年度資金繰り実績表!I23</f>
        <v>0</v>
      </c>
      <c r="X26" s="4">
        <f>資金繰り実績表!I23</f>
        <v>0</v>
      </c>
      <c r="Y26" s="10">
        <f t="shared" si="7"/>
        <v>0</v>
      </c>
      <c r="Z26" s="4">
        <f>前年度資金繰り実績表!J23</f>
        <v>0</v>
      </c>
      <c r="AA26" s="4">
        <f>資金繰り実績表!J23</f>
        <v>0</v>
      </c>
      <c r="AB26" s="4">
        <f t="shared" si="8"/>
        <v>0</v>
      </c>
      <c r="AC26" s="4">
        <f>前年度資金繰り実績表!K23</f>
        <v>0</v>
      </c>
      <c r="AD26" s="4">
        <f>資金繰り実績表!K23</f>
        <v>0</v>
      </c>
      <c r="AE26" s="10">
        <f t="shared" si="9"/>
        <v>0</v>
      </c>
      <c r="AF26" s="4">
        <f>前年度資金繰り実績表!L23</f>
        <v>0</v>
      </c>
      <c r="AG26" s="4">
        <f>資金繰り実績表!L23</f>
        <v>0</v>
      </c>
      <c r="AH26" s="4">
        <f t="shared" si="10"/>
        <v>0</v>
      </c>
      <c r="AI26" s="4">
        <f>前年度資金繰り実績表!M23</f>
        <v>0</v>
      </c>
      <c r="AJ26" s="4">
        <f>資金繰り実績表!M23</f>
        <v>0</v>
      </c>
      <c r="AK26" s="4">
        <f t="shared" si="11"/>
        <v>0</v>
      </c>
    </row>
    <row r="27" spans="1:37" ht="15.75" customHeight="1">
      <c r="A27" s="3" t="s">
        <v>212</v>
      </c>
      <c r="B27" s="4">
        <f>前年度資金繰り実績表!B24</f>
        <v>0</v>
      </c>
      <c r="C27" s="4">
        <f>資金繰り実績表!B24</f>
        <v>0</v>
      </c>
      <c r="D27" s="10">
        <f t="shared" si="0"/>
        <v>0</v>
      </c>
      <c r="E27" s="4">
        <f>前年度資金繰り実績表!C24</f>
        <v>0</v>
      </c>
      <c r="F27" s="4">
        <f>資金繰り実績表!C24</f>
        <v>0</v>
      </c>
      <c r="G27" s="10">
        <f t="shared" si="1"/>
        <v>0</v>
      </c>
      <c r="H27" s="4">
        <f>前年度資金繰り実績表!D24</f>
        <v>0</v>
      </c>
      <c r="I27" s="4">
        <f>資金繰り実績表!D24</f>
        <v>0</v>
      </c>
      <c r="J27" s="10">
        <f t="shared" si="2"/>
        <v>0</v>
      </c>
      <c r="K27" s="4">
        <f>前年度資金繰り実績表!E24</f>
        <v>0</v>
      </c>
      <c r="L27" s="4">
        <f>資金繰り実績表!E24</f>
        <v>0</v>
      </c>
      <c r="M27" s="10">
        <f t="shared" si="3"/>
        <v>0</v>
      </c>
      <c r="N27" s="4">
        <f>前年度資金繰り実績表!F24</f>
        <v>0</v>
      </c>
      <c r="O27" s="4">
        <f>資金繰り実績表!F24</f>
        <v>0</v>
      </c>
      <c r="P27" s="4">
        <f t="shared" si="4"/>
        <v>0</v>
      </c>
      <c r="Q27" s="4">
        <f>前年度資金繰り実績表!G24</f>
        <v>0</v>
      </c>
      <c r="R27" s="4">
        <f>資金繰り実績表!G24</f>
        <v>0</v>
      </c>
      <c r="S27" s="10">
        <f t="shared" si="5"/>
        <v>0</v>
      </c>
      <c r="T27" s="4">
        <f>前年度資金繰り実績表!H24</f>
        <v>0</v>
      </c>
      <c r="U27" s="4">
        <f>資金繰り実績表!H24</f>
        <v>0</v>
      </c>
      <c r="V27" s="4">
        <f t="shared" si="6"/>
        <v>0</v>
      </c>
      <c r="W27" s="4">
        <f>前年度資金繰り実績表!I24</f>
        <v>0</v>
      </c>
      <c r="X27" s="4">
        <f>資金繰り実績表!I24</f>
        <v>0</v>
      </c>
      <c r="Y27" s="10">
        <f t="shared" si="7"/>
        <v>0</v>
      </c>
      <c r="Z27" s="4">
        <f>前年度資金繰り実績表!J24</f>
        <v>0</v>
      </c>
      <c r="AA27" s="4">
        <f>資金繰り実績表!J24</f>
        <v>0</v>
      </c>
      <c r="AB27" s="4">
        <f t="shared" si="8"/>
        <v>0</v>
      </c>
      <c r="AC27" s="4">
        <f>前年度資金繰り実績表!K24</f>
        <v>0</v>
      </c>
      <c r="AD27" s="4">
        <f>資金繰り実績表!K24</f>
        <v>0</v>
      </c>
      <c r="AE27" s="10">
        <f t="shared" si="9"/>
        <v>0</v>
      </c>
      <c r="AF27" s="4">
        <f>前年度資金繰り実績表!L24</f>
        <v>0</v>
      </c>
      <c r="AG27" s="4">
        <f>資金繰り実績表!L24</f>
        <v>0</v>
      </c>
      <c r="AH27" s="4">
        <f t="shared" si="10"/>
        <v>0</v>
      </c>
      <c r="AI27" s="4">
        <f>前年度資金繰り実績表!M24</f>
        <v>0</v>
      </c>
      <c r="AJ27" s="4">
        <f>資金繰り実績表!M24</f>
        <v>0</v>
      </c>
      <c r="AK27" s="4">
        <f t="shared" si="11"/>
        <v>0</v>
      </c>
    </row>
    <row r="28" spans="1:37" ht="15.75" customHeight="1">
      <c r="A28" s="6" t="s">
        <v>50</v>
      </c>
      <c r="B28" s="5">
        <f t="shared" ref="B28:C28" si="24">SUM(B7:B27)</f>
        <v>8421535</v>
      </c>
      <c r="C28" s="5">
        <f t="shared" si="24"/>
        <v>59013480</v>
      </c>
      <c r="D28" s="11">
        <f t="shared" si="0"/>
        <v>50591945</v>
      </c>
      <c r="E28" s="5">
        <f t="shared" ref="E28:F28" si="25">SUM(E7:E27)</f>
        <v>5150028</v>
      </c>
      <c r="F28" s="5">
        <f t="shared" si="25"/>
        <v>34218636</v>
      </c>
      <c r="G28" s="11">
        <f t="shared" si="1"/>
        <v>29068608</v>
      </c>
      <c r="H28" s="5">
        <f t="shared" ref="H28:I28" si="26">SUM(H7:H27)</f>
        <v>5439819</v>
      </c>
      <c r="I28" s="5">
        <f t="shared" si="26"/>
        <v>29275286</v>
      </c>
      <c r="J28" s="11">
        <f t="shared" si="2"/>
        <v>23835467</v>
      </c>
      <c r="K28" s="5">
        <f t="shared" ref="K28:L28" si="27">SUM(K7:K27)</f>
        <v>7482740</v>
      </c>
      <c r="L28" s="5">
        <f t="shared" si="27"/>
        <v>34847080</v>
      </c>
      <c r="M28" s="11">
        <f t="shared" si="3"/>
        <v>27364340</v>
      </c>
      <c r="N28" s="5">
        <f t="shared" ref="N28:O28" si="28">SUM(N7:N27)</f>
        <v>4864443</v>
      </c>
      <c r="O28" s="5">
        <f t="shared" si="28"/>
        <v>34264371</v>
      </c>
      <c r="P28" s="5">
        <f t="shared" si="4"/>
        <v>29399928</v>
      </c>
      <c r="Q28" s="5">
        <f t="shared" ref="Q28:R28" si="29">SUM(Q7:Q27)</f>
        <v>6339798</v>
      </c>
      <c r="R28" s="5">
        <f t="shared" si="29"/>
        <v>42286223</v>
      </c>
      <c r="S28" s="11">
        <f t="shared" si="5"/>
        <v>35946425</v>
      </c>
      <c r="T28" s="5">
        <f t="shared" ref="T28:U28" si="30">SUM(T7:T27)</f>
        <v>6560854</v>
      </c>
      <c r="U28" s="5">
        <f t="shared" si="30"/>
        <v>41084750</v>
      </c>
      <c r="V28" s="5">
        <f t="shared" si="6"/>
        <v>34523896</v>
      </c>
      <c r="W28" s="5">
        <f t="shared" ref="W28:X28" si="31">SUM(W7:W27)</f>
        <v>6230367</v>
      </c>
      <c r="X28" s="5">
        <f t="shared" si="31"/>
        <v>36370470</v>
      </c>
      <c r="Y28" s="11">
        <f t="shared" si="7"/>
        <v>30140103</v>
      </c>
      <c r="Z28" s="5">
        <f t="shared" ref="Z28:AA28" si="32">SUM(Z7:Z27)</f>
        <v>5576654</v>
      </c>
      <c r="AA28" s="5">
        <f t="shared" si="32"/>
        <v>28461733</v>
      </c>
      <c r="AB28" s="5">
        <f t="shared" si="8"/>
        <v>22885079</v>
      </c>
      <c r="AC28" s="5">
        <f t="shared" ref="AC28:AD28" si="33">SUM(AC7:AC27)</f>
        <v>6096519</v>
      </c>
      <c r="AD28" s="5">
        <f t="shared" si="33"/>
        <v>0</v>
      </c>
      <c r="AE28" s="11">
        <f t="shared" si="9"/>
        <v>-6096519</v>
      </c>
      <c r="AF28" s="5">
        <f t="shared" ref="AF28:AG28" si="34">SUM(AF7:AF27)</f>
        <v>5911361</v>
      </c>
      <c r="AG28" s="5">
        <f t="shared" si="34"/>
        <v>0</v>
      </c>
      <c r="AH28" s="5">
        <f t="shared" si="10"/>
        <v>-5911361</v>
      </c>
      <c r="AI28" s="5">
        <f t="shared" ref="AI28:AJ28" si="35">SUM(AI7:AI27)</f>
        <v>6351589</v>
      </c>
      <c r="AJ28" s="5">
        <f t="shared" si="35"/>
        <v>0</v>
      </c>
      <c r="AK28" s="5">
        <f t="shared" si="11"/>
        <v>-6351589</v>
      </c>
    </row>
    <row r="29" spans="1:37" ht="15.75" customHeight="1">
      <c r="A29" s="6" t="s">
        <v>51</v>
      </c>
      <c r="B29" s="5">
        <f t="shared" ref="B29:C29" si="36">B6-B28</f>
        <v>-2953867</v>
      </c>
      <c r="C29" s="5">
        <f t="shared" si="36"/>
        <v>-4446942</v>
      </c>
      <c r="D29" s="11">
        <f t="shared" si="0"/>
        <v>-1493075</v>
      </c>
      <c r="E29" s="5">
        <f t="shared" ref="E29:F29" si="37">E6-E28</f>
        <v>91738</v>
      </c>
      <c r="F29" s="5">
        <f t="shared" si="37"/>
        <v>2902793</v>
      </c>
      <c r="G29" s="11">
        <f t="shared" si="1"/>
        <v>2811055</v>
      </c>
      <c r="H29" s="5">
        <f t="shared" ref="H29:I29" si="38">H6-H28</f>
        <v>542337</v>
      </c>
      <c r="I29" s="5">
        <f t="shared" si="38"/>
        <v>-1270137</v>
      </c>
      <c r="J29" s="11">
        <f t="shared" si="2"/>
        <v>-1812474</v>
      </c>
      <c r="K29" s="5">
        <f t="shared" ref="K29:L29" si="39">K6-K28</f>
        <v>-1383416</v>
      </c>
      <c r="L29" s="5">
        <f t="shared" si="39"/>
        <v>6134477</v>
      </c>
      <c r="M29" s="11">
        <f t="shared" si="3"/>
        <v>7517893</v>
      </c>
      <c r="N29" s="5">
        <f t="shared" ref="N29:O29" si="40">N6-N28</f>
        <v>1015094</v>
      </c>
      <c r="O29" s="5">
        <f t="shared" si="40"/>
        <v>-1490466</v>
      </c>
      <c r="P29" s="5">
        <f t="shared" si="4"/>
        <v>-2505560</v>
      </c>
      <c r="Q29" s="5">
        <f t="shared" ref="Q29:R29" si="41">Q6-Q28</f>
        <v>298355</v>
      </c>
      <c r="R29" s="5">
        <f t="shared" si="41"/>
        <v>-14547862</v>
      </c>
      <c r="S29" s="11">
        <f t="shared" si="5"/>
        <v>-14846217</v>
      </c>
      <c r="T29" s="5">
        <f t="shared" ref="T29:U29" si="42">T6-T28</f>
        <v>-242482</v>
      </c>
      <c r="U29" s="5">
        <f t="shared" si="42"/>
        <v>13756336</v>
      </c>
      <c r="V29" s="5">
        <f t="shared" si="6"/>
        <v>13998818</v>
      </c>
      <c r="W29" s="5">
        <f t="shared" ref="W29:X29" si="43">W6-W28</f>
        <v>42906</v>
      </c>
      <c r="X29" s="5">
        <f t="shared" si="43"/>
        <v>15096779</v>
      </c>
      <c r="Y29" s="11">
        <f t="shared" si="7"/>
        <v>15053873</v>
      </c>
      <c r="Z29" s="5">
        <f t="shared" ref="Z29:AA29" si="44">Z6-Z28</f>
        <v>624837</v>
      </c>
      <c r="AA29" s="5">
        <f t="shared" si="44"/>
        <v>-9343102</v>
      </c>
      <c r="AB29" s="5">
        <f t="shared" si="8"/>
        <v>-9967939</v>
      </c>
      <c r="AC29" s="5">
        <f t="shared" ref="AC29:AD29" si="45">AC6-AC28</f>
        <v>2243375</v>
      </c>
      <c r="AD29" s="5">
        <f t="shared" si="45"/>
        <v>0</v>
      </c>
      <c r="AE29" s="11">
        <f t="shared" si="9"/>
        <v>-2243375</v>
      </c>
      <c r="AF29" s="5">
        <f t="shared" ref="AF29:AG29" si="46">AF6-AF28</f>
        <v>205798</v>
      </c>
      <c r="AG29" s="5">
        <f t="shared" si="46"/>
        <v>0</v>
      </c>
      <c r="AH29" s="5">
        <f t="shared" si="10"/>
        <v>-205798</v>
      </c>
      <c r="AI29" s="5">
        <f t="shared" ref="AI29:AJ29" si="47">AI6-AI28</f>
        <v>-217529</v>
      </c>
      <c r="AJ29" s="5">
        <f t="shared" si="47"/>
        <v>0</v>
      </c>
      <c r="AK29" s="5">
        <f t="shared" si="11"/>
        <v>217529</v>
      </c>
    </row>
    <row r="30" spans="1:37" ht="15.75" customHeight="1">
      <c r="A30" s="3" t="s">
        <v>24</v>
      </c>
      <c r="B30" s="4">
        <f>前年度資金繰り実績表!B24</f>
        <v>0</v>
      </c>
      <c r="C30" s="4">
        <f>資金繰り実績表!B24</f>
        <v>0</v>
      </c>
      <c r="D30" s="10">
        <f t="shared" si="0"/>
        <v>0</v>
      </c>
      <c r="E30" s="4">
        <f>前年度資金繰り実績表!C24</f>
        <v>0</v>
      </c>
      <c r="F30" s="4">
        <f>資金繰り実績表!C24</f>
        <v>0</v>
      </c>
      <c r="G30" s="10">
        <f t="shared" si="1"/>
        <v>0</v>
      </c>
      <c r="H30" s="4">
        <f>前年度資金繰り実績表!D24</f>
        <v>0</v>
      </c>
      <c r="I30" s="4">
        <f>資金繰り実績表!D24</f>
        <v>0</v>
      </c>
      <c r="J30" s="10">
        <f t="shared" si="2"/>
        <v>0</v>
      </c>
      <c r="K30" s="4">
        <f>前年度資金繰り実績表!E24</f>
        <v>0</v>
      </c>
      <c r="L30" s="4">
        <f>資金繰り実績表!E25</f>
        <v>0</v>
      </c>
      <c r="M30" s="10">
        <f t="shared" si="3"/>
        <v>0</v>
      </c>
      <c r="N30" s="4">
        <f>前年度資金繰り実績表!F24</f>
        <v>0</v>
      </c>
      <c r="O30" s="4">
        <f>資金繰り実績表!F25</f>
        <v>0</v>
      </c>
      <c r="P30" s="4">
        <f t="shared" si="4"/>
        <v>0</v>
      </c>
      <c r="Q30" s="4">
        <f>前年度資金繰り実績表!G24</f>
        <v>0</v>
      </c>
      <c r="R30" s="4">
        <f>資金繰り実績表!G25</f>
        <v>0</v>
      </c>
      <c r="S30" s="10">
        <f t="shared" si="5"/>
        <v>0</v>
      </c>
      <c r="T30" s="4">
        <f>前年度資金繰り実績表!H24</f>
        <v>0</v>
      </c>
      <c r="U30" s="4">
        <f>資金繰り実績表!H25</f>
        <v>0</v>
      </c>
      <c r="V30" s="4">
        <f t="shared" si="6"/>
        <v>0</v>
      </c>
      <c r="W30" s="4">
        <f>前年度資金繰り実績表!I24</f>
        <v>0</v>
      </c>
      <c r="X30" s="4">
        <f>資金繰り実績表!I25</f>
        <v>0</v>
      </c>
      <c r="Y30" s="10">
        <f t="shared" si="7"/>
        <v>0</v>
      </c>
      <c r="Z30" s="4">
        <f>前年度資金繰り実績表!J24</f>
        <v>0</v>
      </c>
      <c r="AA30" s="4">
        <f>資金繰り実績表!J25</f>
        <v>0</v>
      </c>
      <c r="AB30" s="4">
        <f t="shared" si="8"/>
        <v>0</v>
      </c>
      <c r="AC30" s="4">
        <f>前年度資金繰り実績表!K24</f>
        <v>0</v>
      </c>
      <c r="AD30" s="4">
        <f>資金繰り実績表!K25</f>
        <v>0</v>
      </c>
      <c r="AE30" s="10">
        <f t="shared" si="9"/>
        <v>0</v>
      </c>
      <c r="AF30" s="4">
        <f>前年度資金繰り実績表!L24</f>
        <v>0</v>
      </c>
      <c r="AG30" s="4">
        <f>資金繰り実績表!L25</f>
        <v>0</v>
      </c>
      <c r="AH30" s="4">
        <f t="shared" si="10"/>
        <v>0</v>
      </c>
      <c r="AI30" s="4">
        <f>前年度資金繰り実績表!M24</f>
        <v>0</v>
      </c>
      <c r="AJ30" s="4">
        <f>資金繰り実績表!M25</f>
        <v>0</v>
      </c>
      <c r="AK30" s="4">
        <f t="shared" si="11"/>
        <v>0</v>
      </c>
    </row>
    <row r="31" spans="1:37" ht="15.75" customHeight="1">
      <c r="A31" s="3" t="s">
        <v>25</v>
      </c>
      <c r="B31" s="4">
        <f>前年度資金繰り実績表!B25</f>
        <v>0</v>
      </c>
      <c r="C31" s="4">
        <f>資金繰り実績表!B25</f>
        <v>0</v>
      </c>
      <c r="D31" s="10">
        <f t="shared" si="0"/>
        <v>0</v>
      </c>
      <c r="E31" s="4">
        <f>前年度資金繰り実績表!C25</f>
        <v>0</v>
      </c>
      <c r="F31" s="4">
        <f>資金繰り実績表!C25</f>
        <v>0</v>
      </c>
      <c r="G31" s="10">
        <f t="shared" si="1"/>
        <v>0</v>
      </c>
      <c r="H31" s="4">
        <f>前年度資金繰り実績表!D25</f>
        <v>0</v>
      </c>
      <c r="I31" s="4">
        <f>資金繰り実績表!D25</f>
        <v>0</v>
      </c>
      <c r="J31" s="10">
        <f t="shared" si="2"/>
        <v>0</v>
      </c>
      <c r="K31" s="4">
        <f>前年度資金繰り実績表!E25</f>
        <v>0</v>
      </c>
      <c r="L31" s="4">
        <f>資金繰り実績表!E26</f>
        <v>0</v>
      </c>
      <c r="M31" s="10">
        <f>L30-K31</f>
        <v>0</v>
      </c>
      <c r="N31" s="4">
        <f>前年度資金繰り実績表!F25</f>
        <v>0</v>
      </c>
      <c r="O31" s="4">
        <f>資金繰り実績表!F26</f>
        <v>0</v>
      </c>
      <c r="P31" s="4">
        <f>O30-N31</f>
        <v>0</v>
      </c>
      <c r="Q31" s="4">
        <f>前年度資金繰り実績表!G25</f>
        <v>0</v>
      </c>
      <c r="R31" s="4">
        <f>資金繰り実績表!G26</f>
        <v>0</v>
      </c>
      <c r="S31" s="10">
        <f>R30-Q31</f>
        <v>0</v>
      </c>
      <c r="T31" s="4">
        <f>前年度資金繰り実績表!H25</f>
        <v>0</v>
      </c>
      <c r="U31" s="4">
        <f>資金繰り実績表!H26</f>
        <v>0</v>
      </c>
      <c r="V31" s="4">
        <f>U30-T31</f>
        <v>0</v>
      </c>
      <c r="W31" s="4">
        <f>前年度資金繰り実績表!I25</f>
        <v>0</v>
      </c>
      <c r="X31" s="4">
        <f>資金繰り実績表!I26</f>
        <v>0</v>
      </c>
      <c r="Y31" s="10">
        <f>X30-W31</f>
        <v>0</v>
      </c>
      <c r="Z31" s="4">
        <f>前年度資金繰り実績表!J25</f>
        <v>0</v>
      </c>
      <c r="AA31" s="4">
        <f>資金繰り実績表!J26</f>
        <v>0</v>
      </c>
      <c r="AB31" s="4">
        <f>AA30-Z31</f>
        <v>0</v>
      </c>
      <c r="AC31" s="4">
        <f>前年度資金繰り実績表!K25</f>
        <v>0</v>
      </c>
      <c r="AD31" s="4">
        <f>資金繰り実績表!K26</f>
        <v>0</v>
      </c>
      <c r="AE31" s="10">
        <f>AD30-AC31</f>
        <v>0</v>
      </c>
      <c r="AF31" s="4">
        <f>前年度資金繰り実績表!L25</f>
        <v>0</v>
      </c>
      <c r="AG31" s="4">
        <f>資金繰り実績表!L26</f>
        <v>0</v>
      </c>
      <c r="AH31" s="4">
        <f>AG30-AF31</f>
        <v>0</v>
      </c>
      <c r="AI31" s="4">
        <f>前年度資金繰り実績表!M25</f>
        <v>0</v>
      </c>
      <c r="AJ31" s="4">
        <f>資金繰り実績表!M26</f>
        <v>0</v>
      </c>
      <c r="AK31" s="4">
        <f>AJ30-AI31</f>
        <v>0</v>
      </c>
    </row>
    <row r="32" spans="1:37" ht="15.75" customHeight="1">
      <c r="A32" s="3" t="s">
        <v>26</v>
      </c>
      <c r="B32" s="4">
        <f>前年度資金繰り実績表!B26</f>
        <v>0</v>
      </c>
      <c r="C32" s="4">
        <f>資金繰り実績表!B26</f>
        <v>0</v>
      </c>
      <c r="D32" s="10">
        <f t="shared" si="0"/>
        <v>0</v>
      </c>
      <c r="E32" s="4">
        <f>前年度資金繰り実績表!C26</f>
        <v>0</v>
      </c>
      <c r="F32" s="4">
        <f>資金繰り実績表!C26</f>
        <v>0</v>
      </c>
      <c r="G32" s="10">
        <f t="shared" si="1"/>
        <v>0</v>
      </c>
      <c r="H32" s="4">
        <f>前年度資金繰り実績表!D26</f>
        <v>0</v>
      </c>
      <c r="I32" s="4">
        <f>資金繰り実績表!D26</f>
        <v>0</v>
      </c>
      <c r="J32" s="10">
        <f t="shared" si="2"/>
        <v>0</v>
      </c>
      <c r="K32" s="4">
        <f>前年度資金繰り実績表!E26</f>
        <v>0</v>
      </c>
      <c r="L32" s="4">
        <f>資金繰り実績表!E27</f>
        <v>600000</v>
      </c>
      <c r="M32" s="10">
        <f t="shared" ref="M32:M52" si="48">L32-K32</f>
        <v>600000</v>
      </c>
      <c r="N32" s="4">
        <f>前年度資金繰り実績表!F26</f>
        <v>0</v>
      </c>
      <c r="O32" s="4">
        <f>資金繰り実績表!F27</f>
        <v>152000</v>
      </c>
      <c r="P32" s="4">
        <f t="shared" ref="P32:P52" si="49">O32-N32</f>
        <v>152000</v>
      </c>
      <c r="Q32" s="4">
        <f>前年度資金繰り実績表!G26</f>
        <v>0</v>
      </c>
      <c r="R32" s="4">
        <f>資金繰り実績表!G27</f>
        <v>0</v>
      </c>
      <c r="S32" s="10">
        <f t="shared" ref="S32:S52" si="50">R32-Q32</f>
        <v>0</v>
      </c>
      <c r="T32" s="4">
        <f>前年度資金繰り実績表!H26</f>
        <v>0</v>
      </c>
      <c r="U32" s="4">
        <f>資金繰り実績表!H27</f>
        <v>0</v>
      </c>
      <c r="V32" s="4">
        <f t="shared" ref="V32:V52" si="51">U32-T32</f>
        <v>0</v>
      </c>
      <c r="W32" s="4">
        <f>前年度資金繰り実績表!I26</f>
        <v>0</v>
      </c>
      <c r="X32" s="4">
        <f>資金繰り実績表!I27</f>
        <v>0</v>
      </c>
      <c r="Y32" s="10">
        <f t="shared" ref="Y32:Y52" si="52">X32-W32</f>
        <v>0</v>
      </c>
      <c r="Z32" s="4">
        <f>前年度資金繰り実績表!J26</f>
        <v>0</v>
      </c>
      <c r="AA32" s="4">
        <f>資金繰り実績表!J27</f>
        <v>0</v>
      </c>
      <c r="AB32" s="4">
        <f t="shared" ref="AB32:AB52" si="53">AA32-Z32</f>
        <v>0</v>
      </c>
      <c r="AC32" s="4">
        <f>前年度資金繰り実績表!K26</f>
        <v>0</v>
      </c>
      <c r="AD32" s="4">
        <f>資金繰り実績表!K27</f>
        <v>0</v>
      </c>
      <c r="AE32" s="10">
        <f t="shared" ref="AE32:AE52" si="54">AD32-AC32</f>
        <v>0</v>
      </c>
      <c r="AF32" s="4">
        <f>前年度資金繰り実績表!L26</f>
        <v>0</v>
      </c>
      <c r="AG32" s="4">
        <f>資金繰り実績表!L27</f>
        <v>0</v>
      </c>
      <c r="AH32" s="4">
        <f t="shared" ref="AH32:AH52" si="55">AG32-AF32</f>
        <v>0</v>
      </c>
      <c r="AI32" s="4">
        <f>前年度資金繰り実績表!M26</f>
        <v>0</v>
      </c>
      <c r="AJ32" s="4">
        <f>資金繰り実績表!M27</f>
        <v>0</v>
      </c>
      <c r="AK32" s="4">
        <f t="shared" ref="AK32:AK52" si="56">AJ32-AI32</f>
        <v>0</v>
      </c>
    </row>
    <row r="33" spans="1:37" ht="15.75" customHeight="1">
      <c r="A33" s="3" t="s">
        <v>27</v>
      </c>
      <c r="B33" s="4">
        <f>前年度資金繰り実績表!B27</f>
        <v>0</v>
      </c>
      <c r="C33" s="4">
        <f>資金繰り実績表!B27</f>
        <v>0</v>
      </c>
      <c r="D33" s="10">
        <f t="shared" si="0"/>
        <v>0</v>
      </c>
      <c r="E33" s="4">
        <f>前年度資金繰り実績表!C27</f>
        <v>0</v>
      </c>
      <c r="F33" s="4">
        <f>資金繰り実績表!C27</f>
        <v>0</v>
      </c>
      <c r="G33" s="10">
        <f t="shared" si="1"/>
        <v>0</v>
      </c>
      <c r="H33" s="4">
        <f>前年度資金繰り実績表!D27</f>
        <v>0</v>
      </c>
      <c r="I33" s="4">
        <f>資金繰り実績表!D27</f>
        <v>72000</v>
      </c>
      <c r="J33" s="10">
        <f t="shared" si="2"/>
        <v>72000</v>
      </c>
      <c r="K33" s="4">
        <f>前年度資金繰り実績表!E27</f>
        <v>0</v>
      </c>
      <c r="L33" s="4">
        <f>資金繰り実績表!E28</f>
        <v>0</v>
      </c>
      <c r="M33" s="10">
        <f t="shared" si="48"/>
        <v>0</v>
      </c>
      <c r="N33" s="4">
        <f>前年度資金繰り実績表!F27</f>
        <v>0</v>
      </c>
      <c r="O33" s="4">
        <f>資金繰り実績表!F28</f>
        <v>0</v>
      </c>
      <c r="P33" s="4">
        <f t="shared" si="49"/>
        <v>0</v>
      </c>
      <c r="Q33" s="4">
        <f>前年度資金繰り実績表!G27</f>
        <v>36300</v>
      </c>
      <c r="R33" s="4">
        <f>資金繰り実績表!G28</f>
        <v>0</v>
      </c>
      <c r="S33" s="10">
        <f t="shared" si="50"/>
        <v>-36300</v>
      </c>
      <c r="T33" s="4">
        <f>前年度資金繰り実績表!H27</f>
        <v>30833</v>
      </c>
      <c r="U33" s="4">
        <f>資金繰り実績表!H28</f>
        <v>0</v>
      </c>
      <c r="V33" s="4">
        <f t="shared" si="51"/>
        <v>-30833</v>
      </c>
      <c r="W33" s="4">
        <f>前年度資金繰り実績表!I27</f>
        <v>24600</v>
      </c>
      <c r="X33" s="4">
        <f>資金繰り実績表!I28</f>
        <v>0</v>
      </c>
      <c r="Y33" s="10">
        <f t="shared" si="52"/>
        <v>-24600</v>
      </c>
      <c r="Z33" s="4">
        <f>前年度資金繰り実績表!J27</f>
        <v>0</v>
      </c>
      <c r="AA33" s="4">
        <f>資金繰り実績表!J28</f>
        <v>0</v>
      </c>
      <c r="AB33" s="4">
        <f t="shared" si="53"/>
        <v>0</v>
      </c>
      <c r="AC33" s="4">
        <f>前年度資金繰り実績表!K27</f>
        <v>0</v>
      </c>
      <c r="AD33" s="4">
        <f>資金繰り実績表!K28</f>
        <v>0</v>
      </c>
      <c r="AE33" s="10">
        <f t="shared" si="54"/>
        <v>0</v>
      </c>
      <c r="AF33" s="4">
        <f>前年度資金繰り実績表!L27</f>
        <v>0</v>
      </c>
      <c r="AG33" s="4">
        <f>資金繰り実績表!L28</f>
        <v>0</v>
      </c>
      <c r="AH33" s="4">
        <f t="shared" si="55"/>
        <v>0</v>
      </c>
      <c r="AI33" s="4">
        <f>前年度資金繰り実績表!M27</f>
        <v>0</v>
      </c>
      <c r="AJ33" s="4">
        <f>資金繰り実績表!M28</f>
        <v>0</v>
      </c>
      <c r="AK33" s="4">
        <f t="shared" si="56"/>
        <v>0</v>
      </c>
    </row>
    <row r="34" spans="1:37" ht="15.75" customHeight="1">
      <c r="A34" s="6" t="s">
        <v>52</v>
      </c>
      <c r="B34" s="5">
        <f t="shared" ref="B34:C34" si="57">SUM(B30:B33)</f>
        <v>0</v>
      </c>
      <c r="C34" s="5">
        <f t="shared" si="57"/>
        <v>0</v>
      </c>
      <c r="D34" s="11">
        <f t="shared" si="0"/>
        <v>0</v>
      </c>
      <c r="E34" s="5">
        <f t="shared" ref="E34:F34" si="58">SUM(E30:E33)</f>
        <v>0</v>
      </c>
      <c r="F34" s="5">
        <f t="shared" si="58"/>
        <v>0</v>
      </c>
      <c r="G34" s="11">
        <f t="shared" si="1"/>
        <v>0</v>
      </c>
      <c r="H34" s="5">
        <f t="shared" ref="H34:I34" si="59">SUM(H30:H33)</f>
        <v>0</v>
      </c>
      <c r="I34" s="5">
        <f t="shared" si="59"/>
        <v>72000</v>
      </c>
      <c r="J34" s="11">
        <f t="shared" si="2"/>
        <v>72000</v>
      </c>
      <c r="K34" s="5">
        <f t="shared" ref="K34:L34" si="60">SUM(K30:K33)</f>
        <v>0</v>
      </c>
      <c r="L34" s="5">
        <f t="shared" si="60"/>
        <v>600000</v>
      </c>
      <c r="M34" s="11">
        <f t="shared" si="48"/>
        <v>600000</v>
      </c>
      <c r="N34" s="5">
        <f t="shared" ref="N34:O34" si="61">SUM(N30:N33)</f>
        <v>0</v>
      </c>
      <c r="O34" s="5">
        <f t="shared" si="61"/>
        <v>152000</v>
      </c>
      <c r="P34" s="5">
        <f t="shared" si="49"/>
        <v>152000</v>
      </c>
      <c r="Q34" s="5">
        <f t="shared" ref="Q34:R34" si="62">SUM(Q30:Q33)</f>
        <v>36300</v>
      </c>
      <c r="R34" s="5">
        <f t="shared" si="62"/>
        <v>0</v>
      </c>
      <c r="S34" s="11">
        <f t="shared" si="50"/>
        <v>-36300</v>
      </c>
      <c r="T34" s="5">
        <f t="shared" ref="T34:U34" si="63">SUM(T30:T33)</f>
        <v>30833</v>
      </c>
      <c r="U34" s="5">
        <f t="shared" si="63"/>
        <v>0</v>
      </c>
      <c r="V34" s="5">
        <f t="shared" si="51"/>
        <v>-30833</v>
      </c>
      <c r="W34" s="5">
        <f t="shared" ref="W34:X34" si="64">SUM(W30:W33)</f>
        <v>24600</v>
      </c>
      <c r="X34" s="5">
        <f t="shared" si="64"/>
        <v>0</v>
      </c>
      <c r="Y34" s="11">
        <f t="shared" si="52"/>
        <v>-24600</v>
      </c>
      <c r="Z34" s="5">
        <f t="shared" ref="Z34:AA34" si="65">SUM(Z30:Z33)</f>
        <v>0</v>
      </c>
      <c r="AA34" s="5">
        <f t="shared" si="65"/>
        <v>0</v>
      </c>
      <c r="AB34" s="5">
        <f t="shared" si="53"/>
        <v>0</v>
      </c>
      <c r="AC34" s="5">
        <f t="shared" ref="AC34:AD34" si="66">SUM(AC30:AC33)</f>
        <v>0</v>
      </c>
      <c r="AD34" s="5">
        <f t="shared" si="66"/>
        <v>0</v>
      </c>
      <c r="AE34" s="11">
        <f t="shared" si="54"/>
        <v>0</v>
      </c>
      <c r="AF34" s="5">
        <f t="shared" ref="AF34:AG34" si="67">SUM(AF30:AF33)</f>
        <v>0</v>
      </c>
      <c r="AG34" s="5">
        <f t="shared" si="67"/>
        <v>0</v>
      </c>
      <c r="AH34" s="5">
        <f t="shared" si="55"/>
        <v>0</v>
      </c>
      <c r="AI34" s="5">
        <f t="shared" ref="AI34:AJ34" si="68">SUM(AI30:AI33)</f>
        <v>0</v>
      </c>
      <c r="AJ34" s="5">
        <f t="shared" si="68"/>
        <v>0</v>
      </c>
      <c r="AK34" s="5">
        <f t="shared" si="56"/>
        <v>0</v>
      </c>
    </row>
    <row r="35" spans="1:37" ht="15.75" customHeight="1">
      <c r="A35" s="3" t="s">
        <v>28</v>
      </c>
      <c r="B35" s="4">
        <f>前年度資金繰り実績表!B28</f>
        <v>0</v>
      </c>
      <c r="C35" s="4">
        <f>資金繰り実績表!B28</f>
        <v>0</v>
      </c>
      <c r="D35" s="10">
        <f t="shared" si="0"/>
        <v>0</v>
      </c>
      <c r="E35" s="4">
        <f>前年度資金繰り実績表!C28</f>
        <v>0</v>
      </c>
      <c r="F35" s="4">
        <f>資金繰り実績表!C28</f>
        <v>0</v>
      </c>
      <c r="G35" s="10">
        <f t="shared" si="1"/>
        <v>0</v>
      </c>
      <c r="H35" s="4">
        <f>前年度資金繰り実績表!D28</f>
        <v>0</v>
      </c>
      <c r="I35" s="4">
        <f>資金繰り実績表!D28</f>
        <v>0</v>
      </c>
      <c r="J35" s="10">
        <f t="shared" si="2"/>
        <v>0</v>
      </c>
      <c r="K35" s="4">
        <f>前年度資金繰り実績表!E28</f>
        <v>0</v>
      </c>
      <c r="L35" s="4">
        <f>資金繰り実績表!E28</f>
        <v>0</v>
      </c>
      <c r="M35" s="10">
        <f t="shared" si="48"/>
        <v>0</v>
      </c>
      <c r="N35" s="4">
        <f>前年度資金繰り実績表!F28</f>
        <v>0</v>
      </c>
      <c r="O35" s="4">
        <f>資金繰り実績表!F28</f>
        <v>0</v>
      </c>
      <c r="P35" s="4">
        <f t="shared" si="49"/>
        <v>0</v>
      </c>
      <c r="Q35" s="4">
        <f>前年度資金繰り実績表!G28</f>
        <v>0</v>
      </c>
      <c r="R35" s="4">
        <f>資金繰り実績表!G28</f>
        <v>0</v>
      </c>
      <c r="S35" s="10">
        <f t="shared" si="50"/>
        <v>0</v>
      </c>
      <c r="T35" s="4">
        <f>前年度資金繰り実績表!H28</f>
        <v>0</v>
      </c>
      <c r="U35" s="4">
        <f>資金繰り実績表!H28</f>
        <v>0</v>
      </c>
      <c r="V35" s="4">
        <f t="shared" si="51"/>
        <v>0</v>
      </c>
      <c r="W35" s="4">
        <f>前年度資金繰り実績表!I28</f>
        <v>0</v>
      </c>
      <c r="X35" s="4">
        <f>資金繰り実績表!I28</f>
        <v>0</v>
      </c>
      <c r="Y35" s="10">
        <f t="shared" si="52"/>
        <v>0</v>
      </c>
      <c r="Z35" s="4">
        <f>前年度資金繰り実績表!J28</f>
        <v>0</v>
      </c>
      <c r="AA35" s="4">
        <f>資金繰り実績表!J28</f>
        <v>0</v>
      </c>
      <c r="AB35" s="4">
        <f t="shared" si="53"/>
        <v>0</v>
      </c>
      <c r="AC35" s="4">
        <f>前年度資金繰り実績表!K28</f>
        <v>0</v>
      </c>
      <c r="AD35" s="4">
        <f>資金繰り実績表!K28</f>
        <v>0</v>
      </c>
      <c r="AE35" s="10">
        <f t="shared" si="54"/>
        <v>0</v>
      </c>
      <c r="AF35" s="4">
        <f>前年度資金繰り実績表!L28</f>
        <v>0</v>
      </c>
      <c r="AG35" s="4">
        <f>資金繰り実績表!L28</f>
        <v>0</v>
      </c>
      <c r="AH35" s="4">
        <f t="shared" si="55"/>
        <v>0</v>
      </c>
      <c r="AI35" s="4">
        <f>前年度資金繰り実績表!M28</f>
        <v>0</v>
      </c>
      <c r="AJ35" s="4">
        <f>資金繰り実績表!M28</f>
        <v>0</v>
      </c>
      <c r="AK35" s="4">
        <f t="shared" si="56"/>
        <v>0</v>
      </c>
    </row>
    <row r="36" spans="1:37" ht="15.75" customHeight="1">
      <c r="A36" s="3" t="s">
        <v>29</v>
      </c>
      <c r="B36" s="4">
        <f>前年度資金繰り実績表!B29</f>
        <v>0</v>
      </c>
      <c r="C36" s="4">
        <f>資金繰り実績表!B29</f>
        <v>0</v>
      </c>
      <c r="D36" s="10">
        <f t="shared" si="0"/>
        <v>0</v>
      </c>
      <c r="E36" s="4">
        <f>前年度資金繰り実績表!C29</f>
        <v>0</v>
      </c>
      <c r="F36" s="4">
        <f>資金繰り実績表!C29</f>
        <v>0</v>
      </c>
      <c r="G36" s="10">
        <f t="shared" si="1"/>
        <v>0</v>
      </c>
      <c r="H36" s="4">
        <f>前年度資金繰り実績表!D29</f>
        <v>0</v>
      </c>
      <c r="I36" s="4">
        <f>資金繰り実績表!D29</f>
        <v>0</v>
      </c>
      <c r="J36" s="10">
        <f t="shared" si="2"/>
        <v>0</v>
      </c>
      <c r="K36" s="4">
        <f>前年度資金繰り実績表!E29</f>
        <v>0</v>
      </c>
      <c r="L36" s="4">
        <f>資金繰り実績表!E29</f>
        <v>0</v>
      </c>
      <c r="M36" s="10">
        <f t="shared" si="48"/>
        <v>0</v>
      </c>
      <c r="N36" s="4">
        <f>前年度資金繰り実績表!F29</f>
        <v>0</v>
      </c>
      <c r="O36" s="4">
        <f>資金繰り実績表!F29</f>
        <v>0</v>
      </c>
      <c r="P36" s="4">
        <f t="shared" si="49"/>
        <v>0</v>
      </c>
      <c r="Q36" s="4">
        <f>前年度資金繰り実績表!G29</f>
        <v>0</v>
      </c>
      <c r="R36" s="4">
        <f>資金繰り実績表!G29</f>
        <v>0</v>
      </c>
      <c r="S36" s="10">
        <f t="shared" si="50"/>
        <v>0</v>
      </c>
      <c r="T36" s="4">
        <f>前年度資金繰り実績表!H29</f>
        <v>0</v>
      </c>
      <c r="U36" s="4">
        <f>資金繰り実績表!H29</f>
        <v>0</v>
      </c>
      <c r="V36" s="4">
        <f t="shared" si="51"/>
        <v>0</v>
      </c>
      <c r="W36" s="4">
        <f>前年度資金繰り実績表!I29</f>
        <v>0</v>
      </c>
      <c r="X36" s="4">
        <f>資金繰り実績表!I29</f>
        <v>0</v>
      </c>
      <c r="Y36" s="10">
        <f t="shared" si="52"/>
        <v>0</v>
      </c>
      <c r="Z36" s="4">
        <f>前年度資金繰り実績表!J29</f>
        <v>0</v>
      </c>
      <c r="AA36" s="4">
        <f>資金繰り実績表!J29</f>
        <v>0</v>
      </c>
      <c r="AB36" s="4">
        <f t="shared" si="53"/>
        <v>0</v>
      </c>
      <c r="AC36" s="4">
        <f>前年度資金繰り実績表!K29</f>
        <v>0</v>
      </c>
      <c r="AD36" s="4">
        <f>資金繰り実績表!K29</f>
        <v>0</v>
      </c>
      <c r="AE36" s="10">
        <f t="shared" si="54"/>
        <v>0</v>
      </c>
      <c r="AF36" s="4">
        <f>前年度資金繰り実績表!L29</f>
        <v>0</v>
      </c>
      <c r="AG36" s="4">
        <f>資金繰り実績表!L29</f>
        <v>0</v>
      </c>
      <c r="AH36" s="4">
        <f t="shared" si="55"/>
        <v>0</v>
      </c>
      <c r="AI36" s="4">
        <f>前年度資金繰り実績表!M29</f>
        <v>0</v>
      </c>
      <c r="AJ36" s="4">
        <f>資金繰り実績表!M29</f>
        <v>0</v>
      </c>
      <c r="AK36" s="4">
        <f t="shared" si="56"/>
        <v>0</v>
      </c>
    </row>
    <row r="37" spans="1:37" ht="15.75" customHeight="1">
      <c r="A37" s="3" t="s">
        <v>31</v>
      </c>
      <c r="B37" s="4">
        <f>前年度資金繰り実績表!B30</f>
        <v>0</v>
      </c>
      <c r="C37" s="4">
        <f>資金繰り実績表!B30</f>
        <v>0</v>
      </c>
      <c r="D37" s="10">
        <f t="shared" si="0"/>
        <v>0</v>
      </c>
      <c r="E37" s="4">
        <f>前年度資金繰り実績表!C30</f>
        <v>0</v>
      </c>
      <c r="F37" s="4">
        <f>資金繰り実績表!C30</f>
        <v>0</v>
      </c>
      <c r="G37" s="10">
        <f t="shared" si="1"/>
        <v>0</v>
      </c>
      <c r="H37" s="4">
        <f>前年度資金繰り実績表!D30</f>
        <v>0</v>
      </c>
      <c r="I37" s="4">
        <f>資金繰り実績表!D30</f>
        <v>0</v>
      </c>
      <c r="J37" s="10">
        <f t="shared" si="2"/>
        <v>0</v>
      </c>
      <c r="K37" s="4">
        <f>前年度資金繰り実績表!E30</f>
        <v>0</v>
      </c>
      <c r="L37" s="4">
        <f>資金繰り実績表!E30</f>
        <v>0</v>
      </c>
      <c r="M37" s="10">
        <f t="shared" si="48"/>
        <v>0</v>
      </c>
      <c r="N37" s="4">
        <f>前年度資金繰り実績表!F30</f>
        <v>0</v>
      </c>
      <c r="O37" s="4">
        <f>資金繰り実績表!F30</f>
        <v>0</v>
      </c>
      <c r="P37" s="4">
        <f t="shared" si="49"/>
        <v>0</v>
      </c>
      <c r="Q37" s="4">
        <f>前年度資金繰り実績表!G30</f>
        <v>0</v>
      </c>
      <c r="R37" s="4">
        <f>資金繰り実績表!G30</f>
        <v>0</v>
      </c>
      <c r="S37" s="10">
        <f t="shared" si="50"/>
        <v>0</v>
      </c>
      <c r="T37" s="4">
        <f>前年度資金繰り実績表!H30</f>
        <v>0</v>
      </c>
      <c r="U37" s="4">
        <f>資金繰り実績表!H30</f>
        <v>0</v>
      </c>
      <c r="V37" s="4">
        <f t="shared" si="51"/>
        <v>0</v>
      </c>
      <c r="W37" s="4">
        <f>前年度資金繰り実績表!I30</f>
        <v>779200</v>
      </c>
      <c r="X37" s="4">
        <f>資金繰り実績表!I30</f>
        <v>0</v>
      </c>
      <c r="Y37" s="10">
        <f t="shared" si="52"/>
        <v>-779200</v>
      </c>
      <c r="Z37" s="4">
        <f>前年度資金繰り実績表!J30</f>
        <v>0</v>
      </c>
      <c r="AA37" s="4">
        <f>資金繰り実績表!J30</f>
        <v>0</v>
      </c>
      <c r="AB37" s="4">
        <f t="shared" si="53"/>
        <v>0</v>
      </c>
      <c r="AC37" s="4">
        <f>前年度資金繰り実績表!K30</f>
        <v>0</v>
      </c>
      <c r="AD37" s="4">
        <f>資金繰り実績表!K30</f>
        <v>0</v>
      </c>
      <c r="AE37" s="10">
        <f t="shared" si="54"/>
        <v>0</v>
      </c>
      <c r="AF37" s="4">
        <f>前年度資金繰り実績表!L30</f>
        <v>0</v>
      </c>
      <c r="AG37" s="4">
        <f>資金繰り実績表!L30</f>
        <v>0</v>
      </c>
      <c r="AH37" s="4">
        <f t="shared" si="55"/>
        <v>0</v>
      </c>
      <c r="AI37" s="4">
        <f>前年度資金繰り実績表!M30</f>
        <v>0</v>
      </c>
      <c r="AJ37" s="4">
        <f>資金繰り実績表!M30</f>
        <v>0</v>
      </c>
      <c r="AK37" s="4">
        <f t="shared" si="56"/>
        <v>0</v>
      </c>
    </row>
    <row r="38" spans="1:37" ht="15.75" customHeight="1">
      <c r="A38" s="6" t="s">
        <v>53</v>
      </c>
      <c r="B38" s="5">
        <f t="shared" ref="B38:C38" si="69">SUM(B35:B37)</f>
        <v>0</v>
      </c>
      <c r="C38" s="5">
        <f t="shared" si="69"/>
        <v>0</v>
      </c>
      <c r="D38" s="11">
        <f t="shared" si="0"/>
        <v>0</v>
      </c>
      <c r="E38" s="5">
        <f t="shared" ref="E38:F38" si="70">SUM(E35:E37)</f>
        <v>0</v>
      </c>
      <c r="F38" s="5">
        <f t="shared" si="70"/>
        <v>0</v>
      </c>
      <c r="G38" s="11">
        <f t="shared" si="1"/>
        <v>0</v>
      </c>
      <c r="H38" s="5">
        <f t="shared" ref="H38:I38" si="71">SUM(H35:H37)</f>
        <v>0</v>
      </c>
      <c r="I38" s="5">
        <f t="shared" si="71"/>
        <v>0</v>
      </c>
      <c r="J38" s="11">
        <f t="shared" si="2"/>
        <v>0</v>
      </c>
      <c r="K38" s="5">
        <f t="shared" ref="K38:L38" si="72">SUM(K35:K37)</f>
        <v>0</v>
      </c>
      <c r="L38" s="5">
        <f t="shared" si="72"/>
        <v>0</v>
      </c>
      <c r="M38" s="11">
        <f t="shared" si="48"/>
        <v>0</v>
      </c>
      <c r="N38" s="5">
        <f t="shared" ref="N38:O38" si="73">SUM(N35:N37)</f>
        <v>0</v>
      </c>
      <c r="O38" s="5">
        <f t="shared" si="73"/>
        <v>0</v>
      </c>
      <c r="P38" s="5">
        <f t="shared" si="49"/>
        <v>0</v>
      </c>
      <c r="Q38" s="5">
        <f t="shared" ref="Q38:R38" si="74">SUM(Q35:Q37)</f>
        <v>0</v>
      </c>
      <c r="R38" s="5">
        <f t="shared" si="74"/>
        <v>0</v>
      </c>
      <c r="S38" s="11">
        <f t="shared" si="50"/>
        <v>0</v>
      </c>
      <c r="T38" s="5">
        <f t="shared" ref="T38:U38" si="75">SUM(T35:T37)</f>
        <v>0</v>
      </c>
      <c r="U38" s="5">
        <f t="shared" si="75"/>
        <v>0</v>
      </c>
      <c r="V38" s="5">
        <f t="shared" si="51"/>
        <v>0</v>
      </c>
      <c r="W38" s="5">
        <f t="shared" ref="W38:X38" si="76">SUM(W35:W37)</f>
        <v>779200</v>
      </c>
      <c r="X38" s="5">
        <f t="shared" si="76"/>
        <v>0</v>
      </c>
      <c r="Y38" s="11">
        <f t="shared" si="52"/>
        <v>-779200</v>
      </c>
      <c r="Z38" s="5">
        <f t="shared" ref="Z38:AA38" si="77">SUM(Z35:Z37)</f>
        <v>0</v>
      </c>
      <c r="AA38" s="5">
        <f t="shared" si="77"/>
        <v>0</v>
      </c>
      <c r="AB38" s="5">
        <f t="shared" si="53"/>
        <v>0</v>
      </c>
      <c r="AC38" s="5">
        <f t="shared" ref="AC38:AD38" si="78">SUM(AC35:AC37)</f>
        <v>0</v>
      </c>
      <c r="AD38" s="5">
        <f t="shared" si="78"/>
        <v>0</v>
      </c>
      <c r="AE38" s="11">
        <f t="shared" si="54"/>
        <v>0</v>
      </c>
      <c r="AF38" s="5">
        <f t="shared" ref="AF38:AG38" si="79">SUM(AF35:AF37)</f>
        <v>0</v>
      </c>
      <c r="AG38" s="5">
        <f t="shared" si="79"/>
        <v>0</v>
      </c>
      <c r="AH38" s="5">
        <f t="shared" si="55"/>
        <v>0</v>
      </c>
      <c r="AI38" s="5">
        <f t="shared" ref="AI38:AJ38" si="80">SUM(AI35:AI37)</f>
        <v>0</v>
      </c>
      <c r="AJ38" s="5">
        <f t="shared" si="80"/>
        <v>0</v>
      </c>
      <c r="AK38" s="5">
        <f t="shared" si="56"/>
        <v>0</v>
      </c>
    </row>
    <row r="39" spans="1:37" ht="15.75" customHeight="1">
      <c r="A39" s="6" t="s">
        <v>54</v>
      </c>
      <c r="B39" s="5">
        <f t="shared" ref="B39:C39" si="81">B34-B38</f>
        <v>0</v>
      </c>
      <c r="C39" s="5">
        <f t="shared" si="81"/>
        <v>0</v>
      </c>
      <c r="D39" s="11">
        <f t="shared" si="0"/>
        <v>0</v>
      </c>
      <c r="E39" s="5">
        <f t="shared" ref="E39:F39" si="82">E34-E38</f>
        <v>0</v>
      </c>
      <c r="F39" s="5">
        <f t="shared" si="82"/>
        <v>0</v>
      </c>
      <c r="G39" s="11">
        <f t="shared" si="1"/>
        <v>0</v>
      </c>
      <c r="H39" s="5">
        <f t="shared" ref="H39:I39" si="83">H34-H38</f>
        <v>0</v>
      </c>
      <c r="I39" s="5">
        <f t="shared" si="83"/>
        <v>72000</v>
      </c>
      <c r="J39" s="11">
        <f t="shared" si="2"/>
        <v>72000</v>
      </c>
      <c r="K39" s="5">
        <f t="shared" ref="K39:L39" si="84">K34-K38</f>
        <v>0</v>
      </c>
      <c r="L39" s="5">
        <f t="shared" si="84"/>
        <v>600000</v>
      </c>
      <c r="M39" s="11">
        <f t="shared" si="48"/>
        <v>600000</v>
      </c>
      <c r="N39" s="5">
        <f t="shared" ref="N39:O39" si="85">N34-N38</f>
        <v>0</v>
      </c>
      <c r="O39" s="5">
        <f t="shared" si="85"/>
        <v>152000</v>
      </c>
      <c r="P39" s="5">
        <f t="shared" si="49"/>
        <v>152000</v>
      </c>
      <c r="Q39" s="5">
        <f t="shared" ref="Q39:R39" si="86">Q34-Q38</f>
        <v>36300</v>
      </c>
      <c r="R39" s="5">
        <f t="shared" si="86"/>
        <v>0</v>
      </c>
      <c r="S39" s="11">
        <f t="shared" si="50"/>
        <v>-36300</v>
      </c>
      <c r="T39" s="5">
        <f t="shared" ref="T39:U39" si="87">T34-T38</f>
        <v>30833</v>
      </c>
      <c r="U39" s="5">
        <f t="shared" si="87"/>
        <v>0</v>
      </c>
      <c r="V39" s="5">
        <f t="shared" si="51"/>
        <v>-30833</v>
      </c>
      <c r="W39" s="5">
        <f t="shared" ref="W39:X39" si="88">W34-W38</f>
        <v>-754600</v>
      </c>
      <c r="X39" s="5">
        <f t="shared" si="88"/>
        <v>0</v>
      </c>
      <c r="Y39" s="11">
        <f t="shared" si="52"/>
        <v>754600</v>
      </c>
      <c r="Z39" s="5">
        <f t="shared" ref="Z39:AA39" si="89">Z34-Z38</f>
        <v>0</v>
      </c>
      <c r="AA39" s="5">
        <f t="shared" si="89"/>
        <v>0</v>
      </c>
      <c r="AB39" s="5">
        <f t="shared" si="53"/>
        <v>0</v>
      </c>
      <c r="AC39" s="5">
        <f t="shared" ref="AC39:AD39" si="90">AC34-AC38</f>
        <v>0</v>
      </c>
      <c r="AD39" s="5">
        <f t="shared" si="90"/>
        <v>0</v>
      </c>
      <c r="AE39" s="11">
        <f t="shared" si="54"/>
        <v>0</v>
      </c>
      <c r="AF39" s="5">
        <f t="shared" ref="AF39:AG39" si="91">AF34-AF38</f>
        <v>0</v>
      </c>
      <c r="AG39" s="5">
        <f t="shared" si="91"/>
        <v>0</v>
      </c>
      <c r="AH39" s="5">
        <f t="shared" si="55"/>
        <v>0</v>
      </c>
      <c r="AI39" s="5">
        <f t="shared" ref="AI39:AJ39" si="92">AI34-AI38</f>
        <v>0</v>
      </c>
      <c r="AJ39" s="5">
        <f t="shared" si="92"/>
        <v>0</v>
      </c>
      <c r="AK39" s="5">
        <f t="shared" si="56"/>
        <v>0</v>
      </c>
    </row>
    <row r="40" spans="1:37" ht="15.75" customHeight="1">
      <c r="A40" s="3" t="s">
        <v>32</v>
      </c>
      <c r="B40" s="4">
        <f>前年度資金繰り実績表!B31</f>
        <v>0</v>
      </c>
      <c r="C40" s="4">
        <f>資金繰り実績表!B31</f>
        <v>630990</v>
      </c>
      <c r="D40" s="10">
        <f t="shared" si="0"/>
        <v>630990</v>
      </c>
      <c r="E40" s="4">
        <f>前年度資金繰り実績表!C31</f>
        <v>0</v>
      </c>
      <c r="F40" s="4">
        <f>資金繰り実績表!C31</f>
        <v>0</v>
      </c>
      <c r="G40" s="10">
        <f t="shared" si="1"/>
        <v>0</v>
      </c>
      <c r="H40" s="4">
        <f>前年度資金繰り実績表!D31</f>
        <v>0</v>
      </c>
      <c r="I40" s="4">
        <f>資金繰り実績表!D31</f>
        <v>0</v>
      </c>
      <c r="J40" s="10">
        <f t="shared" si="2"/>
        <v>0</v>
      </c>
      <c r="K40" s="4">
        <f>前年度資金繰り実績表!E31</f>
        <v>0</v>
      </c>
      <c r="L40" s="4">
        <f>資金繰り実績表!E31</f>
        <v>0</v>
      </c>
      <c r="M40" s="10">
        <f t="shared" si="48"/>
        <v>0</v>
      </c>
      <c r="N40" s="4">
        <f>前年度資金繰り実績表!F31</f>
        <v>0</v>
      </c>
      <c r="O40" s="4">
        <f>資金繰り実績表!F31</f>
        <v>0</v>
      </c>
      <c r="P40" s="4">
        <f t="shared" si="49"/>
        <v>0</v>
      </c>
      <c r="Q40" s="4">
        <f>前年度資金繰り実績表!G31</f>
        <v>0</v>
      </c>
      <c r="R40" s="4">
        <f>資金繰り実績表!G31</f>
        <v>0</v>
      </c>
      <c r="S40" s="10">
        <f t="shared" si="50"/>
        <v>0</v>
      </c>
      <c r="T40" s="4">
        <f>前年度資金繰り実績表!H31</f>
        <v>0</v>
      </c>
      <c r="U40" s="4">
        <f>資金繰り実績表!H31</f>
        <v>0</v>
      </c>
      <c r="V40" s="4">
        <f t="shared" si="51"/>
        <v>0</v>
      </c>
      <c r="W40" s="4">
        <f>前年度資金繰り実績表!I31</f>
        <v>0</v>
      </c>
      <c r="X40" s="4">
        <f>資金繰り実績表!I31</f>
        <v>0</v>
      </c>
      <c r="Y40" s="10">
        <f t="shared" si="52"/>
        <v>0</v>
      </c>
      <c r="Z40" s="4">
        <f>前年度資金繰り実績表!J31</f>
        <v>0</v>
      </c>
      <c r="AA40" s="4">
        <f>資金繰り実績表!J31</f>
        <v>0</v>
      </c>
      <c r="AB40" s="4">
        <f t="shared" si="53"/>
        <v>0</v>
      </c>
      <c r="AC40" s="4">
        <f>前年度資金繰り実績表!K31</f>
        <v>0</v>
      </c>
      <c r="AD40" s="4">
        <f>資金繰り実績表!K31</f>
        <v>0</v>
      </c>
      <c r="AE40" s="10">
        <f t="shared" si="54"/>
        <v>0</v>
      </c>
      <c r="AF40" s="4">
        <f>前年度資金繰り実績表!L31</f>
        <v>0</v>
      </c>
      <c r="AG40" s="4">
        <f>資金繰り実績表!L31</f>
        <v>0</v>
      </c>
      <c r="AH40" s="4">
        <f t="shared" si="55"/>
        <v>0</v>
      </c>
      <c r="AI40" s="4">
        <f>前年度資金繰り実績表!M31</f>
        <v>726000</v>
      </c>
      <c r="AJ40" s="4">
        <f>資金繰り実績表!M31</f>
        <v>0</v>
      </c>
      <c r="AK40" s="4">
        <f t="shared" si="56"/>
        <v>-726000</v>
      </c>
    </row>
    <row r="41" spans="1:37" ht="15.75" customHeight="1">
      <c r="A41" s="3" t="s">
        <v>33</v>
      </c>
      <c r="B41" s="4">
        <f>前年度資金繰り実績表!B32</f>
        <v>0</v>
      </c>
      <c r="C41" s="4">
        <f>資金繰り実績表!B32</f>
        <v>0</v>
      </c>
      <c r="D41" s="10">
        <f t="shared" si="0"/>
        <v>0</v>
      </c>
      <c r="E41" s="4">
        <f>前年度資金繰り実績表!C32</f>
        <v>0</v>
      </c>
      <c r="F41" s="4">
        <f>資金繰り実績表!C32</f>
        <v>0</v>
      </c>
      <c r="G41" s="10">
        <f t="shared" si="1"/>
        <v>0</v>
      </c>
      <c r="H41" s="4">
        <f>前年度資金繰り実績表!D32</f>
        <v>0</v>
      </c>
      <c r="I41" s="4">
        <f>資金繰り実績表!D32</f>
        <v>0</v>
      </c>
      <c r="J41" s="10">
        <f t="shared" si="2"/>
        <v>0</v>
      </c>
      <c r="K41" s="4">
        <f>前年度資金繰り実績表!E32</f>
        <v>0</v>
      </c>
      <c r="L41" s="4">
        <f>資金繰り実績表!E32</f>
        <v>0</v>
      </c>
      <c r="M41" s="10">
        <f t="shared" si="48"/>
        <v>0</v>
      </c>
      <c r="N41" s="4">
        <f>前年度資金繰り実績表!F32</f>
        <v>0</v>
      </c>
      <c r="O41" s="4">
        <f>資金繰り実績表!F32</f>
        <v>0</v>
      </c>
      <c r="P41" s="4">
        <f t="shared" si="49"/>
        <v>0</v>
      </c>
      <c r="Q41" s="4">
        <f>前年度資金繰り実績表!G32</f>
        <v>0</v>
      </c>
      <c r="R41" s="4">
        <f>資金繰り実績表!G32</f>
        <v>0</v>
      </c>
      <c r="S41" s="10">
        <f t="shared" si="50"/>
        <v>0</v>
      </c>
      <c r="T41" s="4">
        <f>前年度資金繰り実績表!H32</f>
        <v>0</v>
      </c>
      <c r="U41" s="4">
        <f>資金繰り実績表!H32</f>
        <v>0</v>
      </c>
      <c r="V41" s="4">
        <f t="shared" si="51"/>
        <v>0</v>
      </c>
      <c r="W41" s="4">
        <f>前年度資金繰り実績表!I32</f>
        <v>0</v>
      </c>
      <c r="X41" s="4">
        <f>資金繰り実績表!I32</f>
        <v>0</v>
      </c>
      <c r="Y41" s="10">
        <f t="shared" si="52"/>
        <v>0</v>
      </c>
      <c r="Z41" s="4">
        <f>前年度資金繰り実績表!J32</f>
        <v>0</v>
      </c>
      <c r="AA41" s="4">
        <f>資金繰り実績表!J32</f>
        <v>0</v>
      </c>
      <c r="AB41" s="4">
        <f t="shared" si="53"/>
        <v>0</v>
      </c>
      <c r="AC41" s="4">
        <f>前年度資金繰り実績表!K32</f>
        <v>0</v>
      </c>
      <c r="AD41" s="4">
        <f>資金繰り実績表!K32</f>
        <v>0</v>
      </c>
      <c r="AE41" s="10">
        <f t="shared" si="54"/>
        <v>0</v>
      </c>
      <c r="AF41" s="4">
        <f>前年度資金繰り実績表!L32</f>
        <v>0</v>
      </c>
      <c r="AG41" s="4">
        <f>資金繰り実績表!L32</f>
        <v>0</v>
      </c>
      <c r="AH41" s="4">
        <f t="shared" si="55"/>
        <v>0</v>
      </c>
      <c r="AI41" s="4">
        <f>前年度資金繰り実績表!M32</f>
        <v>0</v>
      </c>
      <c r="AJ41" s="4">
        <f>資金繰り実績表!M32</f>
        <v>0</v>
      </c>
      <c r="AK41" s="4">
        <f t="shared" si="56"/>
        <v>0</v>
      </c>
    </row>
    <row r="42" spans="1:37" ht="13.2">
      <c r="A42" s="3" t="s">
        <v>213</v>
      </c>
      <c r="B42" s="4">
        <f>前年度資金繰り実績表!B33</f>
        <v>0</v>
      </c>
      <c r="C42" s="4">
        <f>資金繰り実績表!B33</f>
        <v>0</v>
      </c>
      <c r="D42" s="10">
        <f t="shared" si="0"/>
        <v>0</v>
      </c>
      <c r="E42" s="4">
        <f>前年度資金繰り実績表!C33</f>
        <v>0</v>
      </c>
      <c r="F42" s="4">
        <f>資金繰り実績表!C33</f>
        <v>0</v>
      </c>
      <c r="G42" s="10">
        <f t="shared" si="1"/>
        <v>0</v>
      </c>
      <c r="H42" s="4">
        <f>前年度資金繰り実績表!D33</f>
        <v>0</v>
      </c>
      <c r="I42" s="4">
        <f>資金繰り実績表!D33</f>
        <v>0</v>
      </c>
      <c r="J42" s="10">
        <f t="shared" si="2"/>
        <v>0</v>
      </c>
      <c r="K42" s="4">
        <f>前年度資金繰り実績表!E33</f>
        <v>0</v>
      </c>
      <c r="L42" s="4">
        <f>資金繰り実績表!E33</f>
        <v>0</v>
      </c>
      <c r="M42" s="10">
        <f t="shared" si="48"/>
        <v>0</v>
      </c>
      <c r="N42" s="4">
        <f>前年度資金繰り実績表!F33</f>
        <v>0</v>
      </c>
      <c r="O42" s="4">
        <f>資金繰り実績表!F33</f>
        <v>0</v>
      </c>
      <c r="P42" s="4">
        <f t="shared" si="49"/>
        <v>0</v>
      </c>
      <c r="Q42" s="4">
        <f>前年度資金繰り実績表!G33</f>
        <v>0</v>
      </c>
      <c r="R42" s="4">
        <f>資金繰り実績表!G33</f>
        <v>66051004</v>
      </c>
      <c r="S42" s="10">
        <f t="shared" si="50"/>
        <v>66051004</v>
      </c>
      <c r="T42" s="4">
        <f>前年度資金繰り実績表!H33</f>
        <v>0</v>
      </c>
      <c r="U42" s="4">
        <f>資金繰り実績表!H33</f>
        <v>28867500</v>
      </c>
      <c r="V42" s="4">
        <f t="shared" si="51"/>
        <v>28867500</v>
      </c>
      <c r="W42" s="4">
        <f>前年度資金繰り実績表!I33</f>
        <v>0</v>
      </c>
      <c r="X42" s="4">
        <f>資金繰り実績表!I33</f>
        <v>0</v>
      </c>
      <c r="Y42" s="10">
        <f t="shared" si="52"/>
        <v>0</v>
      </c>
      <c r="Z42" s="4">
        <f>前年度資金繰り実績表!J33</f>
        <v>0</v>
      </c>
      <c r="AA42" s="4">
        <f>資金繰り実績表!J33</f>
        <v>0</v>
      </c>
      <c r="AB42" s="4">
        <f t="shared" si="53"/>
        <v>0</v>
      </c>
      <c r="AC42" s="4">
        <f>前年度資金繰り実績表!K33</f>
        <v>0</v>
      </c>
      <c r="AD42" s="4">
        <f>資金繰り実績表!K33</f>
        <v>0</v>
      </c>
      <c r="AE42" s="10">
        <f t="shared" si="54"/>
        <v>0</v>
      </c>
      <c r="AF42" s="4">
        <f>前年度資金繰り実績表!L33</f>
        <v>0</v>
      </c>
      <c r="AG42" s="4">
        <f>資金繰り実績表!L33</f>
        <v>0</v>
      </c>
      <c r="AH42" s="4">
        <f t="shared" si="55"/>
        <v>0</v>
      </c>
      <c r="AI42" s="4">
        <f>前年度資金繰り実績表!M33</f>
        <v>5051464</v>
      </c>
      <c r="AJ42" s="4">
        <f>資金繰り実績表!M33</f>
        <v>0</v>
      </c>
      <c r="AK42" s="4">
        <f t="shared" si="56"/>
        <v>-5051464</v>
      </c>
    </row>
    <row r="43" spans="1:37" ht="13.2">
      <c r="A43" s="3" t="s">
        <v>36</v>
      </c>
      <c r="B43" s="4">
        <f>前年度資金繰り実績表!B34</f>
        <v>101900</v>
      </c>
      <c r="C43" s="4">
        <f>資金繰り実績表!B34</f>
        <v>0</v>
      </c>
      <c r="D43" s="10">
        <f t="shared" si="0"/>
        <v>-101900</v>
      </c>
      <c r="E43" s="4">
        <f>前年度資金繰り実績表!C34</f>
        <v>0</v>
      </c>
      <c r="F43" s="4">
        <f>資金繰り実績表!C34</f>
        <v>0</v>
      </c>
      <c r="G43" s="10">
        <f t="shared" si="1"/>
        <v>0</v>
      </c>
      <c r="H43" s="4">
        <f>前年度資金繰り実績表!D34</f>
        <v>202300</v>
      </c>
      <c r="I43" s="4">
        <f>資金繰り実績表!D34</f>
        <v>0</v>
      </c>
      <c r="J43" s="10">
        <f t="shared" si="2"/>
        <v>-202300</v>
      </c>
      <c r="K43" s="4">
        <f>前年度資金繰り実績表!E34</f>
        <v>280000</v>
      </c>
      <c r="L43" s="4">
        <f>資金繰り実績表!E34</f>
        <v>0</v>
      </c>
      <c r="M43" s="10">
        <f t="shared" si="48"/>
        <v>-280000</v>
      </c>
      <c r="N43" s="4">
        <f>前年度資金繰り実績表!F34</f>
        <v>60000</v>
      </c>
      <c r="O43" s="4">
        <f>資金繰り実績表!F34</f>
        <v>0</v>
      </c>
      <c r="P43" s="4">
        <f t="shared" si="49"/>
        <v>-60000</v>
      </c>
      <c r="Q43" s="4">
        <f>前年度資金繰り実績表!G34</f>
        <v>228980</v>
      </c>
      <c r="R43" s="4">
        <f>資金繰り実績表!G34</f>
        <v>0</v>
      </c>
      <c r="S43" s="10">
        <f t="shared" si="50"/>
        <v>-228980</v>
      </c>
      <c r="T43" s="4">
        <f>前年度資金繰り実績表!H34</f>
        <v>30000</v>
      </c>
      <c r="U43" s="4">
        <f>資金繰り実績表!H34</f>
        <v>0</v>
      </c>
      <c r="V43" s="4">
        <f t="shared" si="51"/>
        <v>-30000</v>
      </c>
      <c r="W43" s="4">
        <f>前年度資金繰り実績表!I34</f>
        <v>30000</v>
      </c>
      <c r="X43" s="4">
        <f>資金繰り実績表!I34</f>
        <v>0</v>
      </c>
      <c r="Y43" s="10">
        <f t="shared" si="52"/>
        <v>-30000</v>
      </c>
      <c r="Z43" s="4">
        <f>前年度資金繰り実績表!J34</f>
        <v>1000000</v>
      </c>
      <c r="AA43" s="4">
        <f>資金繰り実績表!J34</f>
        <v>0</v>
      </c>
      <c r="AB43" s="4">
        <f t="shared" si="53"/>
        <v>-1000000</v>
      </c>
      <c r="AC43" s="4">
        <f>前年度資金繰り実績表!K34</f>
        <v>30000</v>
      </c>
      <c r="AD43" s="4">
        <f>資金繰り実績表!K34</f>
        <v>0</v>
      </c>
      <c r="AE43" s="10">
        <f t="shared" si="54"/>
        <v>-30000</v>
      </c>
      <c r="AF43" s="4">
        <f>前年度資金繰り実績表!L34</f>
        <v>30000</v>
      </c>
      <c r="AG43" s="4">
        <f>資金繰り実績表!L34</f>
        <v>0</v>
      </c>
      <c r="AH43" s="4">
        <f t="shared" si="55"/>
        <v>-30000</v>
      </c>
      <c r="AI43" s="4">
        <f>前年度資金繰り実績表!M34</f>
        <v>797800</v>
      </c>
      <c r="AJ43" s="4">
        <f>資金繰り実績表!M34</f>
        <v>0</v>
      </c>
      <c r="AK43" s="4">
        <f t="shared" si="56"/>
        <v>-797800</v>
      </c>
    </row>
    <row r="44" spans="1:37" ht="13.2">
      <c r="A44" s="6" t="s">
        <v>55</v>
      </c>
      <c r="B44" s="5">
        <f t="shared" ref="B44:C44" si="93">SUM(B40:B43)</f>
        <v>101900</v>
      </c>
      <c r="C44" s="5">
        <f t="shared" si="93"/>
        <v>630990</v>
      </c>
      <c r="D44" s="11">
        <f t="shared" si="0"/>
        <v>529090</v>
      </c>
      <c r="E44" s="5">
        <f t="shared" ref="E44:F44" si="94">SUM(E40:E43)</f>
        <v>0</v>
      </c>
      <c r="F44" s="5">
        <f t="shared" si="94"/>
        <v>0</v>
      </c>
      <c r="G44" s="11">
        <f t="shared" si="1"/>
        <v>0</v>
      </c>
      <c r="H44" s="5">
        <f t="shared" ref="H44:I44" si="95">SUM(H40:H43)</f>
        <v>202300</v>
      </c>
      <c r="I44" s="5">
        <f t="shared" si="95"/>
        <v>0</v>
      </c>
      <c r="J44" s="11">
        <f t="shared" si="2"/>
        <v>-202300</v>
      </c>
      <c r="K44" s="5">
        <f t="shared" ref="K44:L44" si="96">SUM(K40:K43)</f>
        <v>280000</v>
      </c>
      <c r="L44" s="5">
        <f t="shared" si="96"/>
        <v>0</v>
      </c>
      <c r="M44" s="11">
        <f t="shared" si="48"/>
        <v>-280000</v>
      </c>
      <c r="N44" s="5">
        <f t="shared" ref="N44:O44" si="97">SUM(N40:N43)</f>
        <v>60000</v>
      </c>
      <c r="O44" s="5">
        <f t="shared" si="97"/>
        <v>0</v>
      </c>
      <c r="P44" s="5">
        <f t="shared" si="49"/>
        <v>-60000</v>
      </c>
      <c r="Q44" s="5">
        <f t="shared" ref="Q44:R44" si="98">SUM(Q40:Q43)</f>
        <v>228980</v>
      </c>
      <c r="R44" s="5">
        <f t="shared" si="98"/>
        <v>66051004</v>
      </c>
      <c r="S44" s="11">
        <f t="shared" si="50"/>
        <v>65822024</v>
      </c>
      <c r="T44" s="5">
        <f t="shared" ref="T44:U44" si="99">SUM(T40:T43)</f>
        <v>30000</v>
      </c>
      <c r="U44" s="5">
        <f t="shared" si="99"/>
        <v>28867500</v>
      </c>
      <c r="V44" s="5">
        <f t="shared" si="51"/>
        <v>28837500</v>
      </c>
      <c r="W44" s="5">
        <f t="shared" ref="W44:X44" si="100">SUM(W40:W43)</f>
        <v>30000</v>
      </c>
      <c r="X44" s="5">
        <f t="shared" si="100"/>
        <v>0</v>
      </c>
      <c r="Y44" s="11">
        <f t="shared" si="52"/>
        <v>-30000</v>
      </c>
      <c r="Z44" s="5">
        <f t="shared" ref="Z44:AA44" si="101">SUM(Z40:Z43)</f>
        <v>1000000</v>
      </c>
      <c r="AA44" s="5">
        <f t="shared" si="101"/>
        <v>0</v>
      </c>
      <c r="AB44" s="5">
        <f t="shared" si="53"/>
        <v>-1000000</v>
      </c>
      <c r="AC44" s="5">
        <f t="shared" ref="AC44:AD44" si="102">SUM(AC40:AC43)</f>
        <v>30000</v>
      </c>
      <c r="AD44" s="5">
        <f t="shared" si="102"/>
        <v>0</v>
      </c>
      <c r="AE44" s="11">
        <f t="shared" si="54"/>
        <v>-30000</v>
      </c>
      <c r="AF44" s="5">
        <f t="shared" ref="AF44:AG44" si="103">SUM(AF40:AF43)</f>
        <v>30000</v>
      </c>
      <c r="AG44" s="5">
        <f t="shared" si="103"/>
        <v>0</v>
      </c>
      <c r="AH44" s="5">
        <f t="shared" si="55"/>
        <v>-30000</v>
      </c>
      <c r="AI44" s="5">
        <f t="shared" ref="AI44:AJ44" si="104">SUM(AI40:AI43)</f>
        <v>6575264</v>
      </c>
      <c r="AJ44" s="5">
        <f t="shared" si="104"/>
        <v>0</v>
      </c>
      <c r="AK44" s="5">
        <f t="shared" si="56"/>
        <v>-6575264</v>
      </c>
    </row>
    <row r="45" spans="1:37" ht="13.2">
      <c r="A45" s="3" t="s">
        <v>37</v>
      </c>
      <c r="B45" s="4">
        <f>前年度資金繰り実績表!B35</f>
        <v>37</v>
      </c>
      <c r="C45" s="4">
        <f>資金繰り実績表!B35</f>
        <v>0</v>
      </c>
      <c r="D45" s="10">
        <f t="shared" si="0"/>
        <v>-37</v>
      </c>
      <c r="E45" s="4">
        <f>前年度資金繰り実績表!C35</f>
        <v>58</v>
      </c>
      <c r="F45" s="4">
        <f>資金繰り実績表!C35</f>
        <v>6823</v>
      </c>
      <c r="G45" s="10">
        <f t="shared" si="1"/>
        <v>6765</v>
      </c>
      <c r="H45" s="4">
        <f>前年度資金繰り実績表!D35</f>
        <v>441</v>
      </c>
      <c r="I45" s="4">
        <f>資金繰り実績表!D35</f>
        <v>2446</v>
      </c>
      <c r="J45" s="10">
        <f t="shared" si="2"/>
        <v>2005</v>
      </c>
      <c r="K45" s="4">
        <f>前年度資金繰り実績表!E35</f>
        <v>35</v>
      </c>
      <c r="L45" s="4">
        <f>資金繰り実績表!E35</f>
        <v>0</v>
      </c>
      <c r="M45" s="10">
        <f t="shared" si="48"/>
        <v>-35</v>
      </c>
      <c r="N45" s="4">
        <f>前年度資金繰り実績表!F35</f>
        <v>126</v>
      </c>
      <c r="O45" s="4">
        <f>資金繰り実績表!F35</f>
        <v>0</v>
      </c>
      <c r="P45" s="4">
        <f t="shared" si="49"/>
        <v>-126</v>
      </c>
      <c r="Q45" s="4">
        <f>前年度資金繰り実績表!G35</f>
        <v>110</v>
      </c>
      <c r="R45" s="4">
        <f>資金繰り実績表!G35</f>
        <v>0</v>
      </c>
      <c r="S45" s="10">
        <f t="shared" si="50"/>
        <v>-110</v>
      </c>
      <c r="T45" s="4">
        <f>前年度資金繰り実績表!H35</f>
        <v>162</v>
      </c>
      <c r="U45" s="4">
        <f>資金繰り実績表!H35</f>
        <v>0</v>
      </c>
      <c r="V45" s="4">
        <f t="shared" si="51"/>
        <v>-162</v>
      </c>
      <c r="W45" s="4">
        <f>前年度資金繰り実績表!I35</f>
        <v>165</v>
      </c>
      <c r="X45" s="4">
        <f>資金繰り実績表!I35</f>
        <v>5033</v>
      </c>
      <c r="Y45" s="10">
        <f t="shared" si="52"/>
        <v>4868</v>
      </c>
      <c r="Z45" s="4">
        <f>前年度資金繰り実績表!J35</f>
        <v>1136</v>
      </c>
      <c r="AA45" s="4">
        <f>資金繰り実績表!J35</f>
        <v>1038</v>
      </c>
      <c r="AB45" s="4">
        <f t="shared" si="53"/>
        <v>-98</v>
      </c>
      <c r="AC45" s="4">
        <f>前年度資金繰り実績表!K35</f>
        <v>293</v>
      </c>
      <c r="AD45" s="4">
        <f>資金繰り実績表!K35</f>
        <v>0</v>
      </c>
      <c r="AE45" s="10">
        <f t="shared" si="54"/>
        <v>-293</v>
      </c>
      <c r="AF45" s="4">
        <f>前年度資金繰り実績表!L35</f>
        <v>405</v>
      </c>
      <c r="AG45" s="4">
        <f>資金繰り実績表!L35</f>
        <v>0</v>
      </c>
      <c r="AH45" s="4">
        <f t="shared" si="55"/>
        <v>-405</v>
      </c>
      <c r="AI45" s="4">
        <f>前年度資金繰り実績表!M35</f>
        <v>1084</v>
      </c>
      <c r="AJ45" s="4">
        <f>資金繰り実績表!M35</f>
        <v>0</v>
      </c>
      <c r="AK45" s="4">
        <f t="shared" si="56"/>
        <v>-1084</v>
      </c>
    </row>
    <row r="46" spans="1:37" ht="13.2">
      <c r="A46" s="3" t="s">
        <v>38</v>
      </c>
      <c r="B46" s="4">
        <f>前年度資金繰り実績表!B36</f>
        <v>0</v>
      </c>
      <c r="C46" s="4">
        <f>資金繰り実績表!B36</f>
        <v>11135384</v>
      </c>
      <c r="D46" s="10">
        <f t="shared" si="0"/>
        <v>11135384</v>
      </c>
      <c r="E46" s="4">
        <f>前年度資金繰り実績表!C36</f>
        <v>0</v>
      </c>
      <c r="F46" s="4">
        <f>資金繰り実績表!C36</f>
        <v>0</v>
      </c>
      <c r="G46" s="10">
        <f t="shared" si="1"/>
        <v>0</v>
      </c>
      <c r="H46" s="4">
        <f>前年度資金繰り実績表!D36</f>
        <v>262463</v>
      </c>
      <c r="I46" s="4">
        <f>資金繰り実績表!D36</f>
        <v>0</v>
      </c>
      <c r="J46" s="10">
        <f t="shared" si="2"/>
        <v>-262463</v>
      </c>
      <c r="K46" s="4">
        <f>前年度資金繰り実績表!E36</f>
        <v>67900</v>
      </c>
      <c r="L46" s="4">
        <f>資金繰り実績表!E36</f>
        <v>0</v>
      </c>
      <c r="M46" s="10">
        <f t="shared" si="48"/>
        <v>-67900</v>
      </c>
      <c r="N46" s="4">
        <f>前年度資金繰り実績表!F36</f>
        <v>19900</v>
      </c>
      <c r="O46" s="4">
        <f>資金繰り実績表!F36</f>
        <v>0</v>
      </c>
      <c r="P46" s="4">
        <f t="shared" si="49"/>
        <v>-19900</v>
      </c>
      <c r="Q46" s="4">
        <f>前年度資金繰り実績表!G36</f>
        <v>0</v>
      </c>
      <c r="R46" s="4">
        <f>資金繰り実績表!G36</f>
        <v>0</v>
      </c>
      <c r="S46" s="10">
        <f t="shared" si="50"/>
        <v>0</v>
      </c>
      <c r="T46" s="4">
        <f>前年度資金繰り実績表!H36</f>
        <v>0</v>
      </c>
      <c r="U46" s="4">
        <f>資金繰り実績表!H36</f>
        <v>0</v>
      </c>
      <c r="V46" s="4">
        <f t="shared" si="51"/>
        <v>0</v>
      </c>
      <c r="W46" s="4">
        <f>前年度資金繰り実績表!I36</f>
        <v>0</v>
      </c>
      <c r="X46" s="4">
        <f>資金繰り実績表!I36</f>
        <v>0</v>
      </c>
      <c r="Y46" s="10">
        <f t="shared" si="52"/>
        <v>0</v>
      </c>
      <c r="Z46" s="4">
        <f>前年度資金繰り実績表!J36</f>
        <v>0</v>
      </c>
      <c r="AA46" s="4">
        <f>資金繰り実績表!J36</f>
        <v>0</v>
      </c>
      <c r="AB46" s="4">
        <f t="shared" si="53"/>
        <v>0</v>
      </c>
      <c r="AC46" s="4">
        <f>前年度資金繰り実績表!K36</f>
        <v>15000</v>
      </c>
      <c r="AD46" s="4">
        <f>資金繰り実績表!K36</f>
        <v>0</v>
      </c>
      <c r="AE46" s="10">
        <f t="shared" si="54"/>
        <v>-15000</v>
      </c>
      <c r="AF46" s="4">
        <f>前年度資金繰り実績表!L36</f>
        <v>0</v>
      </c>
      <c r="AG46" s="4">
        <f>資金繰り実績表!L36</f>
        <v>0</v>
      </c>
      <c r="AH46" s="4">
        <f t="shared" si="55"/>
        <v>0</v>
      </c>
      <c r="AI46" s="4">
        <f>前年度資金繰り実績表!M36</f>
        <v>0</v>
      </c>
      <c r="AJ46" s="4">
        <f>資金繰り実績表!M36</f>
        <v>0</v>
      </c>
      <c r="AK46" s="4">
        <f t="shared" si="56"/>
        <v>0</v>
      </c>
    </row>
    <row r="47" spans="1:37" ht="13.2">
      <c r="A47" s="3" t="s">
        <v>214</v>
      </c>
      <c r="B47" s="4">
        <f>前年度資金繰り実績表!B37</f>
        <v>0</v>
      </c>
      <c r="C47" s="4">
        <f>資金繰り実績表!B37</f>
        <v>0</v>
      </c>
      <c r="D47" s="10">
        <f t="shared" si="0"/>
        <v>0</v>
      </c>
      <c r="E47" s="4">
        <f>前年度資金繰り実績表!C37</f>
        <v>0</v>
      </c>
      <c r="F47" s="4">
        <f>資金繰り実績表!C37</f>
        <v>0</v>
      </c>
      <c r="G47" s="10">
        <f t="shared" si="1"/>
        <v>0</v>
      </c>
      <c r="H47" s="4">
        <f>前年度資金繰り実績表!D37</f>
        <v>0</v>
      </c>
      <c r="I47" s="4">
        <f>資金繰り実績表!D37</f>
        <v>0</v>
      </c>
      <c r="J47" s="10">
        <f t="shared" si="2"/>
        <v>0</v>
      </c>
      <c r="K47" s="4">
        <f>前年度資金繰り実績表!E37</f>
        <v>0</v>
      </c>
      <c r="L47" s="4">
        <f>資金繰り実績表!E37</f>
        <v>0</v>
      </c>
      <c r="M47" s="10">
        <f t="shared" si="48"/>
        <v>0</v>
      </c>
      <c r="N47" s="4">
        <f>前年度資金繰り実績表!F37</f>
        <v>0</v>
      </c>
      <c r="O47" s="4">
        <f>資金繰り実績表!F37</f>
        <v>0</v>
      </c>
      <c r="P47" s="4">
        <f t="shared" si="49"/>
        <v>0</v>
      </c>
      <c r="Q47" s="4">
        <f>前年度資金繰り実績表!G37</f>
        <v>0</v>
      </c>
      <c r="R47" s="4">
        <f>資金繰り実績表!G37</f>
        <v>0</v>
      </c>
      <c r="S47" s="10">
        <f t="shared" si="50"/>
        <v>0</v>
      </c>
      <c r="T47" s="4">
        <f>前年度資金繰り実績表!H37</f>
        <v>0</v>
      </c>
      <c r="U47" s="4">
        <f>資金繰り実績表!H37</f>
        <v>0</v>
      </c>
      <c r="V47" s="4">
        <f t="shared" si="51"/>
        <v>0</v>
      </c>
      <c r="W47" s="4">
        <f>前年度資金繰り実績表!I37</f>
        <v>0</v>
      </c>
      <c r="X47" s="4">
        <f>資金繰り実績表!I37</f>
        <v>0</v>
      </c>
      <c r="Y47" s="10">
        <f t="shared" si="52"/>
        <v>0</v>
      </c>
      <c r="Z47" s="4">
        <f>前年度資金繰り実績表!J37</f>
        <v>0</v>
      </c>
      <c r="AA47" s="4">
        <f>資金繰り実績表!J37</f>
        <v>0</v>
      </c>
      <c r="AB47" s="4">
        <f t="shared" si="53"/>
        <v>0</v>
      </c>
      <c r="AC47" s="4">
        <f>前年度資金繰り実績表!K37</f>
        <v>0</v>
      </c>
      <c r="AD47" s="4">
        <f>資金繰り実績表!K37</f>
        <v>0</v>
      </c>
      <c r="AE47" s="10">
        <f t="shared" si="54"/>
        <v>0</v>
      </c>
      <c r="AF47" s="4">
        <f>前年度資金繰り実績表!L37</f>
        <v>0</v>
      </c>
      <c r="AG47" s="4">
        <f>資金繰り実績表!L37</f>
        <v>0</v>
      </c>
      <c r="AH47" s="4">
        <f t="shared" si="55"/>
        <v>0</v>
      </c>
      <c r="AI47" s="4">
        <f>前年度資金繰り実績表!M37</f>
        <v>0</v>
      </c>
      <c r="AJ47" s="4">
        <f>資金繰り実績表!M37</f>
        <v>0</v>
      </c>
      <c r="AK47" s="4">
        <f t="shared" si="56"/>
        <v>0</v>
      </c>
    </row>
    <row r="48" spans="1:37" ht="13.2">
      <c r="A48" s="3" t="s">
        <v>41</v>
      </c>
      <c r="B48" s="4">
        <f>前年度資金繰り実績表!B38</f>
        <v>590232</v>
      </c>
      <c r="C48" s="4">
        <f>資金繰り実績表!B38</f>
        <v>1689913</v>
      </c>
      <c r="D48" s="10">
        <f t="shared" si="0"/>
        <v>1099681</v>
      </c>
      <c r="E48" s="4">
        <f>前年度資金繰り実績表!C38</f>
        <v>461413</v>
      </c>
      <c r="F48" s="4">
        <f>資金繰り実績表!C38</f>
        <v>0</v>
      </c>
      <c r="G48" s="10">
        <f t="shared" si="1"/>
        <v>-461413</v>
      </c>
      <c r="H48" s="4">
        <f>前年度資金繰り実績表!D38</f>
        <v>588726</v>
      </c>
      <c r="I48" s="4">
        <f>資金繰り実績表!D38</f>
        <v>4006170</v>
      </c>
      <c r="J48" s="10">
        <f t="shared" si="2"/>
        <v>3417444</v>
      </c>
      <c r="K48" s="4">
        <f>前年度資金繰り実績表!E38</f>
        <v>525591</v>
      </c>
      <c r="L48" s="4">
        <f>資金繰り実績表!E38</f>
        <v>2003083</v>
      </c>
      <c r="M48" s="10">
        <f t="shared" si="48"/>
        <v>1477492</v>
      </c>
      <c r="N48" s="4">
        <f>前年度資金繰り実績表!F38</f>
        <v>461308</v>
      </c>
      <c r="O48" s="4">
        <f>資金繰り実績表!F38</f>
        <v>0</v>
      </c>
      <c r="P48" s="4">
        <f t="shared" si="49"/>
        <v>-461308</v>
      </c>
      <c r="Q48" s="4">
        <f>前年度資金繰り実績表!G38</f>
        <v>525763</v>
      </c>
      <c r="R48" s="4">
        <f>資金繰り実績表!G38</f>
        <v>43408783</v>
      </c>
      <c r="S48" s="10">
        <f t="shared" si="50"/>
        <v>42883020</v>
      </c>
      <c r="T48" s="4">
        <f>前年度資金繰り実績表!H38</f>
        <v>586731</v>
      </c>
      <c r="U48" s="4">
        <f>資金繰り実績表!H38</f>
        <v>32246230</v>
      </c>
      <c r="V48" s="4">
        <f t="shared" si="51"/>
        <v>31659499</v>
      </c>
      <c r="W48" s="4">
        <f>前年度資金繰り実績表!I38</f>
        <v>523750</v>
      </c>
      <c r="X48" s="4">
        <f>資金繰り実績表!I38</f>
        <v>2242348</v>
      </c>
      <c r="Y48" s="10">
        <f t="shared" si="52"/>
        <v>1718598</v>
      </c>
      <c r="Z48" s="4">
        <f>前年度資金繰り実績表!J38</f>
        <v>522348</v>
      </c>
      <c r="AA48" s="4">
        <f>資金繰り実績表!J38</f>
        <v>3522286</v>
      </c>
      <c r="AB48" s="4">
        <f t="shared" si="53"/>
        <v>2999938</v>
      </c>
      <c r="AC48" s="4">
        <f>前年度資金繰り実績表!K38</f>
        <v>525404</v>
      </c>
      <c r="AD48" s="4">
        <f>資金繰り実績表!K38</f>
        <v>0</v>
      </c>
      <c r="AE48" s="10">
        <f t="shared" si="54"/>
        <v>-525404</v>
      </c>
      <c r="AF48" s="4">
        <f>前年度資金繰り実績表!L38</f>
        <v>460461</v>
      </c>
      <c r="AG48" s="4">
        <f>資金繰り実績表!L38</f>
        <v>0</v>
      </c>
      <c r="AH48" s="4">
        <f t="shared" si="55"/>
        <v>-460461</v>
      </c>
      <c r="AI48" s="4">
        <f>前年度資金繰り実績表!M38</f>
        <v>587252</v>
      </c>
      <c r="AJ48" s="4">
        <f>資金繰り実績表!M38</f>
        <v>0</v>
      </c>
      <c r="AK48" s="4">
        <f t="shared" si="56"/>
        <v>-587252</v>
      </c>
    </row>
    <row r="49" spans="1:37" ht="13.2">
      <c r="A49" s="6" t="s">
        <v>56</v>
      </c>
      <c r="B49" s="5">
        <f t="shared" ref="B49:C49" si="105">SUM(B45:B48)</f>
        <v>590269</v>
      </c>
      <c r="C49" s="5">
        <f t="shared" si="105"/>
        <v>12825297</v>
      </c>
      <c r="D49" s="11">
        <f t="shared" si="0"/>
        <v>12235028</v>
      </c>
      <c r="E49" s="5">
        <f t="shared" ref="E49:F49" si="106">SUM(E45:E48)</f>
        <v>461471</v>
      </c>
      <c r="F49" s="5">
        <f t="shared" si="106"/>
        <v>6823</v>
      </c>
      <c r="G49" s="11">
        <f t="shared" si="1"/>
        <v>-454648</v>
      </c>
      <c r="H49" s="5">
        <f t="shared" ref="H49:I49" si="107">SUM(H45:H48)</f>
        <v>851630</v>
      </c>
      <c r="I49" s="5">
        <f t="shared" si="107"/>
        <v>4008616</v>
      </c>
      <c r="J49" s="11">
        <f t="shared" si="2"/>
        <v>3156986</v>
      </c>
      <c r="K49" s="5">
        <f t="shared" ref="K49:L49" si="108">SUM(K45:K48)</f>
        <v>593526</v>
      </c>
      <c r="L49" s="5">
        <f t="shared" si="108"/>
        <v>2003083</v>
      </c>
      <c r="M49" s="11">
        <f t="shared" si="48"/>
        <v>1409557</v>
      </c>
      <c r="N49" s="5">
        <f t="shared" ref="N49:O49" si="109">SUM(N45:N48)</f>
        <v>481334</v>
      </c>
      <c r="O49" s="5">
        <f t="shared" si="109"/>
        <v>0</v>
      </c>
      <c r="P49" s="5">
        <f t="shared" si="49"/>
        <v>-481334</v>
      </c>
      <c r="Q49" s="5">
        <f t="shared" ref="Q49:R49" si="110">SUM(Q45:Q48)</f>
        <v>525873</v>
      </c>
      <c r="R49" s="5">
        <f t="shared" si="110"/>
        <v>43408783</v>
      </c>
      <c r="S49" s="11">
        <f t="shared" si="50"/>
        <v>42882910</v>
      </c>
      <c r="T49" s="5">
        <f t="shared" ref="T49:U49" si="111">SUM(T45:T48)</f>
        <v>586893</v>
      </c>
      <c r="U49" s="5">
        <f t="shared" si="111"/>
        <v>32246230</v>
      </c>
      <c r="V49" s="5">
        <f t="shared" si="51"/>
        <v>31659337</v>
      </c>
      <c r="W49" s="5">
        <f t="shared" ref="W49:X49" si="112">SUM(W45:W48)</f>
        <v>523915</v>
      </c>
      <c r="X49" s="5">
        <f t="shared" si="112"/>
        <v>2247381</v>
      </c>
      <c r="Y49" s="11">
        <f t="shared" si="52"/>
        <v>1723466</v>
      </c>
      <c r="Z49" s="5">
        <f t="shared" ref="Z49:AA49" si="113">SUM(Z45:Z48)</f>
        <v>523484</v>
      </c>
      <c r="AA49" s="5">
        <f t="shared" si="113"/>
        <v>3523324</v>
      </c>
      <c r="AB49" s="5">
        <f t="shared" si="53"/>
        <v>2999840</v>
      </c>
      <c r="AC49" s="5">
        <f t="shared" ref="AC49:AD49" si="114">SUM(AC45:AC48)</f>
        <v>540697</v>
      </c>
      <c r="AD49" s="5">
        <f t="shared" si="114"/>
        <v>0</v>
      </c>
      <c r="AE49" s="11">
        <f t="shared" si="54"/>
        <v>-540697</v>
      </c>
      <c r="AF49" s="5">
        <f t="shared" ref="AF49:AG49" si="115">SUM(AF45:AF48)</f>
        <v>460866</v>
      </c>
      <c r="AG49" s="5">
        <f t="shared" si="115"/>
        <v>0</v>
      </c>
      <c r="AH49" s="5">
        <f t="shared" si="55"/>
        <v>-460866</v>
      </c>
      <c r="AI49" s="5">
        <f t="shared" ref="AI49:AJ49" si="116">SUM(AI45:AI48)</f>
        <v>588336</v>
      </c>
      <c r="AJ49" s="5">
        <f t="shared" si="116"/>
        <v>0</v>
      </c>
      <c r="AK49" s="5">
        <f t="shared" si="56"/>
        <v>-588336</v>
      </c>
    </row>
    <row r="50" spans="1:37" ht="13.2">
      <c r="A50" s="6" t="s">
        <v>57</v>
      </c>
      <c r="B50" s="5">
        <f t="shared" ref="B50:C50" si="117">B44-B49</f>
        <v>-488369</v>
      </c>
      <c r="C50" s="5">
        <f t="shared" si="117"/>
        <v>-12194307</v>
      </c>
      <c r="D50" s="11">
        <f t="shared" si="0"/>
        <v>-11705938</v>
      </c>
      <c r="E50" s="5">
        <f t="shared" ref="E50:F50" si="118">E44-E49</f>
        <v>-461471</v>
      </c>
      <c r="F50" s="5">
        <f t="shared" si="118"/>
        <v>-6823</v>
      </c>
      <c r="G50" s="11">
        <f t="shared" si="1"/>
        <v>454648</v>
      </c>
      <c r="H50" s="5">
        <f t="shared" ref="H50:I50" si="119">H44-H49</f>
        <v>-649330</v>
      </c>
      <c r="I50" s="5">
        <f t="shared" si="119"/>
        <v>-4008616</v>
      </c>
      <c r="J50" s="11">
        <f t="shared" si="2"/>
        <v>-3359286</v>
      </c>
      <c r="K50" s="5">
        <f t="shared" ref="K50:L50" si="120">K44-K49</f>
        <v>-313526</v>
      </c>
      <c r="L50" s="5">
        <f t="shared" si="120"/>
        <v>-2003083</v>
      </c>
      <c r="M50" s="11">
        <f t="shared" si="48"/>
        <v>-1689557</v>
      </c>
      <c r="N50" s="5">
        <f t="shared" ref="N50:O50" si="121">N44-N49</f>
        <v>-421334</v>
      </c>
      <c r="O50" s="5">
        <f t="shared" si="121"/>
        <v>0</v>
      </c>
      <c r="P50" s="5">
        <f t="shared" si="49"/>
        <v>421334</v>
      </c>
      <c r="Q50" s="5">
        <f t="shared" ref="Q50:R50" si="122">Q44-Q49</f>
        <v>-296893</v>
      </c>
      <c r="R50" s="5">
        <f t="shared" si="122"/>
        <v>22642221</v>
      </c>
      <c r="S50" s="11">
        <f t="shared" si="50"/>
        <v>22939114</v>
      </c>
      <c r="T50" s="5">
        <f t="shared" ref="T50:U50" si="123">T44-T49</f>
        <v>-556893</v>
      </c>
      <c r="U50" s="5">
        <f t="shared" si="123"/>
        <v>-3378730</v>
      </c>
      <c r="V50" s="5">
        <f t="shared" si="51"/>
        <v>-2821837</v>
      </c>
      <c r="W50" s="5">
        <f t="shared" ref="W50:X50" si="124">W44-W49</f>
        <v>-493915</v>
      </c>
      <c r="X50" s="5">
        <f t="shared" si="124"/>
        <v>-2247381</v>
      </c>
      <c r="Y50" s="11">
        <f t="shared" si="52"/>
        <v>-1753466</v>
      </c>
      <c r="Z50" s="5">
        <f t="shared" ref="Z50:AA50" si="125">Z44-Z49</f>
        <v>476516</v>
      </c>
      <c r="AA50" s="5">
        <f t="shared" si="125"/>
        <v>-3523324</v>
      </c>
      <c r="AB50" s="5">
        <f t="shared" si="53"/>
        <v>-3999840</v>
      </c>
      <c r="AC50" s="5">
        <f t="shared" ref="AC50:AD50" si="126">AC44-AC49</f>
        <v>-510697</v>
      </c>
      <c r="AD50" s="5">
        <f t="shared" si="126"/>
        <v>0</v>
      </c>
      <c r="AE50" s="11">
        <f t="shared" si="54"/>
        <v>510697</v>
      </c>
      <c r="AF50" s="5">
        <f t="shared" ref="AF50:AG50" si="127">AF44-AF49</f>
        <v>-430866</v>
      </c>
      <c r="AG50" s="5">
        <f t="shared" si="127"/>
        <v>0</v>
      </c>
      <c r="AH50" s="5">
        <f t="shared" si="55"/>
        <v>430866</v>
      </c>
      <c r="AI50" s="5">
        <f t="shared" ref="AI50:AJ50" si="128">AI44-AI49</f>
        <v>5986928</v>
      </c>
      <c r="AJ50" s="5">
        <f t="shared" si="128"/>
        <v>0</v>
      </c>
      <c r="AK50" s="5">
        <f t="shared" si="56"/>
        <v>-5986928</v>
      </c>
    </row>
    <row r="51" spans="1:37" ht="13.2">
      <c r="A51" s="12" t="s">
        <v>58</v>
      </c>
      <c r="B51" s="13">
        <f t="shared" ref="B51:C51" si="129">B29+B39+B50</f>
        <v>-3442236</v>
      </c>
      <c r="C51" s="13">
        <f t="shared" si="129"/>
        <v>-16641249</v>
      </c>
      <c r="D51" s="15">
        <f t="shared" si="0"/>
        <v>-13199013</v>
      </c>
      <c r="E51" s="13">
        <f t="shared" ref="E51:F51" si="130">E29+E39+E50</f>
        <v>-369733</v>
      </c>
      <c r="F51" s="13">
        <f t="shared" si="130"/>
        <v>2895970</v>
      </c>
      <c r="G51" s="15">
        <f t="shared" si="1"/>
        <v>3265703</v>
      </c>
      <c r="H51" s="13">
        <f t="shared" ref="H51:I51" si="131">H29+H39+H50</f>
        <v>-106993</v>
      </c>
      <c r="I51" s="13">
        <f t="shared" si="131"/>
        <v>-5206753</v>
      </c>
      <c r="J51" s="15">
        <f t="shared" si="2"/>
        <v>-5099760</v>
      </c>
      <c r="K51" s="13">
        <f t="shared" ref="K51:L51" si="132">K29+K39+K50</f>
        <v>-1696942</v>
      </c>
      <c r="L51" s="13">
        <f t="shared" si="132"/>
        <v>4731394</v>
      </c>
      <c r="M51" s="15">
        <f t="shared" si="48"/>
        <v>6428336</v>
      </c>
      <c r="N51" s="13">
        <f t="shared" ref="N51:O51" si="133">N29+N39+N50</f>
        <v>593760</v>
      </c>
      <c r="O51" s="13">
        <f t="shared" si="133"/>
        <v>-1338466</v>
      </c>
      <c r="P51" s="13">
        <f t="shared" si="49"/>
        <v>-1932226</v>
      </c>
      <c r="Q51" s="13">
        <f t="shared" ref="Q51:R51" si="134">Q29+Q39+Q50</f>
        <v>37762</v>
      </c>
      <c r="R51" s="13">
        <f t="shared" si="134"/>
        <v>8094359</v>
      </c>
      <c r="S51" s="15">
        <f t="shared" si="50"/>
        <v>8056597</v>
      </c>
      <c r="T51" s="13">
        <f t="shared" ref="T51:U51" si="135">T29+T39+T50</f>
        <v>-768542</v>
      </c>
      <c r="U51" s="13">
        <f t="shared" si="135"/>
        <v>10377606</v>
      </c>
      <c r="V51" s="13">
        <f t="shared" si="51"/>
        <v>11146148</v>
      </c>
      <c r="W51" s="13">
        <f t="shared" ref="W51:X51" si="136">W29+W39+W50</f>
        <v>-1205609</v>
      </c>
      <c r="X51" s="13">
        <f t="shared" si="136"/>
        <v>12849398</v>
      </c>
      <c r="Y51" s="15">
        <f t="shared" si="52"/>
        <v>14055007</v>
      </c>
      <c r="Z51" s="13">
        <f t="shared" ref="Z51:AA51" si="137">Z29+Z39+Z50</f>
        <v>1101353</v>
      </c>
      <c r="AA51" s="13">
        <f t="shared" si="137"/>
        <v>-12866426</v>
      </c>
      <c r="AB51" s="13">
        <f t="shared" si="53"/>
        <v>-13967779</v>
      </c>
      <c r="AC51" s="13">
        <f t="shared" ref="AC51:AD51" si="138">AC29+AC39+AC50</f>
        <v>1732678</v>
      </c>
      <c r="AD51" s="13">
        <f t="shared" si="138"/>
        <v>0</v>
      </c>
      <c r="AE51" s="15">
        <f t="shared" si="54"/>
        <v>-1732678</v>
      </c>
      <c r="AF51" s="13">
        <f t="shared" ref="AF51:AG51" si="139">AF29+AF39+AF50</f>
        <v>-225068</v>
      </c>
      <c r="AG51" s="13">
        <f t="shared" si="139"/>
        <v>0</v>
      </c>
      <c r="AH51" s="13">
        <f t="shared" si="55"/>
        <v>225068</v>
      </c>
      <c r="AI51" s="13">
        <f t="shared" ref="AI51:AJ51" si="140">AI29+AI39+AI50</f>
        <v>5769399</v>
      </c>
      <c r="AJ51" s="13">
        <f t="shared" si="140"/>
        <v>0</v>
      </c>
      <c r="AK51" s="13">
        <f t="shared" si="56"/>
        <v>-5769399</v>
      </c>
    </row>
    <row r="52" spans="1:37" ht="13.2">
      <c r="A52" s="12" t="s">
        <v>59</v>
      </c>
      <c r="B52" s="13">
        <f>前年度資金繰り実績表!B42+B51</f>
        <v>4437059</v>
      </c>
      <c r="C52" s="13">
        <f>資金繰り実績表!B42+C51</f>
        <v>-16641249</v>
      </c>
      <c r="D52" s="15">
        <f t="shared" si="0"/>
        <v>-21078308</v>
      </c>
      <c r="E52" s="14">
        <f t="shared" ref="E52:F52" si="141">B52+E51</f>
        <v>4067326</v>
      </c>
      <c r="F52" s="13">
        <f t="shared" si="141"/>
        <v>-13745279</v>
      </c>
      <c r="G52" s="15">
        <f t="shared" si="1"/>
        <v>-17812605</v>
      </c>
      <c r="H52" s="13">
        <f t="shared" ref="H52:I52" si="142">E52+H51</f>
        <v>3960333</v>
      </c>
      <c r="I52" s="13">
        <f t="shared" si="142"/>
        <v>-18952032</v>
      </c>
      <c r="J52" s="15">
        <f t="shared" si="2"/>
        <v>-22912365</v>
      </c>
      <c r="K52" s="13">
        <f t="shared" ref="K52:L52" si="143">H52+K51</f>
        <v>2263391</v>
      </c>
      <c r="L52" s="13">
        <f t="shared" si="143"/>
        <v>-14220638</v>
      </c>
      <c r="M52" s="15">
        <f t="shared" si="48"/>
        <v>-16484029</v>
      </c>
      <c r="N52" s="13">
        <f t="shared" ref="N52:O52" si="144">K52+N51</f>
        <v>2857151</v>
      </c>
      <c r="O52" s="13">
        <f t="shared" si="144"/>
        <v>-15559104</v>
      </c>
      <c r="P52" s="13">
        <f t="shared" si="49"/>
        <v>-18416255</v>
      </c>
      <c r="Q52" s="13">
        <f t="shared" ref="Q52:R52" si="145">N52+Q51</f>
        <v>2894913</v>
      </c>
      <c r="R52" s="13">
        <f t="shared" si="145"/>
        <v>-7464745</v>
      </c>
      <c r="S52" s="15">
        <f t="shared" si="50"/>
        <v>-10359658</v>
      </c>
      <c r="T52" s="13">
        <f t="shared" ref="T52:U52" si="146">Q52+T51</f>
        <v>2126371</v>
      </c>
      <c r="U52" s="13">
        <f t="shared" si="146"/>
        <v>2912861</v>
      </c>
      <c r="V52" s="13">
        <f t="shared" si="51"/>
        <v>786490</v>
      </c>
      <c r="W52" s="13">
        <f t="shared" ref="W52:X52" si="147">T52+W51</f>
        <v>920762</v>
      </c>
      <c r="X52" s="13">
        <f t="shared" si="147"/>
        <v>15762259</v>
      </c>
      <c r="Y52" s="15">
        <f t="shared" si="52"/>
        <v>14841497</v>
      </c>
      <c r="Z52" s="13">
        <f t="shared" ref="Z52:AA52" si="148">W52+Z51</f>
        <v>2022115</v>
      </c>
      <c r="AA52" s="13">
        <f t="shared" si="148"/>
        <v>2895833</v>
      </c>
      <c r="AB52" s="13">
        <f t="shared" si="53"/>
        <v>873718</v>
      </c>
      <c r="AC52" s="13">
        <f t="shared" ref="AC52:AD52" si="149">Z52+AC51</f>
        <v>3754793</v>
      </c>
      <c r="AD52" s="13">
        <f t="shared" si="149"/>
        <v>2895833</v>
      </c>
      <c r="AE52" s="15">
        <f t="shared" si="54"/>
        <v>-858960</v>
      </c>
      <c r="AF52" s="13">
        <f t="shared" ref="AF52:AG52" si="150">AC52+AF51</f>
        <v>3529725</v>
      </c>
      <c r="AG52" s="13">
        <f t="shared" si="150"/>
        <v>2895833</v>
      </c>
      <c r="AH52" s="13">
        <f t="shared" si="55"/>
        <v>-633892</v>
      </c>
      <c r="AI52" s="13">
        <f t="shared" ref="AI52:AJ52" si="151">AF52+AI51</f>
        <v>9299124</v>
      </c>
      <c r="AJ52" s="13">
        <f t="shared" si="151"/>
        <v>2895833</v>
      </c>
      <c r="AK52" s="13">
        <f t="shared" si="56"/>
        <v>-6403291</v>
      </c>
    </row>
    <row r="53" spans="1:37" ht="13.2">
      <c r="AE53" s="1"/>
      <c r="AF53" s="1"/>
      <c r="AG53" s="1"/>
      <c r="AH53" s="1"/>
      <c r="AI53" s="1"/>
      <c r="AJ53" s="1"/>
      <c r="AK53" s="1"/>
    </row>
  </sheetData>
  <phoneticPr fontId="14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5" tint="0.39997558519241921"/>
    <outlinePr summaryBelow="0" summaryRight="0"/>
  </sheetPr>
  <dimension ref="A1:X42"/>
  <sheetViews>
    <sheetView showGridLines="0" topLeftCell="C18" workbookViewId="0">
      <selection activeCell="F21" sqref="F21"/>
    </sheetView>
  </sheetViews>
  <sheetFormatPr defaultColWidth="12.6640625" defaultRowHeight="15.75" customHeight="1"/>
  <cols>
    <col min="1" max="1" width="6.21875" customWidth="1"/>
    <col min="2" max="2" width="34.88671875" customWidth="1"/>
    <col min="3" max="3" width="13.44140625" customWidth="1"/>
    <col min="5" max="5" width="42.88671875" customWidth="1"/>
    <col min="6" max="6" width="51.109375" customWidth="1"/>
    <col min="7" max="7" width="9.88671875" customWidth="1"/>
    <col min="10" max="10" width="21.33203125" customWidth="1"/>
    <col min="13" max="13" width="16.44140625" customWidth="1"/>
  </cols>
  <sheetData>
    <row r="1" spans="2:10" ht="30" customHeight="1">
      <c r="B1" s="142" t="s">
        <v>215</v>
      </c>
    </row>
    <row r="2" spans="2:10" ht="13.2">
      <c r="B2" s="143" t="s">
        <v>216</v>
      </c>
      <c r="C2" s="143" t="s">
        <v>217</v>
      </c>
      <c r="D2" s="143" t="s">
        <v>218</v>
      </c>
      <c r="E2" s="143" t="s">
        <v>219</v>
      </c>
      <c r="F2" s="143" t="s">
        <v>220</v>
      </c>
      <c r="H2" s="143" t="s">
        <v>221</v>
      </c>
      <c r="I2" s="143" t="s">
        <v>222</v>
      </c>
    </row>
    <row r="3" spans="2:10" ht="13.2">
      <c r="B3" s="144" t="s">
        <v>223</v>
      </c>
      <c r="C3" s="145">
        <f>'資金繰り実績予定表（詳細）'!M55/H3</f>
        <v>3.4708926666666668</v>
      </c>
      <c r="D3" s="145">
        <f>'資金繰り実績予定表（詳細）'!AA55/I3</f>
        <v>3.3589283870967743</v>
      </c>
      <c r="E3" s="144" t="s">
        <v>224</v>
      </c>
      <c r="F3" s="144" t="s">
        <v>225</v>
      </c>
      <c r="G3" s="1" t="s">
        <v>226</v>
      </c>
      <c r="H3" s="146">
        <v>6000000</v>
      </c>
      <c r="I3" s="146">
        <v>6200000</v>
      </c>
    </row>
    <row r="4" spans="2:10" ht="13.2">
      <c r="B4" s="144" t="s">
        <v>227</v>
      </c>
      <c r="C4" s="147">
        <f>'資金繰り実績予定表（詳細）'!M55/H4</f>
        <v>6.9417853333333337</v>
      </c>
      <c r="D4" s="147">
        <f>'資金繰り実績予定表（詳細）'!AA55/I4</f>
        <v>5.9501017142857142</v>
      </c>
      <c r="E4" s="144" t="s">
        <v>228</v>
      </c>
      <c r="F4" s="144" t="s">
        <v>229</v>
      </c>
      <c r="G4" s="1" t="s">
        <v>230</v>
      </c>
      <c r="H4" s="146">
        <v>3000000</v>
      </c>
      <c r="I4" s="146">
        <v>3500000</v>
      </c>
      <c r="J4" s="1" t="s">
        <v>231</v>
      </c>
    </row>
    <row r="5" spans="2:10" ht="13.2">
      <c r="B5" s="144" t="s">
        <v>232</v>
      </c>
      <c r="C5" s="147">
        <f>借入一覧表!Q47/'資金繰り実績予定表（詳細）'!M55</f>
        <v>0</v>
      </c>
      <c r="D5" s="147">
        <f>借入一覧表!AC47/'資金繰り実績予定表（詳細）'!AA55</f>
        <v>0</v>
      </c>
      <c r="E5" s="144" t="s">
        <v>233</v>
      </c>
      <c r="F5" s="144" t="s">
        <v>234</v>
      </c>
    </row>
    <row r="6" spans="2:10" ht="13.2">
      <c r="B6" s="144" t="s">
        <v>235</v>
      </c>
      <c r="C6" s="147">
        <f>IFERROR('資金繰り実績予定表（詳細）'!N27/('資金繰り実績予定表（詳細）'!N45+'資金繰り実績予定表（詳細）'!N46),"")</f>
        <v>7.6211472879469347E-2</v>
      </c>
      <c r="D6" s="147" t="str">
        <f>IFERROR('資金繰り実績予定表（詳細）'!AB27/('資金繰り実績予定表（詳細）'!AB45+'資金繰り実績予定表（詳細）'!AB46),"")</f>
        <v/>
      </c>
      <c r="E6" s="144" t="s">
        <v>236</v>
      </c>
      <c r="F6" s="144" t="s">
        <v>237</v>
      </c>
    </row>
    <row r="7" spans="2:10" ht="13.2">
      <c r="B7" s="144" t="s">
        <v>238</v>
      </c>
      <c r="C7" s="147">
        <f>IFERROR(借入一覧表!Q47/'資金繰り実績予定表（詳細）'!N27,"")</f>
        <v>0</v>
      </c>
      <c r="D7" s="147" t="str">
        <f>IFERROR(借入一覧表!AC47/'資金繰り実績予定表（詳細）'!AB27,"")</f>
        <v/>
      </c>
      <c r="E7" s="144" t="s">
        <v>239</v>
      </c>
      <c r="F7" s="144" t="s">
        <v>240</v>
      </c>
    </row>
    <row r="8" spans="2:10" ht="19.5" customHeight="1">
      <c r="C8" s="148" t="s">
        <v>241</v>
      </c>
      <c r="D8" s="148" t="s">
        <v>242</v>
      </c>
    </row>
    <row r="9" spans="2:10" ht="15.75" customHeight="1">
      <c r="C9" s="149" t="e">
        <f t="shared" ref="C9:D9" ca="1" si="0">SUM(C31:C35)</f>
        <v>#NAME?</v>
      </c>
      <c r="D9" s="149" t="e">
        <f t="shared" ca="1" si="0"/>
        <v>#NAME?</v>
      </c>
      <c r="E9" s="1" t="s">
        <v>243</v>
      </c>
    </row>
    <row r="17" spans="1:24" ht="22.5" customHeight="1"/>
    <row r="18" spans="1:24" ht="22.5" customHeight="1"/>
    <row r="19" spans="1:24" ht="22.5" customHeight="1"/>
    <row r="20" spans="1:24" ht="22.5" customHeight="1"/>
    <row r="21" spans="1:24" ht="22.5" customHeight="1"/>
    <row r="22" spans="1:24" ht="22.5" customHeight="1"/>
    <row r="23" spans="1:24" ht="22.5" customHeight="1"/>
    <row r="24" spans="1:24" ht="22.5" customHeight="1"/>
    <row r="25" spans="1:24" ht="22.5" customHeight="1"/>
    <row r="26" spans="1:24" ht="22.5" customHeight="1"/>
    <row r="27" spans="1:24" ht="22.5" customHeight="1"/>
    <row r="28" spans="1:24" ht="22.5" customHeight="1"/>
    <row r="29" spans="1:24" ht="23.25" customHeight="1">
      <c r="C29" s="8" t="s">
        <v>244</v>
      </c>
      <c r="D29" s="8" t="s">
        <v>244</v>
      </c>
    </row>
    <row r="30" spans="1:24" ht="13.2">
      <c r="A30" s="3"/>
      <c r="B30" s="150" t="s">
        <v>216</v>
      </c>
      <c r="C30" s="150" t="s">
        <v>217</v>
      </c>
      <c r="D30" s="150" t="s">
        <v>218</v>
      </c>
      <c r="E30" s="3"/>
      <c r="F30" s="3"/>
      <c r="G30" s="3"/>
      <c r="H30" s="3"/>
      <c r="I30" s="3"/>
      <c r="J30" s="3"/>
      <c r="K30" s="3"/>
      <c r="L30" s="3"/>
      <c r="M30" s="143" t="s">
        <v>216</v>
      </c>
      <c r="N30" s="143">
        <v>10</v>
      </c>
      <c r="O30" s="143">
        <v>9</v>
      </c>
      <c r="P30" s="143">
        <v>8</v>
      </c>
      <c r="Q30" s="143">
        <v>7</v>
      </c>
      <c r="R30" s="143">
        <v>6</v>
      </c>
      <c r="S30" s="143">
        <v>5</v>
      </c>
      <c r="T30" s="143">
        <v>4</v>
      </c>
      <c r="U30" s="143">
        <v>3</v>
      </c>
      <c r="V30" s="143">
        <v>2</v>
      </c>
      <c r="W30" s="143">
        <v>1</v>
      </c>
      <c r="X30" s="143">
        <v>0</v>
      </c>
    </row>
    <row r="31" spans="1:24" ht="13.2">
      <c r="B31" s="144" t="s">
        <v>245</v>
      </c>
      <c r="C31" s="151" t="e">
        <f t="shared" ref="C31:D31" ca="1" si="1">_xludf.IFS(
  C3&gt;$N31, $N$30,
  C3&gt;=$O31, $O$30,
  C3&gt;=$P31, $P$30,
  C3&gt;=$Q31, $Q$30,
  C3&gt;=$R31, $R$30,
  C3&gt;=$S31, $S$30,
  C3&gt;=$T31, $T$30,
  C3&gt;=$U31, $U$30,
  C3&gt;=$V31, $V$30,
  C3&gt;=$W31, $W$30,
  C3&lt;$W31, $X$30
)</f>
        <v>#NAME?</v>
      </c>
      <c r="D31" s="151" t="e">
        <f t="shared" ca="1" si="1"/>
        <v>#NAME?</v>
      </c>
      <c r="M31" s="144" t="s">
        <v>245</v>
      </c>
      <c r="N31" s="151">
        <v>3.5</v>
      </c>
      <c r="O31" s="151">
        <v>3</v>
      </c>
      <c r="P31" s="151">
        <v>2.5</v>
      </c>
      <c r="Q31" s="151">
        <v>2</v>
      </c>
      <c r="R31" s="151">
        <v>1.75</v>
      </c>
      <c r="S31" s="151">
        <v>1.5</v>
      </c>
      <c r="T31" s="151">
        <v>1.25</v>
      </c>
      <c r="U31" s="151">
        <v>1</v>
      </c>
      <c r="V31" s="151">
        <v>0.75</v>
      </c>
      <c r="W31" s="151">
        <v>0.5</v>
      </c>
      <c r="X31" s="151">
        <v>0.1</v>
      </c>
    </row>
    <row r="32" spans="1:24" ht="13.2">
      <c r="B32" s="144" t="s">
        <v>246</v>
      </c>
      <c r="C32" s="151" t="e">
        <f t="shared" ref="C32:D32" ca="1" si="2">_xludf.IFS(
  C4&gt;$N32, $N$30,
  C4&gt;=$O32, $O$30,
  C4&gt;=$P32, $P$30,
  C4&gt;=$Q32, $Q$30,
  C4&gt;=$R32, $R$30,
  C4&gt;=$S32, $S$30,
  C4&gt;=$T32, $T$30,
  C4&gt;=$U32, $U$30,
  C4&gt;=$V32, $V$30,
  C4&gt;=$W32, $W$30,
  C4&lt;$W32, $X$30
)</f>
        <v>#NAME?</v>
      </c>
      <c r="D32" s="151" t="e">
        <f t="shared" ca="1" si="2"/>
        <v>#NAME?</v>
      </c>
      <c r="M32" s="144" t="s">
        <v>246</v>
      </c>
      <c r="N32" s="151">
        <v>6</v>
      </c>
      <c r="O32" s="151">
        <v>5</v>
      </c>
      <c r="P32" s="151">
        <v>4</v>
      </c>
      <c r="Q32" s="151">
        <v>3</v>
      </c>
      <c r="R32" s="151">
        <v>2.5</v>
      </c>
      <c r="S32" s="151">
        <v>2</v>
      </c>
      <c r="T32" s="151">
        <v>1.5</v>
      </c>
      <c r="U32" s="151">
        <v>1</v>
      </c>
      <c r="V32" s="151">
        <v>0.75</v>
      </c>
      <c r="W32" s="151">
        <v>0.5</v>
      </c>
      <c r="X32" s="151">
        <v>0.1</v>
      </c>
    </row>
    <row r="33" spans="2:24" ht="13.2">
      <c r="B33" s="144" t="s">
        <v>247</v>
      </c>
      <c r="C33" s="151" t="e">
        <f t="shared" ref="C33:D33" ca="1" si="3">_xludf.IFS(
  C5&lt;$N33, $N$30,
  C5&lt;=$O33, $O$30,
  C5&lt;=$P33, $P$30,
  C5&lt;=$Q33, $Q$30,
  C5&lt;=$R33, $R$30,
  C5&lt;=$S33, $S$30,
  C5&lt;=$T33, $T$30,
  C5&lt;=$U33, $U$30,
  C5&lt;=$V33, $V$30,
  C5&lt;=$W33, $W$30,
  C5&lt;$X33, $X$30
)</f>
        <v>#NAME?</v>
      </c>
      <c r="D33" s="151" t="e">
        <f t="shared" ca="1" si="3"/>
        <v>#NAME?</v>
      </c>
      <c r="M33" s="144" t="s">
        <v>247</v>
      </c>
      <c r="N33" s="151">
        <v>0.1</v>
      </c>
      <c r="O33" s="151">
        <v>0.5</v>
      </c>
      <c r="P33" s="151">
        <v>1</v>
      </c>
      <c r="Q33" s="151">
        <v>2</v>
      </c>
      <c r="R33" s="151">
        <v>3</v>
      </c>
      <c r="S33" s="151">
        <v>4</v>
      </c>
      <c r="T33" s="151">
        <v>5</v>
      </c>
      <c r="U33" s="151">
        <v>6</v>
      </c>
      <c r="V33" s="151">
        <v>7</v>
      </c>
      <c r="W33" s="151">
        <v>8</v>
      </c>
      <c r="X33" s="151">
        <v>9</v>
      </c>
    </row>
    <row r="34" spans="2:24" ht="13.2">
      <c r="B34" s="144" t="s">
        <v>248</v>
      </c>
      <c r="C34" s="151" t="e">
        <f t="shared" ref="C34:D34" ca="1" si="4">_xludf.IFS(
  C6&gt;$N34, $N$30,
  C6&gt;=$O34, $O$30,
  C6&gt;=$P34, $P$30,
  C6&gt;=$Q34, $Q$30,
  C6&gt;=$R34, $R$30,
  C6&gt;=$S34, $S$30,
  C6&gt;=$T34, $T$30,
  C6&gt;=$U34, $U$30,
  C6&gt;=$V34, $V$30,
  C6&gt;=$W34, $W$30,
  C6&lt;$W34, $X$30
)</f>
        <v>#NAME?</v>
      </c>
      <c r="D34" s="151" t="e">
        <f t="shared" ca="1" si="4"/>
        <v>#NAME?</v>
      </c>
      <c r="M34" s="144" t="s">
        <v>249</v>
      </c>
      <c r="N34" s="151">
        <v>3</v>
      </c>
      <c r="O34" s="151">
        <v>2.5</v>
      </c>
      <c r="P34" s="151">
        <v>2</v>
      </c>
      <c r="Q34" s="151">
        <v>1.5</v>
      </c>
      <c r="R34" s="151">
        <v>1</v>
      </c>
      <c r="S34" s="151">
        <v>0.8</v>
      </c>
      <c r="T34" s="151">
        <v>0.6</v>
      </c>
      <c r="U34" s="151">
        <v>0.4</v>
      </c>
      <c r="V34" s="151">
        <v>0.3</v>
      </c>
      <c r="W34" s="151">
        <v>0.2</v>
      </c>
      <c r="X34" s="151">
        <v>0.1</v>
      </c>
    </row>
    <row r="35" spans="2:24" ht="13.2">
      <c r="B35" s="144" t="s">
        <v>250</v>
      </c>
      <c r="C35" s="151" t="e">
        <f t="shared" ref="C35:D35" ca="1" si="5">_xludf.IFS(
  C7&lt;$N35, $N$30,
  C7&lt;=$O35, $O$30,
  C7&lt;=$P35, $P$30,
  C7&lt;=$Q35, $Q$30,
  C7&lt;=$R35, $R$30,
  C7&lt;=$S35, $S$30,
  C7&lt;=$T35, $T$30,
  C7&lt;=$U35, $U$30,
  C7&lt;=$V35, $V$30,
  C7&lt;=$W35, $W$30,
  C7&lt;$X35, $X$30
)</f>
        <v>#NAME?</v>
      </c>
      <c r="D35" s="151" t="e">
        <f t="shared" ca="1" si="5"/>
        <v>#NAME?</v>
      </c>
      <c r="M35" s="144" t="s">
        <v>250</v>
      </c>
      <c r="N35" s="151">
        <v>3</v>
      </c>
      <c r="O35" s="151">
        <v>5</v>
      </c>
      <c r="P35" s="151">
        <v>7</v>
      </c>
      <c r="Q35" s="151">
        <v>10</v>
      </c>
      <c r="R35" s="151">
        <v>12</v>
      </c>
      <c r="S35" s="151">
        <v>14</v>
      </c>
      <c r="T35" s="151">
        <v>16</v>
      </c>
      <c r="U35" s="151">
        <v>18</v>
      </c>
      <c r="V35" s="151">
        <v>20</v>
      </c>
      <c r="W35" s="151">
        <v>22</v>
      </c>
      <c r="X35" s="151">
        <v>24</v>
      </c>
    </row>
    <row r="37" spans="2:24" ht="13.2"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</row>
    <row r="38" spans="2:24" ht="13.2">
      <c r="M38" s="144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</row>
    <row r="39" spans="2:24" ht="13.2">
      <c r="M39" s="144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</row>
    <row r="40" spans="2:24" ht="13.2">
      <c r="M40" s="144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</row>
    <row r="41" spans="2:24" ht="13.2">
      <c r="M41" s="144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</row>
    <row r="42" spans="2:24" ht="13.2">
      <c r="M42" s="144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</row>
  </sheetData>
  <phoneticPr fontId="14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outlinePr summaryBelow="0" summaryRight="0"/>
  </sheetPr>
  <dimension ref="A1:AC74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51" sqref="F51"/>
    </sheetView>
  </sheetViews>
  <sheetFormatPr defaultColWidth="12.6640625" defaultRowHeight="15.75" customHeight="1"/>
  <cols>
    <col min="1" max="1" width="4" style="154" customWidth="1"/>
    <col min="2" max="2" width="23.6640625" style="154" customWidth="1"/>
    <col min="3" max="3" width="11.21875" style="154" customWidth="1"/>
    <col min="4" max="16384" width="12.6640625" style="154"/>
  </cols>
  <sheetData>
    <row r="1" spans="1:29" ht="15.75" customHeight="1">
      <c r="A1" s="189"/>
      <c r="P1" s="153"/>
    </row>
    <row r="2" spans="1:29" ht="15.75" customHeight="1">
      <c r="B2" s="153" t="s">
        <v>251</v>
      </c>
      <c r="D2" s="153"/>
      <c r="E2" s="197" t="s">
        <v>252</v>
      </c>
      <c r="F2" s="198" t="s">
        <v>253</v>
      </c>
      <c r="G2" s="199" t="s">
        <v>254</v>
      </c>
      <c r="H2" s="198"/>
      <c r="I2" s="198"/>
      <c r="J2" s="198"/>
      <c r="L2" s="198"/>
      <c r="M2" s="198"/>
      <c r="N2" s="198"/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</row>
    <row r="3" spans="1:29" ht="15.75" customHeight="1">
      <c r="A3" s="200"/>
      <c r="B3" s="200" t="s">
        <v>255</v>
      </c>
      <c r="C3" s="200" t="s">
        <v>44</v>
      </c>
      <c r="D3" s="200" t="s">
        <v>256</v>
      </c>
      <c r="E3" s="201">
        <f>EOMONTH('資金繰り実績予定表（詳細）'!B2,-1)</f>
        <v>45838</v>
      </c>
      <c r="F3" s="201">
        <f t="shared" ref="F3:AC3" si="0">EOMONTH(E3,1)</f>
        <v>45869</v>
      </c>
      <c r="G3" s="201">
        <f t="shared" si="0"/>
        <v>45900</v>
      </c>
      <c r="H3" s="201">
        <f t="shared" si="0"/>
        <v>45930</v>
      </c>
      <c r="I3" s="201">
        <f t="shared" si="0"/>
        <v>45961</v>
      </c>
      <c r="J3" s="201">
        <f t="shared" si="0"/>
        <v>45991</v>
      </c>
      <c r="K3" s="201">
        <f t="shared" si="0"/>
        <v>46022</v>
      </c>
      <c r="L3" s="201">
        <f t="shared" si="0"/>
        <v>46053</v>
      </c>
      <c r="M3" s="201">
        <f t="shared" si="0"/>
        <v>46081</v>
      </c>
      <c r="N3" s="201">
        <f t="shared" si="0"/>
        <v>46112</v>
      </c>
      <c r="O3" s="201">
        <f t="shared" si="0"/>
        <v>46142</v>
      </c>
      <c r="P3" s="201">
        <f t="shared" si="0"/>
        <v>46173</v>
      </c>
      <c r="Q3" s="201">
        <f t="shared" si="0"/>
        <v>46203</v>
      </c>
      <c r="R3" s="202">
        <f t="shared" si="0"/>
        <v>46234</v>
      </c>
      <c r="S3" s="202">
        <f t="shared" si="0"/>
        <v>46265</v>
      </c>
      <c r="T3" s="202">
        <f t="shared" si="0"/>
        <v>46295</v>
      </c>
      <c r="U3" s="202">
        <f t="shared" si="0"/>
        <v>46326</v>
      </c>
      <c r="V3" s="202">
        <f t="shared" si="0"/>
        <v>46356</v>
      </c>
      <c r="W3" s="202">
        <f t="shared" si="0"/>
        <v>46387</v>
      </c>
      <c r="X3" s="202">
        <f t="shared" si="0"/>
        <v>46418</v>
      </c>
      <c r="Y3" s="202">
        <f t="shared" si="0"/>
        <v>46446</v>
      </c>
      <c r="Z3" s="202">
        <f t="shared" si="0"/>
        <v>46477</v>
      </c>
      <c r="AA3" s="202">
        <f t="shared" si="0"/>
        <v>46507</v>
      </c>
      <c r="AB3" s="202">
        <f t="shared" si="0"/>
        <v>46538</v>
      </c>
      <c r="AC3" s="202">
        <f t="shared" si="0"/>
        <v>46568</v>
      </c>
    </row>
    <row r="4" spans="1:29" ht="15.75" customHeight="1">
      <c r="A4" s="153">
        <v>1</v>
      </c>
      <c r="B4" s="203"/>
      <c r="C4" s="203"/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  <c r="W4" s="204"/>
      <c r="X4" s="204"/>
      <c r="Y4" s="204"/>
      <c r="Z4" s="204"/>
      <c r="AA4" s="204"/>
      <c r="AB4" s="204"/>
      <c r="AC4" s="204"/>
    </row>
    <row r="5" spans="1:29" ht="15.75" customHeight="1">
      <c r="A5" s="153">
        <v>2</v>
      </c>
      <c r="B5" s="203"/>
      <c r="C5" s="203"/>
      <c r="D5" s="203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</row>
    <row r="6" spans="1:29" ht="15.75" customHeight="1">
      <c r="A6" s="153">
        <v>3</v>
      </c>
      <c r="B6" s="203"/>
      <c r="C6" s="203"/>
      <c r="D6" s="203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  <c r="T6" s="204"/>
      <c r="U6" s="204"/>
      <c r="V6" s="204"/>
      <c r="W6" s="204"/>
      <c r="X6" s="204"/>
      <c r="Y6" s="204"/>
      <c r="Z6" s="204"/>
      <c r="AA6" s="204"/>
      <c r="AB6" s="204"/>
      <c r="AC6" s="204"/>
    </row>
    <row r="7" spans="1:29" ht="15.75" customHeight="1">
      <c r="A7" s="153">
        <v>4</v>
      </c>
      <c r="B7" s="203"/>
      <c r="C7" s="203"/>
      <c r="D7" s="203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  <c r="T7" s="204"/>
      <c r="U7" s="204"/>
      <c r="V7" s="204"/>
      <c r="W7" s="204"/>
      <c r="X7" s="204"/>
      <c r="Y7" s="204"/>
      <c r="Z7" s="204"/>
      <c r="AA7" s="204"/>
      <c r="AB7" s="204"/>
      <c r="AC7" s="204"/>
    </row>
    <row r="8" spans="1:29" ht="15.75" customHeight="1">
      <c r="A8" s="153">
        <v>5</v>
      </c>
      <c r="B8" s="203"/>
      <c r="C8" s="203"/>
      <c r="D8" s="203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4"/>
      <c r="V8" s="204"/>
      <c r="W8" s="204"/>
      <c r="X8" s="204"/>
      <c r="Y8" s="204"/>
      <c r="Z8" s="204"/>
      <c r="AA8" s="204"/>
      <c r="AB8" s="204"/>
      <c r="AC8" s="204"/>
    </row>
    <row r="9" spans="1:29" ht="15.75" customHeight="1">
      <c r="A9" s="153">
        <v>6</v>
      </c>
      <c r="B9" s="203"/>
      <c r="C9" s="203"/>
      <c r="D9" s="204"/>
      <c r="E9" s="204"/>
      <c r="F9" s="204"/>
      <c r="G9" s="204"/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  <c r="AA9" s="204"/>
      <c r="AB9" s="204"/>
      <c r="AC9" s="204"/>
    </row>
    <row r="10" spans="1:29" ht="15.75" customHeight="1">
      <c r="A10" s="153">
        <v>7</v>
      </c>
      <c r="B10" s="203"/>
      <c r="C10" s="203"/>
      <c r="D10" s="204"/>
      <c r="E10" s="204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204"/>
      <c r="S10" s="204"/>
      <c r="T10" s="204"/>
      <c r="U10" s="204"/>
      <c r="V10" s="204"/>
      <c r="W10" s="204"/>
      <c r="X10" s="204"/>
      <c r="Y10" s="204"/>
      <c r="Z10" s="204"/>
      <c r="AA10" s="204"/>
      <c r="AB10" s="204"/>
      <c r="AC10" s="204"/>
    </row>
    <row r="11" spans="1:29" ht="15.75" customHeight="1">
      <c r="A11" s="153">
        <v>8</v>
      </c>
      <c r="B11" s="203"/>
      <c r="C11" s="203"/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  <c r="AA11" s="204"/>
      <c r="AB11" s="204"/>
      <c r="AC11" s="204"/>
    </row>
    <row r="12" spans="1:29" ht="15.75" customHeight="1">
      <c r="A12" s="153">
        <v>9</v>
      </c>
      <c r="B12" s="203"/>
      <c r="C12" s="203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204"/>
      <c r="W12" s="204"/>
      <c r="X12" s="204"/>
      <c r="Y12" s="204"/>
      <c r="Z12" s="204"/>
      <c r="AA12" s="204"/>
      <c r="AB12" s="204"/>
      <c r="AC12" s="204"/>
    </row>
    <row r="13" spans="1:29" ht="15.75" customHeight="1">
      <c r="A13" s="153">
        <v>10</v>
      </c>
      <c r="B13" s="203"/>
      <c r="C13" s="203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  <c r="T13" s="204"/>
      <c r="U13" s="204"/>
      <c r="V13" s="204"/>
      <c r="W13" s="204"/>
      <c r="X13" s="204"/>
      <c r="Y13" s="204"/>
      <c r="Z13" s="204"/>
      <c r="AA13" s="204"/>
      <c r="AB13" s="204"/>
      <c r="AC13" s="204"/>
    </row>
    <row r="14" spans="1:29" ht="15.75" customHeight="1">
      <c r="A14" s="153">
        <v>11</v>
      </c>
      <c r="B14" s="203"/>
      <c r="C14" s="203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04"/>
      <c r="T14" s="204"/>
      <c r="U14" s="204"/>
      <c r="V14" s="204"/>
      <c r="W14" s="204"/>
      <c r="X14" s="204"/>
      <c r="Y14" s="204"/>
      <c r="Z14" s="204"/>
      <c r="AA14" s="204"/>
      <c r="AB14" s="204"/>
      <c r="AC14" s="204"/>
    </row>
    <row r="15" spans="1:29" ht="15.75" customHeight="1">
      <c r="A15" s="153">
        <v>12</v>
      </c>
      <c r="B15" s="203"/>
      <c r="C15" s="203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4"/>
      <c r="U15" s="204"/>
      <c r="V15" s="204"/>
      <c r="W15" s="204"/>
      <c r="X15" s="204"/>
      <c r="Y15" s="204"/>
      <c r="Z15" s="204"/>
      <c r="AA15" s="204"/>
      <c r="AB15" s="204"/>
      <c r="AC15" s="204"/>
    </row>
    <row r="16" spans="1:29" ht="15.75" customHeight="1">
      <c r="A16" s="153">
        <v>13</v>
      </c>
      <c r="B16" s="203"/>
      <c r="C16" s="203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204"/>
      <c r="V16" s="204"/>
      <c r="W16" s="204"/>
      <c r="X16" s="204"/>
      <c r="Y16" s="204"/>
      <c r="Z16" s="204"/>
      <c r="AA16" s="204"/>
      <c r="AB16" s="204"/>
      <c r="AC16" s="204"/>
    </row>
    <row r="17" spans="1:29" ht="15.75" customHeight="1">
      <c r="A17" s="153">
        <v>14</v>
      </c>
      <c r="B17" s="203"/>
      <c r="C17" s="203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04"/>
      <c r="O17" s="204"/>
      <c r="P17" s="204"/>
      <c r="Q17" s="204"/>
      <c r="R17" s="204"/>
      <c r="S17" s="204"/>
      <c r="T17" s="204"/>
      <c r="U17" s="204"/>
      <c r="V17" s="204"/>
      <c r="W17" s="204"/>
      <c r="X17" s="204"/>
      <c r="Y17" s="204"/>
      <c r="Z17" s="204"/>
      <c r="AA17" s="204"/>
      <c r="AB17" s="204"/>
      <c r="AC17" s="204"/>
    </row>
    <row r="18" spans="1:29" ht="15.75" customHeight="1">
      <c r="A18" s="153">
        <v>15</v>
      </c>
      <c r="B18" s="203"/>
      <c r="C18" s="203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  <c r="T18" s="204"/>
      <c r="U18" s="204"/>
      <c r="V18" s="204"/>
      <c r="W18" s="204"/>
      <c r="X18" s="204"/>
      <c r="Y18" s="204"/>
      <c r="Z18" s="204"/>
      <c r="AA18" s="204"/>
      <c r="AB18" s="204"/>
      <c r="AC18" s="204"/>
    </row>
    <row r="19" spans="1:29" ht="15.75" customHeight="1">
      <c r="A19" s="153">
        <v>16</v>
      </c>
      <c r="B19" s="203"/>
      <c r="C19" s="203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  <c r="T19" s="204"/>
      <c r="U19" s="204"/>
      <c r="V19" s="204"/>
      <c r="W19" s="204"/>
      <c r="X19" s="204"/>
      <c r="Y19" s="204"/>
      <c r="Z19" s="204"/>
      <c r="AA19" s="204"/>
      <c r="AB19" s="204"/>
      <c r="AC19" s="204"/>
    </row>
    <row r="20" spans="1:29" ht="15.75" customHeight="1">
      <c r="A20" s="153">
        <v>17</v>
      </c>
      <c r="B20" s="203"/>
      <c r="C20" s="203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  <c r="T20" s="204"/>
      <c r="U20" s="204"/>
      <c r="V20" s="204"/>
      <c r="W20" s="204"/>
      <c r="X20" s="204"/>
      <c r="Y20" s="204"/>
      <c r="Z20" s="204"/>
      <c r="AA20" s="204"/>
      <c r="AB20" s="204"/>
      <c r="AC20" s="204"/>
    </row>
    <row r="21" spans="1:29" ht="15.75" customHeight="1">
      <c r="A21" s="153">
        <v>18</v>
      </c>
      <c r="B21" s="203"/>
      <c r="C21" s="203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204"/>
      <c r="O21" s="204"/>
      <c r="P21" s="204"/>
      <c r="Q21" s="204"/>
      <c r="R21" s="204"/>
      <c r="S21" s="204"/>
      <c r="T21" s="204"/>
      <c r="U21" s="204"/>
      <c r="V21" s="204"/>
      <c r="W21" s="204"/>
      <c r="X21" s="204"/>
      <c r="Y21" s="204"/>
      <c r="Z21" s="204"/>
      <c r="AA21" s="204"/>
      <c r="AB21" s="204"/>
      <c r="AC21" s="204"/>
    </row>
    <row r="22" spans="1:29" ht="15.75" customHeight="1">
      <c r="A22" s="153">
        <v>19</v>
      </c>
      <c r="B22" s="203"/>
      <c r="C22" s="203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04"/>
      <c r="S22" s="204"/>
      <c r="T22" s="204"/>
      <c r="U22" s="204"/>
      <c r="V22" s="204"/>
      <c r="W22" s="204"/>
      <c r="X22" s="204"/>
      <c r="Y22" s="204"/>
      <c r="Z22" s="204"/>
      <c r="AA22" s="204"/>
      <c r="AB22" s="204"/>
      <c r="AC22" s="204"/>
    </row>
    <row r="23" spans="1:29" ht="15.75" customHeight="1">
      <c r="A23" s="153">
        <v>20</v>
      </c>
      <c r="B23" s="203"/>
      <c r="C23" s="203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  <c r="S23" s="204"/>
      <c r="T23" s="204"/>
      <c r="U23" s="204"/>
      <c r="V23" s="204"/>
      <c r="W23" s="204"/>
      <c r="X23" s="204"/>
      <c r="Y23" s="204"/>
      <c r="Z23" s="204"/>
      <c r="AA23" s="204"/>
      <c r="AB23" s="204"/>
      <c r="AC23" s="204"/>
    </row>
    <row r="24" spans="1:29" ht="15.75" customHeight="1">
      <c r="A24" s="200"/>
      <c r="B24" s="200" t="s">
        <v>257</v>
      </c>
      <c r="C24" s="200"/>
      <c r="D24" s="205">
        <f t="shared" ref="D24:AC24" si="1">SUM(D4:D23)</f>
        <v>0</v>
      </c>
      <c r="E24" s="205">
        <f t="shared" si="1"/>
        <v>0</v>
      </c>
      <c r="F24" s="205">
        <f t="shared" si="1"/>
        <v>0</v>
      </c>
      <c r="G24" s="205">
        <f t="shared" si="1"/>
        <v>0</v>
      </c>
      <c r="H24" s="205">
        <f t="shared" si="1"/>
        <v>0</v>
      </c>
      <c r="I24" s="205">
        <f t="shared" si="1"/>
        <v>0</v>
      </c>
      <c r="J24" s="205">
        <f t="shared" si="1"/>
        <v>0</v>
      </c>
      <c r="K24" s="205">
        <f t="shared" si="1"/>
        <v>0</v>
      </c>
      <c r="L24" s="205">
        <f t="shared" si="1"/>
        <v>0</v>
      </c>
      <c r="M24" s="205">
        <f t="shared" si="1"/>
        <v>0</v>
      </c>
      <c r="N24" s="205">
        <f t="shared" si="1"/>
        <v>0</v>
      </c>
      <c r="O24" s="205">
        <f t="shared" si="1"/>
        <v>0</v>
      </c>
      <c r="P24" s="205">
        <f t="shared" si="1"/>
        <v>0</v>
      </c>
      <c r="Q24" s="205">
        <f t="shared" si="1"/>
        <v>0</v>
      </c>
      <c r="R24" s="206">
        <f t="shared" si="1"/>
        <v>0</v>
      </c>
      <c r="S24" s="206">
        <f t="shared" si="1"/>
        <v>0</v>
      </c>
      <c r="T24" s="206">
        <f t="shared" si="1"/>
        <v>0</v>
      </c>
      <c r="U24" s="206">
        <f t="shared" si="1"/>
        <v>0</v>
      </c>
      <c r="V24" s="206">
        <f t="shared" si="1"/>
        <v>0</v>
      </c>
      <c r="W24" s="206">
        <f t="shared" si="1"/>
        <v>0</v>
      </c>
      <c r="X24" s="206">
        <f t="shared" si="1"/>
        <v>0</v>
      </c>
      <c r="Y24" s="206">
        <f t="shared" si="1"/>
        <v>0</v>
      </c>
      <c r="Z24" s="206">
        <f t="shared" si="1"/>
        <v>0</v>
      </c>
      <c r="AA24" s="206">
        <f t="shared" si="1"/>
        <v>0</v>
      </c>
      <c r="AB24" s="206">
        <f t="shared" si="1"/>
        <v>0</v>
      </c>
      <c r="AC24" s="206">
        <f t="shared" si="1"/>
        <v>0</v>
      </c>
    </row>
    <row r="25" spans="1:29" ht="15.75" customHeight="1">
      <c r="A25" s="189"/>
      <c r="B25" s="189" t="s">
        <v>252</v>
      </c>
      <c r="C25" s="189"/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89"/>
      <c r="W25" s="189"/>
      <c r="X25" s="189"/>
      <c r="Y25" s="189"/>
      <c r="Z25" s="189"/>
      <c r="AA25" s="189"/>
      <c r="AB25" s="189"/>
      <c r="AC25" s="189"/>
    </row>
    <row r="26" spans="1:29" ht="15.75" customHeight="1">
      <c r="A26" s="200"/>
      <c r="B26" s="200" t="s">
        <v>255</v>
      </c>
      <c r="C26" s="200" t="s">
        <v>44</v>
      </c>
      <c r="D26" s="200" t="s">
        <v>256</v>
      </c>
      <c r="E26" s="201">
        <f t="shared" ref="E26:AC26" si="2">E3</f>
        <v>45838</v>
      </c>
      <c r="F26" s="201">
        <f t="shared" si="2"/>
        <v>45869</v>
      </c>
      <c r="G26" s="201">
        <f t="shared" si="2"/>
        <v>45900</v>
      </c>
      <c r="H26" s="201">
        <f t="shared" si="2"/>
        <v>45930</v>
      </c>
      <c r="I26" s="201">
        <f t="shared" si="2"/>
        <v>45961</v>
      </c>
      <c r="J26" s="201">
        <f t="shared" si="2"/>
        <v>45991</v>
      </c>
      <c r="K26" s="201">
        <f t="shared" si="2"/>
        <v>46022</v>
      </c>
      <c r="L26" s="201">
        <f t="shared" si="2"/>
        <v>46053</v>
      </c>
      <c r="M26" s="201">
        <f t="shared" si="2"/>
        <v>46081</v>
      </c>
      <c r="N26" s="201">
        <f t="shared" si="2"/>
        <v>46112</v>
      </c>
      <c r="O26" s="201">
        <f t="shared" si="2"/>
        <v>46142</v>
      </c>
      <c r="P26" s="201">
        <f t="shared" si="2"/>
        <v>46173</v>
      </c>
      <c r="Q26" s="201">
        <f t="shared" si="2"/>
        <v>46203</v>
      </c>
      <c r="R26" s="202">
        <f t="shared" si="2"/>
        <v>46234</v>
      </c>
      <c r="S26" s="202">
        <f t="shared" si="2"/>
        <v>46265</v>
      </c>
      <c r="T26" s="202">
        <f t="shared" si="2"/>
        <v>46295</v>
      </c>
      <c r="U26" s="202">
        <f t="shared" si="2"/>
        <v>46326</v>
      </c>
      <c r="V26" s="202">
        <f t="shared" si="2"/>
        <v>46356</v>
      </c>
      <c r="W26" s="202">
        <f t="shared" si="2"/>
        <v>46387</v>
      </c>
      <c r="X26" s="202">
        <f t="shared" si="2"/>
        <v>46418</v>
      </c>
      <c r="Y26" s="202">
        <f t="shared" si="2"/>
        <v>46446</v>
      </c>
      <c r="Z26" s="202">
        <f t="shared" si="2"/>
        <v>46477</v>
      </c>
      <c r="AA26" s="202">
        <f t="shared" si="2"/>
        <v>46507</v>
      </c>
      <c r="AB26" s="202">
        <f t="shared" si="2"/>
        <v>46538</v>
      </c>
      <c r="AC26" s="202">
        <f t="shared" si="2"/>
        <v>46568</v>
      </c>
    </row>
    <row r="27" spans="1:29" ht="15.75" customHeight="1">
      <c r="A27" s="153">
        <v>1</v>
      </c>
      <c r="B27" s="153" t="str">
        <f>IF(B4=0,"",B4)</f>
        <v/>
      </c>
      <c r="C27" s="153" t="str">
        <f>IF(C4=0,"",C4)</f>
        <v/>
      </c>
      <c r="D27" s="160">
        <f t="shared" ref="D27:E27" si="3">D4</f>
        <v>0</v>
      </c>
      <c r="E27" s="160">
        <f t="shared" si="3"/>
        <v>0</v>
      </c>
      <c r="F27" s="160">
        <f t="shared" ref="F27:AC27" si="4">E27-F4</f>
        <v>0</v>
      </c>
      <c r="G27" s="160">
        <f t="shared" si="4"/>
        <v>0</v>
      </c>
      <c r="H27" s="160">
        <f t="shared" si="4"/>
        <v>0</v>
      </c>
      <c r="I27" s="160">
        <f t="shared" si="4"/>
        <v>0</v>
      </c>
      <c r="J27" s="160">
        <f t="shared" si="4"/>
        <v>0</v>
      </c>
      <c r="K27" s="160">
        <f t="shared" si="4"/>
        <v>0</v>
      </c>
      <c r="L27" s="160">
        <f t="shared" si="4"/>
        <v>0</v>
      </c>
      <c r="M27" s="160">
        <f t="shared" si="4"/>
        <v>0</v>
      </c>
      <c r="N27" s="160">
        <f t="shared" si="4"/>
        <v>0</v>
      </c>
      <c r="O27" s="160">
        <f t="shared" si="4"/>
        <v>0</v>
      </c>
      <c r="P27" s="160">
        <f t="shared" si="4"/>
        <v>0</v>
      </c>
      <c r="Q27" s="160">
        <f t="shared" si="4"/>
        <v>0</v>
      </c>
      <c r="R27" s="160">
        <f t="shared" si="4"/>
        <v>0</v>
      </c>
      <c r="S27" s="160">
        <f t="shared" si="4"/>
        <v>0</v>
      </c>
      <c r="T27" s="160">
        <f t="shared" si="4"/>
        <v>0</v>
      </c>
      <c r="U27" s="160">
        <f t="shared" si="4"/>
        <v>0</v>
      </c>
      <c r="V27" s="160">
        <f t="shared" si="4"/>
        <v>0</v>
      </c>
      <c r="W27" s="160">
        <f t="shared" si="4"/>
        <v>0</v>
      </c>
      <c r="X27" s="160">
        <f t="shared" si="4"/>
        <v>0</v>
      </c>
      <c r="Y27" s="160">
        <f t="shared" si="4"/>
        <v>0</v>
      </c>
      <c r="Z27" s="160">
        <f t="shared" si="4"/>
        <v>0</v>
      </c>
      <c r="AA27" s="160">
        <f t="shared" si="4"/>
        <v>0</v>
      </c>
      <c r="AB27" s="160">
        <f t="shared" si="4"/>
        <v>0</v>
      </c>
      <c r="AC27" s="160">
        <f t="shared" si="4"/>
        <v>0</v>
      </c>
    </row>
    <row r="28" spans="1:29" ht="15.75" customHeight="1">
      <c r="A28" s="153">
        <v>2</v>
      </c>
      <c r="B28" s="153" t="str">
        <f>IF(B5=0,"",B5)</f>
        <v/>
      </c>
      <c r="C28" s="153" t="str">
        <f t="shared" ref="C28:C46" si="5">IF(C5=0,"",C5)</f>
        <v/>
      </c>
      <c r="D28" s="153">
        <f t="shared" ref="D28:E28" si="6">D5</f>
        <v>0</v>
      </c>
      <c r="E28" s="160">
        <f t="shared" si="6"/>
        <v>0</v>
      </c>
      <c r="F28" s="160">
        <f t="shared" ref="F28:AC28" si="7">E28-F5</f>
        <v>0</v>
      </c>
      <c r="G28" s="160">
        <f t="shared" si="7"/>
        <v>0</v>
      </c>
      <c r="H28" s="160">
        <f t="shared" si="7"/>
        <v>0</v>
      </c>
      <c r="I28" s="160">
        <f t="shared" si="7"/>
        <v>0</v>
      </c>
      <c r="J28" s="160">
        <f t="shared" si="7"/>
        <v>0</v>
      </c>
      <c r="K28" s="160">
        <f t="shared" si="7"/>
        <v>0</v>
      </c>
      <c r="L28" s="160">
        <f t="shared" si="7"/>
        <v>0</v>
      </c>
      <c r="M28" s="160">
        <f t="shared" si="7"/>
        <v>0</v>
      </c>
      <c r="N28" s="160">
        <f t="shared" si="7"/>
        <v>0</v>
      </c>
      <c r="O28" s="160">
        <f t="shared" si="7"/>
        <v>0</v>
      </c>
      <c r="P28" s="160">
        <f t="shared" si="7"/>
        <v>0</v>
      </c>
      <c r="Q28" s="160">
        <f t="shared" si="7"/>
        <v>0</v>
      </c>
      <c r="R28" s="160">
        <f t="shared" si="7"/>
        <v>0</v>
      </c>
      <c r="S28" s="160">
        <f t="shared" si="7"/>
        <v>0</v>
      </c>
      <c r="T28" s="160">
        <f t="shared" si="7"/>
        <v>0</v>
      </c>
      <c r="U28" s="160">
        <f t="shared" si="7"/>
        <v>0</v>
      </c>
      <c r="V28" s="160">
        <f t="shared" si="7"/>
        <v>0</v>
      </c>
      <c r="W28" s="160">
        <f t="shared" si="7"/>
        <v>0</v>
      </c>
      <c r="X28" s="160">
        <f t="shared" si="7"/>
        <v>0</v>
      </c>
      <c r="Y28" s="160">
        <f t="shared" si="7"/>
        <v>0</v>
      </c>
      <c r="Z28" s="160">
        <f t="shared" si="7"/>
        <v>0</v>
      </c>
      <c r="AA28" s="160">
        <f t="shared" si="7"/>
        <v>0</v>
      </c>
      <c r="AB28" s="160">
        <f t="shared" si="7"/>
        <v>0</v>
      </c>
      <c r="AC28" s="160">
        <f t="shared" si="7"/>
        <v>0</v>
      </c>
    </row>
    <row r="29" spans="1:29" ht="15.75" customHeight="1">
      <c r="A29" s="153">
        <v>3</v>
      </c>
      <c r="B29" s="153" t="str">
        <f t="shared" ref="B29:B46" si="8">IF(B6=0,"",B6)</f>
        <v/>
      </c>
      <c r="C29" s="153" t="str">
        <f t="shared" si="5"/>
        <v/>
      </c>
      <c r="D29" s="153">
        <f t="shared" ref="D29:E29" si="9">D6</f>
        <v>0</v>
      </c>
      <c r="E29" s="160">
        <f t="shared" si="9"/>
        <v>0</v>
      </c>
      <c r="F29" s="160">
        <f t="shared" ref="F29:AC29" si="10">E29-F6</f>
        <v>0</v>
      </c>
      <c r="G29" s="160">
        <f t="shared" si="10"/>
        <v>0</v>
      </c>
      <c r="H29" s="160">
        <f t="shared" si="10"/>
        <v>0</v>
      </c>
      <c r="I29" s="160">
        <f t="shared" si="10"/>
        <v>0</v>
      </c>
      <c r="J29" s="160">
        <f t="shared" si="10"/>
        <v>0</v>
      </c>
      <c r="K29" s="160">
        <f t="shared" si="10"/>
        <v>0</v>
      </c>
      <c r="L29" s="160">
        <f t="shared" si="10"/>
        <v>0</v>
      </c>
      <c r="M29" s="160">
        <f t="shared" si="10"/>
        <v>0</v>
      </c>
      <c r="N29" s="160">
        <f t="shared" si="10"/>
        <v>0</v>
      </c>
      <c r="O29" s="160">
        <f t="shared" si="10"/>
        <v>0</v>
      </c>
      <c r="P29" s="160">
        <f t="shared" si="10"/>
        <v>0</v>
      </c>
      <c r="Q29" s="160">
        <f t="shared" si="10"/>
        <v>0</v>
      </c>
      <c r="R29" s="160">
        <f t="shared" si="10"/>
        <v>0</v>
      </c>
      <c r="S29" s="160">
        <f t="shared" si="10"/>
        <v>0</v>
      </c>
      <c r="T29" s="160">
        <f t="shared" si="10"/>
        <v>0</v>
      </c>
      <c r="U29" s="160">
        <f t="shared" si="10"/>
        <v>0</v>
      </c>
      <c r="V29" s="160">
        <f t="shared" si="10"/>
        <v>0</v>
      </c>
      <c r="W29" s="160">
        <f t="shared" si="10"/>
        <v>0</v>
      </c>
      <c r="X29" s="160">
        <f t="shared" si="10"/>
        <v>0</v>
      </c>
      <c r="Y29" s="160">
        <f t="shared" si="10"/>
        <v>0</v>
      </c>
      <c r="Z29" s="160">
        <f t="shared" si="10"/>
        <v>0</v>
      </c>
      <c r="AA29" s="160">
        <f t="shared" si="10"/>
        <v>0</v>
      </c>
      <c r="AB29" s="160">
        <f t="shared" si="10"/>
        <v>0</v>
      </c>
      <c r="AC29" s="160">
        <f t="shared" si="10"/>
        <v>0</v>
      </c>
    </row>
    <row r="30" spans="1:29" ht="15.75" customHeight="1">
      <c r="A30" s="153">
        <v>4</v>
      </c>
      <c r="B30" s="153" t="str">
        <f t="shared" si="8"/>
        <v/>
      </c>
      <c r="C30" s="153" t="str">
        <f t="shared" si="5"/>
        <v/>
      </c>
      <c r="D30" s="153">
        <f t="shared" ref="D30:E30" si="11">D7</f>
        <v>0</v>
      </c>
      <c r="E30" s="160">
        <f t="shared" si="11"/>
        <v>0</v>
      </c>
      <c r="F30" s="160">
        <f t="shared" ref="F30:AC30" si="12">E30-F7</f>
        <v>0</v>
      </c>
      <c r="G30" s="160">
        <f t="shared" si="12"/>
        <v>0</v>
      </c>
      <c r="H30" s="160">
        <f t="shared" si="12"/>
        <v>0</v>
      </c>
      <c r="I30" s="160">
        <f t="shared" si="12"/>
        <v>0</v>
      </c>
      <c r="J30" s="160">
        <f t="shared" si="12"/>
        <v>0</v>
      </c>
      <c r="K30" s="160">
        <f t="shared" si="12"/>
        <v>0</v>
      </c>
      <c r="L30" s="160">
        <f t="shared" si="12"/>
        <v>0</v>
      </c>
      <c r="M30" s="160">
        <f t="shared" si="12"/>
        <v>0</v>
      </c>
      <c r="N30" s="160">
        <f t="shared" si="12"/>
        <v>0</v>
      </c>
      <c r="O30" s="160">
        <f t="shared" si="12"/>
        <v>0</v>
      </c>
      <c r="P30" s="160">
        <f t="shared" si="12"/>
        <v>0</v>
      </c>
      <c r="Q30" s="160">
        <f t="shared" si="12"/>
        <v>0</v>
      </c>
      <c r="R30" s="160">
        <f t="shared" si="12"/>
        <v>0</v>
      </c>
      <c r="S30" s="160">
        <f t="shared" si="12"/>
        <v>0</v>
      </c>
      <c r="T30" s="160">
        <f t="shared" si="12"/>
        <v>0</v>
      </c>
      <c r="U30" s="160">
        <f t="shared" si="12"/>
        <v>0</v>
      </c>
      <c r="V30" s="160">
        <f t="shared" si="12"/>
        <v>0</v>
      </c>
      <c r="W30" s="160">
        <f t="shared" si="12"/>
        <v>0</v>
      </c>
      <c r="X30" s="160">
        <f t="shared" si="12"/>
        <v>0</v>
      </c>
      <c r="Y30" s="160">
        <f t="shared" si="12"/>
        <v>0</v>
      </c>
      <c r="Z30" s="160">
        <f t="shared" si="12"/>
        <v>0</v>
      </c>
      <c r="AA30" s="160">
        <f t="shared" si="12"/>
        <v>0</v>
      </c>
      <c r="AB30" s="160">
        <f t="shared" si="12"/>
        <v>0</v>
      </c>
      <c r="AC30" s="160">
        <f t="shared" si="12"/>
        <v>0</v>
      </c>
    </row>
    <row r="31" spans="1:29" ht="15.75" customHeight="1">
      <c r="A31" s="153">
        <v>5</v>
      </c>
      <c r="B31" s="153" t="str">
        <f t="shared" si="8"/>
        <v/>
      </c>
      <c r="C31" s="153" t="str">
        <f t="shared" si="5"/>
        <v/>
      </c>
      <c r="D31" s="153">
        <f t="shared" ref="D31:E31" si="13">D8</f>
        <v>0</v>
      </c>
      <c r="E31" s="160">
        <f t="shared" si="13"/>
        <v>0</v>
      </c>
      <c r="F31" s="160">
        <f t="shared" ref="F31:AC31" si="14">E31-F8</f>
        <v>0</v>
      </c>
      <c r="G31" s="160">
        <f t="shared" si="14"/>
        <v>0</v>
      </c>
      <c r="H31" s="160">
        <f t="shared" si="14"/>
        <v>0</v>
      </c>
      <c r="I31" s="160">
        <f t="shared" si="14"/>
        <v>0</v>
      </c>
      <c r="J31" s="160">
        <f t="shared" si="14"/>
        <v>0</v>
      </c>
      <c r="K31" s="160">
        <f t="shared" si="14"/>
        <v>0</v>
      </c>
      <c r="L31" s="160">
        <f t="shared" si="14"/>
        <v>0</v>
      </c>
      <c r="M31" s="160">
        <f t="shared" si="14"/>
        <v>0</v>
      </c>
      <c r="N31" s="160">
        <f t="shared" si="14"/>
        <v>0</v>
      </c>
      <c r="O31" s="160">
        <f t="shared" si="14"/>
        <v>0</v>
      </c>
      <c r="P31" s="160">
        <f t="shared" si="14"/>
        <v>0</v>
      </c>
      <c r="Q31" s="160">
        <f t="shared" si="14"/>
        <v>0</v>
      </c>
      <c r="R31" s="160">
        <f t="shared" si="14"/>
        <v>0</v>
      </c>
      <c r="S31" s="160">
        <f t="shared" si="14"/>
        <v>0</v>
      </c>
      <c r="T31" s="160">
        <f t="shared" si="14"/>
        <v>0</v>
      </c>
      <c r="U31" s="160">
        <f t="shared" si="14"/>
        <v>0</v>
      </c>
      <c r="V31" s="160">
        <f t="shared" si="14"/>
        <v>0</v>
      </c>
      <c r="W31" s="160">
        <f t="shared" si="14"/>
        <v>0</v>
      </c>
      <c r="X31" s="160">
        <f t="shared" si="14"/>
        <v>0</v>
      </c>
      <c r="Y31" s="160">
        <f t="shared" si="14"/>
        <v>0</v>
      </c>
      <c r="Z31" s="160">
        <f t="shared" si="14"/>
        <v>0</v>
      </c>
      <c r="AA31" s="160">
        <f t="shared" si="14"/>
        <v>0</v>
      </c>
      <c r="AB31" s="160">
        <f t="shared" si="14"/>
        <v>0</v>
      </c>
      <c r="AC31" s="160">
        <f t="shared" si="14"/>
        <v>0</v>
      </c>
    </row>
    <row r="32" spans="1:29" ht="15.75" customHeight="1">
      <c r="A32" s="153">
        <v>6</v>
      </c>
      <c r="B32" s="153" t="str">
        <f t="shared" si="8"/>
        <v/>
      </c>
      <c r="C32" s="153" t="str">
        <f t="shared" si="5"/>
        <v/>
      </c>
      <c r="D32" s="160">
        <f t="shared" ref="D32:E32" si="15">D9</f>
        <v>0</v>
      </c>
      <c r="E32" s="160">
        <f t="shared" si="15"/>
        <v>0</v>
      </c>
      <c r="F32" s="160">
        <f t="shared" ref="F32:AC32" si="16">E32-F9</f>
        <v>0</v>
      </c>
      <c r="G32" s="160">
        <f t="shared" si="16"/>
        <v>0</v>
      </c>
      <c r="H32" s="160">
        <f t="shared" si="16"/>
        <v>0</v>
      </c>
      <c r="I32" s="160">
        <f t="shared" si="16"/>
        <v>0</v>
      </c>
      <c r="J32" s="160">
        <f t="shared" si="16"/>
        <v>0</v>
      </c>
      <c r="K32" s="160">
        <f t="shared" si="16"/>
        <v>0</v>
      </c>
      <c r="L32" s="160">
        <f t="shared" si="16"/>
        <v>0</v>
      </c>
      <c r="M32" s="160">
        <f t="shared" si="16"/>
        <v>0</v>
      </c>
      <c r="N32" s="160">
        <f t="shared" si="16"/>
        <v>0</v>
      </c>
      <c r="O32" s="160">
        <f t="shared" si="16"/>
        <v>0</v>
      </c>
      <c r="P32" s="160">
        <f t="shared" si="16"/>
        <v>0</v>
      </c>
      <c r="Q32" s="160">
        <f t="shared" si="16"/>
        <v>0</v>
      </c>
      <c r="R32" s="160">
        <f t="shared" si="16"/>
        <v>0</v>
      </c>
      <c r="S32" s="160">
        <f t="shared" si="16"/>
        <v>0</v>
      </c>
      <c r="T32" s="160">
        <f t="shared" si="16"/>
        <v>0</v>
      </c>
      <c r="U32" s="160">
        <f t="shared" si="16"/>
        <v>0</v>
      </c>
      <c r="V32" s="160">
        <f t="shared" si="16"/>
        <v>0</v>
      </c>
      <c r="W32" s="160">
        <f t="shared" si="16"/>
        <v>0</v>
      </c>
      <c r="X32" s="160">
        <f t="shared" si="16"/>
        <v>0</v>
      </c>
      <c r="Y32" s="160">
        <f t="shared" si="16"/>
        <v>0</v>
      </c>
      <c r="Z32" s="160">
        <f t="shared" si="16"/>
        <v>0</v>
      </c>
      <c r="AA32" s="160">
        <f t="shared" si="16"/>
        <v>0</v>
      </c>
      <c r="AB32" s="160">
        <f t="shared" si="16"/>
        <v>0</v>
      </c>
      <c r="AC32" s="160">
        <f t="shared" si="16"/>
        <v>0</v>
      </c>
    </row>
    <row r="33" spans="1:29" ht="15.75" customHeight="1">
      <c r="A33" s="153">
        <v>7</v>
      </c>
      <c r="B33" s="153" t="str">
        <f t="shared" si="8"/>
        <v/>
      </c>
      <c r="C33" s="153" t="str">
        <f t="shared" si="5"/>
        <v/>
      </c>
      <c r="D33" s="160">
        <f t="shared" ref="D33:E33" si="17">D10</f>
        <v>0</v>
      </c>
      <c r="E33" s="160">
        <f t="shared" si="17"/>
        <v>0</v>
      </c>
      <c r="F33" s="160">
        <f t="shared" ref="F33:AC33" si="18">E33-F10</f>
        <v>0</v>
      </c>
      <c r="G33" s="160">
        <f t="shared" si="18"/>
        <v>0</v>
      </c>
      <c r="H33" s="160">
        <f t="shared" si="18"/>
        <v>0</v>
      </c>
      <c r="I33" s="160">
        <f t="shared" si="18"/>
        <v>0</v>
      </c>
      <c r="J33" s="160">
        <f t="shared" si="18"/>
        <v>0</v>
      </c>
      <c r="K33" s="160">
        <f t="shared" si="18"/>
        <v>0</v>
      </c>
      <c r="L33" s="160">
        <f t="shared" si="18"/>
        <v>0</v>
      </c>
      <c r="M33" s="160">
        <f t="shared" si="18"/>
        <v>0</v>
      </c>
      <c r="N33" s="160">
        <f t="shared" si="18"/>
        <v>0</v>
      </c>
      <c r="O33" s="160">
        <f t="shared" si="18"/>
        <v>0</v>
      </c>
      <c r="P33" s="160">
        <f t="shared" si="18"/>
        <v>0</v>
      </c>
      <c r="Q33" s="160">
        <f t="shared" si="18"/>
        <v>0</v>
      </c>
      <c r="R33" s="160">
        <f t="shared" si="18"/>
        <v>0</v>
      </c>
      <c r="S33" s="160">
        <f t="shared" si="18"/>
        <v>0</v>
      </c>
      <c r="T33" s="160">
        <f t="shared" si="18"/>
        <v>0</v>
      </c>
      <c r="U33" s="160">
        <f t="shared" si="18"/>
        <v>0</v>
      </c>
      <c r="V33" s="160">
        <f t="shared" si="18"/>
        <v>0</v>
      </c>
      <c r="W33" s="160">
        <f t="shared" si="18"/>
        <v>0</v>
      </c>
      <c r="X33" s="160">
        <f t="shared" si="18"/>
        <v>0</v>
      </c>
      <c r="Y33" s="160">
        <f t="shared" si="18"/>
        <v>0</v>
      </c>
      <c r="Z33" s="160">
        <f t="shared" si="18"/>
        <v>0</v>
      </c>
      <c r="AA33" s="160">
        <f t="shared" si="18"/>
        <v>0</v>
      </c>
      <c r="AB33" s="160">
        <f t="shared" si="18"/>
        <v>0</v>
      </c>
      <c r="AC33" s="160">
        <f t="shared" si="18"/>
        <v>0</v>
      </c>
    </row>
    <row r="34" spans="1:29" ht="15.75" customHeight="1">
      <c r="A34" s="153">
        <v>8</v>
      </c>
      <c r="B34" s="153" t="str">
        <f t="shared" si="8"/>
        <v/>
      </c>
      <c r="C34" s="153" t="str">
        <f t="shared" si="5"/>
        <v/>
      </c>
      <c r="D34" s="160">
        <f t="shared" ref="D34:E34" si="19">D11</f>
        <v>0</v>
      </c>
      <c r="E34" s="160">
        <f t="shared" si="19"/>
        <v>0</v>
      </c>
      <c r="F34" s="160">
        <f t="shared" ref="F34:AC34" si="20">E34-F11</f>
        <v>0</v>
      </c>
      <c r="G34" s="160">
        <f t="shared" si="20"/>
        <v>0</v>
      </c>
      <c r="H34" s="160">
        <f t="shared" si="20"/>
        <v>0</v>
      </c>
      <c r="I34" s="160">
        <f t="shared" si="20"/>
        <v>0</v>
      </c>
      <c r="J34" s="160">
        <f t="shared" si="20"/>
        <v>0</v>
      </c>
      <c r="K34" s="160">
        <f t="shared" si="20"/>
        <v>0</v>
      </c>
      <c r="L34" s="160">
        <f t="shared" si="20"/>
        <v>0</v>
      </c>
      <c r="M34" s="160">
        <f t="shared" si="20"/>
        <v>0</v>
      </c>
      <c r="N34" s="160">
        <f t="shared" si="20"/>
        <v>0</v>
      </c>
      <c r="O34" s="160">
        <f t="shared" si="20"/>
        <v>0</v>
      </c>
      <c r="P34" s="160">
        <f t="shared" si="20"/>
        <v>0</v>
      </c>
      <c r="Q34" s="160">
        <f t="shared" si="20"/>
        <v>0</v>
      </c>
      <c r="R34" s="160">
        <f t="shared" si="20"/>
        <v>0</v>
      </c>
      <c r="S34" s="160">
        <f t="shared" si="20"/>
        <v>0</v>
      </c>
      <c r="T34" s="160">
        <f t="shared" si="20"/>
        <v>0</v>
      </c>
      <c r="U34" s="160">
        <f t="shared" si="20"/>
        <v>0</v>
      </c>
      <c r="V34" s="160">
        <f t="shared" si="20"/>
        <v>0</v>
      </c>
      <c r="W34" s="160">
        <f t="shared" si="20"/>
        <v>0</v>
      </c>
      <c r="X34" s="160">
        <f t="shared" si="20"/>
        <v>0</v>
      </c>
      <c r="Y34" s="160">
        <f t="shared" si="20"/>
        <v>0</v>
      </c>
      <c r="Z34" s="160">
        <f t="shared" si="20"/>
        <v>0</v>
      </c>
      <c r="AA34" s="160">
        <f t="shared" si="20"/>
        <v>0</v>
      </c>
      <c r="AB34" s="160">
        <f t="shared" si="20"/>
        <v>0</v>
      </c>
      <c r="AC34" s="160">
        <f t="shared" si="20"/>
        <v>0</v>
      </c>
    </row>
    <row r="35" spans="1:29" ht="15.75" customHeight="1">
      <c r="A35" s="153">
        <v>9</v>
      </c>
      <c r="B35" s="153" t="str">
        <f t="shared" si="8"/>
        <v/>
      </c>
      <c r="C35" s="153" t="str">
        <f t="shared" si="5"/>
        <v/>
      </c>
      <c r="D35" s="160">
        <f t="shared" ref="D35:E35" si="21">D12</f>
        <v>0</v>
      </c>
      <c r="E35" s="160">
        <f t="shared" si="21"/>
        <v>0</v>
      </c>
      <c r="F35" s="160">
        <f t="shared" ref="F35:AC35" si="22">E35-F12</f>
        <v>0</v>
      </c>
      <c r="G35" s="160">
        <f t="shared" si="22"/>
        <v>0</v>
      </c>
      <c r="H35" s="160">
        <f t="shared" si="22"/>
        <v>0</v>
      </c>
      <c r="I35" s="160">
        <f t="shared" si="22"/>
        <v>0</v>
      </c>
      <c r="J35" s="160">
        <f t="shared" si="22"/>
        <v>0</v>
      </c>
      <c r="K35" s="160">
        <f t="shared" si="22"/>
        <v>0</v>
      </c>
      <c r="L35" s="160">
        <f t="shared" si="22"/>
        <v>0</v>
      </c>
      <c r="M35" s="160">
        <f t="shared" si="22"/>
        <v>0</v>
      </c>
      <c r="N35" s="160">
        <f t="shared" si="22"/>
        <v>0</v>
      </c>
      <c r="O35" s="160">
        <f t="shared" si="22"/>
        <v>0</v>
      </c>
      <c r="P35" s="160">
        <f t="shared" si="22"/>
        <v>0</v>
      </c>
      <c r="Q35" s="160">
        <f t="shared" si="22"/>
        <v>0</v>
      </c>
      <c r="R35" s="160">
        <f t="shared" si="22"/>
        <v>0</v>
      </c>
      <c r="S35" s="160">
        <f t="shared" si="22"/>
        <v>0</v>
      </c>
      <c r="T35" s="160">
        <f t="shared" si="22"/>
        <v>0</v>
      </c>
      <c r="U35" s="160">
        <f t="shared" si="22"/>
        <v>0</v>
      </c>
      <c r="V35" s="160">
        <f t="shared" si="22"/>
        <v>0</v>
      </c>
      <c r="W35" s="160">
        <f t="shared" si="22"/>
        <v>0</v>
      </c>
      <c r="X35" s="160">
        <f t="shared" si="22"/>
        <v>0</v>
      </c>
      <c r="Y35" s="160">
        <f t="shared" si="22"/>
        <v>0</v>
      </c>
      <c r="Z35" s="160">
        <f t="shared" si="22"/>
        <v>0</v>
      </c>
      <c r="AA35" s="160">
        <f t="shared" si="22"/>
        <v>0</v>
      </c>
      <c r="AB35" s="160">
        <f t="shared" si="22"/>
        <v>0</v>
      </c>
      <c r="AC35" s="160">
        <f t="shared" si="22"/>
        <v>0</v>
      </c>
    </row>
    <row r="36" spans="1:29" ht="15.75" customHeight="1">
      <c r="A36" s="153">
        <v>10</v>
      </c>
      <c r="B36" s="153" t="str">
        <f t="shared" si="8"/>
        <v/>
      </c>
      <c r="C36" s="153" t="str">
        <f t="shared" si="5"/>
        <v/>
      </c>
      <c r="D36" s="160">
        <f t="shared" ref="D36:E36" si="23">D13</f>
        <v>0</v>
      </c>
      <c r="E36" s="160">
        <f t="shared" si="23"/>
        <v>0</v>
      </c>
      <c r="F36" s="160">
        <f t="shared" ref="F36:AC36" si="24">E36-F13</f>
        <v>0</v>
      </c>
      <c r="G36" s="160">
        <f t="shared" si="24"/>
        <v>0</v>
      </c>
      <c r="H36" s="160">
        <f t="shared" si="24"/>
        <v>0</v>
      </c>
      <c r="I36" s="160">
        <f t="shared" si="24"/>
        <v>0</v>
      </c>
      <c r="J36" s="160">
        <f t="shared" si="24"/>
        <v>0</v>
      </c>
      <c r="K36" s="160">
        <f t="shared" si="24"/>
        <v>0</v>
      </c>
      <c r="L36" s="160">
        <f t="shared" si="24"/>
        <v>0</v>
      </c>
      <c r="M36" s="160">
        <f t="shared" si="24"/>
        <v>0</v>
      </c>
      <c r="N36" s="160">
        <f t="shared" si="24"/>
        <v>0</v>
      </c>
      <c r="O36" s="160">
        <f t="shared" si="24"/>
        <v>0</v>
      </c>
      <c r="P36" s="160">
        <f t="shared" si="24"/>
        <v>0</v>
      </c>
      <c r="Q36" s="160">
        <f t="shared" si="24"/>
        <v>0</v>
      </c>
      <c r="R36" s="160">
        <f t="shared" si="24"/>
        <v>0</v>
      </c>
      <c r="S36" s="160">
        <f t="shared" si="24"/>
        <v>0</v>
      </c>
      <c r="T36" s="160">
        <f t="shared" si="24"/>
        <v>0</v>
      </c>
      <c r="U36" s="160">
        <f t="shared" si="24"/>
        <v>0</v>
      </c>
      <c r="V36" s="160">
        <f t="shared" si="24"/>
        <v>0</v>
      </c>
      <c r="W36" s="160">
        <f t="shared" si="24"/>
        <v>0</v>
      </c>
      <c r="X36" s="160">
        <f t="shared" si="24"/>
        <v>0</v>
      </c>
      <c r="Y36" s="160">
        <f t="shared" si="24"/>
        <v>0</v>
      </c>
      <c r="Z36" s="160">
        <f t="shared" si="24"/>
        <v>0</v>
      </c>
      <c r="AA36" s="160">
        <f t="shared" si="24"/>
        <v>0</v>
      </c>
      <c r="AB36" s="160">
        <f t="shared" si="24"/>
        <v>0</v>
      </c>
      <c r="AC36" s="160">
        <f t="shared" si="24"/>
        <v>0</v>
      </c>
    </row>
    <row r="37" spans="1:29" ht="15.75" customHeight="1">
      <c r="A37" s="153">
        <v>11</v>
      </c>
      <c r="B37" s="153" t="str">
        <f t="shared" si="8"/>
        <v/>
      </c>
      <c r="C37" s="153" t="str">
        <f t="shared" si="5"/>
        <v/>
      </c>
      <c r="D37" s="160">
        <f t="shared" ref="D37:E37" si="25">D14</f>
        <v>0</v>
      </c>
      <c r="E37" s="160">
        <f t="shared" si="25"/>
        <v>0</v>
      </c>
      <c r="F37" s="160">
        <f t="shared" ref="F37:AC37" si="26">E37-F14</f>
        <v>0</v>
      </c>
      <c r="G37" s="160">
        <f t="shared" si="26"/>
        <v>0</v>
      </c>
      <c r="H37" s="160">
        <f t="shared" si="26"/>
        <v>0</v>
      </c>
      <c r="I37" s="160">
        <f t="shared" si="26"/>
        <v>0</v>
      </c>
      <c r="J37" s="160">
        <f t="shared" si="26"/>
        <v>0</v>
      </c>
      <c r="K37" s="160">
        <f t="shared" si="26"/>
        <v>0</v>
      </c>
      <c r="L37" s="160">
        <f t="shared" si="26"/>
        <v>0</v>
      </c>
      <c r="M37" s="160">
        <f t="shared" si="26"/>
        <v>0</v>
      </c>
      <c r="N37" s="160">
        <f t="shared" si="26"/>
        <v>0</v>
      </c>
      <c r="O37" s="160">
        <f t="shared" si="26"/>
        <v>0</v>
      </c>
      <c r="P37" s="160">
        <f t="shared" si="26"/>
        <v>0</v>
      </c>
      <c r="Q37" s="160">
        <f t="shared" si="26"/>
        <v>0</v>
      </c>
      <c r="R37" s="160">
        <f t="shared" si="26"/>
        <v>0</v>
      </c>
      <c r="S37" s="160">
        <f t="shared" si="26"/>
        <v>0</v>
      </c>
      <c r="T37" s="160">
        <f t="shared" si="26"/>
        <v>0</v>
      </c>
      <c r="U37" s="160">
        <f t="shared" si="26"/>
        <v>0</v>
      </c>
      <c r="V37" s="160">
        <f t="shared" si="26"/>
        <v>0</v>
      </c>
      <c r="W37" s="160">
        <f t="shared" si="26"/>
        <v>0</v>
      </c>
      <c r="X37" s="160">
        <f t="shared" si="26"/>
        <v>0</v>
      </c>
      <c r="Y37" s="160">
        <f t="shared" si="26"/>
        <v>0</v>
      </c>
      <c r="Z37" s="160">
        <f t="shared" si="26"/>
        <v>0</v>
      </c>
      <c r="AA37" s="160">
        <f t="shared" si="26"/>
        <v>0</v>
      </c>
      <c r="AB37" s="160">
        <f t="shared" si="26"/>
        <v>0</v>
      </c>
      <c r="AC37" s="160">
        <f t="shared" si="26"/>
        <v>0</v>
      </c>
    </row>
    <row r="38" spans="1:29" ht="15.75" customHeight="1">
      <c r="A38" s="153">
        <v>12</v>
      </c>
      <c r="B38" s="153" t="str">
        <f t="shared" si="8"/>
        <v/>
      </c>
      <c r="C38" s="153" t="str">
        <f t="shared" si="5"/>
        <v/>
      </c>
      <c r="D38" s="160">
        <f t="shared" ref="D38:E38" si="27">D15</f>
        <v>0</v>
      </c>
      <c r="E38" s="160">
        <f t="shared" si="27"/>
        <v>0</v>
      </c>
      <c r="F38" s="160">
        <f t="shared" ref="F38:AC38" si="28">E38-F15</f>
        <v>0</v>
      </c>
      <c r="G38" s="160">
        <f t="shared" si="28"/>
        <v>0</v>
      </c>
      <c r="H38" s="160">
        <f t="shared" si="28"/>
        <v>0</v>
      </c>
      <c r="I38" s="160">
        <f t="shared" si="28"/>
        <v>0</v>
      </c>
      <c r="J38" s="160">
        <f t="shared" si="28"/>
        <v>0</v>
      </c>
      <c r="K38" s="160">
        <f t="shared" si="28"/>
        <v>0</v>
      </c>
      <c r="L38" s="160">
        <f t="shared" si="28"/>
        <v>0</v>
      </c>
      <c r="M38" s="160">
        <f t="shared" si="28"/>
        <v>0</v>
      </c>
      <c r="N38" s="160">
        <f t="shared" si="28"/>
        <v>0</v>
      </c>
      <c r="O38" s="160">
        <f t="shared" si="28"/>
        <v>0</v>
      </c>
      <c r="P38" s="160">
        <f t="shared" si="28"/>
        <v>0</v>
      </c>
      <c r="Q38" s="160">
        <f t="shared" si="28"/>
        <v>0</v>
      </c>
      <c r="R38" s="160">
        <f t="shared" si="28"/>
        <v>0</v>
      </c>
      <c r="S38" s="160">
        <f t="shared" si="28"/>
        <v>0</v>
      </c>
      <c r="T38" s="160">
        <f t="shared" si="28"/>
        <v>0</v>
      </c>
      <c r="U38" s="160">
        <f t="shared" si="28"/>
        <v>0</v>
      </c>
      <c r="V38" s="160">
        <f t="shared" si="28"/>
        <v>0</v>
      </c>
      <c r="W38" s="160">
        <f t="shared" si="28"/>
        <v>0</v>
      </c>
      <c r="X38" s="160">
        <f t="shared" si="28"/>
        <v>0</v>
      </c>
      <c r="Y38" s="160">
        <f t="shared" si="28"/>
        <v>0</v>
      </c>
      <c r="Z38" s="160">
        <f t="shared" si="28"/>
        <v>0</v>
      </c>
      <c r="AA38" s="160">
        <f t="shared" si="28"/>
        <v>0</v>
      </c>
      <c r="AB38" s="160">
        <f t="shared" si="28"/>
        <v>0</v>
      </c>
      <c r="AC38" s="160">
        <f t="shared" si="28"/>
        <v>0</v>
      </c>
    </row>
    <row r="39" spans="1:29" ht="15.75" customHeight="1">
      <c r="A39" s="153">
        <v>13</v>
      </c>
      <c r="B39" s="153" t="str">
        <f t="shared" si="8"/>
        <v/>
      </c>
      <c r="C39" s="153" t="str">
        <f t="shared" si="5"/>
        <v/>
      </c>
      <c r="D39" s="160">
        <f t="shared" ref="D39:E39" si="29">D16</f>
        <v>0</v>
      </c>
      <c r="E39" s="160">
        <f t="shared" si="29"/>
        <v>0</v>
      </c>
      <c r="F39" s="160">
        <f t="shared" ref="F39:AC39" si="30">E39-F16</f>
        <v>0</v>
      </c>
      <c r="G39" s="160">
        <f t="shared" si="30"/>
        <v>0</v>
      </c>
      <c r="H39" s="160">
        <f t="shared" si="30"/>
        <v>0</v>
      </c>
      <c r="I39" s="160">
        <f t="shared" si="30"/>
        <v>0</v>
      </c>
      <c r="J39" s="160">
        <f t="shared" si="30"/>
        <v>0</v>
      </c>
      <c r="K39" s="160">
        <f t="shared" si="30"/>
        <v>0</v>
      </c>
      <c r="L39" s="160">
        <f t="shared" si="30"/>
        <v>0</v>
      </c>
      <c r="M39" s="160">
        <f t="shared" si="30"/>
        <v>0</v>
      </c>
      <c r="N39" s="160">
        <f t="shared" si="30"/>
        <v>0</v>
      </c>
      <c r="O39" s="160">
        <f t="shared" si="30"/>
        <v>0</v>
      </c>
      <c r="P39" s="160">
        <f t="shared" si="30"/>
        <v>0</v>
      </c>
      <c r="Q39" s="160">
        <f t="shared" si="30"/>
        <v>0</v>
      </c>
      <c r="R39" s="160">
        <f t="shared" si="30"/>
        <v>0</v>
      </c>
      <c r="S39" s="160">
        <f t="shared" si="30"/>
        <v>0</v>
      </c>
      <c r="T39" s="160">
        <f t="shared" si="30"/>
        <v>0</v>
      </c>
      <c r="U39" s="160">
        <f t="shared" si="30"/>
        <v>0</v>
      </c>
      <c r="V39" s="160">
        <f t="shared" si="30"/>
        <v>0</v>
      </c>
      <c r="W39" s="160">
        <f t="shared" si="30"/>
        <v>0</v>
      </c>
      <c r="X39" s="160">
        <f t="shared" si="30"/>
        <v>0</v>
      </c>
      <c r="Y39" s="160">
        <f t="shared" si="30"/>
        <v>0</v>
      </c>
      <c r="Z39" s="160">
        <f t="shared" si="30"/>
        <v>0</v>
      </c>
      <c r="AA39" s="160">
        <f t="shared" si="30"/>
        <v>0</v>
      </c>
      <c r="AB39" s="160">
        <f t="shared" si="30"/>
        <v>0</v>
      </c>
      <c r="AC39" s="160">
        <f t="shared" si="30"/>
        <v>0</v>
      </c>
    </row>
    <row r="40" spans="1:29" ht="15.75" customHeight="1">
      <c r="A40" s="153">
        <v>14</v>
      </c>
      <c r="B40" s="153" t="str">
        <f t="shared" si="8"/>
        <v/>
      </c>
      <c r="C40" s="153" t="str">
        <f t="shared" si="5"/>
        <v/>
      </c>
      <c r="D40" s="160">
        <f t="shared" ref="D40:E40" si="31">D17</f>
        <v>0</v>
      </c>
      <c r="E40" s="160">
        <f t="shared" si="31"/>
        <v>0</v>
      </c>
      <c r="F40" s="160">
        <f t="shared" ref="F40:AC40" si="32">E40-F17</f>
        <v>0</v>
      </c>
      <c r="G40" s="160">
        <f t="shared" si="32"/>
        <v>0</v>
      </c>
      <c r="H40" s="160">
        <f t="shared" si="32"/>
        <v>0</v>
      </c>
      <c r="I40" s="160">
        <f t="shared" si="32"/>
        <v>0</v>
      </c>
      <c r="J40" s="160">
        <f t="shared" si="32"/>
        <v>0</v>
      </c>
      <c r="K40" s="160">
        <f t="shared" si="32"/>
        <v>0</v>
      </c>
      <c r="L40" s="160">
        <f t="shared" si="32"/>
        <v>0</v>
      </c>
      <c r="M40" s="160">
        <f t="shared" si="32"/>
        <v>0</v>
      </c>
      <c r="N40" s="160">
        <f t="shared" si="32"/>
        <v>0</v>
      </c>
      <c r="O40" s="160">
        <f t="shared" si="32"/>
        <v>0</v>
      </c>
      <c r="P40" s="160">
        <f t="shared" si="32"/>
        <v>0</v>
      </c>
      <c r="Q40" s="160">
        <f t="shared" si="32"/>
        <v>0</v>
      </c>
      <c r="R40" s="160">
        <f t="shared" si="32"/>
        <v>0</v>
      </c>
      <c r="S40" s="160">
        <f t="shared" si="32"/>
        <v>0</v>
      </c>
      <c r="T40" s="160">
        <f t="shared" si="32"/>
        <v>0</v>
      </c>
      <c r="U40" s="160">
        <f t="shared" si="32"/>
        <v>0</v>
      </c>
      <c r="V40" s="160">
        <f t="shared" si="32"/>
        <v>0</v>
      </c>
      <c r="W40" s="160">
        <f t="shared" si="32"/>
        <v>0</v>
      </c>
      <c r="X40" s="160">
        <f t="shared" si="32"/>
        <v>0</v>
      </c>
      <c r="Y40" s="160">
        <f t="shared" si="32"/>
        <v>0</v>
      </c>
      <c r="Z40" s="160">
        <f t="shared" si="32"/>
        <v>0</v>
      </c>
      <c r="AA40" s="160">
        <f t="shared" si="32"/>
        <v>0</v>
      </c>
      <c r="AB40" s="160">
        <f t="shared" si="32"/>
        <v>0</v>
      </c>
      <c r="AC40" s="160">
        <f t="shared" si="32"/>
        <v>0</v>
      </c>
    </row>
    <row r="41" spans="1:29" ht="15.75" customHeight="1">
      <c r="A41" s="153">
        <v>15</v>
      </c>
      <c r="B41" s="153" t="str">
        <f t="shared" si="8"/>
        <v/>
      </c>
      <c r="C41" s="153" t="str">
        <f t="shared" si="5"/>
        <v/>
      </c>
      <c r="D41" s="160">
        <f t="shared" ref="D41:E41" si="33">D18</f>
        <v>0</v>
      </c>
      <c r="E41" s="160">
        <f t="shared" si="33"/>
        <v>0</v>
      </c>
      <c r="F41" s="160">
        <f t="shared" ref="F41:AC41" si="34">E41-F18</f>
        <v>0</v>
      </c>
      <c r="G41" s="160">
        <f t="shared" si="34"/>
        <v>0</v>
      </c>
      <c r="H41" s="160">
        <f t="shared" si="34"/>
        <v>0</v>
      </c>
      <c r="I41" s="160">
        <f t="shared" si="34"/>
        <v>0</v>
      </c>
      <c r="J41" s="160">
        <f t="shared" si="34"/>
        <v>0</v>
      </c>
      <c r="K41" s="160">
        <f t="shared" si="34"/>
        <v>0</v>
      </c>
      <c r="L41" s="160">
        <f t="shared" si="34"/>
        <v>0</v>
      </c>
      <c r="M41" s="160">
        <f t="shared" si="34"/>
        <v>0</v>
      </c>
      <c r="N41" s="160">
        <f t="shared" si="34"/>
        <v>0</v>
      </c>
      <c r="O41" s="160">
        <f t="shared" si="34"/>
        <v>0</v>
      </c>
      <c r="P41" s="160">
        <f t="shared" si="34"/>
        <v>0</v>
      </c>
      <c r="Q41" s="160">
        <f t="shared" si="34"/>
        <v>0</v>
      </c>
      <c r="R41" s="160">
        <f t="shared" si="34"/>
        <v>0</v>
      </c>
      <c r="S41" s="160">
        <f t="shared" si="34"/>
        <v>0</v>
      </c>
      <c r="T41" s="160">
        <f t="shared" si="34"/>
        <v>0</v>
      </c>
      <c r="U41" s="160">
        <f t="shared" si="34"/>
        <v>0</v>
      </c>
      <c r="V41" s="160">
        <f t="shared" si="34"/>
        <v>0</v>
      </c>
      <c r="W41" s="160">
        <f t="shared" si="34"/>
        <v>0</v>
      </c>
      <c r="X41" s="160">
        <f t="shared" si="34"/>
        <v>0</v>
      </c>
      <c r="Y41" s="160">
        <f t="shared" si="34"/>
        <v>0</v>
      </c>
      <c r="Z41" s="160">
        <f t="shared" si="34"/>
        <v>0</v>
      </c>
      <c r="AA41" s="160">
        <f t="shared" si="34"/>
        <v>0</v>
      </c>
      <c r="AB41" s="160">
        <f t="shared" si="34"/>
        <v>0</v>
      </c>
      <c r="AC41" s="160">
        <f t="shared" si="34"/>
        <v>0</v>
      </c>
    </row>
    <row r="42" spans="1:29" ht="15.75" customHeight="1">
      <c r="A42" s="153">
        <v>16</v>
      </c>
      <c r="B42" s="153" t="str">
        <f t="shared" si="8"/>
        <v/>
      </c>
      <c r="C42" s="153" t="str">
        <f t="shared" si="5"/>
        <v/>
      </c>
      <c r="D42" s="160">
        <f t="shared" ref="D42:E42" si="35">D19</f>
        <v>0</v>
      </c>
      <c r="E42" s="160">
        <f t="shared" si="35"/>
        <v>0</v>
      </c>
      <c r="F42" s="160">
        <f t="shared" ref="F42:AC42" si="36">E42-F19</f>
        <v>0</v>
      </c>
      <c r="G42" s="160">
        <f t="shared" si="36"/>
        <v>0</v>
      </c>
      <c r="H42" s="160">
        <f t="shared" si="36"/>
        <v>0</v>
      </c>
      <c r="I42" s="160">
        <f t="shared" si="36"/>
        <v>0</v>
      </c>
      <c r="J42" s="160">
        <f t="shared" si="36"/>
        <v>0</v>
      </c>
      <c r="K42" s="160">
        <f t="shared" si="36"/>
        <v>0</v>
      </c>
      <c r="L42" s="160">
        <f t="shared" si="36"/>
        <v>0</v>
      </c>
      <c r="M42" s="160">
        <f t="shared" si="36"/>
        <v>0</v>
      </c>
      <c r="N42" s="160">
        <f t="shared" si="36"/>
        <v>0</v>
      </c>
      <c r="O42" s="160">
        <f t="shared" si="36"/>
        <v>0</v>
      </c>
      <c r="P42" s="160">
        <f t="shared" si="36"/>
        <v>0</v>
      </c>
      <c r="Q42" s="160">
        <f t="shared" si="36"/>
        <v>0</v>
      </c>
      <c r="R42" s="160">
        <f t="shared" si="36"/>
        <v>0</v>
      </c>
      <c r="S42" s="160">
        <f t="shared" si="36"/>
        <v>0</v>
      </c>
      <c r="T42" s="160">
        <f t="shared" si="36"/>
        <v>0</v>
      </c>
      <c r="U42" s="160">
        <f t="shared" si="36"/>
        <v>0</v>
      </c>
      <c r="V42" s="160">
        <f t="shared" si="36"/>
        <v>0</v>
      </c>
      <c r="W42" s="160">
        <f t="shared" si="36"/>
        <v>0</v>
      </c>
      <c r="X42" s="160">
        <f t="shared" si="36"/>
        <v>0</v>
      </c>
      <c r="Y42" s="160">
        <f t="shared" si="36"/>
        <v>0</v>
      </c>
      <c r="Z42" s="160">
        <f t="shared" si="36"/>
        <v>0</v>
      </c>
      <c r="AA42" s="160">
        <f t="shared" si="36"/>
        <v>0</v>
      </c>
      <c r="AB42" s="160">
        <f t="shared" si="36"/>
        <v>0</v>
      </c>
      <c r="AC42" s="160">
        <f t="shared" si="36"/>
        <v>0</v>
      </c>
    </row>
    <row r="43" spans="1:29" ht="15.75" customHeight="1">
      <c r="A43" s="153">
        <v>17</v>
      </c>
      <c r="B43" s="153" t="str">
        <f t="shared" si="8"/>
        <v/>
      </c>
      <c r="C43" s="153" t="str">
        <f t="shared" si="5"/>
        <v/>
      </c>
      <c r="D43" s="160">
        <f t="shared" ref="D43:E43" si="37">D20</f>
        <v>0</v>
      </c>
      <c r="E43" s="160">
        <f t="shared" si="37"/>
        <v>0</v>
      </c>
      <c r="F43" s="160">
        <f t="shared" ref="F43:AC43" si="38">E43-F20</f>
        <v>0</v>
      </c>
      <c r="G43" s="160">
        <f t="shared" si="38"/>
        <v>0</v>
      </c>
      <c r="H43" s="160">
        <f t="shared" si="38"/>
        <v>0</v>
      </c>
      <c r="I43" s="160">
        <f t="shared" si="38"/>
        <v>0</v>
      </c>
      <c r="J43" s="160">
        <f t="shared" si="38"/>
        <v>0</v>
      </c>
      <c r="K43" s="160">
        <f t="shared" si="38"/>
        <v>0</v>
      </c>
      <c r="L43" s="160">
        <f t="shared" si="38"/>
        <v>0</v>
      </c>
      <c r="M43" s="160">
        <f t="shared" si="38"/>
        <v>0</v>
      </c>
      <c r="N43" s="160">
        <f t="shared" si="38"/>
        <v>0</v>
      </c>
      <c r="O43" s="160">
        <f t="shared" si="38"/>
        <v>0</v>
      </c>
      <c r="P43" s="160">
        <f t="shared" si="38"/>
        <v>0</v>
      </c>
      <c r="Q43" s="160">
        <f t="shared" si="38"/>
        <v>0</v>
      </c>
      <c r="R43" s="160">
        <f t="shared" si="38"/>
        <v>0</v>
      </c>
      <c r="S43" s="160">
        <f t="shared" si="38"/>
        <v>0</v>
      </c>
      <c r="T43" s="160">
        <f t="shared" si="38"/>
        <v>0</v>
      </c>
      <c r="U43" s="160">
        <f t="shared" si="38"/>
        <v>0</v>
      </c>
      <c r="V43" s="160">
        <f t="shared" si="38"/>
        <v>0</v>
      </c>
      <c r="W43" s="160">
        <f t="shared" si="38"/>
        <v>0</v>
      </c>
      <c r="X43" s="160">
        <f t="shared" si="38"/>
        <v>0</v>
      </c>
      <c r="Y43" s="160">
        <f t="shared" si="38"/>
        <v>0</v>
      </c>
      <c r="Z43" s="160">
        <f t="shared" si="38"/>
        <v>0</v>
      </c>
      <c r="AA43" s="160">
        <f t="shared" si="38"/>
        <v>0</v>
      </c>
      <c r="AB43" s="160">
        <f t="shared" si="38"/>
        <v>0</v>
      </c>
      <c r="AC43" s="160">
        <f t="shared" si="38"/>
        <v>0</v>
      </c>
    </row>
    <row r="44" spans="1:29" ht="15.75" customHeight="1">
      <c r="A44" s="153">
        <v>18</v>
      </c>
      <c r="B44" s="153" t="str">
        <f t="shared" si="8"/>
        <v/>
      </c>
      <c r="C44" s="153" t="str">
        <f t="shared" si="5"/>
        <v/>
      </c>
      <c r="D44" s="160">
        <f t="shared" ref="D44:E44" si="39">D21</f>
        <v>0</v>
      </c>
      <c r="E44" s="160">
        <f t="shared" si="39"/>
        <v>0</v>
      </c>
      <c r="F44" s="160">
        <f t="shared" ref="F44:AC44" si="40">E44-F21</f>
        <v>0</v>
      </c>
      <c r="G44" s="160">
        <f t="shared" si="40"/>
        <v>0</v>
      </c>
      <c r="H44" s="160">
        <f t="shared" si="40"/>
        <v>0</v>
      </c>
      <c r="I44" s="160">
        <f t="shared" si="40"/>
        <v>0</v>
      </c>
      <c r="J44" s="160">
        <f t="shared" si="40"/>
        <v>0</v>
      </c>
      <c r="K44" s="160">
        <f t="shared" si="40"/>
        <v>0</v>
      </c>
      <c r="L44" s="160">
        <f t="shared" si="40"/>
        <v>0</v>
      </c>
      <c r="M44" s="160">
        <f t="shared" si="40"/>
        <v>0</v>
      </c>
      <c r="N44" s="160">
        <f t="shared" si="40"/>
        <v>0</v>
      </c>
      <c r="O44" s="160">
        <f t="shared" si="40"/>
        <v>0</v>
      </c>
      <c r="P44" s="160">
        <f t="shared" si="40"/>
        <v>0</v>
      </c>
      <c r="Q44" s="160">
        <f t="shared" si="40"/>
        <v>0</v>
      </c>
      <c r="R44" s="160">
        <f t="shared" si="40"/>
        <v>0</v>
      </c>
      <c r="S44" s="160">
        <f t="shared" si="40"/>
        <v>0</v>
      </c>
      <c r="T44" s="160">
        <f t="shared" si="40"/>
        <v>0</v>
      </c>
      <c r="U44" s="160">
        <f t="shared" si="40"/>
        <v>0</v>
      </c>
      <c r="V44" s="160">
        <f t="shared" si="40"/>
        <v>0</v>
      </c>
      <c r="W44" s="160">
        <f t="shared" si="40"/>
        <v>0</v>
      </c>
      <c r="X44" s="160">
        <f t="shared" si="40"/>
        <v>0</v>
      </c>
      <c r="Y44" s="160">
        <f t="shared" si="40"/>
        <v>0</v>
      </c>
      <c r="Z44" s="160">
        <f t="shared" si="40"/>
        <v>0</v>
      </c>
      <c r="AA44" s="160">
        <f t="shared" si="40"/>
        <v>0</v>
      </c>
      <c r="AB44" s="160">
        <f t="shared" si="40"/>
        <v>0</v>
      </c>
      <c r="AC44" s="160">
        <f t="shared" si="40"/>
        <v>0</v>
      </c>
    </row>
    <row r="45" spans="1:29" ht="15">
      <c r="A45" s="153">
        <v>19</v>
      </c>
      <c r="B45" s="153" t="str">
        <f t="shared" si="8"/>
        <v/>
      </c>
      <c r="C45" s="153" t="str">
        <f t="shared" si="5"/>
        <v/>
      </c>
      <c r="D45" s="160">
        <f t="shared" ref="D45:E45" si="41">D22</f>
        <v>0</v>
      </c>
      <c r="E45" s="160">
        <f t="shared" si="41"/>
        <v>0</v>
      </c>
      <c r="F45" s="160">
        <f t="shared" ref="F45:AC45" si="42">E45-F22</f>
        <v>0</v>
      </c>
      <c r="G45" s="160">
        <f t="shared" si="42"/>
        <v>0</v>
      </c>
      <c r="H45" s="160">
        <f t="shared" si="42"/>
        <v>0</v>
      </c>
      <c r="I45" s="160">
        <f t="shared" si="42"/>
        <v>0</v>
      </c>
      <c r="J45" s="160">
        <f t="shared" si="42"/>
        <v>0</v>
      </c>
      <c r="K45" s="160">
        <f t="shared" si="42"/>
        <v>0</v>
      </c>
      <c r="L45" s="160">
        <f t="shared" si="42"/>
        <v>0</v>
      </c>
      <c r="M45" s="160">
        <f t="shared" si="42"/>
        <v>0</v>
      </c>
      <c r="N45" s="160">
        <f t="shared" si="42"/>
        <v>0</v>
      </c>
      <c r="O45" s="160">
        <f t="shared" si="42"/>
        <v>0</v>
      </c>
      <c r="P45" s="160">
        <f t="shared" si="42"/>
        <v>0</v>
      </c>
      <c r="Q45" s="160">
        <f t="shared" si="42"/>
        <v>0</v>
      </c>
      <c r="R45" s="160">
        <f t="shared" si="42"/>
        <v>0</v>
      </c>
      <c r="S45" s="160">
        <f t="shared" si="42"/>
        <v>0</v>
      </c>
      <c r="T45" s="160">
        <f t="shared" si="42"/>
        <v>0</v>
      </c>
      <c r="U45" s="160">
        <f t="shared" si="42"/>
        <v>0</v>
      </c>
      <c r="V45" s="160">
        <f t="shared" si="42"/>
        <v>0</v>
      </c>
      <c r="W45" s="160">
        <f t="shared" si="42"/>
        <v>0</v>
      </c>
      <c r="X45" s="160">
        <f t="shared" si="42"/>
        <v>0</v>
      </c>
      <c r="Y45" s="160">
        <f t="shared" si="42"/>
        <v>0</v>
      </c>
      <c r="Z45" s="160">
        <f t="shared" si="42"/>
        <v>0</v>
      </c>
      <c r="AA45" s="160">
        <f t="shared" si="42"/>
        <v>0</v>
      </c>
      <c r="AB45" s="160">
        <f t="shared" si="42"/>
        <v>0</v>
      </c>
      <c r="AC45" s="160">
        <f t="shared" si="42"/>
        <v>0</v>
      </c>
    </row>
    <row r="46" spans="1:29" ht="15">
      <c r="A46" s="153">
        <v>20</v>
      </c>
      <c r="B46" s="153" t="str">
        <f t="shared" si="8"/>
        <v/>
      </c>
      <c r="C46" s="153" t="str">
        <f t="shared" si="5"/>
        <v/>
      </c>
      <c r="D46" s="160">
        <f t="shared" ref="D46:E46" si="43">D23</f>
        <v>0</v>
      </c>
      <c r="E46" s="160">
        <f t="shared" si="43"/>
        <v>0</v>
      </c>
      <c r="F46" s="160">
        <f t="shared" ref="F46:AC46" si="44">E46-F23</f>
        <v>0</v>
      </c>
      <c r="G46" s="160">
        <f t="shared" si="44"/>
        <v>0</v>
      </c>
      <c r="H46" s="160">
        <f t="shared" si="44"/>
        <v>0</v>
      </c>
      <c r="I46" s="160">
        <f t="shared" si="44"/>
        <v>0</v>
      </c>
      <c r="J46" s="160">
        <f t="shared" si="44"/>
        <v>0</v>
      </c>
      <c r="K46" s="160">
        <f t="shared" si="44"/>
        <v>0</v>
      </c>
      <c r="L46" s="160">
        <f t="shared" si="44"/>
        <v>0</v>
      </c>
      <c r="M46" s="160">
        <f t="shared" si="44"/>
        <v>0</v>
      </c>
      <c r="N46" s="160">
        <f t="shared" si="44"/>
        <v>0</v>
      </c>
      <c r="O46" s="160">
        <f t="shared" si="44"/>
        <v>0</v>
      </c>
      <c r="P46" s="160">
        <f t="shared" si="44"/>
        <v>0</v>
      </c>
      <c r="Q46" s="160">
        <f t="shared" si="44"/>
        <v>0</v>
      </c>
      <c r="R46" s="160">
        <f t="shared" si="44"/>
        <v>0</v>
      </c>
      <c r="S46" s="160">
        <f t="shared" si="44"/>
        <v>0</v>
      </c>
      <c r="T46" s="160">
        <f t="shared" si="44"/>
        <v>0</v>
      </c>
      <c r="U46" s="160">
        <f t="shared" si="44"/>
        <v>0</v>
      </c>
      <c r="V46" s="160">
        <f t="shared" si="44"/>
        <v>0</v>
      </c>
      <c r="W46" s="160">
        <f t="shared" si="44"/>
        <v>0</v>
      </c>
      <c r="X46" s="160">
        <f t="shared" si="44"/>
        <v>0</v>
      </c>
      <c r="Y46" s="160">
        <f t="shared" si="44"/>
        <v>0</v>
      </c>
      <c r="Z46" s="160">
        <f t="shared" si="44"/>
        <v>0</v>
      </c>
      <c r="AA46" s="160">
        <f t="shared" si="44"/>
        <v>0</v>
      </c>
      <c r="AB46" s="160">
        <f t="shared" si="44"/>
        <v>0</v>
      </c>
      <c r="AC46" s="160">
        <f t="shared" si="44"/>
        <v>0</v>
      </c>
    </row>
    <row r="47" spans="1:29" ht="15">
      <c r="A47" s="200"/>
      <c r="B47" s="200" t="s">
        <v>258</v>
      </c>
      <c r="C47" s="200"/>
      <c r="D47" s="205">
        <f t="shared" ref="D47:AC47" si="45">SUM(D27:D46)</f>
        <v>0</v>
      </c>
      <c r="E47" s="205">
        <f t="shared" si="45"/>
        <v>0</v>
      </c>
      <c r="F47" s="205">
        <f t="shared" si="45"/>
        <v>0</v>
      </c>
      <c r="G47" s="205">
        <f t="shared" si="45"/>
        <v>0</v>
      </c>
      <c r="H47" s="205">
        <f t="shared" si="45"/>
        <v>0</v>
      </c>
      <c r="I47" s="205">
        <f t="shared" si="45"/>
        <v>0</v>
      </c>
      <c r="J47" s="205">
        <f t="shared" si="45"/>
        <v>0</v>
      </c>
      <c r="K47" s="205">
        <f t="shared" si="45"/>
        <v>0</v>
      </c>
      <c r="L47" s="205">
        <f t="shared" si="45"/>
        <v>0</v>
      </c>
      <c r="M47" s="205">
        <f t="shared" si="45"/>
        <v>0</v>
      </c>
      <c r="N47" s="205">
        <f t="shared" si="45"/>
        <v>0</v>
      </c>
      <c r="O47" s="205">
        <f t="shared" si="45"/>
        <v>0</v>
      </c>
      <c r="P47" s="205">
        <f t="shared" si="45"/>
        <v>0</v>
      </c>
      <c r="Q47" s="205">
        <f t="shared" si="45"/>
        <v>0</v>
      </c>
      <c r="R47" s="206">
        <f t="shared" si="45"/>
        <v>0</v>
      </c>
      <c r="S47" s="206">
        <f t="shared" si="45"/>
        <v>0</v>
      </c>
      <c r="T47" s="206">
        <f t="shared" si="45"/>
        <v>0</v>
      </c>
      <c r="U47" s="206">
        <f t="shared" si="45"/>
        <v>0</v>
      </c>
      <c r="V47" s="206">
        <f t="shared" si="45"/>
        <v>0</v>
      </c>
      <c r="W47" s="206">
        <f t="shared" si="45"/>
        <v>0</v>
      </c>
      <c r="X47" s="206">
        <f t="shared" si="45"/>
        <v>0</v>
      </c>
      <c r="Y47" s="206">
        <f t="shared" si="45"/>
        <v>0</v>
      </c>
      <c r="Z47" s="206">
        <f t="shared" si="45"/>
        <v>0</v>
      </c>
      <c r="AA47" s="206">
        <f t="shared" si="45"/>
        <v>0</v>
      </c>
      <c r="AB47" s="206">
        <f t="shared" si="45"/>
        <v>0</v>
      </c>
      <c r="AC47" s="206">
        <f t="shared" si="45"/>
        <v>0</v>
      </c>
    </row>
    <row r="48" spans="1:29" ht="15">
      <c r="A48" s="153"/>
      <c r="B48" s="153" t="s">
        <v>259</v>
      </c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</row>
    <row r="49" spans="1:29" ht="15">
      <c r="A49" s="200"/>
      <c r="B49" s="200" t="s">
        <v>255</v>
      </c>
      <c r="C49" s="200" t="s">
        <v>44</v>
      </c>
      <c r="D49" s="200" t="s">
        <v>260</v>
      </c>
      <c r="E49" s="200"/>
      <c r="F49" s="207">
        <f t="shared" ref="F49:AC49" si="46">F26</f>
        <v>45869</v>
      </c>
      <c r="G49" s="207">
        <f t="shared" si="46"/>
        <v>45900</v>
      </c>
      <c r="H49" s="207">
        <f t="shared" si="46"/>
        <v>45930</v>
      </c>
      <c r="I49" s="207">
        <f t="shared" si="46"/>
        <v>45961</v>
      </c>
      <c r="J49" s="207">
        <f t="shared" si="46"/>
        <v>45991</v>
      </c>
      <c r="K49" s="207">
        <f t="shared" si="46"/>
        <v>46022</v>
      </c>
      <c r="L49" s="207">
        <f t="shared" si="46"/>
        <v>46053</v>
      </c>
      <c r="M49" s="207">
        <f t="shared" si="46"/>
        <v>46081</v>
      </c>
      <c r="N49" s="207">
        <f t="shared" si="46"/>
        <v>46112</v>
      </c>
      <c r="O49" s="207">
        <f t="shared" si="46"/>
        <v>46142</v>
      </c>
      <c r="P49" s="207">
        <f t="shared" si="46"/>
        <v>46173</v>
      </c>
      <c r="Q49" s="207">
        <f t="shared" si="46"/>
        <v>46203</v>
      </c>
      <c r="R49" s="208">
        <f t="shared" si="46"/>
        <v>46234</v>
      </c>
      <c r="S49" s="208">
        <f t="shared" si="46"/>
        <v>46265</v>
      </c>
      <c r="T49" s="208">
        <f t="shared" si="46"/>
        <v>46295</v>
      </c>
      <c r="U49" s="208">
        <f t="shared" si="46"/>
        <v>46326</v>
      </c>
      <c r="V49" s="208">
        <f t="shared" si="46"/>
        <v>46356</v>
      </c>
      <c r="W49" s="208">
        <f t="shared" si="46"/>
        <v>46387</v>
      </c>
      <c r="X49" s="208">
        <f t="shared" si="46"/>
        <v>46418</v>
      </c>
      <c r="Y49" s="208">
        <f t="shared" si="46"/>
        <v>46446</v>
      </c>
      <c r="Z49" s="208">
        <f t="shared" si="46"/>
        <v>46477</v>
      </c>
      <c r="AA49" s="208">
        <f t="shared" si="46"/>
        <v>46507</v>
      </c>
      <c r="AB49" s="208">
        <f t="shared" si="46"/>
        <v>46538</v>
      </c>
      <c r="AC49" s="208">
        <f t="shared" si="46"/>
        <v>46568</v>
      </c>
    </row>
    <row r="50" spans="1:29" ht="15">
      <c r="A50" s="153"/>
      <c r="B50" s="153"/>
      <c r="C50" s="153"/>
      <c r="D50" s="153"/>
      <c r="E50" s="153"/>
      <c r="F50" s="209">
        <f t="shared" ref="F50:AC50" si="47">DAY(EOMONTH(F49,0))</f>
        <v>31</v>
      </c>
      <c r="G50" s="209">
        <f t="shared" si="47"/>
        <v>31</v>
      </c>
      <c r="H50" s="209">
        <f t="shared" si="47"/>
        <v>30</v>
      </c>
      <c r="I50" s="209">
        <f t="shared" si="47"/>
        <v>31</v>
      </c>
      <c r="J50" s="209">
        <f t="shared" si="47"/>
        <v>30</v>
      </c>
      <c r="K50" s="209">
        <f t="shared" si="47"/>
        <v>31</v>
      </c>
      <c r="L50" s="209">
        <f t="shared" si="47"/>
        <v>31</v>
      </c>
      <c r="M50" s="209">
        <f t="shared" si="47"/>
        <v>28</v>
      </c>
      <c r="N50" s="209">
        <f t="shared" si="47"/>
        <v>31</v>
      </c>
      <c r="O50" s="209">
        <f t="shared" si="47"/>
        <v>30</v>
      </c>
      <c r="P50" s="209">
        <f t="shared" si="47"/>
        <v>31</v>
      </c>
      <c r="Q50" s="209">
        <f t="shared" si="47"/>
        <v>30</v>
      </c>
      <c r="R50" s="209">
        <f t="shared" si="47"/>
        <v>31</v>
      </c>
      <c r="S50" s="209">
        <f t="shared" si="47"/>
        <v>31</v>
      </c>
      <c r="T50" s="209">
        <f t="shared" si="47"/>
        <v>30</v>
      </c>
      <c r="U50" s="209">
        <f t="shared" si="47"/>
        <v>31</v>
      </c>
      <c r="V50" s="209">
        <f t="shared" si="47"/>
        <v>30</v>
      </c>
      <c r="W50" s="209">
        <f t="shared" si="47"/>
        <v>31</v>
      </c>
      <c r="X50" s="209">
        <f t="shared" si="47"/>
        <v>31</v>
      </c>
      <c r="Y50" s="209">
        <f t="shared" si="47"/>
        <v>28</v>
      </c>
      <c r="Z50" s="209">
        <f t="shared" si="47"/>
        <v>31</v>
      </c>
      <c r="AA50" s="209">
        <f t="shared" si="47"/>
        <v>30</v>
      </c>
      <c r="AB50" s="209">
        <f t="shared" si="47"/>
        <v>31</v>
      </c>
      <c r="AC50" s="209">
        <f t="shared" si="47"/>
        <v>30</v>
      </c>
    </row>
    <row r="51" spans="1:29" ht="15">
      <c r="A51" s="153">
        <v>1</v>
      </c>
      <c r="B51" s="153" t="str">
        <f t="shared" ref="B51:C51" si="48">B27</f>
        <v/>
      </c>
      <c r="C51" s="153" t="str">
        <f t="shared" si="48"/>
        <v/>
      </c>
      <c r="D51" s="210">
        <v>1.7000000000000001E-2</v>
      </c>
      <c r="E51" s="211"/>
      <c r="F51" s="160">
        <f t="shared" ref="F51:AC51" si="49">F27*$D51*F$50/365</f>
        <v>0</v>
      </c>
      <c r="G51" s="160">
        <f t="shared" si="49"/>
        <v>0</v>
      </c>
      <c r="H51" s="160">
        <f t="shared" si="49"/>
        <v>0</v>
      </c>
      <c r="I51" s="160">
        <f t="shared" si="49"/>
        <v>0</v>
      </c>
      <c r="J51" s="160">
        <f t="shared" si="49"/>
        <v>0</v>
      </c>
      <c r="K51" s="160">
        <f t="shared" si="49"/>
        <v>0</v>
      </c>
      <c r="L51" s="160">
        <f t="shared" si="49"/>
        <v>0</v>
      </c>
      <c r="M51" s="160">
        <f t="shared" si="49"/>
        <v>0</v>
      </c>
      <c r="N51" s="160">
        <f t="shared" si="49"/>
        <v>0</v>
      </c>
      <c r="O51" s="160">
        <f t="shared" si="49"/>
        <v>0</v>
      </c>
      <c r="P51" s="160">
        <f t="shared" si="49"/>
        <v>0</v>
      </c>
      <c r="Q51" s="160">
        <f t="shared" si="49"/>
        <v>0</v>
      </c>
      <c r="R51" s="160">
        <f t="shared" si="49"/>
        <v>0</v>
      </c>
      <c r="S51" s="160">
        <f t="shared" si="49"/>
        <v>0</v>
      </c>
      <c r="T51" s="160">
        <f t="shared" si="49"/>
        <v>0</v>
      </c>
      <c r="U51" s="160">
        <f t="shared" si="49"/>
        <v>0</v>
      </c>
      <c r="V51" s="160">
        <f t="shared" si="49"/>
        <v>0</v>
      </c>
      <c r="W51" s="160">
        <f t="shared" si="49"/>
        <v>0</v>
      </c>
      <c r="X51" s="160">
        <f t="shared" si="49"/>
        <v>0</v>
      </c>
      <c r="Y51" s="160">
        <f t="shared" si="49"/>
        <v>0</v>
      </c>
      <c r="Z51" s="160">
        <f t="shared" si="49"/>
        <v>0</v>
      </c>
      <c r="AA51" s="160">
        <f t="shared" si="49"/>
        <v>0</v>
      </c>
      <c r="AB51" s="160">
        <f t="shared" si="49"/>
        <v>0</v>
      </c>
      <c r="AC51" s="160">
        <f t="shared" si="49"/>
        <v>0</v>
      </c>
    </row>
    <row r="52" spans="1:29" ht="15">
      <c r="A52" s="153">
        <v>2</v>
      </c>
      <c r="B52" s="153" t="str">
        <f t="shared" ref="B52:C52" si="50">B28</f>
        <v/>
      </c>
      <c r="C52" s="153" t="str">
        <f t="shared" si="50"/>
        <v/>
      </c>
      <c r="D52" s="210">
        <v>8.9999999999999993E-3</v>
      </c>
      <c r="E52" s="211"/>
      <c r="F52" s="160">
        <f t="shared" ref="F52:AC52" si="51">F28*$D52*F$50/365</f>
        <v>0</v>
      </c>
      <c r="G52" s="160">
        <f t="shared" si="51"/>
        <v>0</v>
      </c>
      <c r="H52" s="160">
        <f t="shared" si="51"/>
        <v>0</v>
      </c>
      <c r="I52" s="160">
        <f t="shared" si="51"/>
        <v>0</v>
      </c>
      <c r="J52" s="160">
        <f t="shared" si="51"/>
        <v>0</v>
      </c>
      <c r="K52" s="160">
        <f t="shared" si="51"/>
        <v>0</v>
      </c>
      <c r="L52" s="160">
        <f t="shared" si="51"/>
        <v>0</v>
      </c>
      <c r="M52" s="160">
        <f t="shared" si="51"/>
        <v>0</v>
      </c>
      <c r="N52" s="160">
        <f t="shared" si="51"/>
        <v>0</v>
      </c>
      <c r="O52" s="160">
        <f t="shared" si="51"/>
        <v>0</v>
      </c>
      <c r="P52" s="160">
        <f t="shared" si="51"/>
        <v>0</v>
      </c>
      <c r="Q52" s="160">
        <f t="shared" si="51"/>
        <v>0</v>
      </c>
      <c r="R52" s="160">
        <f t="shared" si="51"/>
        <v>0</v>
      </c>
      <c r="S52" s="160">
        <f t="shared" si="51"/>
        <v>0</v>
      </c>
      <c r="T52" s="160">
        <f t="shared" si="51"/>
        <v>0</v>
      </c>
      <c r="U52" s="160">
        <f t="shared" si="51"/>
        <v>0</v>
      </c>
      <c r="V52" s="160">
        <f t="shared" si="51"/>
        <v>0</v>
      </c>
      <c r="W52" s="160">
        <f t="shared" si="51"/>
        <v>0</v>
      </c>
      <c r="X52" s="160">
        <f t="shared" si="51"/>
        <v>0</v>
      </c>
      <c r="Y52" s="160">
        <f t="shared" si="51"/>
        <v>0</v>
      </c>
      <c r="Z52" s="160">
        <f t="shared" si="51"/>
        <v>0</v>
      </c>
      <c r="AA52" s="160">
        <f t="shared" si="51"/>
        <v>0</v>
      </c>
      <c r="AB52" s="160">
        <f t="shared" si="51"/>
        <v>0</v>
      </c>
      <c r="AC52" s="160">
        <f t="shared" si="51"/>
        <v>0</v>
      </c>
    </row>
    <row r="53" spans="1:29" ht="15">
      <c r="A53" s="153">
        <v>3</v>
      </c>
      <c r="B53" s="153" t="str">
        <f t="shared" ref="B53:C53" si="52">B29</f>
        <v/>
      </c>
      <c r="C53" s="153" t="str">
        <f t="shared" si="52"/>
        <v/>
      </c>
      <c r="D53" s="210">
        <v>1.2E-2</v>
      </c>
      <c r="E53" s="211"/>
      <c r="F53" s="160">
        <f t="shared" ref="F53:AC53" si="53">F29*$D53*F$50/365</f>
        <v>0</v>
      </c>
      <c r="G53" s="160">
        <f t="shared" si="53"/>
        <v>0</v>
      </c>
      <c r="H53" s="160">
        <f t="shared" si="53"/>
        <v>0</v>
      </c>
      <c r="I53" s="160">
        <f t="shared" si="53"/>
        <v>0</v>
      </c>
      <c r="J53" s="160">
        <f t="shared" si="53"/>
        <v>0</v>
      </c>
      <c r="K53" s="160">
        <f t="shared" si="53"/>
        <v>0</v>
      </c>
      <c r="L53" s="160">
        <f t="shared" si="53"/>
        <v>0</v>
      </c>
      <c r="M53" s="160">
        <f t="shared" si="53"/>
        <v>0</v>
      </c>
      <c r="N53" s="160">
        <f t="shared" si="53"/>
        <v>0</v>
      </c>
      <c r="O53" s="160">
        <f t="shared" si="53"/>
        <v>0</v>
      </c>
      <c r="P53" s="160">
        <f t="shared" si="53"/>
        <v>0</v>
      </c>
      <c r="Q53" s="160">
        <f t="shared" si="53"/>
        <v>0</v>
      </c>
      <c r="R53" s="160">
        <f t="shared" si="53"/>
        <v>0</v>
      </c>
      <c r="S53" s="160">
        <f t="shared" si="53"/>
        <v>0</v>
      </c>
      <c r="T53" s="160">
        <f t="shared" si="53"/>
        <v>0</v>
      </c>
      <c r="U53" s="160">
        <f t="shared" si="53"/>
        <v>0</v>
      </c>
      <c r="V53" s="160">
        <f t="shared" si="53"/>
        <v>0</v>
      </c>
      <c r="W53" s="160">
        <f t="shared" si="53"/>
        <v>0</v>
      </c>
      <c r="X53" s="160">
        <f t="shared" si="53"/>
        <v>0</v>
      </c>
      <c r="Y53" s="160">
        <f t="shared" si="53"/>
        <v>0</v>
      </c>
      <c r="Z53" s="160">
        <f t="shared" si="53"/>
        <v>0</v>
      </c>
      <c r="AA53" s="160">
        <f t="shared" si="53"/>
        <v>0</v>
      </c>
      <c r="AB53" s="160">
        <f t="shared" si="53"/>
        <v>0</v>
      </c>
      <c r="AC53" s="160">
        <f t="shared" si="53"/>
        <v>0</v>
      </c>
    </row>
    <row r="54" spans="1:29" ht="15">
      <c r="A54" s="153">
        <v>4</v>
      </c>
      <c r="B54" s="153" t="str">
        <f t="shared" ref="B54:C54" si="54">B30</f>
        <v/>
      </c>
      <c r="C54" s="153" t="str">
        <f t="shared" si="54"/>
        <v/>
      </c>
      <c r="D54" s="210">
        <v>1.2E-2</v>
      </c>
      <c r="E54" s="211"/>
      <c r="F54" s="160">
        <f t="shared" ref="F54:AC54" si="55">F30*$D54*F$50/365</f>
        <v>0</v>
      </c>
      <c r="G54" s="160">
        <f t="shared" si="55"/>
        <v>0</v>
      </c>
      <c r="H54" s="160">
        <f t="shared" si="55"/>
        <v>0</v>
      </c>
      <c r="I54" s="160">
        <f t="shared" si="55"/>
        <v>0</v>
      </c>
      <c r="J54" s="160">
        <f t="shared" si="55"/>
        <v>0</v>
      </c>
      <c r="K54" s="160">
        <f t="shared" si="55"/>
        <v>0</v>
      </c>
      <c r="L54" s="160">
        <f t="shared" si="55"/>
        <v>0</v>
      </c>
      <c r="M54" s="160">
        <f t="shared" si="55"/>
        <v>0</v>
      </c>
      <c r="N54" s="160">
        <f t="shared" si="55"/>
        <v>0</v>
      </c>
      <c r="O54" s="160">
        <f t="shared" si="55"/>
        <v>0</v>
      </c>
      <c r="P54" s="160">
        <f t="shared" si="55"/>
        <v>0</v>
      </c>
      <c r="Q54" s="160">
        <f t="shared" si="55"/>
        <v>0</v>
      </c>
      <c r="R54" s="160">
        <f t="shared" si="55"/>
        <v>0</v>
      </c>
      <c r="S54" s="160">
        <f t="shared" si="55"/>
        <v>0</v>
      </c>
      <c r="T54" s="160">
        <f t="shared" si="55"/>
        <v>0</v>
      </c>
      <c r="U54" s="160">
        <f t="shared" si="55"/>
        <v>0</v>
      </c>
      <c r="V54" s="160">
        <f t="shared" si="55"/>
        <v>0</v>
      </c>
      <c r="W54" s="160">
        <f t="shared" si="55"/>
        <v>0</v>
      </c>
      <c r="X54" s="160">
        <f t="shared" si="55"/>
        <v>0</v>
      </c>
      <c r="Y54" s="160">
        <f t="shared" si="55"/>
        <v>0</v>
      </c>
      <c r="Z54" s="160">
        <f t="shared" si="55"/>
        <v>0</v>
      </c>
      <c r="AA54" s="160">
        <f t="shared" si="55"/>
        <v>0</v>
      </c>
      <c r="AB54" s="160">
        <f t="shared" si="55"/>
        <v>0</v>
      </c>
      <c r="AC54" s="160">
        <f t="shared" si="55"/>
        <v>0</v>
      </c>
    </row>
    <row r="55" spans="1:29" ht="15">
      <c r="A55" s="153">
        <v>5</v>
      </c>
      <c r="B55" s="153" t="str">
        <f t="shared" ref="B55:C55" si="56">B31</f>
        <v/>
      </c>
      <c r="C55" s="153" t="str">
        <f t="shared" si="56"/>
        <v/>
      </c>
      <c r="D55" s="210">
        <v>1.9E-2</v>
      </c>
      <c r="E55" s="211"/>
      <c r="F55" s="160">
        <f t="shared" ref="F55:AC55" si="57">F31*$D55*F$50/365</f>
        <v>0</v>
      </c>
      <c r="G55" s="160">
        <f t="shared" si="57"/>
        <v>0</v>
      </c>
      <c r="H55" s="160">
        <f t="shared" si="57"/>
        <v>0</v>
      </c>
      <c r="I55" s="160">
        <f t="shared" si="57"/>
        <v>0</v>
      </c>
      <c r="J55" s="160">
        <f t="shared" si="57"/>
        <v>0</v>
      </c>
      <c r="K55" s="160">
        <f t="shared" si="57"/>
        <v>0</v>
      </c>
      <c r="L55" s="160">
        <f t="shared" si="57"/>
        <v>0</v>
      </c>
      <c r="M55" s="160">
        <f t="shared" si="57"/>
        <v>0</v>
      </c>
      <c r="N55" s="160">
        <f t="shared" si="57"/>
        <v>0</v>
      </c>
      <c r="O55" s="160">
        <f t="shared" si="57"/>
        <v>0</v>
      </c>
      <c r="P55" s="160">
        <f t="shared" si="57"/>
        <v>0</v>
      </c>
      <c r="Q55" s="160">
        <f t="shared" si="57"/>
        <v>0</v>
      </c>
      <c r="R55" s="160">
        <f t="shared" si="57"/>
        <v>0</v>
      </c>
      <c r="S55" s="160">
        <f t="shared" si="57"/>
        <v>0</v>
      </c>
      <c r="T55" s="160">
        <f t="shared" si="57"/>
        <v>0</v>
      </c>
      <c r="U55" s="160">
        <f t="shared" si="57"/>
        <v>0</v>
      </c>
      <c r="V55" s="160">
        <f t="shared" si="57"/>
        <v>0</v>
      </c>
      <c r="W55" s="160">
        <f t="shared" si="57"/>
        <v>0</v>
      </c>
      <c r="X55" s="160">
        <f t="shared" si="57"/>
        <v>0</v>
      </c>
      <c r="Y55" s="160">
        <f t="shared" si="57"/>
        <v>0</v>
      </c>
      <c r="Z55" s="160">
        <f t="shared" si="57"/>
        <v>0</v>
      </c>
      <c r="AA55" s="160">
        <f t="shared" si="57"/>
        <v>0</v>
      </c>
      <c r="AB55" s="160">
        <f t="shared" si="57"/>
        <v>0</v>
      </c>
      <c r="AC55" s="160">
        <f t="shared" si="57"/>
        <v>0</v>
      </c>
    </row>
    <row r="56" spans="1:29" ht="15">
      <c r="A56" s="153">
        <v>6</v>
      </c>
      <c r="B56" s="153" t="str">
        <f t="shared" ref="B56:C56" si="58">B32</f>
        <v/>
      </c>
      <c r="C56" s="153" t="str">
        <f t="shared" si="58"/>
        <v/>
      </c>
      <c r="D56" s="210">
        <v>0.01</v>
      </c>
      <c r="E56" s="211"/>
      <c r="F56" s="160">
        <f t="shared" ref="F56:AC56" si="59">F32*$D56*F$50/365</f>
        <v>0</v>
      </c>
      <c r="G56" s="160">
        <f t="shared" si="59"/>
        <v>0</v>
      </c>
      <c r="H56" s="160">
        <f t="shared" si="59"/>
        <v>0</v>
      </c>
      <c r="I56" s="160">
        <f t="shared" si="59"/>
        <v>0</v>
      </c>
      <c r="J56" s="160">
        <f t="shared" si="59"/>
        <v>0</v>
      </c>
      <c r="K56" s="160">
        <f t="shared" si="59"/>
        <v>0</v>
      </c>
      <c r="L56" s="160">
        <f t="shared" si="59"/>
        <v>0</v>
      </c>
      <c r="M56" s="160">
        <f t="shared" si="59"/>
        <v>0</v>
      </c>
      <c r="N56" s="160">
        <f t="shared" si="59"/>
        <v>0</v>
      </c>
      <c r="O56" s="160">
        <f t="shared" si="59"/>
        <v>0</v>
      </c>
      <c r="P56" s="160">
        <f t="shared" si="59"/>
        <v>0</v>
      </c>
      <c r="Q56" s="160">
        <f t="shared" si="59"/>
        <v>0</v>
      </c>
      <c r="R56" s="160">
        <f t="shared" si="59"/>
        <v>0</v>
      </c>
      <c r="S56" s="160">
        <f t="shared" si="59"/>
        <v>0</v>
      </c>
      <c r="T56" s="160">
        <f t="shared" si="59"/>
        <v>0</v>
      </c>
      <c r="U56" s="160">
        <f t="shared" si="59"/>
        <v>0</v>
      </c>
      <c r="V56" s="160">
        <f t="shared" si="59"/>
        <v>0</v>
      </c>
      <c r="W56" s="160">
        <f t="shared" si="59"/>
        <v>0</v>
      </c>
      <c r="X56" s="160">
        <f t="shared" si="59"/>
        <v>0</v>
      </c>
      <c r="Y56" s="160">
        <f t="shared" si="59"/>
        <v>0</v>
      </c>
      <c r="Z56" s="160">
        <f t="shared" si="59"/>
        <v>0</v>
      </c>
      <c r="AA56" s="160">
        <f t="shared" si="59"/>
        <v>0</v>
      </c>
      <c r="AB56" s="160">
        <f t="shared" si="59"/>
        <v>0</v>
      </c>
      <c r="AC56" s="160">
        <f t="shared" si="59"/>
        <v>0</v>
      </c>
    </row>
    <row r="57" spans="1:29" ht="15">
      <c r="A57" s="153">
        <v>7</v>
      </c>
      <c r="B57" s="153" t="str">
        <f t="shared" ref="B57:C57" si="60">B33</f>
        <v/>
      </c>
      <c r="C57" s="153" t="str">
        <f t="shared" si="60"/>
        <v/>
      </c>
      <c r="D57" s="210"/>
      <c r="E57" s="211"/>
      <c r="F57" s="160">
        <f t="shared" ref="F57:AC57" si="61">F33*$D57*F$50/365</f>
        <v>0</v>
      </c>
      <c r="G57" s="160">
        <f t="shared" si="61"/>
        <v>0</v>
      </c>
      <c r="H57" s="160">
        <f t="shared" si="61"/>
        <v>0</v>
      </c>
      <c r="I57" s="160">
        <f t="shared" si="61"/>
        <v>0</v>
      </c>
      <c r="J57" s="160">
        <f t="shared" si="61"/>
        <v>0</v>
      </c>
      <c r="K57" s="160">
        <f t="shared" si="61"/>
        <v>0</v>
      </c>
      <c r="L57" s="160">
        <f t="shared" si="61"/>
        <v>0</v>
      </c>
      <c r="M57" s="160">
        <f t="shared" si="61"/>
        <v>0</v>
      </c>
      <c r="N57" s="160">
        <f t="shared" si="61"/>
        <v>0</v>
      </c>
      <c r="O57" s="160">
        <f t="shared" si="61"/>
        <v>0</v>
      </c>
      <c r="P57" s="160">
        <f t="shared" si="61"/>
        <v>0</v>
      </c>
      <c r="Q57" s="160">
        <f t="shared" si="61"/>
        <v>0</v>
      </c>
      <c r="R57" s="160">
        <f t="shared" si="61"/>
        <v>0</v>
      </c>
      <c r="S57" s="160">
        <f t="shared" si="61"/>
        <v>0</v>
      </c>
      <c r="T57" s="160">
        <f t="shared" si="61"/>
        <v>0</v>
      </c>
      <c r="U57" s="160">
        <f t="shared" si="61"/>
        <v>0</v>
      </c>
      <c r="V57" s="160">
        <f t="shared" si="61"/>
        <v>0</v>
      </c>
      <c r="W57" s="160">
        <f t="shared" si="61"/>
        <v>0</v>
      </c>
      <c r="X57" s="160">
        <f t="shared" si="61"/>
        <v>0</v>
      </c>
      <c r="Y57" s="160">
        <f t="shared" si="61"/>
        <v>0</v>
      </c>
      <c r="Z57" s="160">
        <f t="shared" si="61"/>
        <v>0</v>
      </c>
      <c r="AA57" s="160">
        <f t="shared" si="61"/>
        <v>0</v>
      </c>
      <c r="AB57" s="160">
        <f t="shared" si="61"/>
        <v>0</v>
      </c>
      <c r="AC57" s="160">
        <f t="shared" si="61"/>
        <v>0</v>
      </c>
    </row>
    <row r="58" spans="1:29" ht="15">
      <c r="A58" s="153">
        <v>8</v>
      </c>
      <c r="B58" s="153" t="str">
        <f t="shared" ref="B58:C58" si="62">B34</f>
        <v/>
      </c>
      <c r="C58" s="153" t="str">
        <f t="shared" si="62"/>
        <v/>
      </c>
      <c r="D58" s="210"/>
      <c r="E58" s="211"/>
      <c r="F58" s="160">
        <f t="shared" ref="F58:AC58" si="63">F34*$D58*F$50/365</f>
        <v>0</v>
      </c>
      <c r="G58" s="160">
        <f t="shared" si="63"/>
        <v>0</v>
      </c>
      <c r="H58" s="160">
        <f t="shared" si="63"/>
        <v>0</v>
      </c>
      <c r="I58" s="160">
        <f t="shared" si="63"/>
        <v>0</v>
      </c>
      <c r="J58" s="160">
        <f t="shared" si="63"/>
        <v>0</v>
      </c>
      <c r="K58" s="160">
        <f t="shared" si="63"/>
        <v>0</v>
      </c>
      <c r="L58" s="160">
        <f t="shared" si="63"/>
        <v>0</v>
      </c>
      <c r="M58" s="160">
        <f t="shared" si="63"/>
        <v>0</v>
      </c>
      <c r="N58" s="160">
        <f t="shared" si="63"/>
        <v>0</v>
      </c>
      <c r="O58" s="160">
        <f t="shared" si="63"/>
        <v>0</v>
      </c>
      <c r="P58" s="160">
        <f t="shared" si="63"/>
        <v>0</v>
      </c>
      <c r="Q58" s="160">
        <f t="shared" si="63"/>
        <v>0</v>
      </c>
      <c r="R58" s="160">
        <f t="shared" si="63"/>
        <v>0</v>
      </c>
      <c r="S58" s="160">
        <f t="shared" si="63"/>
        <v>0</v>
      </c>
      <c r="T58" s="160">
        <f t="shared" si="63"/>
        <v>0</v>
      </c>
      <c r="U58" s="160">
        <f t="shared" si="63"/>
        <v>0</v>
      </c>
      <c r="V58" s="160">
        <f t="shared" si="63"/>
        <v>0</v>
      </c>
      <c r="W58" s="160">
        <f t="shared" si="63"/>
        <v>0</v>
      </c>
      <c r="X58" s="160">
        <f t="shared" si="63"/>
        <v>0</v>
      </c>
      <c r="Y58" s="160">
        <f t="shared" si="63"/>
        <v>0</v>
      </c>
      <c r="Z58" s="160">
        <f t="shared" si="63"/>
        <v>0</v>
      </c>
      <c r="AA58" s="160">
        <f t="shared" si="63"/>
        <v>0</v>
      </c>
      <c r="AB58" s="160">
        <f t="shared" si="63"/>
        <v>0</v>
      </c>
      <c r="AC58" s="160">
        <f t="shared" si="63"/>
        <v>0</v>
      </c>
    </row>
    <row r="59" spans="1:29" ht="15">
      <c r="A59" s="153">
        <v>9</v>
      </c>
      <c r="B59" s="153" t="str">
        <f t="shared" ref="B59:C59" si="64">B35</f>
        <v/>
      </c>
      <c r="C59" s="153" t="str">
        <f t="shared" si="64"/>
        <v/>
      </c>
      <c r="D59" s="210"/>
      <c r="E59" s="211"/>
      <c r="F59" s="160">
        <f t="shared" ref="F59:AC59" si="65">F35*$D59*F$50/365</f>
        <v>0</v>
      </c>
      <c r="G59" s="160">
        <f t="shared" si="65"/>
        <v>0</v>
      </c>
      <c r="H59" s="160">
        <f t="shared" si="65"/>
        <v>0</v>
      </c>
      <c r="I59" s="160">
        <f t="shared" si="65"/>
        <v>0</v>
      </c>
      <c r="J59" s="160">
        <f t="shared" si="65"/>
        <v>0</v>
      </c>
      <c r="K59" s="160">
        <f t="shared" si="65"/>
        <v>0</v>
      </c>
      <c r="L59" s="160">
        <f t="shared" si="65"/>
        <v>0</v>
      </c>
      <c r="M59" s="160">
        <f t="shared" si="65"/>
        <v>0</v>
      </c>
      <c r="N59" s="160">
        <f t="shared" si="65"/>
        <v>0</v>
      </c>
      <c r="O59" s="160">
        <f t="shared" si="65"/>
        <v>0</v>
      </c>
      <c r="P59" s="160">
        <f t="shared" si="65"/>
        <v>0</v>
      </c>
      <c r="Q59" s="160">
        <f t="shared" si="65"/>
        <v>0</v>
      </c>
      <c r="R59" s="160">
        <f t="shared" si="65"/>
        <v>0</v>
      </c>
      <c r="S59" s="160">
        <f t="shared" si="65"/>
        <v>0</v>
      </c>
      <c r="T59" s="160">
        <f t="shared" si="65"/>
        <v>0</v>
      </c>
      <c r="U59" s="160">
        <f t="shared" si="65"/>
        <v>0</v>
      </c>
      <c r="V59" s="160">
        <f t="shared" si="65"/>
        <v>0</v>
      </c>
      <c r="W59" s="160">
        <f t="shared" si="65"/>
        <v>0</v>
      </c>
      <c r="X59" s="160">
        <f t="shared" si="65"/>
        <v>0</v>
      </c>
      <c r="Y59" s="160">
        <f t="shared" si="65"/>
        <v>0</v>
      </c>
      <c r="Z59" s="160">
        <f t="shared" si="65"/>
        <v>0</v>
      </c>
      <c r="AA59" s="160">
        <f t="shared" si="65"/>
        <v>0</v>
      </c>
      <c r="AB59" s="160">
        <f t="shared" si="65"/>
        <v>0</v>
      </c>
      <c r="AC59" s="160">
        <f t="shared" si="65"/>
        <v>0</v>
      </c>
    </row>
    <row r="60" spans="1:29" ht="15">
      <c r="A60" s="153">
        <v>10</v>
      </c>
      <c r="B60" s="153" t="str">
        <f t="shared" ref="B60:C60" si="66">B36</f>
        <v/>
      </c>
      <c r="C60" s="153" t="str">
        <f t="shared" si="66"/>
        <v/>
      </c>
      <c r="D60" s="210"/>
      <c r="E60" s="211"/>
      <c r="F60" s="160">
        <f t="shared" ref="F60:AC60" si="67">F36*$D60*F$50/365</f>
        <v>0</v>
      </c>
      <c r="G60" s="160">
        <f t="shared" si="67"/>
        <v>0</v>
      </c>
      <c r="H60" s="160">
        <f t="shared" si="67"/>
        <v>0</v>
      </c>
      <c r="I60" s="160">
        <f t="shared" si="67"/>
        <v>0</v>
      </c>
      <c r="J60" s="160">
        <f t="shared" si="67"/>
        <v>0</v>
      </c>
      <c r="K60" s="160">
        <f t="shared" si="67"/>
        <v>0</v>
      </c>
      <c r="L60" s="160">
        <f t="shared" si="67"/>
        <v>0</v>
      </c>
      <c r="M60" s="160">
        <f t="shared" si="67"/>
        <v>0</v>
      </c>
      <c r="N60" s="160">
        <f t="shared" si="67"/>
        <v>0</v>
      </c>
      <c r="O60" s="160">
        <f t="shared" si="67"/>
        <v>0</v>
      </c>
      <c r="P60" s="160">
        <f t="shared" si="67"/>
        <v>0</v>
      </c>
      <c r="Q60" s="160">
        <f t="shared" si="67"/>
        <v>0</v>
      </c>
      <c r="R60" s="160">
        <f t="shared" si="67"/>
        <v>0</v>
      </c>
      <c r="S60" s="160">
        <f t="shared" si="67"/>
        <v>0</v>
      </c>
      <c r="T60" s="160">
        <f t="shared" si="67"/>
        <v>0</v>
      </c>
      <c r="U60" s="160">
        <f t="shared" si="67"/>
        <v>0</v>
      </c>
      <c r="V60" s="160">
        <f t="shared" si="67"/>
        <v>0</v>
      </c>
      <c r="W60" s="160">
        <f t="shared" si="67"/>
        <v>0</v>
      </c>
      <c r="X60" s="160">
        <f t="shared" si="67"/>
        <v>0</v>
      </c>
      <c r="Y60" s="160">
        <f t="shared" si="67"/>
        <v>0</v>
      </c>
      <c r="Z60" s="160">
        <f t="shared" si="67"/>
        <v>0</v>
      </c>
      <c r="AA60" s="160">
        <f t="shared" si="67"/>
        <v>0</v>
      </c>
      <c r="AB60" s="160">
        <f t="shared" si="67"/>
        <v>0</v>
      </c>
      <c r="AC60" s="160">
        <f t="shared" si="67"/>
        <v>0</v>
      </c>
    </row>
    <row r="61" spans="1:29" ht="15">
      <c r="A61" s="153">
        <v>11</v>
      </c>
      <c r="B61" s="153" t="str">
        <f t="shared" ref="B61:C61" si="68">B37</f>
        <v/>
      </c>
      <c r="C61" s="153" t="str">
        <f t="shared" si="68"/>
        <v/>
      </c>
      <c r="D61" s="210"/>
      <c r="E61" s="211"/>
      <c r="F61" s="160">
        <f t="shared" ref="F61:AC61" si="69">F37*$D61*F$50/365</f>
        <v>0</v>
      </c>
      <c r="G61" s="160">
        <f t="shared" si="69"/>
        <v>0</v>
      </c>
      <c r="H61" s="160">
        <f t="shared" si="69"/>
        <v>0</v>
      </c>
      <c r="I61" s="160">
        <f t="shared" si="69"/>
        <v>0</v>
      </c>
      <c r="J61" s="160">
        <f t="shared" si="69"/>
        <v>0</v>
      </c>
      <c r="K61" s="160">
        <f t="shared" si="69"/>
        <v>0</v>
      </c>
      <c r="L61" s="160">
        <f t="shared" si="69"/>
        <v>0</v>
      </c>
      <c r="M61" s="160">
        <f t="shared" si="69"/>
        <v>0</v>
      </c>
      <c r="N61" s="160">
        <f t="shared" si="69"/>
        <v>0</v>
      </c>
      <c r="O61" s="160">
        <f t="shared" si="69"/>
        <v>0</v>
      </c>
      <c r="P61" s="160">
        <f t="shared" si="69"/>
        <v>0</v>
      </c>
      <c r="Q61" s="160">
        <f t="shared" si="69"/>
        <v>0</v>
      </c>
      <c r="R61" s="160">
        <f t="shared" si="69"/>
        <v>0</v>
      </c>
      <c r="S61" s="160">
        <f t="shared" si="69"/>
        <v>0</v>
      </c>
      <c r="T61" s="160">
        <f t="shared" si="69"/>
        <v>0</v>
      </c>
      <c r="U61" s="160">
        <f t="shared" si="69"/>
        <v>0</v>
      </c>
      <c r="V61" s="160">
        <f t="shared" si="69"/>
        <v>0</v>
      </c>
      <c r="W61" s="160">
        <f t="shared" si="69"/>
        <v>0</v>
      </c>
      <c r="X61" s="160">
        <f t="shared" si="69"/>
        <v>0</v>
      </c>
      <c r="Y61" s="160">
        <f t="shared" si="69"/>
        <v>0</v>
      </c>
      <c r="Z61" s="160">
        <f t="shared" si="69"/>
        <v>0</v>
      </c>
      <c r="AA61" s="160">
        <f t="shared" si="69"/>
        <v>0</v>
      </c>
      <c r="AB61" s="160">
        <f t="shared" si="69"/>
        <v>0</v>
      </c>
      <c r="AC61" s="160">
        <f t="shared" si="69"/>
        <v>0</v>
      </c>
    </row>
    <row r="62" spans="1:29" ht="15">
      <c r="A62" s="153">
        <v>12</v>
      </c>
      <c r="B62" s="153" t="str">
        <f t="shared" ref="B62:C62" si="70">B38</f>
        <v/>
      </c>
      <c r="C62" s="153" t="str">
        <f t="shared" si="70"/>
        <v/>
      </c>
      <c r="D62" s="210"/>
      <c r="E62" s="211"/>
      <c r="F62" s="160">
        <f t="shared" ref="F62:AC62" si="71">F38*$D62*F$50/365</f>
        <v>0</v>
      </c>
      <c r="G62" s="160">
        <f t="shared" si="71"/>
        <v>0</v>
      </c>
      <c r="H62" s="160">
        <f t="shared" si="71"/>
        <v>0</v>
      </c>
      <c r="I62" s="160">
        <f t="shared" si="71"/>
        <v>0</v>
      </c>
      <c r="J62" s="160">
        <f t="shared" si="71"/>
        <v>0</v>
      </c>
      <c r="K62" s="160">
        <f t="shared" si="71"/>
        <v>0</v>
      </c>
      <c r="L62" s="160">
        <f t="shared" si="71"/>
        <v>0</v>
      </c>
      <c r="M62" s="160">
        <f t="shared" si="71"/>
        <v>0</v>
      </c>
      <c r="N62" s="160">
        <f t="shared" si="71"/>
        <v>0</v>
      </c>
      <c r="O62" s="160">
        <f t="shared" si="71"/>
        <v>0</v>
      </c>
      <c r="P62" s="160">
        <f t="shared" si="71"/>
        <v>0</v>
      </c>
      <c r="Q62" s="160">
        <f t="shared" si="71"/>
        <v>0</v>
      </c>
      <c r="R62" s="160">
        <f t="shared" si="71"/>
        <v>0</v>
      </c>
      <c r="S62" s="160">
        <f t="shared" si="71"/>
        <v>0</v>
      </c>
      <c r="T62" s="160">
        <f t="shared" si="71"/>
        <v>0</v>
      </c>
      <c r="U62" s="160">
        <f t="shared" si="71"/>
        <v>0</v>
      </c>
      <c r="V62" s="160">
        <f t="shared" si="71"/>
        <v>0</v>
      </c>
      <c r="W62" s="160">
        <f t="shared" si="71"/>
        <v>0</v>
      </c>
      <c r="X62" s="160">
        <f t="shared" si="71"/>
        <v>0</v>
      </c>
      <c r="Y62" s="160">
        <f t="shared" si="71"/>
        <v>0</v>
      </c>
      <c r="Z62" s="160">
        <f t="shared" si="71"/>
        <v>0</v>
      </c>
      <c r="AA62" s="160">
        <f t="shared" si="71"/>
        <v>0</v>
      </c>
      <c r="AB62" s="160">
        <f t="shared" si="71"/>
        <v>0</v>
      </c>
      <c r="AC62" s="160">
        <f t="shared" si="71"/>
        <v>0</v>
      </c>
    </row>
    <row r="63" spans="1:29" ht="15">
      <c r="A63" s="153">
        <v>13</v>
      </c>
      <c r="B63" s="153" t="str">
        <f t="shared" ref="B63:C63" si="72">B39</f>
        <v/>
      </c>
      <c r="C63" s="153" t="str">
        <f t="shared" si="72"/>
        <v/>
      </c>
      <c r="D63" s="210"/>
      <c r="E63" s="211"/>
      <c r="F63" s="160">
        <f t="shared" ref="F63:AC63" si="73">F39*$D63*F$50/365</f>
        <v>0</v>
      </c>
      <c r="G63" s="160">
        <f t="shared" si="73"/>
        <v>0</v>
      </c>
      <c r="H63" s="160">
        <f t="shared" si="73"/>
        <v>0</v>
      </c>
      <c r="I63" s="160">
        <f t="shared" si="73"/>
        <v>0</v>
      </c>
      <c r="J63" s="160">
        <f t="shared" si="73"/>
        <v>0</v>
      </c>
      <c r="K63" s="160">
        <f t="shared" si="73"/>
        <v>0</v>
      </c>
      <c r="L63" s="160">
        <f t="shared" si="73"/>
        <v>0</v>
      </c>
      <c r="M63" s="160">
        <f t="shared" si="73"/>
        <v>0</v>
      </c>
      <c r="N63" s="160">
        <f t="shared" si="73"/>
        <v>0</v>
      </c>
      <c r="O63" s="160">
        <f t="shared" si="73"/>
        <v>0</v>
      </c>
      <c r="P63" s="160">
        <f t="shared" si="73"/>
        <v>0</v>
      </c>
      <c r="Q63" s="160">
        <f t="shared" si="73"/>
        <v>0</v>
      </c>
      <c r="R63" s="160">
        <f t="shared" si="73"/>
        <v>0</v>
      </c>
      <c r="S63" s="160">
        <f t="shared" si="73"/>
        <v>0</v>
      </c>
      <c r="T63" s="160">
        <f t="shared" si="73"/>
        <v>0</v>
      </c>
      <c r="U63" s="160">
        <f t="shared" si="73"/>
        <v>0</v>
      </c>
      <c r="V63" s="160">
        <f t="shared" si="73"/>
        <v>0</v>
      </c>
      <c r="W63" s="160">
        <f t="shared" si="73"/>
        <v>0</v>
      </c>
      <c r="X63" s="160">
        <f t="shared" si="73"/>
        <v>0</v>
      </c>
      <c r="Y63" s="160">
        <f t="shared" si="73"/>
        <v>0</v>
      </c>
      <c r="Z63" s="160">
        <f t="shared" si="73"/>
        <v>0</v>
      </c>
      <c r="AA63" s="160">
        <f t="shared" si="73"/>
        <v>0</v>
      </c>
      <c r="AB63" s="160">
        <f t="shared" si="73"/>
        <v>0</v>
      </c>
      <c r="AC63" s="160">
        <f t="shared" si="73"/>
        <v>0</v>
      </c>
    </row>
    <row r="64" spans="1:29" ht="15">
      <c r="A64" s="153">
        <v>14</v>
      </c>
      <c r="B64" s="153" t="str">
        <f t="shared" ref="B64:C64" si="74">B40</f>
        <v/>
      </c>
      <c r="C64" s="153" t="str">
        <f t="shared" si="74"/>
        <v/>
      </c>
      <c r="D64" s="210"/>
      <c r="E64" s="211"/>
      <c r="F64" s="160">
        <f t="shared" ref="F64:AC64" si="75">F40*$D64*F$50/365</f>
        <v>0</v>
      </c>
      <c r="G64" s="160">
        <f t="shared" si="75"/>
        <v>0</v>
      </c>
      <c r="H64" s="160">
        <f t="shared" si="75"/>
        <v>0</v>
      </c>
      <c r="I64" s="160">
        <f t="shared" si="75"/>
        <v>0</v>
      </c>
      <c r="J64" s="160">
        <f t="shared" si="75"/>
        <v>0</v>
      </c>
      <c r="K64" s="160">
        <f t="shared" si="75"/>
        <v>0</v>
      </c>
      <c r="L64" s="160">
        <f t="shared" si="75"/>
        <v>0</v>
      </c>
      <c r="M64" s="160">
        <f t="shared" si="75"/>
        <v>0</v>
      </c>
      <c r="N64" s="160">
        <f t="shared" si="75"/>
        <v>0</v>
      </c>
      <c r="O64" s="160">
        <f t="shared" si="75"/>
        <v>0</v>
      </c>
      <c r="P64" s="160">
        <f t="shared" si="75"/>
        <v>0</v>
      </c>
      <c r="Q64" s="160">
        <f t="shared" si="75"/>
        <v>0</v>
      </c>
      <c r="R64" s="160">
        <f t="shared" si="75"/>
        <v>0</v>
      </c>
      <c r="S64" s="160">
        <f t="shared" si="75"/>
        <v>0</v>
      </c>
      <c r="T64" s="160">
        <f t="shared" si="75"/>
        <v>0</v>
      </c>
      <c r="U64" s="160">
        <f t="shared" si="75"/>
        <v>0</v>
      </c>
      <c r="V64" s="160">
        <f t="shared" si="75"/>
        <v>0</v>
      </c>
      <c r="W64" s="160">
        <f t="shared" si="75"/>
        <v>0</v>
      </c>
      <c r="X64" s="160">
        <f t="shared" si="75"/>
        <v>0</v>
      </c>
      <c r="Y64" s="160">
        <f t="shared" si="75"/>
        <v>0</v>
      </c>
      <c r="Z64" s="160">
        <f t="shared" si="75"/>
        <v>0</v>
      </c>
      <c r="AA64" s="160">
        <f t="shared" si="75"/>
        <v>0</v>
      </c>
      <c r="AB64" s="160">
        <f t="shared" si="75"/>
        <v>0</v>
      </c>
      <c r="AC64" s="160">
        <f t="shared" si="75"/>
        <v>0</v>
      </c>
    </row>
    <row r="65" spans="1:29" ht="15">
      <c r="A65" s="153">
        <v>15</v>
      </c>
      <c r="B65" s="153" t="str">
        <f t="shared" ref="B65:C65" si="76">B41</f>
        <v/>
      </c>
      <c r="C65" s="153" t="str">
        <f t="shared" si="76"/>
        <v/>
      </c>
      <c r="D65" s="210"/>
      <c r="E65" s="211"/>
      <c r="F65" s="160">
        <f t="shared" ref="F65:AC65" si="77">F41*$D65*F$50/365</f>
        <v>0</v>
      </c>
      <c r="G65" s="160">
        <f t="shared" si="77"/>
        <v>0</v>
      </c>
      <c r="H65" s="160">
        <f t="shared" si="77"/>
        <v>0</v>
      </c>
      <c r="I65" s="160">
        <f t="shared" si="77"/>
        <v>0</v>
      </c>
      <c r="J65" s="160">
        <f t="shared" si="77"/>
        <v>0</v>
      </c>
      <c r="K65" s="160">
        <f t="shared" si="77"/>
        <v>0</v>
      </c>
      <c r="L65" s="160">
        <f t="shared" si="77"/>
        <v>0</v>
      </c>
      <c r="M65" s="160">
        <f t="shared" si="77"/>
        <v>0</v>
      </c>
      <c r="N65" s="160">
        <f t="shared" si="77"/>
        <v>0</v>
      </c>
      <c r="O65" s="160">
        <f t="shared" si="77"/>
        <v>0</v>
      </c>
      <c r="P65" s="160">
        <f t="shared" si="77"/>
        <v>0</v>
      </c>
      <c r="Q65" s="160">
        <f t="shared" si="77"/>
        <v>0</v>
      </c>
      <c r="R65" s="160">
        <f t="shared" si="77"/>
        <v>0</v>
      </c>
      <c r="S65" s="160">
        <f t="shared" si="77"/>
        <v>0</v>
      </c>
      <c r="T65" s="160">
        <f t="shared" si="77"/>
        <v>0</v>
      </c>
      <c r="U65" s="160">
        <f t="shared" si="77"/>
        <v>0</v>
      </c>
      <c r="V65" s="160">
        <f t="shared" si="77"/>
        <v>0</v>
      </c>
      <c r="W65" s="160">
        <f t="shared" si="77"/>
        <v>0</v>
      </c>
      <c r="X65" s="160">
        <f t="shared" si="77"/>
        <v>0</v>
      </c>
      <c r="Y65" s="160">
        <f t="shared" si="77"/>
        <v>0</v>
      </c>
      <c r="Z65" s="160">
        <f t="shared" si="77"/>
        <v>0</v>
      </c>
      <c r="AA65" s="160">
        <f t="shared" si="77"/>
        <v>0</v>
      </c>
      <c r="AB65" s="160">
        <f t="shared" si="77"/>
        <v>0</v>
      </c>
      <c r="AC65" s="160">
        <f t="shared" si="77"/>
        <v>0</v>
      </c>
    </row>
    <row r="66" spans="1:29" ht="15">
      <c r="A66" s="153">
        <v>16</v>
      </c>
      <c r="B66" s="153" t="str">
        <f t="shared" ref="B66:C66" si="78">B42</f>
        <v/>
      </c>
      <c r="C66" s="153" t="str">
        <f t="shared" si="78"/>
        <v/>
      </c>
      <c r="D66" s="210"/>
      <c r="E66" s="211"/>
      <c r="F66" s="160">
        <f t="shared" ref="F66:AC66" si="79">F42*$D66*F$50/365</f>
        <v>0</v>
      </c>
      <c r="G66" s="160">
        <f t="shared" si="79"/>
        <v>0</v>
      </c>
      <c r="H66" s="160">
        <f t="shared" si="79"/>
        <v>0</v>
      </c>
      <c r="I66" s="160">
        <f t="shared" si="79"/>
        <v>0</v>
      </c>
      <c r="J66" s="160">
        <f t="shared" si="79"/>
        <v>0</v>
      </c>
      <c r="K66" s="160">
        <f t="shared" si="79"/>
        <v>0</v>
      </c>
      <c r="L66" s="160">
        <f t="shared" si="79"/>
        <v>0</v>
      </c>
      <c r="M66" s="160">
        <f t="shared" si="79"/>
        <v>0</v>
      </c>
      <c r="N66" s="160">
        <f t="shared" si="79"/>
        <v>0</v>
      </c>
      <c r="O66" s="160">
        <f t="shared" si="79"/>
        <v>0</v>
      </c>
      <c r="P66" s="160">
        <f t="shared" si="79"/>
        <v>0</v>
      </c>
      <c r="Q66" s="160">
        <f t="shared" si="79"/>
        <v>0</v>
      </c>
      <c r="R66" s="160">
        <f t="shared" si="79"/>
        <v>0</v>
      </c>
      <c r="S66" s="160">
        <f t="shared" si="79"/>
        <v>0</v>
      </c>
      <c r="T66" s="160">
        <f t="shared" si="79"/>
        <v>0</v>
      </c>
      <c r="U66" s="160">
        <f t="shared" si="79"/>
        <v>0</v>
      </c>
      <c r="V66" s="160">
        <f t="shared" si="79"/>
        <v>0</v>
      </c>
      <c r="W66" s="160">
        <f t="shared" si="79"/>
        <v>0</v>
      </c>
      <c r="X66" s="160">
        <f t="shared" si="79"/>
        <v>0</v>
      </c>
      <c r="Y66" s="160">
        <f t="shared" si="79"/>
        <v>0</v>
      </c>
      <c r="Z66" s="160">
        <f t="shared" si="79"/>
        <v>0</v>
      </c>
      <c r="AA66" s="160">
        <f t="shared" si="79"/>
        <v>0</v>
      </c>
      <c r="AB66" s="160">
        <f t="shared" si="79"/>
        <v>0</v>
      </c>
      <c r="AC66" s="160">
        <f t="shared" si="79"/>
        <v>0</v>
      </c>
    </row>
    <row r="67" spans="1:29" ht="15">
      <c r="A67" s="153">
        <v>17</v>
      </c>
      <c r="B67" s="153" t="str">
        <f t="shared" ref="B67:C67" si="80">B43</f>
        <v/>
      </c>
      <c r="C67" s="153" t="str">
        <f t="shared" si="80"/>
        <v/>
      </c>
      <c r="D67" s="210"/>
      <c r="E67" s="211"/>
      <c r="F67" s="160">
        <f t="shared" ref="F67:AC67" si="81">F43*$D67*F$50/365</f>
        <v>0</v>
      </c>
      <c r="G67" s="160">
        <f t="shared" si="81"/>
        <v>0</v>
      </c>
      <c r="H67" s="160">
        <f t="shared" si="81"/>
        <v>0</v>
      </c>
      <c r="I67" s="160">
        <f t="shared" si="81"/>
        <v>0</v>
      </c>
      <c r="J67" s="160">
        <f t="shared" si="81"/>
        <v>0</v>
      </c>
      <c r="K67" s="160">
        <f t="shared" si="81"/>
        <v>0</v>
      </c>
      <c r="L67" s="160">
        <f t="shared" si="81"/>
        <v>0</v>
      </c>
      <c r="M67" s="160">
        <f t="shared" si="81"/>
        <v>0</v>
      </c>
      <c r="N67" s="160">
        <f t="shared" si="81"/>
        <v>0</v>
      </c>
      <c r="O67" s="160">
        <f t="shared" si="81"/>
        <v>0</v>
      </c>
      <c r="P67" s="160">
        <f t="shared" si="81"/>
        <v>0</v>
      </c>
      <c r="Q67" s="160">
        <f t="shared" si="81"/>
        <v>0</v>
      </c>
      <c r="R67" s="160">
        <f t="shared" si="81"/>
        <v>0</v>
      </c>
      <c r="S67" s="160">
        <f t="shared" si="81"/>
        <v>0</v>
      </c>
      <c r="T67" s="160">
        <f t="shared" si="81"/>
        <v>0</v>
      </c>
      <c r="U67" s="160">
        <f t="shared" si="81"/>
        <v>0</v>
      </c>
      <c r="V67" s="160">
        <f t="shared" si="81"/>
        <v>0</v>
      </c>
      <c r="W67" s="160">
        <f t="shared" si="81"/>
        <v>0</v>
      </c>
      <c r="X67" s="160">
        <f t="shared" si="81"/>
        <v>0</v>
      </c>
      <c r="Y67" s="160">
        <f t="shared" si="81"/>
        <v>0</v>
      </c>
      <c r="Z67" s="160">
        <f t="shared" si="81"/>
        <v>0</v>
      </c>
      <c r="AA67" s="160">
        <f t="shared" si="81"/>
        <v>0</v>
      </c>
      <c r="AB67" s="160">
        <f t="shared" si="81"/>
        <v>0</v>
      </c>
      <c r="AC67" s="160">
        <f t="shared" si="81"/>
        <v>0</v>
      </c>
    </row>
    <row r="68" spans="1:29" ht="15">
      <c r="A68" s="153">
        <v>18</v>
      </c>
      <c r="B68" s="153" t="str">
        <f t="shared" ref="B68:C68" si="82">B44</f>
        <v/>
      </c>
      <c r="C68" s="153" t="str">
        <f t="shared" si="82"/>
        <v/>
      </c>
      <c r="D68" s="210"/>
      <c r="E68" s="211"/>
      <c r="F68" s="160">
        <f t="shared" ref="F68:AC68" si="83">F44*$D68*F$50/365</f>
        <v>0</v>
      </c>
      <c r="G68" s="160">
        <f t="shared" si="83"/>
        <v>0</v>
      </c>
      <c r="H68" s="160">
        <f t="shared" si="83"/>
        <v>0</v>
      </c>
      <c r="I68" s="160">
        <f t="shared" si="83"/>
        <v>0</v>
      </c>
      <c r="J68" s="160">
        <f t="shared" si="83"/>
        <v>0</v>
      </c>
      <c r="K68" s="160">
        <f t="shared" si="83"/>
        <v>0</v>
      </c>
      <c r="L68" s="160">
        <f t="shared" si="83"/>
        <v>0</v>
      </c>
      <c r="M68" s="160">
        <f t="shared" si="83"/>
        <v>0</v>
      </c>
      <c r="N68" s="160">
        <f t="shared" si="83"/>
        <v>0</v>
      </c>
      <c r="O68" s="160">
        <f t="shared" si="83"/>
        <v>0</v>
      </c>
      <c r="P68" s="160">
        <f t="shared" si="83"/>
        <v>0</v>
      </c>
      <c r="Q68" s="160">
        <f t="shared" si="83"/>
        <v>0</v>
      </c>
      <c r="R68" s="160">
        <f t="shared" si="83"/>
        <v>0</v>
      </c>
      <c r="S68" s="160">
        <f t="shared" si="83"/>
        <v>0</v>
      </c>
      <c r="T68" s="160">
        <f t="shared" si="83"/>
        <v>0</v>
      </c>
      <c r="U68" s="160">
        <f t="shared" si="83"/>
        <v>0</v>
      </c>
      <c r="V68" s="160">
        <f t="shared" si="83"/>
        <v>0</v>
      </c>
      <c r="W68" s="160">
        <f t="shared" si="83"/>
        <v>0</v>
      </c>
      <c r="X68" s="160">
        <f t="shared" si="83"/>
        <v>0</v>
      </c>
      <c r="Y68" s="160">
        <f t="shared" si="83"/>
        <v>0</v>
      </c>
      <c r="Z68" s="160">
        <f t="shared" si="83"/>
        <v>0</v>
      </c>
      <c r="AA68" s="160">
        <f t="shared" si="83"/>
        <v>0</v>
      </c>
      <c r="AB68" s="160">
        <f t="shared" si="83"/>
        <v>0</v>
      </c>
      <c r="AC68" s="160">
        <f t="shared" si="83"/>
        <v>0</v>
      </c>
    </row>
    <row r="69" spans="1:29" ht="15">
      <c r="A69" s="153">
        <v>19</v>
      </c>
      <c r="B69" s="153" t="str">
        <f t="shared" ref="B69:C69" si="84">B45</f>
        <v/>
      </c>
      <c r="C69" s="153" t="str">
        <f t="shared" si="84"/>
        <v/>
      </c>
      <c r="D69" s="210"/>
      <c r="E69" s="211"/>
      <c r="F69" s="160">
        <f t="shared" ref="F69:AC69" si="85">F45*$D69*F$50/365</f>
        <v>0</v>
      </c>
      <c r="G69" s="160">
        <f t="shared" si="85"/>
        <v>0</v>
      </c>
      <c r="H69" s="160">
        <f t="shared" si="85"/>
        <v>0</v>
      </c>
      <c r="I69" s="160">
        <f t="shared" si="85"/>
        <v>0</v>
      </c>
      <c r="J69" s="160">
        <f t="shared" si="85"/>
        <v>0</v>
      </c>
      <c r="K69" s="160">
        <f t="shared" si="85"/>
        <v>0</v>
      </c>
      <c r="L69" s="160">
        <f t="shared" si="85"/>
        <v>0</v>
      </c>
      <c r="M69" s="160">
        <f t="shared" si="85"/>
        <v>0</v>
      </c>
      <c r="N69" s="160">
        <f t="shared" si="85"/>
        <v>0</v>
      </c>
      <c r="O69" s="160">
        <f t="shared" si="85"/>
        <v>0</v>
      </c>
      <c r="P69" s="160">
        <f t="shared" si="85"/>
        <v>0</v>
      </c>
      <c r="Q69" s="160">
        <f t="shared" si="85"/>
        <v>0</v>
      </c>
      <c r="R69" s="160">
        <f t="shared" si="85"/>
        <v>0</v>
      </c>
      <c r="S69" s="160">
        <f t="shared" si="85"/>
        <v>0</v>
      </c>
      <c r="T69" s="160">
        <f t="shared" si="85"/>
        <v>0</v>
      </c>
      <c r="U69" s="160">
        <f t="shared" si="85"/>
        <v>0</v>
      </c>
      <c r="V69" s="160">
        <f t="shared" si="85"/>
        <v>0</v>
      </c>
      <c r="W69" s="160">
        <f t="shared" si="85"/>
        <v>0</v>
      </c>
      <c r="X69" s="160">
        <f t="shared" si="85"/>
        <v>0</v>
      </c>
      <c r="Y69" s="160">
        <f t="shared" si="85"/>
        <v>0</v>
      </c>
      <c r="Z69" s="160">
        <f t="shared" si="85"/>
        <v>0</v>
      </c>
      <c r="AA69" s="160">
        <f t="shared" si="85"/>
        <v>0</v>
      </c>
      <c r="AB69" s="160">
        <f t="shared" si="85"/>
        <v>0</v>
      </c>
      <c r="AC69" s="160">
        <f t="shared" si="85"/>
        <v>0</v>
      </c>
    </row>
    <row r="70" spans="1:29" ht="15">
      <c r="A70" s="153">
        <v>20</v>
      </c>
      <c r="B70" s="153" t="str">
        <f t="shared" ref="B70:C70" si="86">B46</f>
        <v/>
      </c>
      <c r="C70" s="153" t="str">
        <f t="shared" si="86"/>
        <v/>
      </c>
      <c r="D70" s="210"/>
      <c r="E70" s="211"/>
      <c r="F70" s="160">
        <f t="shared" ref="F70:AC70" si="87">F46*$D70*F$50/365</f>
        <v>0</v>
      </c>
      <c r="G70" s="160">
        <f t="shared" si="87"/>
        <v>0</v>
      </c>
      <c r="H70" s="160">
        <f t="shared" si="87"/>
        <v>0</v>
      </c>
      <c r="I70" s="160">
        <f t="shared" si="87"/>
        <v>0</v>
      </c>
      <c r="J70" s="160">
        <f t="shared" si="87"/>
        <v>0</v>
      </c>
      <c r="K70" s="160">
        <f t="shared" si="87"/>
        <v>0</v>
      </c>
      <c r="L70" s="160">
        <f t="shared" si="87"/>
        <v>0</v>
      </c>
      <c r="M70" s="160">
        <f t="shared" si="87"/>
        <v>0</v>
      </c>
      <c r="N70" s="160">
        <f t="shared" si="87"/>
        <v>0</v>
      </c>
      <c r="O70" s="160">
        <f t="shared" si="87"/>
        <v>0</v>
      </c>
      <c r="P70" s="160">
        <f t="shared" si="87"/>
        <v>0</v>
      </c>
      <c r="Q70" s="160">
        <f t="shared" si="87"/>
        <v>0</v>
      </c>
      <c r="R70" s="160">
        <f t="shared" si="87"/>
        <v>0</v>
      </c>
      <c r="S70" s="160">
        <f t="shared" si="87"/>
        <v>0</v>
      </c>
      <c r="T70" s="160">
        <f t="shared" si="87"/>
        <v>0</v>
      </c>
      <c r="U70" s="160">
        <f t="shared" si="87"/>
        <v>0</v>
      </c>
      <c r="V70" s="160">
        <f t="shared" si="87"/>
        <v>0</v>
      </c>
      <c r="W70" s="160">
        <f t="shared" si="87"/>
        <v>0</v>
      </c>
      <c r="X70" s="160">
        <f t="shared" si="87"/>
        <v>0</v>
      </c>
      <c r="Y70" s="160">
        <f t="shared" si="87"/>
        <v>0</v>
      </c>
      <c r="Z70" s="160">
        <f t="shared" si="87"/>
        <v>0</v>
      </c>
      <c r="AA70" s="160">
        <f t="shared" si="87"/>
        <v>0</v>
      </c>
      <c r="AB70" s="160">
        <f t="shared" si="87"/>
        <v>0</v>
      </c>
      <c r="AC70" s="160">
        <f t="shared" si="87"/>
        <v>0</v>
      </c>
    </row>
    <row r="71" spans="1:29" ht="15">
      <c r="A71" s="200"/>
      <c r="B71" s="200" t="s">
        <v>261</v>
      </c>
      <c r="C71" s="200"/>
      <c r="D71" s="200"/>
      <c r="E71" s="200"/>
      <c r="F71" s="205">
        <f t="shared" ref="F71:AC71" si="88">SUM(F51:F70)</f>
        <v>0</v>
      </c>
      <c r="G71" s="205">
        <f t="shared" si="88"/>
        <v>0</v>
      </c>
      <c r="H71" s="205">
        <f t="shared" si="88"/>
        <v>0</v>
      </c>
      <c r="I71" s="205">
        <f t="shared" si="88"/>
        <v>0</v>
      </c>
      <c r="J71" s="205">
        <f t="shared" si="88"/>
        <v>0</v>
      </c>
      <c r="K71" s="205">
        <f t="shared" si="88"/>
        <v>0</v>
      </c>
      <c r="L71" s="205">
        <f t="shared" si="88"/>
        <v>0</v>
      </c>
      <c r="M71" s="205">
        <f t="shared" si="88"/>
        <v>0</v>
      </c>
      <c r="N71" s="205">
        <f t="shared" si="88"/>
        <v>0</v>
      </c>
      <c r="O71" s="205">
        <f t="shared" si="88"/>
        <v>0</v>
      </c>
      <c r="P71" s="205">
        <f t="shared" si="88"/>
        <v>0</v>
      </c>
      <c r="Q71" s="205">
        <f t="shared" si="88"/>
        <v>0</v>
      </c>
      <c r="R71" s="206">
        <f t="shared" si="88"/>
        <v>0</v>
      </c>
      <c r="S71" s="206">
        <f t="shared" si="88"/>
        <v>0</v>
      </c>
      <c r="T71" s="206">
        <f t="shared" si="88"/>
        <v>0</v>
      </c>
      <c r="U71" s="206">
        <f t="shared" si="88"/>
        <v>0</v>
      </c>
      <c r="V71" s="206">
        <f t="shared" si="88"/>
        <v>0</v>
      </c>
      <c r="W71" s="206">
        <f t="shared" si="88"/>
        <v>0</v>
      </c>
      <c r="X71" s="206">
        <f t="shared" si="88"/>
        <v>0</v>
      </c>
      <c r="Y71" s="206">
        <f t="shared" si="88"/>
        <v>0</v>
      </c>
      <c r="Z71" s="206">
        <f t="shared" si="88"/>
        <v>0</v>
      </c>
      <c r="AA71" s="206">
        <f t="shared" si="88"/>
        <v>0</v>
      </c>
      <c r="AB71" s="206">
        <f t="shared" si="88"/>
        <v>0</v>
      </c>
      <c r="AC71" s="206">
        <f t="shared" si="88"/>
        <v>0</v>
      </c>
    </row>
    <row r="73" spans="1:29" ht="15">
      <c r="E73" s="153" t="s">
        <v>253</v>
      </c>
      <c r="F73" s="160">
        <f t="shared" ref="F73:AC73" si="89">F24</f>
        <v>0</v>
      </c>
      <c r="G73" s="160">
        <f t="shared" si="89"/>
        <v>0</v>
      </c>
      <c r="H73" s="160">
        <f t="shared" si="89"/>
        <v>0</v>
      </c>
      <c r="I73" s="160">
        <f t="shared" si="89"/>
        <v>0</v>
      </c>
      <c r="J73" s="160">
        <f t="shared" si="89"/>
        <v>0</v>
      </c>
      <c r="K73" s="160">
        <f t="shared" si="89"/>
        <v>0</v>
      </c>
      <c r="L73" s="160">
        <f t="shared" si="89"/>
        <v>0</v>
      </c>
      <c r="M73" s="160">
        <f t="shared" si="89"/>
        <v>0</v>
      </c>
      <c r="N73" s="160">
        <f t="shared" si="89"/>
        <v>0</v>
      </c>
      <c r="O73" s="160">
        <f t="shared" si="89"/>
        <v>0</v>
      </c>
      <c r="P73" s="160">
        <f t="shared" si="89"/>
        <v>0</v>
      </c>
      <c r="Q73" s="160">
        <f t="shared" si="89"/>
        <v>0</v>
      </c>
      <c r="R73" s="160">
        <f t="shared" si="89"/>
        <v>0</v>
      </c>
      <c r="S73" s="160">
        <f t="shared" si="89"/>
        <v>0</v>
      </c>
      <c r="T73" s="160">
        <f t="shared" si="89"/>
        <v>0</v>
      </c>
      <c r="U73" s="160">
        <f t="shared" si="89"/>
        <v>0</v>
      </c>
      <c r="V73" s="160">
        <f t="shared" si="89"/>
        <v>0</v>
      </c>
      <c r="W73" s="160">
        <f t="shared" si="89"/>
        <v>0</v>
      </c>
      <c r="X73" s="160">
        <f t="shared" si="89"/>
        <v>0</v>
      </c>
      <c r="Y73" s="160">
        <f t="shared" si="89"/>
        <v>0</v>
      </c>
      <c r="Z73" s="160">
        <f t="shared" si="89"/>
        <v>0</v>
      </c>
      <c r="AA73" s="160">
        <f t="shared" si="89"/>
        <v>0</v>
      </c>
      <c r="AB73" s="160">
        <f t="shared" si="89"/>
        <v>0</v>
      </c>
      <c r="AC73" s="160">
        <f t="shared" si="89"/>
        <v>0</v>
      </c>
    </row>
    <row r="74" spans="1:29" ht="15">
      <c r="E74" s="153" t="s">
        <v>259</v>
      </c>
      <c r="F74" s="160">
        <f t="shared" ref="F74:AC74" si="90">F71</f>
        <v>0</v>
      </c>
      <c r="G74" s="160">
        <f t="shared" si="90"/>
        <v>0</v>
      </c>
      <c r="H74" s="160">
        <f t="shared" si="90"/>
        <v>0</v>
      </c>
      <c r="I74" s="160">
        <f t="shared" si="90"/>
        <v>0</v>
      </c>
      <c r="J74" s="160">
        <f t="shared" si="90"/>
        <v>0</v>
      </c>
      <c r="K74" s="160">
        <f t="shared" si="90"/>
        <v>0</v>
      </c>
      <c r="L74" s="160">
        <f t="shared" si="90"/>
        <v>0</v>
      </c>
      <c r="M74" s="160">
        <f t="shared" si="90"/>
        <v>0</v>
      </c>
      <c r="N74" s="160">
        <f t="shared" si="90"/>
        <v>0</v>
      </c>
      <c r="O74" s="160">
        <f t="shared" si="90"/>
        <v>0</v>
      </c>
      <c r="P74" s="160">
        <f t="shared" si="90"/>
        <v>0</v>
      </c>
      <c r="Q74" s="160">
        <f t="shared" si="90"/>
        <v>0</v>
      </c>
      <c r="R74" s="160">
        <f t="shared" si="90"/>
        <v>0</v>
      </c>
      <c r="S74" s="160">
        <f t="shared" si="90"/>
        <v>0</v>
      </c>
      <c r="T74" s="160">
        <f t="shared" si="90"/>
        <v>0</v>
      </c>
      <c r="U74" s="160">
        <f t="shared" si="90"/>
        <v>0</v>
      </c>
      <c r="V74" s="160">
        <f t="shared" si="90"/>
        <v>0</v>
      </c>
      <c r="W74" s="160">
        <f t="shared" si="90"/>
        <v>0</v>
      </c>
      <c r="X74" s="160">
        <f t="shared" si="90"/>
        <v>0</v>
      </c>
      <c r="Y74" s="160">
        <f t="shared" si="90"/>
        <v>0</v>
      </c>
      <c r="Z74" s="160">
        <f t="shared" si="90"/>
        <v>0</v>
      </c>
      <c r="AA74" s="160">
        <f t="shared" si="90"/>
        <v>0</v>
      </c>
      <c r="AB74" s="160">
        <f t="shared" si="90"/>
        <v>0</v>
      </c>
      <c r="AC74" s="160">
        <f t="shared" si="90"/>
        <v>0</v>
      </c>
    </row>
  </sheetData>
  <phoneticPr fontId="14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33D1-94BB-4ABC-BED4-2E94E37B0210}">
  <dimension ref="A1:N7"/>
  <sheetViews>
    <sheetView tabSelected="1" workbookViewId="0">
      <selection activeCell="I23" sqref="I23"/>
    </sheetView>
  </sheetViews>
  <sheetFormatPr defaultRowHeight="13.2"/>
  <cols>
    <col min="2" max="2" width="22.6640625" bestFit="1" customWidth="1"/>
    <col min="3" max="5" width="10.5546875" bestFit="1" customWidth="1"/>
    <col min="6" max="8" width="11.6640625" bestFit="1" customWidth="1"/>
    <col min="9" max="14" width="10.5546875" bestFit="1" customWidth="1"/>
  </cols>
  <sheetData>
    <row r="1" spans="1:14">
      <c r="A1" s="306" t="s">
        <v>834</v>
      </c>
      <c r="B1" s="306" t="s">
        <v>255</v>
      </c>
      <c r="C1" s="307">
        <v>45839</v>
      </c>
      <c r="D1" s="307">
        <v>45870</v>
      </c>
      <c r="E1" s="307">
        <v>45901</v>
      </c>
      <c r="F1" s="307">
        <v>45931</v>
      </c>
      <c r="G1" s="307">
        <v>45962</v>
      </c>
      <c r="H1" s="307">
        <v>45992</v>
      </c>
      <c r="I1" s="307">
        <v>46023</v>
      </c>
      <c r="J1" s="307">
        <v>46054</v>
      </c>
      <c r="K1" s="307">
        <v>46082</v>
      </c>
      <c r="L1" s="307">
        <v>46113</v>
      </c>
      <c r="M1" s="307">
        <v>46143</v>
      </c>
      <c r="N1" s="307">
        <v>46174</v>
      </c>
    </row>
    <row r="2" spans="1:14">
      <c r="A2" s="306">
        <v>0</v>
      </c>
      <c r="B2" s="306" t="s">
        <v>835</v>
      </c>
      <c r="C2" s="306">
        <v>656789</v>
      </c>
      <c r="D2" s="306">
        <v>4612974</v>
      </c>
      <c r="E2" s="306">
        <v>-1325850</v>
      </c>
      <c r="F2" s="306">
        <v>5700326</v>
      </c>
      <c r="G2" s="306">
        <v>3555066</v>
      </c>
      <c r="H2" s="306">
        <v>544826</v>
      </c>
      <c r="I2" s="306">
        <v>213671</v>
      </c>
      <c r="J2" s="306">
        <v>9647230</v>
      </c>
      <c r="K2" s="306">
        <v>910429</v>
      </c>
      <c r="L2" s="306">
        <v>1542939</v>
      </c>
      <c r="M2" s="306">
        <v>0</v>
      </c>
      <c r="N2" s="306">
        <v>0</v>
      </c>
    </row>
    <row r="3" spans="1:14">
      <c r="A3" s="306">
        <v>0</v>
      </c>
      <c r="B3" s="306" t="s">
        <v>836</v>
      </c>
      <c r="C3" s="306">
        <v>2710600</v>
      </c>
      <c r="D3" s="306">
        <v>1091087</v>
      </c>
      <c r="E3" s="306">
        <v>118222</v>
      </c>
      <c r="F3" s="306">
        <v>228555</v>
      </c>
      <c r="G3" s="306">
        <v>253162</v>
      </c>
      <c r="H3" s="306">
        <v>6943187</v>
      </c>
      <c r="I3" s="306">
        <v>1020515</v>
      </c>
      <c r="J3" s="306">
        <v>406677</v>
      </c>
      <c r="K3" s="306">
        <v>-1010470</v>
      </c>
      <c r="L3" s="306">
        <v>-1011570</v>
      </c>
      <c r="M3" s="306">
        <v>0</v>
      </c>
      <c r="N3" s="306">
        <v>0</v>
      </c>
    </row>
    <row r="4" spans="1:14">
      <c r="A4" s="306">
        <v>0</v>
      </c>
      <c r="B4" s="306" t="s">
        <v>837</v>
      </c>
      <c r="C4" s="306">
        <v>688193</v>
      </c>
      <c r="D4" s="306">
        <v>284863</v>
      </c>
      <c r="E4" s="306">
        <v>209321</v>
      </c>
      <c r="F4" s="306">
        <v>162190</v>
      </c>
      <c r="G4" s="306">
        <v>774452</v>
      </c>
      <c r="H4" s="306">
        <v>1449869</v>
      </c>
      <c r="I4" s="306">
        <v>901899</v>
      </c>
      <c r="J4" s="306">
        <v>2897109</v>
      </c>
      <c r="K4" s="306">
        <v>-14847750</v>
      </c>
      <c r="L4" s="306">
        <v>-14612535</v>
      </c>
      <c r="M4" s="306">
        <v>0</v>
      </c>
      <c r="N4" s="306">
        <v>0</v>
      </c>
    </row>
    <row r="5" spans="1:14">
      <c r="A5" s="306">
        <v>0</v>
      </c>
      <c r="B5" s="306" t="s">
        <v>838</v>
      </c>
      <c r="C5" s="306">
        <v>26362</v>
      </c>
      <c r="D5" s="306">
        <v>2636</v>
      </c>
      <c r="E5" s="306">
        <v>162343</v>
      </c>
      <c r="F5" s="306">
        <v>166318</v>
      </c>
      <c r="G5" s="306">
        <v>156243</v>
      </c>
      <c r="H5" s="306">
        <v>76127</v>
      </c>
      <c r="I5" s="306">
        <v>946</v>
      </c>
      <c r="J5" s="306">
        <v>95453</v>
      </c>
      <c r="K5" s="306">
        <v>132547</v>
      </c>
      <c r="L5" s="306">
        <v>0</v>
      </c>
      <c r="M5" s="306">
        <v>0</v>
      </c>
      <c r="N5" s="306">
        <v>0</v>
      </c>
    </row>
    <row r="6" spans="1:14">
      <c r="A6" s="306">
        <v>0</v>
      </c>
      <c r="B6" s="306" t="s">
        <v>839</v>
      </c>
      <c r="C6" s="306">
        <v>4081944</v>
      </c>
      <c r="D6" s="306">
        <v>5991560</v>
      </c>
      <c r="E6" s="306">
        <v>-835964</v>
      </c>
      <c r="F6" s="306">
        <v>6257389</v>
      </c>
      <c r="G6" s="306">
        <v>4738923</v>
      </c>
      <c r="H6" s="306">
        <v>9014009</v>
      </c>
      <c r="I6" s="306">
        <v>2137031</v>
      </c>
      <c r="J6" s="306">
        <v>13046469</v>
      </c>
      <c r="K6" s="306">
        <v>-14815244</v>
      </c>
      <c r="L6" s="306">
        <v>-14081166</v>
      </c>
      <c r="M6" s="306">
        <v>0</v>
      </c>
      <c r="N6" s="306">
        <v>0</v>
      </c>
    </row>
    <row r="7" spans="1:14">
      <c r="A7" s="306"/>
      <c r="B7" s="306" t="s">
        <v>840</v>
      </c>
      <c r="C7" s="306">
        <v>4081944</v>
      </c>
      <c r="D7" s="306">
        <v>1909616</v>
      </c>
      <c r="E7" s="306">
        <v>-6827524</v>
      </c>
      <c r="F7" s="306">
        <v>7093353</v>
      </c>
      <c r="G7" s="306">
        <v>-1518466</v>
      </c>
      <c r="H7" s="306">
        <v>4275086</v>
      </c>
      <c r="I7" s="306">
        <v>-6876978</v>
      </c>
      <c r="J7" s="306">
        <v>10909438</v>
      </c>
      <c r="K7" s="306">
        <v>-27861713</v>
      </c>
      <c r="L7" s="306">
        <v>734078</v>
      </c>
      <c r="M7" s="306">
        <v>14081166</v>
      </c>
      <c r="N7" s="306">
        <v>0</v>
      </c>
    </row>
  </sheetData>
  <phoneticPr fontId="1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使用方法</vt:lpstr>
      <vt:lpstr>資金繰り実績表</vt:lpstr>
      <vt:lpstr>入出金予定表</vt:lpstr>
      <vt:lpstr>資金繰り実績予定表（詳細）</vt:lpstr>
      <vt:lpstr>資金繰り予定表 (編集可能)</vt:lpstr>
      <vt:lpstr>金融機関用</vt:lpstr>
      <vt:lpstr>資金繰り予定表</vt:lpstr>
      <vt:lpstr>予実対比</vt:lpstr>
      <vt:lpstr>前年度資金繰り実績表</vt:lpstr>
      <vt:lpstr>税金計算</vt:lpstr>
      <vt:lpstr>納税予定表</vt:lpstr>
      <vt:lpstr>前年度対比</vt:lpstr>
      <vt:lpstr>資金繰り診断</vt:lpstr>
      <vt:lpstr>借入一覧表</vt:lpstr>
      <vt:lpstr>口座残高明細表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近藤学</dc:creator>
  <cp:lastModifiedBy>学 近藤</cp:lastModifiedBy>
  <dcterms:created xsi:type="dcterms:W3CDTF">2026-04-17T06:43:01Z</dcterms:created>
  <dcterms:modified xsi:type="dcterms:W3CDTF">2026-05-12T10:13:57Z</dcterms:modified>
</cp:coreProperties>
</file>