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anab\Box\1koganemushi\11法人成り\1.53以降\"/>
    </mc:Choice>
  </mc:AlternateContent>
  <xr:revisionPtr revIDLastSave="0" documentId="13_ncr:1_{8628B5D0-5761-416C-8C50-46F364E51508}" xr6:coauthVersionLast="47" xr6:coauthVersionMax="47" xr10:uidLastSave="{00000000-0000-0000-0000-000000000000}"/>
  <bookViews>
    <workbookView xWindow="19103" yWindow="-98" windowWidth="19395" windowHeight="11475" tabRatio="451" firstSheet="1" activeTab="1" xr2:uid="{00000000-000D-0000-FFFF-FFFF00000000}"/>
  </bookViews>
  <sheets>
    <sheet name="HOME" sheetId="1" state="hidden" r:id="rId1"/>
    <sheet name="シミュレーション" sheetId="2" r:id="rId2"/>
    <sheet name="最適化" sheetId="3" r:id="rId3"/>
    <sheet name="報告書" sheetId="4" r:id="rId4"/>
    <sheet name="法人成り" sheetId="5" r:id="rId5"/>
  </sheets>
  <functionGroups builtInGroupCount="19"/>
  <externalReferences>
    <externalReference r:id="rId6"/>
  </externalReferences>
  <definedNames>
    <definedName name="_xlnm.Print_Area" localSheetId="1">シミュレーション!$C$4:$N$60</definedName>
    <definedName name="_xlnm.Print_Area" localSheetId="3">報告書!$A$1:$L$33</definedName>
    <definedName name="_xlnm.Print_Area" localSheetId="4">法人成り!$E$3:$M$39</definedName>
    <definedName name="減価償却率">[1]lookup!$E$3:$I$51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2" i="4" l="1"/>
  <c r="I101" i="4"/>
  <c r="I100" i="4"/>
  <c r="B34" i="5"/>
  <c r="B33" i="5"/>
  <c r="B32" i="5"/>
  <c r="B31" i="5"/>
  <c r="B35" i="5" s="1"/>
  <c r="P28" i="5"/>
  <c r="B28" i="5"/>
  <c r="P27" i="5"/>
  <c r="Q26" i="5"/>
  <c r="P26" i="5"/>
  <c r="Q25" i="5"/>
  <c r="P25" i="5"/>
  <c r="P24" i="5"/>
  <c r="P22" i="5"/>
  <c r="P21" i="5"/>
  <c r="P20" i="5"/>
  <c r="K20" i="5"/>
  <c r="J20" i="5"/>
  <c r="I20" i="5"/>
  <c r="H20" i="5"/>
  <c r="P19" i="5"/>
  <c r="B18" i="5"/>
  <c r="B19" i="5" s="1"/>
  <c r="L7" i="5"/>
  <c r="M7" i="5" s="1"/>
  <c r="I7" i="5"/>
  <c r="H7" i="5"/>
  <c r="K6" i="5"/>
  <c r="J6" i="5"/>
  <c r="I6" i="5"/>
  <c r="H6" i="5"/>
  <c r="K5" i="5"/>
  <c r="J5" i="5"/>
  <c r="I5" i="5"/>
  <c r="L24" i="4"/>
  <c r="L23" i="4"/>
  <c r="L22" i="4"/>
  <c r="L21" i="4"/>
  <c r="D6" i="4"/>
  <c r="R45" i="3"/>
  <c r="S45" i="3" s="1"/>
  <c r="L45" i="3"/>
  <c r="F45" i="3"/>
  <c r="G45" i="3" s="1"/>
  <c r="R44" i="3"/>
  <c r="S44" i="3" s="1"/>
  <c r="L44" i="3"/>
  <c r="F44" i="3"/>
  <c r="G44" i="3" s="1"/>
  <c r="R43" i="3"/>
  <c r="S43" i="3" s="1"/>
  <c r="L43" i="3"/>
  <c r="F43" i="3"/>
  <c r="G43" i="3" s="1"/>
  <c r="R42" i="3"/>
  <c r="S42" i="3" s="1"/>
  <c r="L42" i="3"/>
  <c r="F42" i="3"/>
  <c r="G42" i="3" s="1"/>
  <c r="R41" i="3"/>
  <c r="S41" i="3" s="1"/>
  <c r="L41" i="3"/>
  <c r="F41" i="3"/>
  <c r="G41" i="3" s="1"/>
  <c r="R40" i="3"/>
  <c r="S40" i="3" s="1"/>
  <c r="L40" i="3"/>
  <c r="F40" i="3"/>
  <c r="G40" i="3" s="1"/>
  <c r="R39" i="3"/>
  <c r="S39" i="3" s="1"/>
  <c r="L39" i="3"/>
  <c r="F39" i="3"/>
  <c r="G39" i="3" s="1"/>
  <c r="R38" i="3"/>
  <c r="S38" i="3" s="1"/>
  <c r="L38" i="3"/>
  <c r="F38" i="3"/>
  <c r="G38" i="3" s="1"/>
  <c r="R37" i="3"/>
  <c r="S37" i="3" s="1"/>
  <c r="L37" i="3"/>
  <c r="F37" i="3"/>
  <c r="G37" i="3" s="1"/>
  <c r="R36" i="3"/>
  <c r="S36" i="3" s="1"/>
  <c r="L36" i="3"/>
  <c r="F36" i="3"/>
  <c r="G36" i="3" s="1"/>
  <c r="R35" i="3"/>
  <c r="S35" i="3" s="1"/>
  <c r="L35" i="3"/>
  <c r="F35" i="3"/>
  <c r="G35" i="3" s="1"/>
  <c r="R34" i="3"/>
  <c r="S34" i="3" s="1"/>
  <c r="L34" i="3"/>
  <c r="F34" i="3"/>
  <c r="G34" i="3" s="1"/>
  <c r="R33" i="3"/>
  <c r="S33" i="3" s="1"/>
  <c r="L33" i="3"/>
  <c r="F33" i="3"/>
  <c r="G33" i="3" s="1"/>
  <c r="R32" i="3"/>
  <c r="S32" i="3" s="1"/>
  <c r="L32" i="3"/>
  <c r="F32" i="3"/>
  <c r="G32" i="3" s="1"/>
  <c r="R31" i="3"/>
  <c r="S31" i="3" s="1"/>
  <c r="L31" i="3"/>
  <c r="F31" i="3"/>
  <c r="G31" i="3" s="1"/>
  <c r="R30" i="3"/>
  <c r="S30" i="3" s="1"/>
  <c r="L30" i="3"/>
  <c r="F30" i="3"/>
  <c r="G30" i="3" s="1"/>
  <c r="R29" i="3"/>
  <c r="S29" i="3" s="1"/>
  <c r="L29" i="3"/>
  <c r="F29" i="3"/>
  <c r="G29" i="3" s="1"/>
  <c r="R28" i="3"/>
  <c r="S28" i="3" s="1"/>
  <c r="L28" i="3"/>
  <c r="F28" i="3"/>
  <c r="G28" i="3" s="1"/>
  <c r="R27" i="3"/>
  <c r="S27" i="3" s="1"/>
  <c r="L27" i="3"/>
  <c r="F27" i="3"/>
  <c r="G27" i="3" s="1"/>
  <c r="R26" i="3"/>
  <c r="S26" i="3" s="1"/>
  <c r="L26" i="3"/>
  <c r="F26" i="3"/>
  <c r="G26" i="3" s="1"/>
  <c r="R25" i="3"/>
  <c r="S25" i="3" s="1"/>
  <c r="L25" i="3"/>
  <c r="F25" i="3"/>
  <c r="G25" i="3" s="1"/>
  <c r="R24" i="3"/>
  <c r="S24" i="3" s="1"/>
  <c r="L24" i="3"/>
  <c r="F24" i="3"/>
  <c r="G24" i="3" s="1"/>
  <c r="R23" i="3"/>
  <c r="S23" i="3" s="1"/>
  <c r="L23" i="3"/>
  <c r="F23" i="3"/>
  <c r="G23" i="3" s="1"/>
  <c r="R22" i="3"/>
  <c r="S22" i="3" s="1"/>
  <c r="L22" i="3"/>
  <c r="F22" i="3"/>
  <c r="G22" i="3" s="1"/>
  <c r="R21" i="3"/>
  <c r="S21" i="3" s="1"/>
  <c r="L21" i="3"/>
  <c r="F21" i="3"/>
  <c r="G21" i="3" s="1"/>
  <c r="R20" i="3"/>
  <c r="S20" i="3" s="1"/>
  <c r="L20" i="3"/>
  <c r="F20" i="3"/>
  <c r="G20" i="3" s="1"/>
  <c r="R19" i="3"/>
  <c r="S19" i="3" s="1"/>
  <c r="L19" i="3"/>
  <c r="F19" i="3"/>
  <c r="G19" i="3" s="1"/>
  <c r="R18" i="3"/>
  <c r="S18" i="3" s="1"/>
  <c r="L18" i="3"/>
  <c r="F18" i="3"/>
  <c r="G18" i="3" s="1"/>
  <c r="R17" i="3"/>
  <c r="S17" i="3" s="1"/>
  <c r="L17" i="3"/>
  <c r="F17" i="3"/>
  <c r="G17" i="3" s="1"/>
  <c r="R16" i="3"/>
  <c r="S16" i="3" s="1"/>
  <c r="L16" i="3"/>
  <c r="F16" i="3"/>
  <c r="G16" i="3" s="1"/>
  <c r="R15" i="3"/>
  <c r="S15" i="3" s="1"/>
  <c r="L15" i="3"/>
  <c r="F15" i="3"/>
  <c r="G15" i="3" s="1"/>
  <c r="R14" i="3"/>
  <c r="S14" i="3" s="1"/>
  <c r="L14" i="3"/>
  <c r="F14" i="3"/>
  <c r="G14" i="3" s="1"/>
  <c r="R13" i="3"/>
  <c r="S13" i="3" s="1"/>
  <c r="L13" i="3"/>
  <c r="F13" i="3"/>
  <c r="G13" i="3" s="1"/>
  <c r="R12" i="3"/>
  <c r="S12" i="3" s="1"/>
  <c r="L12" i="3"/>
  <c r="F12" i="3"/>
  <c r="G12" i="3" s="1"/>
  <c r="R11" i="3"/>
  <c r="S11" i="3" s="1"/>
  <c r="L11" i="3"/>
  <c r="F11" i="3"/>
  <c r="G11" i="3" s="1"/>
  <c r="R10" i="3"/>
  <c r="S10" i="3" s="1"/>
  <c r="L10" i="3"/>
  <c r="F10" i="3"/>
  <c r="G10" i="3" s="1"/>
  <c r="R9" i="3"/>
  <c r="S9" i="3" s="1"/>
  <c r="L9" i="3"/>
  <c r="F9" i="3"/>
  <c r="G9" i="3" s="1"/>
  <c r="R8" i="3"/>
  <c r="S8" i="3" s="1"/>
  <c r="L8" i="3"/>
  <c r="F8" i="3"/>
  <c r="G8" i="3" s="1"/>
  <c r="R7" i="3"/>
  <c r="S7" i="3" s="1"/>
  <c r="L7" i="3"/>
  <c r="F7" i="3"/>
  <c r="G7" i="3" s="1"/>
  <c r="U6" i="3"/>
  <c r="U10" i="3" s="1"/>
  <c r="R6" i="3"/>
  <c r="S6" i="3" s="1"/>
  <c r="L6" i="3"/>
  <c r="I6" i="3"/>
  <c r="I7" i="3" s="1"/>
  <c r="I8" i="3" s="1"/>
  <c r="I9" i="3" s="1"/>
  <c r="I10" i="3" s="1"/>
  <c r="I11" i="3" s="1"/>
  <c r="I12" i="3" s="1"/>
  <c r="I13" i="3" s="1"/>
  <c r="I14" i="3" s="1"/>
  <c r="I15" i="3" s="1"/>
  <c r="I16" i="3" s="1"/>
  <c r="I17" i="3" s="1"/>
  <c r="I18" i="3" s="1"/>
  <c r="I19" i="3" s="1"/>
  <c r="I20" i="3" s="1"/>
  <c r="I21" i="3" s="1"/>
  <c r="I22" i="3" s="1"/>
  <c r="I23" i="3" s="1"/>
  <c r="I24" i="3" s="1"/>
  <c r="I25" i="3" s="1"/>
  <c r="I26" i="3" s="1"/>
  <c r="I27" i="3" s="1"/>
  <c r="I28" i="3" s="1"/>
  <c r="I29" i="3" s="1"/>
  <c r="I30" i="3" s="1"/>
  <c r="I31" i="3" s="1"/>
  <c r="I32" i="3" s="1"/>
  <c r="I33" i="3" s="1"/>
  <c r="I34" i="3" s="1"/>
  <c r="I35" i="3" s="1"/>
  <c r="I36" i="3" s="1"/>
  <c r="I37" i="3" s="1"/>
  <c r="I38" i="3" s="1"/>
  <c r="I39" i="3" s="1"/>
  <c r="I40" i="3" s="1"/>
  <c r="I41" i="3" s="1"/>
  <c r="I42" i="3" s="1"/>
  <c r="I43" i="3" s="1"/>
  <c r="I44" i="3" s="1"/>
  <c r="I45" i="3" s="1"/>
  <c r="F6" i="3"/>
  <c r="G6" i="3" s="1"/>
  <c r="R5" i="3"/>
  <c r="S5" i="3" s="1"/>
  <c r="O5" i="3"/>
  <c r="O6" i="3" s="1"/>
  <c r="O7" i="3" s="1"/>
  <c r="O8" i="3" s="1"/>
  <c r="O9" i="3" s="1"/>
  <c r="O10" i="3" s="1"/>
  <c r="O11" i="3" s="1"/>
  <c r="O12" i="3" s="1"/>
  <c r="O13" i="3" s="1"/>
  <c r="O14" i="3" s="1"/>
  <c r="O15" i="3" s="1"/>
  <c r="O16" i="3" s="1"/>
  <c r="O17" i="3" s="1"/>
  <c r="O18" i="3" s="1"/>
  <c r="O19" i="3" s="1"/>
  <c r="O20" i="3" s="1"/>
  <c r="O21" i="3" s="1"/>
  <c r="O22" i="3" s="1"/>
  <c r="O23" i="3" s="1"/>
  <c r="O24" i="3" s="1"/>
  <c r="O25" i="3" s="1"/>
  <c r="O26" i="3" s="1"/>
  <c r="O27" i="3" s="1"/>
  <c r="O28" i="3" s="1"/>
  <c r="O29" i="3" s="1"/>
  <c r="O30" i="3" s="1"/>
  <c r="O31" i="3" s="1"/>
  <c r="O32" i="3" s="1"/>
  <c r="O33" i="3" s="1"/>
  <c r="O34" i="3" s="1"/>
  <c r="O35" i="3" s="1"/>
  <c r="O36" i="3" s="1"/>
  <c r="O37" i="3" s="1"/>
  <c r="O38" i="3" s="1"/>
  <c r="O39" i="3" s="1"/>
  <c r="O40" i="3" s="1"/>
  <c r="O41" i="3" s="1"/>
  <c r="O42" i="3" s="1"/>
  <c r="O43" i="3" s="1"/>
  <c r="O44" i="3" s="1"/>
  <c r="O45" i="3" s="1"/>
  <c r="L5" i="3"/>
  <c r="F5" i="3"/>
  <c r="G5" i="3" s="1"/>
  <c r="C3" i="3"/>
  <c r="L2" i="3"/>
  <c r="J2" i="3"/>
  <c r="M134" i="2"/>
  <c r="L134" i="2"/>
  <c r="K134" i="2"/>
  <c r="J134" i="2"/>
  <c r="I134" i="2"/>
  <c r="H134" i="2"/>
  <c r="M103" i="2"/>
  <c r="L103" i="2"/>
  <c r="K103" i="2"/>
  <c r="J103" i="2"/>
  <c r="I103" i="2"/>
  <c r="H103" i="2"/>
  <c r="M100" i="2"/>
  <c r="L100" i="2"/>
  <c r="K100" i="2"/>
  <c r="J100" i="2"/>
  <c r="I100" i="2"/>
  <c r="H100" i="2"/>
  <c r="G100" i="2"/>
  <c r="F100" i="2"/>
  <c r="E100" i="2"/>
  <c r="D100" i="2"/>
  <c r="M98" i="2"/>
  <c r="L98" i="2"/>
  <c r="K98" i="2"/>
  <c r="J98" i="2"/>
  <c r="I98" i="2"/>
  <c r="H98" i="2"/>
  <c r="G98" i="2"/>
  <c r="F98" i="2"/>
  <c r="E98" i="2"/>
  <c r="D98" i="2"/>
  <c r="BO93" i="2"/>
  <c r="BH93" i="2"/>
  <c r="BO92" i="2"/>
  <c r="BH92" i="2"/>
  <c r="BO91" i="2"/>
  <c r="BH91" i="2"/>
  <c r="BG91" i="2"/>
  <c r="BI91" i="2" s="1"/>
  <c r="G71" i="2"/>
  <c r="E33" i="4" s="1"/>
  <c r="F71" i="2"/>
  <c r="H39" i="5" s="1"/>
  <c r="E71" i="2"/>
  <c r="D71" i="2"/>
  <c r="H38" i="5" s="1"/>
  <c r="M58" i="2"/>
  <c r="L58" i="2"/>
  <c r="K58" i="2"/>
  <c r="J58" i="2"/>
  <c r="I58" i="2"/>
  <c r="H58" i="2"/>
  <c r="AJ54" i="2"/>
  <c r="AI54" i="2"/>
  <c r="AH54" i="2"/>
  <c r="AG54" i="2"/>
  <c r="AF54" i="2"/>
  <c r="AE54" i="2"/>
  <c r="AD54" i="2"/>
  <c r="G58" i="2" s="1"/>
  <c r="AC54" i="2"/>
  <c r="F58" i="2" s="1"/>
  <c r="AB54" i="2"/>
  <c r="E58" i="2" s="1"/>
  <c r="M54" i="2"/>
  <c r="L54" i="2"/>
  <c r="K54" i="2"/>
  <c r="J54" i="2"/>
  <c r="I54" i="2"/>
  <c r="H54" i="2"/>
  <c r="G54" i="2"/>
  <c r="F54" i="2"/>
  <c r="E54" i="2"/>
  <c r="M53" i="2"/>
  <c r="L53" i="2"/>
  <c r="K53" i="2"/>
  <c r="J53" i="2"/>
  <c r="I53" i="2"/>
  <c r="H53" i="2"/>
  <c r="G53" i="2"/>
  <c r="F53" i="2"/>
  <c r="E53" i="2"/>
  <c r="E51" i="2"/>
  <c r="D51" i="2"/>
  <c r="M50" i="2"/>
  <c r="I50" i="2"/>
  <c r="H50" i="2"/>
  <c r="BO49" i="2"/>
  <c r="BN49" i="2"/>
  <c r="BP49" i="2" s="1"/>
  <c r="BH49" i="2"/>
  <c r="BG49" i="2"/>
  <c r="BI49" i="2" s="1"/>
  <c r="AJ49" i="2"/>
  <c r="AI49" i="2"/>
  <c r="AH49" i="2"/>
  <c r="AG49" i="2"/>
  <c r="AF49" i="2"/>
  <c r="AE49" i="2"/>
  <c r="AD49" i="2"/>
  <c r="AC49" i="2"/>
  <c r="AB49" i="2"/>
  <c r="N49" i="2"/>
  <c r="BO48" i="2"/>
  <c r="BN48" i="2"/>
  <c r="BP48" i="2" s="1"/>
  <c r="BH48" i="2"/>
  <c r="BG48" i="2"/>
  <c r="BI48" i="2" s="1"/>
  <c r="BI52" i="2" s="1"/>
  <c r="BI53" i="2" s="1"/>
  <c r="BF7" i="2" s="1"/>
  <c r="M47" i="2"/>
  <c r="L47" i="2"/>
  <c r="L50" i="2" s="1"/>
  <c r="K47" i="2"/>
  <c r="K50" i="2" s="1"/>
  <c r="J47" i="2"/>
  <c r="J50" i="2" s="1"/>
  <c r="I47" i="2"/>
  <c r="H47" i="2"/>
  <c r="BN44" i="2"/>
  <c r="BN91" i="2" s="1"/>
  <c r="BG44" i="2"/>
  <c r="BG92" i="2" s="1"/>
  <c r="BI92" i="2" s="1"/>
  <c r="N43" i="2"/>
  <c r="N41" i="2"/>
  <c r="G39" i="2"/>
  <c r="K21" i="5" s="1"/>
  <c r="F39" i="2"/>
  <c r="J21" i="5" s="1"/>
  <c r="E39" i="2"/>
  <c r="D39" i="2"/>
  <c r="H21" i="5" s="1"/>
  <c r="N38" i="2"/>
  <c r="N37" i="2"/>
  <c r="N36" i="2"/>
  <c r="AD35" i="2"/>
  <c r="AC35" i="2"/>
  <c r="AB35" i="2"/>
  <c r="AA35" i="2"/>
  <c r="N35" i="2"/>
  <c r="AD34" i="2"/>
  <c r="AC34" i="2"/>
  <c r="AB34" i="2"/>
  <c r="AA34" i="2"/>
  <c r="N34" i="2"/>
  <c r="B21" i="5" s="1"/>
  <c r="AD33" i="2"/>
  <c r="AC33" i="2"/>
  <c r="AB33" i="2"/>
  <c r="AA33" i="2"/>
  <c r="N33" i="2"/>
  <c r="AD32" i="2"/>
  <c r="AC32" i="2"/>
  <c r="AB32" i="2"/>
  <c r="AA32" i="2"/>
  <c r="M31" i="2"/>
  <c r="L31" i="2"/>
  <c r="K31" i="2"/>
  <c r="J31" i="2"/>
  <c r="I31" i="2"/>
  <c r="H31" i="2"/>
  <c r="M28" i="2"/>
  <c r="L28" i="2"/>
  <c r="K28" i="2"/>
  <c r="J28" i="2"/>
  <c r="I28" i="2"/>
  <c r="H28" i="2"/>
  <c r="G28" i="2"/>
  <c r="F28" i="2"/>
  <c r="F29" i="2" s="1"/>
  <c r="E28" i="2"/>
  <c r="D28" i="2"/>
  <c r="D29" i="2" s="1"/>
  <c r="G25" i="2"/>
  <c r="K14" i="5" s="1"/>
  <c r="F25" i="2"/>
  <c r="J14" i="5" s="1"/>
  <c r="E25" i="2"/>
  <c r="D25" i="2"/>
  <c r="H14" i="5" s="1"/>
  <c r="M24" i="2"/>
  <c r="L24" i="2"/>
  <c r="K24" i="2"/>
  <c r="J24" i="2"/>
  <c r="I24" i="2"/>
  <c r="H24" i="2"/>
  <c r="M23" i="2"/>
  <c r="L23" i="2"/>
  <c r="K23" i="2"/>
  <c r="J23" i="2"/>
  <c r="I23" i="2"/>
  <c r="H23" i="2"/>
  <c r="AL21" i="2"/>
  <c r="AK21" i="2"/>
  <c r="AJ21" i="2"/>
  <c r="AI21" i="2"/>
  <c r="AH21" i="2"/>
  <c r="AG21" i="2"/>
  <c r="AF21" i="2"/>
  <c r="AE21" i="2"/>
  <c r="AD21" i="2"/>
  <c r="AC21" i="2"/>
  <c r="AB21" i="2"/>
  <c r="AA21" i="2"/>
  <c r="E21" i="2"/>
  <c r="I12" i="5" s="1"/>
  <c r="D21" i="2"/>
  <c r="H12" i="5" s="1"/>
  <c r="N19" i="2"/>
  <c r="BN15" i="2"/>
  <c r="BI15" i="2"/>
  <c r="BG15" i="2"/>
  <c r="BP14" i="2"/>
  <c r="BI14" i="2"/>
  <c r="F14" i="2"/>
  <c r="D14" i="2"/>
  <c r="BP13" i="2"/>
  <c r="BI13" i="2"/>
  <c r="BP12" i="2"/>
  <c r="BI12" i="2"/>
  <c r="BP11" i="2"/>
  <c r="BI11" i="2"/>
  <c r="BP10" i="2"/>
  <c r="BP15" i="2" s="1"/>
  <c r="BI10" i="2"/>
  <c r="N10" i="2"/>
  <c r="BM8" i="2"/>
  <c r="BF8" i="2"/>
  <c r="AJ8" i="2"/>
  <c r="AI8" i="2"/>
  <c r="AH8" i="2"/>
  <c r="AG8" i="2"/>
  <c r="AF8" i="2"/>
  <c r="AE8" i="2"/>
  <c r="AD8" i="2"/>
  <c r="AC8" i="2"/>
  <c r="AB8" i="2"/>
  <c r="AA8" i="2"/>
  <c r="N8" i="2"/>
  <c r="C8" i="4" s="1"/>
  <c r="N7" i="2"/>
  <c r="C6" i="4" s="1"/>
  <c r="I109" i="2"/>
  <c r="K108" i="2"/>
  <c r="M108" i="2"/>
  <c r="L108" i="2"/>
  <c r="M109" i="2"/>
  <c r="H108" i="2"/>
  <c r="I108" i="2"/>
  <c r="L109" i="2"/>
  <c r="K109" i="2"/>
  <c r="J109" i="2"/>
  <c r="J108" i="2"/>
  <c r="M99" i="2"/>
  <c r="E9" i="2" a="1"/>
  <c r="G9" i="2" a="1"/>
  <c r="L96" i="2"/>
  <c r="K99" i="2"/>
  <c r="G97" i="2"/>
  <c r="I99" i="2"/>
  <c r="H97" i="2"/>
  <c r="J96" i="2"/>
  <c r="D109" i="2"/>
  <c r="L97" i="2"/>
  <c r="E96" i="2"/>
  <c r="I102" i="2"/>
  <c r="E40" i="2" a="1"/>
  <c r="D9" i="2" a="1"/>
  <c r="I96" i="2"/>
  <c r="I12" i="2"/>
  <c r="K96" i="2"/>
  <c r="E99" i="2"/>
  <c r="K102" i="2"/>
  <c r="D99" i="2"/>
  <c r="M48" i="2"/>
  <c r="H99" i="2"/>
  <c r="I97" i="2"/>
  <c r="G40" i="2" a="1"/>
  <c r="I48" i="2"/>
  <c r="J102" i="2"/>
  <c r="K97" i="2"/>
  <c r="M96" i="2"/>
  <c r="J97" i="2"/>
  <c r="G96" i="2"/>
  <c r="J99" i="2"/>
  <c r="M12" i="2"/>
  <c r="D97" i="2"/>
  <c r="H102" i="2"/>
  <c r="H48" i="2"/>
  <c r="D96" i="2"/>
  <c r="H12" i="2"/>
  <c r="F40" i="2" a="1"/>
  <c r="F97" i="2"/>
  <c r="F96" i="2"/>
  <c r="G109" i="2"/>
  <c r="E97" i="2"/>
  <c r="M97" i="2"/>
  <c r="F109" i="2"/>
  <c r="L99" i="2"/>
  <c r="F9" i="2" a="1"/>
  <c r="F99" i="2"/>
  <c r="E109" i="2"/>
  <c r="D40" i="2" a="1"/>
  <c r="J12" i="2"/>
  <c r="K12" i="2"/>
  <c r="H96" i="2"/>
  <c r="L12" i="2"/>
  <c r="S100" i="3" l="1"/>
  <c r="N28" i="2"/>
  <c r="H55" i="2"/>
  <c r="H56" i="2" s="1"/>
  <c r="H57" i="2" s="1"/>
  <c r="K25" i="2"/>
  <c r="L55" i="2"/>
  <c r="J55" i="2"/>
  <c r="H25" i="2"/>
  <c r="H14" i="2" s="1"/>
  <c r="H17" i="2" s="1"/>
  <c r="H20" i="2" s="1"/>
  <c r="E55" i="2"/>
  <c r="I27" i="5" s="1"/>
  <c r="M55" i="2"/>
  <c r="K55" i="2"/>
  <c r="G55" i="2"/>
  <c r="G59" i="2" s="1"/>
  <c r="I55" i="2"/>
  <c r="L25" i="2"/>
  <c r="F55" i="2"/>
  <c r="F44" i="2" s="1"/>
  <c r="N24" i="2"/>
  <c r="N23" i="2"/>
  <c r="J25" i="2"/>
  <c r="J14" i="2" s="1"/>
  <c r="J17" i="2" s="1"/>
  <c r="M25" i="2"/>
  <c r="M26" i="2" s="1"/>
  <c r="M27" i="2" s="1"/>
  <c r="N51" i="2"/>
  <c r="H25" i="5" s="1"/>
  <c r="L25" i="5" s="1"/>
  <c r="D11" i="4" s="1"/>
  <c r="H22" i="5"/>
  <c r="F40" i="2"/>
  <c r="D9" i="2"/>
  <c r="M107" i="2"/>
  <c r="H107" i="2"/>
  <c r="F9" i="2"/>
  <c r="N12" i="2"/>
  <c r="I107" i="2"/>
  <c r="G40" i="2"/>
  <c r="J107" i="2"/>
  <c r="E9" i="2"/>
  <c r="G9" i="2"/>
  <c r="K107" i="2"/>
  <c r="D40" i="2"/>
  <c r="E40" i="2"/>
  <c r="AA49" i="2"/>
  <c r="D54" i="2"/>
  <c r="N54" i="2" s="1"/>
  <c r="L107" i="2"/>
  <c r="L14" i="2"/>
  <c r="L17" i="2" s="1"/>
  <c r="L29" i="2"/>
  <c r="L26" i="2"/>
  <c r="L27" i="2" s="1"/>
  <c r="L59" i="2"/>
  <c r="L56" i="2"/>
  <c r="L57" i="2" s="1"/>
  <c r="BF11" i="2"/>
  <c r="BH11" i="2" s="1"/>
  <c r="L12" i="5"/>
  <c r="M12" i="5" s="1"/>
  <c r="C11" i="4" s="1"/>
  <c r="I21" i="5"/>
  <c r="I22" i="5" s="1"/>
  <c r="N39" i="2"/>
  <c r="M56" i="2"/>
  <c r="M57" i="2" s="1"/>
  <c r="M59" i="2"/>
  <c r="J22" i="5"/>
  <c r="K14" i="2"/>
  <c r="K17" i="2" s="1"/>
  <c r="K29" i="2"/>
  <c r="K26" i="2"/>
  <c r="K27" i="2" s="1"/>
  <c r="BF14" i="2"/>
  <c r="BH14" i="2" s="1"/>
  <c r="BF10" i="2"/>
  <c r="K22" i="5"/>
  <c r="M29" i="2"/>
  <c r="E14" i="2"/>
  <c r="I14" i="5"/>
  <c r="L14" i="5" s="1"/>
  <c r="M14" i="5" s="1"/>
  <c r="E29" i="2"/>
  <c r="BP52" i="2"/>
  <c r="BP53" i="2" s="1"/>
  <c r="BN92" i="2"/>
  <c r="BP92" i="2" s="1"/>
  <c r="BP91" i="2"/>
  <c r="I59" i="2"/>
  <c r="I56" i="2"/>
  <c r="I57" i="2" s="1"/>
  <c r="J59" i="2"/>
  <c r="J56" i="2"/>
  <c r="J57" i="2" s="1"/>
  <c r="K59" i="2"/>
  <c r="K56" i="2"/>
  <c r="K57" i="2" s="1"/>
  <c r="I25" i="2"/>
  <c r="N25" i="2" s="1"/>
  <c r="G14" i="2"/>
  <c r="N21" i="2"/>
  <c r="J27" i="5"/>
  <c r="D53" i="2"/>
  <c r="F59" i="2"/>
  <c r="H26" i="2"/>
  <c r="H27" i="2" s="1"/>
  <c r="G29" i="2"/>
  <c r="BG93" i="2"/>
  <c r="BI93" i="2" s="1"/>
  <c r="BI94" i="2" s="1"/>
  <c r="BF12" i="2" s="1"/>
  <c r="L6" i="5"/>
  <c r="M6" i="5" s="1"/>
  <c r="B17" i="5"/>
  <c r="H109" i="2"/>
  <c r="F11" i="2" a="1"/>
  <c r="J48" i="2"/>
  <c r="L48" i="2"/>
  <c r="D11" i="2" a="1"/>
  <c r="E42" i="2" a="1"/>
  <c r="L102" i="2"/>
  <c r="K48" i="2"/>
  <c r="G42" i="2" a="1"/>
  <c r="M102" i="2"/>
  <c r="G99" i="2"/>
  <c r="G11" i="2" a="1"/>
  <c r="F42" i="2" a="1"/>
  <c r="E11" i="2" a="1"/>
  <c r="E11" i="4" l="1"/>
  <c r="J26" i="2"/>
  <c r="J27" i="2" s="1"/>
  <c r="J29" i="2"/>
  <c r="M14" i="2"/>
  <c r="M17" i="2" s="1"/>
  <c r="M20" i="2" s="1"/>
  <c r="H59" i="2"/>
  <c r="H29" i="2"/>
  <c r="K27" i="5"/>
  <c r="E44" i="2"/>
  <c r="G44" i="2"/>
  <c r="E59" i="2"/>
  <c r="L21" i="5"/>
  <c r="M21" i="5" s="1"/>
  <c r="D8" i="4" s="1"/>
  <c r="N40" i="2"/>
  <c r="N134" i="2" s="1"/>
  <c r="N9" i="2"/>
  <c r="G42" i="2"/>
  <c r="G134" i="2" s="1"/>
  <c r="G46" i="2" s="1"/>
  <c r="G47" i="2" s="1"/>
  <c r="G11" i="2"/>
  <c r="E42" i="2"/>
  <c r="E134" i="2" s="1"/>
  <c r="E46" i="2" s="1"/>
  <c r="E47" i="2" s="1"/>
  <c r="E11" i="2"/>
  <c r="F11" i="2"/>
  <c r="D11" i="2"/>
  <c r="H8" i="5" s="1"/>
  <c r="F42" i="2"/>
  <c r="F134" i="2" s="1"/>
  <c r="F46" i="2" s="1"/>
  <c r="C16" i="4"/>
  <c r="C19" i="4" s="1"/>
  <c r="G36" i="5"/>
  <c r="L22" i="5"/>
  <c r="BF13" i="2"/>
  <c r="BH13" i="2" s="1"/>
  <c r="BH12" i="2"/>
  <c r="J20" i="2"/>
  <c r="L20" i="2"/>
  <c r="K20" i="2"/>
  <c r="I14" i="2"/>
  <c r="I29" i="2"/>
  <c r="N29" i="2" s="1"/>
  <c r="I26" i="2"/>
  <c r="I27" i="2" s="1"/>
  <c r="BN93" i="2"/>
  <c r="BP93" i="2" s="1"/>
  <c r="BP94" i="2" s="1"/>
  <c r="BM12" i="2" s="1"/>
  <c r="BM11" i="2"/>
  <c r="BO11" i="2" s="1"/>
  <c r="BM7" i="2"/>
  <c r="BF15" i="2"/>
  <c r="BF16" i="2" s="1"/>
  <c r="BH10" i="2"/>
  <c r="BH15" i="2" s="1"/>
  <c r="D55" i="2"/>
  <c r="N53" i="2"/>
  <c r="AA54" i="2"/>
  <c r="D58" i="2" s="1"/>
  <c r="N58" i="2" s="1"/>
  <c r="B29" i="5" s="1"/>
  <c r="B30" i="5" s="1"/>
  <c r="E48" i="2"/>
  <c r="D42" i="2" a="1"/>
  <c r="J18" i="2"/>
  <c r="G48" i="2"/>
  <c r="M18" i="2"/>
  <c r="L18" i="2"/>
  <c r="H18" i="2"/>
  <c r="K18" i="2"/>
  <c r="F13" i="2" l="1"/>
  <c r="F121" i="2" s="1"/>
  <c r="J8" i="5"/>
  <c r="J9" i="5" s="1"/>
  <c r="E13" i="2"/>
  <c r="E121" i="2" s="1"/>
  <c r="I8" i="5"/>
  <c r="I9" i="5" s="1"/>
  <c r="G13" i="2"/>
  <c r="G16" i="2" s="1"/>
  <c r="G17" i="2" s="1"/>
  <c r="K8" i="5"/>
  <c r="K9" i="5" s="1"/>
  <c r="H9" i="5"/>
  <c r="D42" i="2"/>
  <c r="N42" i="2" s="1"/>
  <c r="I23" i="5"/>
  <c r="K23" i="5"/>
  <c r="E50" i="2"/>
  <c r="E52" i="2" s="1"/>
  <c r="E56" i="2" s="1"/>
  <c r="E57" i="2" s="1"/>
  <c r="I29" i="5" s="1"/>
  <c r="G50" i="2"/>
  <c r="K24" i="5" s="1"/>
  <c r="N11" i="2"/>
  <c r="D13" i="2"/>
  <c r="F47" i="2"/>
  <c r="BM13" i="2"/>
  <c r="BO13" i="2" s="1"/>
  <c r="BO12" i="2"/>
  <c r="I17" i="2"/>
  <c r="N14" i="2"/>
  <c r="G27" i="5"/>
  <c r="B22" i="5"/>
  <c r="BM14" i="2"/>
  <c r="BO14" i="2" s="1"/>
  <c r="BM10" i="2"/>
  <c r="D59" i="2"/>
  <c r="N59" i="2" s="1"/>
  <c r="H27" i="5"/>
  <c r="N55" i="2"/>
  <c r="D44" i="2"/>
  <c r="G18" i="2"/>
  <c r="F48" i="2"/>
  <c r="F16" i="2" l="1"/>
  <c r="F17" i="2" s="1"/>
  <c r="F20" i="2" s="1"/>
  <c r="J11" i="5" s="1"/>
  <c r="L8" i="5"/>
  <c r="M8" i="5" s="1"/>
  <c r="L9" i="5"/>
  <c r="M9" i="5" s="1"/>
  <c r="G34" i="5" s="1"/>
  <c r="H34" i="5" s="1"/>
  <c r="G121" i="2"/>
  <c r="E16" i="2"/>
  <c r="E17" i="2" s="1"/>
  <c r="E20" i="2" s="1"/>
  <c r="I11" i="5" s="1"/>
  <c r="K10" i="5"/>
  <c r="G20" i="2"/>
  <c r="K11" i="5" s="1"/>
  <c r="G22" i="5"/>
  <c r="M22" i="5" s="1"/>
  <c r="D134" i="2"/>
  <c r="D46" i="2" s="1"/>
  <c r="D47" i="2" s="1"/>
  <c r="I24" i="5"/>
  <c r="I26" i="5" s="1"/>
  <c r="J23" i="5"/>
  <c r="F50" i="2"/>
  <c r="J24" i="5" s="1"/>
  <c r="G52" i="2"/>
  <c r="G56" i="2" s="1"/>
  <c r="G57" i="2" s="1"/>
  <c r="K29" i="5" s="1"/>
  <c r="D121" i="2"/>
  <c r="D16" i="2"/>
  <c r="D17" i="2" s="1"/>
  <c r="N13" i="2"/>
  <c r="K26" i="5"/>
  <c r="B24" i="5"/>
  <c r="G20" i="5" s="1"/>
  <c r="D17" i="4"/>
  <c r="E17" i="4" s="1"/>
  <c r="BO10" i="2"/>
  <c r="BO15" i="2" s="1"/>
  <c r="BM15" i="2"/>
  <c r="BM16" i="2" s="1"/>
  <c r="N44" i="2"/>
  <c r="I20" i="2"/>
  <c r="L27" i="5"/>
  <c r="D16" i="4" s="1"/>
  <c r="D18" i="2"/>
  <c r="E18" i="2"/>
  <c r="I18" i="2"/>
  <c r="G23" i="5"/>
  <c r="D48" i="2"/>
  <c r="F18" i="2"/>
  <c r="G25" i="5"/>
  <c r="J10" i="5" l="1"/>
  <c r="J13" i="5" s="1"/>
  <c r="G22" i="2"/>
  <c r="G26" i="2" s="1"/>
  <c r="G27" i="2" s="1"/>
  <c r="K16" i="5" s="1"/>
  <c r="I10" i="5"/>
  <c r="I13" i="5" s="1"/>
  <c r="I17" i="5" s="1"/>
  <c r="K13" i="5"/>
  <c r="K17" i="5" s="1"/>
  <c r="J26" i="5"/>
  <c r="J30" i="5" s="1"/>
  <c r="E22" i="2"/>
  <c r="E26" i="2" s="1"/>
  <c r="E27" i="2" s="1"/>
  <c r="I16" i="5" s="1"/>
  <c r="F52" i="2"/>
  <c r="F56" i="2" s="1"/>
  <c r="F57" i="2" s="1"/>
  <c r="J29" i="5" s="1"/>
  <c r="H10" i="5"/>
  <c r="N18" i="2"/>
  <c r="G24" i="5"/>
  <c r="G26" i="5" s="1"/>
  <c r="M25" i="5"/>
  <c r="N48" i="2"/>
  <c r="H23" i="5"/>
  <c r="K30" i="5"/>
  <c r="K28" i="5"/>
  <c r="D20" i="2"/>
  <c r="N17" i="2"/>
  <c r="I28" i="5"/>
  <c r="I30" i="5"/>
  <c r="F22" i="2"/>
  <c r="F26" i="2" s="1"/>
  <c r="F27" i="2" s="1"/>
  <c r="J16" i="5" s="1"/>
  <c r="M27" i="5"/>
  <c r="H36" i="5" s="1"/>
  <c r="I36" i="5" s="1"/>
  <c r="J36" i="5" s="1"/>
  <c r="D7" i="4"/>
  <c r="M20" i="5"/>
  <c r="B39" i="5"/>
  <c r="D50" i="2"/>
  <c r="N47" i="2"/>
  <c r="E16" i="4"/>
  <c r="D19" i="4"/>
  <c r="K15" i="5" l="1"/>
  <c r="D9" i="4"/>
  <c r="E9" i="4" s="1"/>
  <c r="J28" i="5"/>
  <c r="I15" i="5"/>
  <c r="N20" i="2"/>
  <c r="H11" i="5"/>
  <c r="L11" i="5" s="1"/>
  <c r="M11" i="5" s="1"/>
  <c r="G30" i="5"/>
  <c r="G28" i="5"/>
  <c r="G29" i="5"/>
  <c r="D24" i="4" s="1"/>
  <c r="D22" i="2"/>
  <c r="J17" i="5"/>
  <c r="J15" i="5"/>
  <c r="L23" i="5"/>
  <c r="M23" i="5" s="1"/>
  <c r="L10" i="5"/>
  <c r="M10" i="5" s="1"/>
  <c r="H24" i="5"/>
  <c r="L24" i="5" s="1"/>
  <c r="N50" i="2"/>
  <c r="D52" i="2"/>
  <c r="E19" i="4"/>
  <c r="H13" i="5" l="1"/>
  <c r="L13" i="5" s="1"/>
  <c r="H26" i="5"/>
  <c r="N22" i="2"/>
  <c r="D26" i="2"/>
  <c r="C10" i="4"/>
  <c r="C13" i="4" s="1"/>
  <c r="C21" i="4" s="1"/>
  <c r="D56" i="2"/>
  <c r="N52" i="2"/>
  <c r="M24" i="5"/>
  <c r="D10" i="4"/>
  <c r="H15" i="5" l="1"/>
  <c r="H17" i="5"/>
  <c r="M13" i="5"/>
  <c r="L17" i="5"/>
  <c r="E10" i="4"/>
  <c r="D13" i="4"/>
  <c r="E31" i="4"/>
  <c r="E24" i="4"/>
  <c r="C101" i="4" s="1"/>
  <c r="L26" i="5"/>
  <c r="H30" i="5"/>
  <c r="H28" i="5"/>
  <c r="D27" i="2"/>
  <c r="H16" i="5" s="1"/>
  <c r="N26" i="2"/>
  <c r="D57" i="2"/>
  <c r="N56" i="2"/>
  <c r="F24" i="4" l="1"/>
  <c r="N57" i="2"/>
  <c r="H29" i="5"/>
  <c r="L29" i="5" s="1"/>
  <c r="D23" i="4" s="1"/>
  <c r="L16" i="5"/>
  <c r="C23" i="4" s="1"/>
  <c r="L15" i="5"/>
  <c r="M15" i="5" s="1"/>
  <c r="N27" i="2"/>
  <c r="L3" i="3"/>
  <c r="E13" i="4"/>
  <c r="D21" i="4"/>
  <c r="E21" i="4" s="1"/>
  <c r="F21" i="4" s="1"/>
  <c r="L28" i="5"/>
  <c r="M28" i="5" s="1"/>
  <c r="L30" i="5"/>
  <c r="M26" i="5"/>
  <c r="G35" i="5"/>
  <c r="G37" i="5" s="1"/>
  <c r="G40" i="5" s="1"/>
  <c r="M17" i="5"/>
  <c r="M16" i="5" l="1"/>
  <c r="C22" i="4" s="1"/>
  <c r="H35" i="5"/>
  <c r="M30" i="5"/>
  <c r="M29" i="5"/>
  <c r="D22" i="4" s="1"/>
  <c r="M44" i="3"/>
  <c r="M36" i="3"/>
  <c r="M28" i="3"/>
  <c r="M20" i="3"/>
  <c r="M12" i="3"/>
  <c r="M34" i="3"/>
  <c r="M5" i="3"/>
  <c r="M43" i="3"/>
  <c r="M35" i="3"/>
  <c r="M27" i="3"/>
  <c r="M19" i="3"/>
  <c r="M11" i="3"/>
  <c r="M26" i="3"/>
  <c r="M25" i="3"/>
  <c r="M9" i="3"/>
  <c r="M24" i="3"/>
  <c r="M8" i="3"/>
  <c r="M39" i="3"/>
  <c r="M23" i="3"/>
  <c r="M38" i="3"/>
  <c r="M6" i="3"/>
  <c r="M42" i="3"/>
  <c r="M18" i="3"/>
  <c r="M10" i="3"/>
  <c r="M33" i="3"/>
  <c r="M17" i="3"/>
  <c r="M32" i="3"/>
  <c r="M16" i="3"/>
  <c r="M31" i="3"/>
  <c r="M15" i="3"/>
  <c r="M30" i="3"/>
  <c r="M29" i="3"/>
  <c r="M41" i="3"/>
  <c r="M22" i="3"/>
  <c r="M21" i="3"/>
  <c r="M40" i="3"/>
  <c r="M7" i="3"/>
  <c r="M14" i="3"/>
  <c r="M45" i="3"/>
  <c r="M37" i="3"/>
  <c r="M13" i="3"/>
  <c r="E30" i="4" l="1"/>
  <c r="E23" i="4"/>
  <c r="C102" i="4" s="1"/>
  <c r="I35" i="5"/>
  <c r="J35" i="5" s="1"/>
  <c r="H37" i="5"/>
  <c r="F23" i="4" l="1"/>
  <c r="I37" i="5"/>
  <c r="J37" i="5" s="1"/>
  <c r="H40" i="5"/>
  <c r="I40" i="5" l="1"/>
  <c r="J40" i="5" l="1"/>
  <c r="E22" i="4"/>
  <c r="C100" i="4" s="1"/>
  <c r="E27" i="4" l="1"/>
  <c r="E29" i="4" s="1"/>
  <c r="F22" i="4"/>
</calcChain>
</file>

<file path=xl/sharedStrings.xml><?xml version="1.0" encoding="utf-8"?>
<sst xmlns="http://schemas.openxmlformats.org/spreadsheetml/2006/main" count="409" uniqueCount="254">
  <si>
    <t>円単位で入力して下さい。黄色の部分に入力してください。</t>
  </si>
  <si>
    <t>法人成りシミュレーション1.71　令和7年所得税改正対応</t>
  </si>
  <si>
    <t>動画マニュアル→</t>
  </si>
  <si>
    <t>https://vimeo.com/showcase/9743561</t>
  </si>
  <si>
    <t>当期法人税等の計算</t>
  </si>
  <si>
    <t>当期中間納税</t>
  </si>
  <si>
    <t>確定納付額</t>
  </si>
  <si>
    <t>来期予定納付額</t>
  </si>
  <si>
    <t>現状</t>
  </si>
  <si>
    <t>役員名</t>
  </si>
  <si>
    <t>事業主</t>
  </si>
  <si>
    <t>配偶者</t>
  </si>
  <si>
    <t>合計</t>
  </si>
  <si>
    <t>料率</t>
  </si>
  <si>
    <t>法人所得金額</t>
  </si>
  <si>
    <t>事業所得金額( 青色控除後）</t>
  </si>
  <si>
    <t>健康保険</t>
  </si>
  <si>
    <t>https://www.kyoukaikenpo.or.jp/g7/cat330/sb3150/r07/r7ryougakuhyou3gatukara/</t>
  </si>
  <si>
    <t>法人税税額控除前</t>
  </si>
  <si>
    <t>給与収入</t>
  </si>
  <si>
    <t>介護保険</t>
  </si>
  <si>
    <t>☆東京都の料率が初期値で入力されていますので適宜変更してください。（令和7年3月以降）</t>
  </si>
  <si>
    <t>　税額控除</t>
  </si>
  <si>
    <t>給与所得金額</t>
  </si>
  <si>
    <t>厚生年金</t>
  </si>
  <si>
    <t xml:space="preserve">  控除所得税額</t>
  </si>
  <si>
    <t>年金収入</t>
  </si>
  <si>
    <t>子供拠出金</t>
  </si>
  <si>
    <t>法人税</t>
  </si>
  <si>
    <t>年金雑所得</t>
  </si>
  <si>
    <t>健保・介護保険　標準賞与額上限年間 円単位で入力</t>
  </si>
  <si>
    <t>地方法人税</t>
  </si>
  <si>
    <t>他の所得金額</t>
  </si>
  <si>
    <t>厚生年金　標準賞与額上限月間　円単位で入力</t>
  </si>
  <si>
    <t>事業税</t>
  </si>
  <si>
    <t>所得金額合計</t>
  </si>
  <si>
    <t>地方法人特別税</t>
  </si>
  <si>
    <t>社会保険料控除額</t>
  </si>
  <si>
    <t>法人住民税</t>
  </si>
  <si>
    <t>他の所得控除額</t>
  </si>
  <si>
    <t>法人税金合計</t>
  </si>
  <si>
    <t>基礎控除</t>
  </si>
  <si>
    <t>平均税率</t>
  </si>
  <si>
    <t>　※千円万円単位の場合でも</t>
  </si>
  <si>
    <t>課税所得金額</t>
  </si>
  <si>
    <t>所得税</t>
  </si>
  <si>
    <t>事業税非課税所得</t>
  </si>
  <si>
    <t>中小企業の場合</t>
  </si>
  <si>
    <t>　　法人税の予定納税は円単位で入力してください。</t>
  </si>
  <si>
    <t>税額控除額</t>
  </si>
  <si>
    <t>青色申告控除</t>
  </si>
  <si>
    <t>事業税率</t>
  </si>
  <si>
    <t>住民税</t>
  </si>
  <si>
    <t>個人事業税</t>
  </si>
  <si>
    <t>個人税金合計</t>
  </si>
  <si>
    <t>８００万円以下</t>
  </si>
  <si>
    <t>国民健康保険料</t>
  </si>
  <si>
    <t>国民年金保険料</t>
  </si>
  <si>
    <t>８００万円超</t>
  </si>
  <si>
    <t>※</t>
  </si>
  <si>
    <t>社会保険料計</t>
  </si>
  <si>
    <t>※平成２７年４月１日以後開始事業年度は、23.9％</t>
  </si>
  <si>
    <t>税金＋社会保険料</t>
  </si>
  <si>
    <t xml:space="preserve">手取り額 </t>
  </si>
  <si>
    <t>４００万円以下</t>
  </si>
  <si>
    <t>会社負担社会保険料</t>
  </si>
  <si>
    <t>法人成り</t>
  </si>
  <si>
    <t>社会保険料合計</t>
  </si>
  <si>
    <t>役員報酬決定</t>
  </si>
  <si>
    <t>社会保険厚生年金</t>
  </si>
  <si>
    <t>代表者</t>
  </si>
  <si>
    <t>役員1</t>
  </si>
  <si>
    <t>役員2</t>
  </si>
  <si>
    <t>役員3</t>
  </si>
  <si>
    <t>年齢</t>
  </si>
  <si>
    <t>都道府県民税</t>
  </si>
  <si>
    <t>☆マイクロ法人で事業所得を残す場合</t>
  </si>
  <si>
    <t>市町村民税</t>
  </si>
  <si>
    <t>定期同額</t>
  </si>
  <si>
    <t>均等割</t>
  </si>
  <si>
    <t>事前確定給与1回目</t>
  </si>
  <si>
    <t>利子割控除額</t>
  </si>
  <si>
    <t>事前確定給与2回目</t>
  </si>
  <si>
    <t>事前確定給与3回目</t>
  </si>
  <si>
    <t>他の給与収入</t>
  </si>
  <si>
    <t>給与収入合計</t>
  </si>
  <si>
    <t>法人税等計算</t>
  </si>
  <si>
    <t>(法人所得）</t>
  </si>
  <si>
    <t>☆医師国保、建設国保などに加入している場合</t>
  </si>
  <si>
    <t>法人税額</t>
  </si>
  <si>
    <t>健康保険料</t>
  </si>
  <si>
    <t>厚生年金保険料</t>
  </si>
  <si>
    <t>事業税計算</t>
  </si>
  <si>
    <t>手取り額</t>
  </si>
  <si>
    <t>法人成り後に実施する決算対策</t>
  </si>
  <si>
    <t>法人支出額</t>
  </si>
  <si>
    <t>損金算入額</t>
  </si>
  <si>
    <t>個人手取り増加</t>
  </si>
  <si>
    <t>法人の簿外資産</t>
  </si>
  <si>
    <t>出張旅費手当</t>
  </si>
  <si>
    <t>例：出張旅費手当を法人が支出し同額を個人が受け取り手取りが増えます。</t>
  </si>
  <si>
    <t>社宅家賃</t>
  </si>
  <si>
    <t>例：個人の手取り増加額　もともとの家賃マイナス会社に支払う社宅家賃</t>
  </si>
  <si>
    <t>セーフティ共済</t>
  </si>
  <si>
    <t>例：解約返戻金相当額</t>
  </si>
  <si>
    <t>経営者保険</t>
  </si>
  <si>
    <t>厚生年金事前確定</t>
  </si>
  <si>
    <t>社保事前確定</t>
  </si>
  <si>
    <t>社保事前確定報酬</t>
  </si>
  <si>
    <t>社会保険料</t>
  </si>
  <si>
    <t>社会保険報酬</t>
  </si>
  <si>
    <t>比較</t>
  </si>
  <si>
    <t>政府管掌健保加入</t>
  </si>
  <si>
    <t>合計所得金額</t>
  </si>
  <si>
    <t>合計所得金額比較</t>
  </si>
  <si>
    <t>法人成り必要事業所得額試算</t>
  </si>
  <si>
    <t>基礎控除追加</t>
  </si>
  <si>
    <t>会社負担社会保険　任意入力時変更</t>
  </si>
  <si>
    <t>最適化計算見直し　マイクロ法人最適値シミュレーションD32に転記</t>
  </si>
  <si>
    <t>事業税率コピー　保険料率　東京　真ん中のシミュレーションわかりにくいので隠す　厚生年金料率スタート88000</t>
  </si>
  <si>
    <t>法人語の節税対策</t>
  </si>
  <si>
    <t>社会保険料料率変更</t>
  </si>
  <si>
    <t>従業員社会保険料数式もれ修正</t>
  </si>
  <si>
    <t>夫婦両方事業所得がある場合対応</t>
  </si>
  <si>
    <t>健康保険料の上限を74歳に変更</t>
  </si>
  <si>
    <t>厚生年金の上限を74歳に変更</t>
  </si>
  <si>
    <t>法人成り有利不利判定　1.41</t>
  </si>
  <si>
    <t>マニュアルのスライド</t>
  </si>
  <si>
    <t>https://www.slideshare.net/ManabuKondo1/houjinnariver2</t>
  </si>
  <si>
    <t>動画マニュアル　Youtube</t>
  </si>
  <si>
    <t>https://youtu.be/WZoL9WKuFMA</t>
  </si>
  <si>
    <t>1.32  厚生年金保険料の変更R2年9月以降に対応</t>
  </si>
  <si>
    <t>　　　法人税率アップデート</t>
  </si>
  <si>
    <t>1.33  子ども拠出金　変更　</t>
  </si>
  <si>
    <t>　　　　国保と厚生年金組み合わせの場合の保険料会社負担分の計算を修正</t>
  </si>
  <si>
    <t>今、法人成りするといくら役員報酬がもらえるか？</t>
  </si>
  <si>
    <t>法人成りして社長が希望の役員報酬をもらうためには事業所得がいくら必要か？</t>
  </si>
  <si>
    <t>マイクロ法人成り　役員報酬をどれだけ抑えれば有利なのか？</t>
  </si>
  <si>
    <t>事業所得金額</t>
  </si>
  <si>
    <t>②現在の個人手取り額</t>
  </si>
  <si>
    <t>役員報酬額</t>
  </si>
  <si>
    <t>現在の事業所得</t>
  </si>
  <si>
    <t>希望手取り額</t>
  </si>
  <si>
    <t>現在の手取り額</t>
  </si>
  <si>
    <t>社長の役員報酬</t>
  </si>
  <si>
    <t>法人手取り額</t>
  </si>
  <si>
    <t>個人手取り額</t>
  </si>
  <si>
    <t>①合算手取り額</t>
  </si>
  <si>
    <t>現在との比較</t>
  </si>
  <si>
    <t>事業所得の金額</t>
  </si>
  <si>
    <t>社長手取り額</t>
  </si>
  <si>
    <t>合算手取り額</t>
  </si>
  <si>
    <t>手取り増加額</t>
  </si>
  <si>
    <t>法人成後役員報酬</t>
  </si>
  <si>
    <t>現状の事業所得</t>
  </si>
  <si>
    <t>法人へ移転する所得</t>
  </si>
  <si>
    <t>法人成り後事業所得</t>
  </si>
  <si>
    <t>役員報酬の刻み</t>
  </si>
  <si>
    <t>法人成りシュミレーション</t>
  </si>
  <si>
    <t>PLAN1：</t>
  </si>
  <si>
    <t>PLAN2：</t>
  </si>
  <si>
    <t>法人成り後</t>
  </si>
  <si>
    <t>差引</t>
  </si>
  <si>
    <t>給与収入金額</t>
  </si>
  <si>
    <t>法人税等</t>
  </si>
  <si>
    <t>個人所得税等</t>
  </si>
  <si>
    <t>税金</t>
  </si>
  <si>
    <t>社会保険料個人負担</t>
  </si>
  <si>
    <t>社会保険料法人負担</t>
  </si>
  <si>
    <t>※従業員分含む</t>
  </si>
  <si>
    <t>税金・社会保険料負担</t>
  </si>
  <si>
    <t>合算手取り増減額</t>
  </si>
  <si>
    <t>P1</t>
  </si>
  <si>
    <t>P2</t>
  </si>
  <si>
    <t>法人成り後に実施する決算対策による手取りの増減　P1-P2</t>
  </si>
  <si>
    <t>内訳：　個人の手取り増加</t>
  </si>
  <si>
    <t>　　　　法人の手取り増加</t>
  </si>
  <si>
    <t>セーフティ共済、生命保険等の簿外資産　参考</t>
  </si>
  <si>
    <t>法人成り有利不利判定シミュレーション</t>
  </si>
  <si>
    <t>法人税率（中小企業）</t>
  </si>
  <si>
    <t>１.現状（個人事業主）</t>
  </si>
  <si>
    <t>法人税率１</t>
  </si>
  <si>
    <t>個人計</t>
  </si>
  <si>
    <t>総合計</t>
  </si>
  <si>
    <t>法人税率2</t>
  </si>
  <si>
    <t xml:space="preserve"> ①事業所得金額</t>
  </si>
  <si>
    <t>地方法人税率</t>
  </si>
  <si>
    <t xml:space="preserve"> ②青色申告特別控除</t>
  </si>
  <si>
    <t>都道府県民税率1</t>
  </si>
  <si>
    <t xml:space="preserve"> ③給与収入他の所得</t>
  </si>
  <si>
    <t>A</t>
  </si>
  <si>
    <t>収入合計</t>
  </si>
  <si>
    <t>市町村民税率</t>
  </si>
  <si>
    <t>医療法人</t>
  </si>
  <si>
    <t xml:space="preserve"> 所 得 税</t>
  </si>
  <si>
    <t>事業税率1</t>
  </si>
  <si>
    <t xml:space="preserve"> 住 民 税</t>
  </si>
  <si>
    <t>事業税率2</t>
  </si>
  <si>
    <t xml:space="preserve"> 事 業 税</t>
  </si>
  <si>
    <t>事業税率3</t>
  </si>
  <si>
    <t>B</t>
  </si>
  <si>
    <t xml:space="preserve"> 税金合計</t>
  </si>
  <si>
    <t>特別法人事業税率</t>
  </si>
  <si>
    <t>C</t>
  </si>
  <si>
    <t>法人所得</t>
  </si>
  <si>
    <t>D=B+C</t>
  </si>
  <si>
    <t>税金社会保険合計</t>
  </si>
  <si>
    <t xml:space="preserve"> 手 取 額</t>
  </si>
  <si>
    <t>①事業所得金額</t>
  </si>
  <si>
    <t>税負担率</t>
  </si>
  <si>
    <t>　事業所得金額法人成り後</t>
  </si>
  <si>
    <t>２.法人成り後</t>
  </si>
  <si>
    <t>②青色申告控除</t>
  </si>
  <si>
    <t xml:space="preserve"> 法 人</t>
  </si>
  <si>
    <t xml:space="preserve"> 社 長</t>
  </si>
  <si>
    <t xml:space="preserve"> 役員1</t>
  </si>
  <si>
    <t xml:space="preserve"> 役員2</t>
  </si>
  <si>
    <t xml:space="preserve"> 役員3</t>
  </si>
  <si>
    <t>③専従者給与</t>
  </si>
  <si>
    <t xml:space="preserve"> 法人所得金額/事業所得金額</t>
  </si>
  <si>
    <t>④給与支払い</t>
  </si>
  <si>
    <t xml:space="preserve"> ④給与収入</t>
  </si>
  <si>
    <t>⑤社会保険料会社負担分</t>
  </si>
  <si>
    <t>繰越欠損金</t>
  </si>
  <si>
    <t xml:space="preserve"> 法人/所 得 税</t>
  </si>
  <si>
    <t>年間従業員給料額</t>
  </si>
  <si>
    <t>会社負担保険料率</t>
  </si>
  <si>
    <t>☆</t>
  </si>
  <si>
    <t>⑤社会保険料</t>
  </si>
  <si>
    <t>従業員会社負担分</t>
  </si>
  <si>
    <t>地方法人特別税率</t>
  </si>
  <si>
    <t>役員分</t>
  </si>
  <si>
    <t xml:space="preserve"> 決算対策後手 取 額</t>
  </si>
  <si>
    <t>社会保険料会社負担分</t>
  </si>
  <si>
    <t>健康保険　1/2</t>
  </si>
  <si>
    <t>☆参考</t>
  </si>
  <si>
    <t>*1　シミュレーションの決算対策を調整しています</t>
  </si>
  <si>
    <t>介護保険　1/2</t>
  </si>
  <si>
    <t>法人成り有利不利判定表</t>
  </si>
  <si>
    <t>厚生年金　1/2</t>
  </si>
  <si>
    <t>差額</t>
  </si>
  <si>
    <t>収入金額</t>
  </si>
  <si>
    <t>税金合計</t>
  </si>
  <si>
    <t>医療法人の場合チェック</t>
  </si>
  <si>
    <t>社会保険分医業収入</t>
  </si>
  <si>
    <t>総収入金額</t>
  </si>
  <si>
    <t>法人成り後支出額</t>
  </si>
  <si>
    <t>社会保険分の所得金額</t>
  </si>
  <si>
    <t>法人成り後個人収入額</t>
  </si>
  <si>
    <t>合算手取り額</t>
    <rPh sb="0" eb="2">
      <t>ガッサン</t>
    </rPh>
    <rPh sb="2" eb="4">
      <t>テド</t>
    </rPh>
    <rPh sb="5" eb="6">
      <t>ガク</t>
    </rPh>
    <phoneticPr fontId="6"/>
  </si>
  <si>
    <t>法人手取り額</t>
    <rPh sb="0" eb="2">
      <t>ホウジン</t>
    </rPh>
    <rPh sb="2" eb="4">
      <t>テド</t>
    </rPh>
    <rPh sb="5" eb="6">
      <t>ガク</t>
    </rPh>
    <phoneticPr fontId="6"/>
  </si>
  <si>
    <t>個人手取り額</t>
    <rPh sb="0" eb="2">
      <t>コジン</t>
    </rPh>
    <rPh sb="2" eb="4">
      <t>テド</t>
    </rPh>
    <rPh sb="5" eb="6">
      <t>ガク</t>
    </rPh>
    <phoneticPr fontId="6"/>
  </si>
  <si>
    <t>完全法人成り役員報酬600万円</t>
    <rPh sb="0" eb="2">
      <t>カンゼン</t>
    </rPh>
    <rPh sb="2" eb="5">
      <t>ホウジンナ</t>
    </rPh>
    <rPh sb="6" eb="10">
      <t>ヤクインホウシュウ</t>
    </rPh>
    <rPh sb="13" eb="14">
      <t>マン</t>
    </rPh>
    <rPh sb="14" eb="15">
      <t>エン</t>
    </rPh>
    <phoneticPr fontId="6"/>
  </si>
  <si>
    <t>マイクロ法人成り　300万円法人に移転</t>
    <rPh sb="4" eb="7">
      <t>ホウジンナ</t>
    </rPh>
    <rPh sb="12" eb="13">
      <t>マン</t>
    </rPh>
    <rPh sb="13" eb="14">
      <t>エン</t>
    </rPh>
    <rPh sb="14" eb="16">
      <t>ホウジン</t>
    </rPh>
    <rPh sb="17" eb="19">
      <t>イテン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</si>
</sst>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
    <numFmt numFmtId="177" formatCode="0.0%"/>
  </numFmts>
  <fonts count="49" x14ac:knownFonts="1">
    <font>
      <sz val="9"/>
      <color theme="1"/>
      <name val="メイリオ"/>
      <family val="2"/>
      <charset val="128"/>
    </font>
    <font>
      <sz val="10"/>
      <color theme="1"/>
      <name val="メイリオ"/>
      <family val="2"/>
      <charset val="128"/>
    </font>
    <font>
      <sz val="9"/>
      <color rgb="FF000000"/>
      <name val="Meiryo UI"/>
      <family val="3"/>
      <charset val="128"/>
    </font>
    <font>
      <sz val="10"/>
      <color rgb="FFFF0000"/>
      <name val="メイリオ"/>
      <family val="3"/>
      <charset val="128"/>
    </font>
    <font>
      <sz val="9"/>
      <color theme="1"/>
      <name val="メイリオ"/>
      <family val="2"/>
      <charset val="128"/>
    </font>
    <font>
      <sz val="8"/>
      <color theme="1"/>
      <name val="メイリオ"/>
      <family val="3"/>
      <charset val="128"/>
    </font>
    <font>
      <sz val="6"/>
      <name val="メイリオ"/>
      <family val="2"/>
      <charset val="128"/>
    </font>
    <font>
      <b/>
      <sz val="14"/>
      <name val="メイリオ"/>
      <family val="3"/>
      <charset val="128"/>
    </font>
    <font>
      <sz val="14"/>
      <color theme="0"/>
      <name val="メイリオ"/>
      <family val="3"/>
      <charset val="128"/>
    </font>
    <font>
      <sz val="8"/>
      <color theme="0"/>
      <name val="メイリオ"/>
      <family val="3"/>
      <charset val="128"/>
    </font>
    <font>
      <b/>
      <sz val="16"/>
      <color rgb="FF0070C0"/>
      <name val="メイリオ"/>
      <family val="3"/>
      <charset val="128"/>
    </font>
    <font>
      <b/>
      <sz val="16"/>
      <color theme="1"/>
      <name val="メイリオ"/>
      <family val="3"/>
      <charset val="128"/>
    </font>
    <font>
      <b/>
      <sz val="12"/>
      <color rgb="FF0070C0"/>
      <name val="メイリオ"/>
      <family val="3"/>
      <charset val="128"/>
    </font>
    <font>
      <b/>
      <sz val="11"/>
      <name val="メイリオ"/>
      <family val="3"/>
      <charset val="128"/>
    </font>
    <font>
      <b/>
      <sz val="12"/>
      <color theme="1"/>
      <name val="メイリオ"/>
      <family val="3"/>
      <charset val="128"/>
    </font>
    <font>
      <b/>
      <sz val="8"/>
      <color theme="1"/>
      <name val="メイリオ"/>
      <family val="3"/>
      <charset val="128"/>
    </font>
    <font>
      <sz val="12"/>
      <color theme="1"/>
      <name val="メイリオ"/>
      <family val="3"/>
      <charset val="128"/>
    </font>
    <font>
      <sz val="12"/>
      <name val="メイリオ"/>
      <family val="3"/>
      <charset val="128"/>
    </font>
    <font>
      <b/>
      <sz val="12"/>
      <color theme="0"/>
      <name val="メイリオ"/>
      <family val="3"/>
      <charset val="128"/>
    </font>
    <font>
      <sz val="11"/>
      <color theme="1"/>
      <name val="游ゴシック"/>
      <family val="2"/>
      <charset val="128"/>
      <scheme val="minor"/>
    </font>
    <font>
      <sz val="12"/>
      <color theme="1"/>
      <name val="メイリオ"/>
      <family val="2"/>
      <charset val="128"/>
    </font>
    <font>
      <b/>
      <sz val="9"/>
      <name val="メイリオ"/>
      <family val="3"/>
      <charset val="128"/>
    </font>
    <font>
      <b/>
      <sz val="9"/>
      <color theme="1"/>
      <name val="メイリオ"/>
      <family val="3"/>
      <charset val="128"/>
    </font>
    <font>
      <sz val="11"/>
      <name val="ＭＳ Ｐゴシック"/>
      <family val="3"/>
      <charset val="128"/>
    </font>
    <font>
      <sz val="9"/>
      <name val="メイリオ"/>
      <family val="3"/>
      <charset val="128"/>
    </font>
    <font>
      <sz val="9"/>
      <color theme="1"/>
      <name val="メイリオ"/>
      <family val="3"/>
      <charset val="128"/>
    </font>
    <font>
      <b/>
      <sz val="9"/>
      <color rgb="FFFF0000"/>
      <name val="メイリオ"/>
      <family val="3"/>
      <charset val="128"/>
    </font>
    <font>
      <b/>
      <sz val="12"/>
      <name val="メイリオ"/>
      <family val="3"/>
      <charset val="128"/>
    </font>
    <font>
      <sz val="8"/>
      <color indexed="8"/>
      <name val="メイリオ"/>
      <family val="3"/>
      <charset val="128"/>
    </font>
    <font>
      <b/>
      <sz val="14"/>
      <color theme="1"/>
      <name val="メイリオ"/>
      <family val="3"/>
      <charset val="128"/>
    </font>
    <font>
      <sz val="14"/>
      <color theme="1"/>
      <name val="メイリオ"/>
      <family val="3"/>
      <charset val="128"/>
    </font>
    <font>
      <u val="double"/>
      <sz val="14"/>
      <color theme="1"/>
      <name val="メイリオ"/>
      <family val="3"/>
      <charset val="128"/>
    </font>
    <font>
      <sz val="9"/>
      <color rgb="FF000000"/>
      <name val="メイリオ"/>
      <family val="3"/>
      <charset val="128"/>
    </font>
    <font>
      <b/>
      <sz val="10"/>
      <color theme="1"/>
      <name val="メイリオ"/>
      <family val="3"/>
      <charset val="128"/>
    </font>
    <font>
      <b/>
      <sz val="9"/>
      <color theme="0"/>
      <name val="メイリオ"/>
      <family val="3"/>
      <charset val="128"/>
    </font>
    <font>
      <b/>
      <sz val="11"/>
      <color theme="1"/>
      <name val="メイリオ"/>
      <family val="3"/>
      <charset val="128"/>
    </font>
    <font>
      <b/>
      <i/>
      <sz val="9"/>
      <color theme="1"/>
      <name val="メイリオ"/>
      <family val="3"/>
      <charset val="128"/>
    </font>
    <font>
      <sz val="14"/>
      <color rgb="FF000000"/>
      <name val="メイリオ"/>
      <family val="3"/>
      <charset val="128"/>
    </font>
    <font>
      <sz val="11"/>
      <color rgb="FF000000"/>
      <name val="メイリオ"/>
      <family val="3"/>
      <charset val="128"/>
    </font>
    <font>
      <sz val="24"/>
      <color theme="1"/>
      <name val="メイリオ"/>
      <family val="2"/>
      <charset val="128"/>
    </font>
    <font>
      <u/>
      <sz val="9"/>
      <color theme="10"/>
      <name val="メイリオ"/>
      <family val="2"/>
      <charset val="128"/>
    </font>
    <font>
      <sz val="10"/>
      <color theme="1"/>
      <name val="メイリオ"/>
      <family val="3"/>
      <charset val="128"/>
    </font>
    <font>
      <b/>
      <sz val="10"/>
      <color theme="0"/>
      <name val="メイリオ"/>
      <family val="3"/>
      <charset val="128"/>
    </font>
    <font>
      <sz val="10"/>
      <color indexed="8"/>
      <name val="メイリオ"/>
      <family val="3"/>
      <charset val="128"/>
    </font>
    <font>
      <sz val="10"/>
      <color theme="4"/>
      <name val="メイリオ"/>
      <family val="3"/>
      <charset val="128"/>
    </font>
    <font>
      <b/>
      <sz val="12"/>
      <name val="ＭＳ Ｐゴシック"/>
      <family val="3"/>
      <charset val="128"/>
    </font>
    <font>
      <sz val="9"/>
      <color theme="0"/>
      <name val="メイリオ"/>
      <family val="2"/>
      <charset val="128"/>
    </font>
    <font>
      <u/>
      <sz val="11"/>
      <color theme="10"/>
      <name val="メイリオ"/>
      <family val="2"/>
      <charset val="128"/>
    </font>
    <font>
      <sz val="11"/>
      <color theme="1"/>
      <name val="メイリオ"/>
      <family val="3"/>
      <charset val="128"/>
    </font>
  </fonts>
  <fills count="14">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E1F0FF"/>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4"/>
        <bgColor theme="4"/>
      </patternFill>
    </fill>
    <fill>
      <patternFill patternType="solid">
        <fgColor theme="6" tint="0.79998168889431442"/>
        <bgColor indexed="64"/>
      </patternFill>
    </fill>
    <fill>
      <patternFill patternType="solid">
        <fgColor theme="4" tint="-0.249977111117893"/>
        <bgColor indexed="64"/>
      </patternFill>
    </fill>
  </fills>
  <borders count="132">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dotted">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medium">
        <color indexed="64"/>
      </right>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medium">
        <color indexed="64"/>
      </left>
      <right style="thin">
        <color indexed="64"/>
      </right>
      <top style="medium">
        <color indexed="64"/>
      </top>
      <bottom style="medium">
        <color indexed="64"/>
      </bottom>
      <diagonal style="thin">
        <color indexed="64"/>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dotted">
        <color indexed="64"/>
      </left>
      <right/>
      <top/>
      <bottom style="dotted">
        <color indexed="64"/>
      </bottom>
      <diagonal/>
    </border>
    <border>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top style="medium">
        <color indexed="64"/>
      </top>
      <bottom style="thin">
        <color indexed="64"/>
      </bottom>
      <diagonal/>
    </border>
    <border>
      <left style="medium">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otted">
        <color indexed="64"/>
      </top>
      <bottom style="dotted">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medium">
        <color indexed="64"/>
      </left>
      <right style="thin">
        <color indexed="64"/>
      </right>
      <top style="dotted">
        <color indexed="64"/>
      </top>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top/>
      <bottom/>
      <diagonal/>
    </border>
    <border>
      <left/>
      <right/>
      <top/>
      <bottom style="dotted">
        <color indexed="64"/>
      </bottom>
      <diagonal/>
    </border>
    <border>
      <left/>
      <right/>
      <top style="dotted">
        <color indexed="64"/>
      </top>
      <bottom style="dotted">
        <color indexed="64"/>
      </bottom>
      <diagonal/>
    </border>
    <border>
      <left style="dotted">
        <color indexed="64"/>
      </left>
      <right/>
      <top style="thin">
        <color indexed="64"/>
      </top>
      <bottom style="medium">
        <color indexed="64"/>
      </bottom>
      <diagonal/>
    </border>
    <border>
      <left style="thin">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thin">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thin">
        <color auto="1"/>
      </left>
      <right style="dashed">
        <color auto="1"/>
      </right>
      <top style="dashed">
        <color auto="1"/>
      </top>
      <bottom style="thin">
        <color auto="1"/>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style="dashed">
        <color auto="1"/>
      </right>
      <top style="dashed">
        <color auto="1"/>
      </top>
      <bottom style="medium">
        <color auto="1"/>
      </bottom>
      <diagonal/>
    </border>
    <border>
      <left style="dashed">
        <color auto="1"/>
      </left>
      <right style="medium">
        <color auto="1"/>
      </right>
      <top style="dashed">
        <color auto="1"/>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dashed">
        <color auto="1"/>
      </left>
      <right style="dashed">
        <color auto="1"/>
      </right>
      <top style="medium">
        <color indexed="64"/>
      </top>
      <bottom style="dashed">
        <color auto="1"/>
      </bottom>
      <diagonal/>
    </border>
    <border>
      <left style="dashed">
        <color auto="1"/>
      </left>
      <right style="dashed">
        <color auto="1"/>
      </right>
      <top style="dashed">
        <color auto="1"/>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dashed">
        <color auto="1"/>
      </left>
      <right style="medium">
        <color auto="1"/>
      </right>
      <top style="dashed">
        <color auto="1"/>
      </top>
      <bottom/>
      <diagonal/>
    </border>
    <border>
      <left style="medium">
        <color auto="1"/>
      </left>
      <right/>
      <top style="medium">
        <color auto="1"/>
      </top>
      <bottom style="dashed">
        <color auto="1"/>
      </bottom>
      <diagonal/>
    </border>
    <border>
      <left style="medium">
        <color auto="1"/>
      </left>
      <right/>
      <top style="dashed">
        <color auto="1"/>
      </top>
      <bottom style="dashed">
        <color auto="1"/>
      </bottom>
      <diagonal/>
    </border>
    <border>
      <left style="medium">
        <color auto="1"/>
      </left>
      <right/>
      <top style="dashed">
        <color auto="1"/>
      </top>
      <bottom/>
      <diagonal/>
    </border>
    <border>
      <left style="dashed">
        <color auto="1"/>
      </left>
      <right style="medium">
        <color indexed="64"/>
      </right>
      <top/>
      <bottom style="medium">
        <color indexed="64"/>
      </bottom>
      <diagonal/>
    </border>
    <border>
      <left style="medium">
        <color auto="1"/>
      </left>
      <right/>
      <top style="dashed">
        <color auto="1"/>
      </top>
      <bottom style="medium">
        <color auto="1"/>
      </bottom>
      <diagonal/>
    </border>
    <border>
      <left style="dashed">
        <color auto="1"/>
      </left>
      <right style="medium">
        <color auto="1"/>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right style="dashed">
        <color auto="1"/>
      </right>
      <top style="dashed">
        <color auto="1"/>
      </top>
      <bottom style="dashed">
        <color auto="1"/>
      </bottom>
      <diagonal/>
    </border>
    <border>
      <left style="dashed">
        <color auto="1"/>
      </left>
      <right/>
      <top style="thin">
        <color auto="1"/>
      </top>
      <bottom style="dashed">
        <color auto="1"/>
      </bottom>
      <diagonal/>
    </border>
    <border>
      <left style="dashed">
        <color auto="1"/>
      </left>
      <right/>
      <top style="thin">
        <color auto="1"/>
      </top>
      <bottom/>
      <diagonal/>
    </border>
    <border>
      <left style="dashed">
        <color auto="1"/>
      </left>
      <right style="dashed">
        <color auto="1"/>
      </right>
      <top/>
      <bottom style="dashed">
        <color auto="1"/>
      </bottom>
      <diagonal/>
    </border>
    <border>
      <left style="medium">
        <color indexed="64"/>
      </left>
      <right style="medium">
        <color indexed="64"/>
      </right>
      <top style="medium">
        <color indexed="64"/>
      </top>
      <bottom style="dashed">
        <color auto="1"/>
      </bottom>
      <diagonal/>
    </border>
    <border>
      <left style="medium">
        <color indexed="64"/>
      </left>
      <right style="medium">
        <color indexed="64"/>
      </right>
      <top style="thin">
        <color auto="1"/>
      </top>
      <bottom style="dashed">
        <color auto="1"/>
      </bottom>
      <diagonal/>
    </border>
    <border>
      <left style="medium">
        <color indexed="64"/>
      </left>
      <right style="medium">
        <color indexed="64"/>
      </right>
      <top style="thin">
        <color auto="1"/>
      </top>
      <bottom style="medium">
        <color indexed="64"/>
      </bottom>
      <diagonal/>
    </border>
    <border>
      <left style="dashed">
        <color auto="1"/>
      </left>
      <right/>
      <top style="dashed">
        <color auto="1"/>
      </top>
      <bottom style="dashed">
        <color auto="1"/>
      </bottom>
      <diagonal/>
    </border>
    <border>
      <left style="dashed">
        <color auto="1"/>
      </left>
      <right style="medium">
        <color auto="1"/>
      </right>
      <top/>
      <bottom style="dashed">
        <color auto="1"/>
      </bottom>
      <diagonal/>
    </border>
    <border>
      <left style="medium">
        <color indexed="64"/>
      </left>
      <right style="medium">
        <color indexed="64"/>
      </right>
      <top style="dashed">
        <color auto="1"/>
      </top>
      <bottom style="dashed">
        <color auto="1"/>
      </bottom>
      <diagonal/>
    </border>
    <border>
      <left style="medium">
        <color indexed="64"/>
      </left>
      <right style="medium">
        <color indexed="64"/>
      </right>
      <top style="dashed">
        <color auto="1"/>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dotted">
        <color indexed="64"/>
      </right>
      <top/>
      <bottom style="medium">
        <color indexed="64"/>
      </bottom>
      <diagonal/>
    </border>
    <border>
      <left/>
      <right style="dotted">
        <color indexed="64"/>
      </right>
      <top/>
      <bottom style="medium">
        <color indexed="64"/>
      </bottom>
      <diagonal/>
    </border>
    <border>
      <left style="dotted">
        <color indexed="64"/>
      </left>
      <right/>
      <top style="medium">
        <color indexed="64"/>
      </top>
      <bottom style="medium">
        <color indexed="64"/>
      </bottom>
      <diagonal/>
    </border>
    <border>
      <left style="medium">
        <color auto="1"/>
      </left>
      <right style="dashed">
        <color auto="1"/>
      </right>
      <top/>
      <bottom style="dashed">
        <color auto="1"/>
      </bottom>
      <diagonal/>
    </border>
    <border>
      <left style="medium">
        <color auto="1"/>
      </left>
      <right style="dashed">
        <color auto="1"/>
      </right>
      <top style="medium">
        <color auto="1"/>
      </top>
      <bottom style="medium">
        <color auto="1"/>
      </bottom>
      <diagonal/>
    </border>
    <border>
      <left style="dashed">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style="dotted">
        <color indexed="64"/>
      </bottom>
      <diagonal/>
    </border>
    <border>
      <left style="medium">
        <color indexed="64"/>
      </left>
      <right style="medium">
        <color indexed="64"/>
      </right>
      <top style="thin">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dashed">
        <color auto="1"/>
      </left>
      <right style="medium">
        <color auto="1"/>
      </right>
      <top style="dashed">
        <color auto="1"/>
      </top>
      <bottom style="dotted">
        <color auto="1"/>
      </bottom>
      <diagonal/>
    </border>
    <border>
      <left/>
      <right style="dotted">
        <color indexed="64"/>
      </right>
      <top style="thin">
        <color indexed="64"/>
      </top>
      <bottom style="medium">
        <color indexed="64"/>
      </bottom>
      <diagonal/>
    </border>
    <border>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thin">
        <color indexed="64"/>
      </left>
      <right style="thin">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auto="1"/>
      </left>
      <right style="dashed">
        <color auto="1"/>
      </right>
      <top style="dashed">
        <color auto="1"/>
      </top>
      <bottom/>
      <diagonal/>
    </border>
    <border>
      <left style="dashed">
        <color auto="1"/>
      </left>
      <right style="dashed">
        <color auto="1"/>
      </right>
      <top style="dashed">
        <color auto="1"/>
      </top>
      <bottom/>
      <diagonal/>
    </border>
    <border>
      <left/>
      <right style="thin">
        <color indexed="64"/>
      </right>
      <top style="medium">
        <color indexed="64"/>
      </top>
      <bottom style="medium">
        <color indexed="64"/>
      </bottom>
      <diagonal/>
    </border>
    <border>
      <left style="medium">
        <color indexed="64"/>
      </left>
      <right style="dotted">
        <color indexed="64"/>
      </right>
      <top/>
      <bottom style="medium">
        <color indexed="64"/>
      </bottom>
      <diagonal/>
    </border>
    <border>
      <left style="dotted">
        <color indexed="64"/>
      </left>
      <right/>
      <top/>
      <bottom style="medium">
        <color indexed="64"/>
      </bottom>
      <diagonal/>
    </border>
    <border>
      <left/>
      <right style="medium">
        <color indexed="64"/>
      </right>
      <top/>
      <bottom style="medium">
        <color indexed="64"/>
      </bottom>
      <diagonal/>
    </border>
  </borders>
  <cellStyleXfs count="13">
    <xf numFmtId="0" fontId="0" fillId="0" borderId="0">
      <alignment vertical="center"/>
    </xf>
    <xf numFmtId="38" fontId="4" fillId="0" borderId="0">
      <alignment vertical="center"/>
    </xf>
    <xf numFmtId="9" fontId="4" fillId="0" borderId="0">
      <alignment vertical="center"/>
    </xf>
    <xf numFmtId="0" fontId="1" fillId="0" borderId="0">
      <alignment vertical="center"/>
    </xf>
    <xf numFmtId="38" fontId="19" fillId="0" borderId="0">
      <alignment vertical="center"/>
    </xf>
    <xf numFmtId="0" fontId="19" fillId="0" borderId="0">
      <alignment vertical="center"/>
    </xf>
    <xf numFmtId="38" fontId="20" fillId="0" borderId="0">
      <alignment vertical="center"/>
    </xf>
    <xf numFmtId="9" fontId="20" fillId="0" borderId="0">
      <alignment vertical="center"/>
    </xf>
    <xf numFmtId="38" fontId="23" fillId="0" borderId="0">
      <alignment vertical="center"/>
    </xf>
    <xf numFmtId="9" fontId="23" fillId="0" borderId="0">
      <alignment vertical="center"/>
    </xf>
    <xf numFmtId="9" fontId="19" fillId="0" borderId="0">
      <alignment vertical="center"/>
    </xf>
    <xf numFmtId="9" fontId="1" fillId="0" borderId="0">
      <alignment vertical="center"/>
    </xf>
    <xf numFmtId="0" fontId="40" fillId="0" borderId="0">
      <alignment vertical="center"/>
    </xf>
  </cellStyleXfs>
  <cellXfs count="400">
    <xf numFmtId="0" fontId="0" fillId="0" borderId="0" xfId="0">
      <alignment vertical="center"/>
    </xf>
    <xf numFmtId="38" fontId="5" fillId="0" borderId="0" xfId="1" applyFont="1" applyAlignment="1">
      <alignment vertical="center" shrinkToFit="1"/>
    </xf>
    <xf numFmtId="38" fontId="5" fillId="0" borderId="0" xfId="1" applyFont="1" applyAlignment="1">
      <alignment shrinkToFit="1"/>
    </xf>
    <xf numFmtId="38" fontId="7" fillId="0" borderId="0" xfId="1" applyFont="1" applyAlignment="1">
      <alignment horizontal="left" vertical="top"/>
    </xf>
    <xf numFmtId="38" fontId="8" fillId="0" borderId="0" xfId="1" applyFont="1" applyAlignment="1">
      <alignment horizontal="center" vertical="center" shrinkToFit="1"/>
    </xf>
    <xf numFmtId="38" fontId="9" fillId="0" borderId="0" xfId="1" applyFont="1" applyAlignment="1">
      <alignment horizontal="center" vertical="center" shrinkToFit="1"/>
    </xf>
    <xf numFmtId="38" fontId="10" fillId="0" borderId="0" xfId="1" applyFont="1" applyAlignment="1">
      <alignment horizontal="center" vertical="top" shrinkToFit="1"/>
    </xf>
    <xf numFmtId="38" fontId="11" fillId="0" borderId="0" xfId="1" applyFont="1" applyAlignment="1">
      <alignment horizontal="center" vertical="top" shrinkToFit="1"/>
    </xf>
    <xf numFmtId="38" fontId="5" fillId="0" borderId="0" xfId="1" applyFont="1" applyAlignment="1">
      <alignment horizontal="center" vertical="center" shrinkToFit="1"/>
    </xf>
    <xf numFmtId="38" fontId="10" fillId="0" borderId="0" xfId="1" applyFont="1" applyAlignment="1">
      <alignment horizontal="right" vertical="top" shrinkToFit="1"/>
    </xf>
    <xf numFmtId="38" fontId="12" fillId="0" borderId="0" xfId="1" applyFont="1" applyAlignment="1">
      <alignment horizontal="center" shrinkToFit="1"/>
    </xf>
    <xf numFmtId="38" fontId="13" fillId="0" borderId="0" xfId="1" applyFont="1" applyAlignment="1">
      <alignment horizontal="center" vertical="center" shrinkToFit="1"/>
    </xf>
    <xf numFmtId="38" fontId="14" fillId="0" borderId="0" xfId="1" applyFont="1" applyAlignment="1">
      <alignment shrinkToFit="1"/>
    </xf>
    <xf numFmtId="38" fontId="16" fillId="0" borderId="0" xfId="1" applyFont="1" applyAlignment="1">
      <alignment vertical="center" shrinkToFit="1"/>
    </xf>
    <xf numFmtId="38" fontId="16" fillId="0" borderId="0" xfId="1" applyFont="1">
      <alignment vertical="center"/>
    </xf>
    <xf numFmtId="38" fontId="14" fillId="0" borderId="0" xfId="1" applyFont="1" applyAlignment="1">
      <alignment vertical="center" shrinkToFit="1"/>
    </xf>
    <xf numFmtId="38" fontId="14" fillId="0" borderId="0" xfId="1" applyFont="1">
      <alignment vertical="center"/>
    </xf>
    <xf numFmtId="38" fontId="5" fillId="0" borderId="0" xfId="1" applyFont="1">
      <alignment vertical="center"/>
    </xf>
    <xf numFmtId="176" fontId="14" fillId="0" borderId="0" xfId="1" applyNumberFormat="1" applyFont="1" applyAlignment="1">
      <alignment horizontal="center" shrinkToFit="1"/>
    </xf>
    <xf numFmtId="38" fontId="14" fillId="0" borderId="0" xfId="1" applyFont="1" applyAlignment="1">
      <alignment horizontal="centerContinuous" vertical="center" shrinkToFit="1"/>
    </xf>
    <xf numFmtId="38" fontId="16" fillId="0" borderId="0" xfId="1" applyFont="1" applyAlignment="1">
      <alignment horizontal="centerContinuous" vertical="center" shrinkToFit="1"/>
    </xf>
    <xf numFmtId="38" fontId="20" fillId="0" borderId="0" xfId="8" applyFont="1">
      <alignment vertical="center"/>
    </xf>
    <xf numFmtId="38" fontId="24" fillId="0" borderId="25" xfId="4" applyFont="1" applyBorder="1" applyAlignment="1">
      <alignment vertical="center" shrinkToFit="1"/>
    </xf>
    <xf numFmtId="38" fontId="24" fillId="0" borderId="15" xfId="4" applyFont="1" applyBorder="1" applyAlignment="1">
      <alignment vertical="center" shrinkToFit="1"/>
    </xf>
    <xf numFmtId="38" fontId="25" fillId="0" borderId="26" xfId="4" applyFont="1" applyBorder="1" applyAlignment="1">
      <alignment vertical="center" shrinkToFit="1"/>
    </xf>
    <xf numFmtId="38" fontId="16" fillId="0" borderId="23" xfId="1" applyFont="1" applyBorder="1" applyAlignment="1" applyProtection="1">
      <alignment vertical="center" shrinkToFit="1"/>
      <protection locked="0"/>
    </xf>
    <xf numFmtId="38" fontId="24" fillId="0" borderId="27" xfId="4" applyFont="1" applyBorder="1" applyAlignment="1">
      <alignment vertical="center" shrinkToFit="1"/>
    </xf>
    <xf numFmtId="38" fontId="16" fillId="0" borderId="28" xfId="1" applyFont="1" applyBorder="1" applyAlignment="1" applyProtection="1">
      <alignment vertical="center" shrinkToFit="1"/>
      <protection locked="0"/>
    </xf>
    <xf numFmtId="38" fontId="25" fillId="5" borderId="0" xfId="5" applyNumberFormat="1" applyFont="1" applyFill="1" applyAlignment="1">
      <alignment vertical="center" shrinkToFit="1"/>
    </xf>
    <xf numFmtId="38" fontId="16" fillId="0" borderId="29" xfId="1" applyFont="1" applyBorder="1" applyAlignment="1" applyProtection="1">
      <alignment vertical="center" shrinkToFit="1"/>
      <protection locked="0"/>
    </xf>
    <xf numFmtId="38" fontId="16" fillId="0" borderId="6" xfId="1" applyFont="1" applyBorder="1" applyAlignment="1" applyProtection="1">
      <alignment vertical="center" shrinkToFit="1"/>
      <protection locked="0"/>
    </xf>
    <xf numFmtId="38" fontId="24" fillId="5" borderId="15" xfId="4" applyFont="1" applyFill="1" applyBorder="1" applyAlignment="1">
      <alignment vertical="center" shrinkToFit="1"/>
    </xf>
    <xf numFmtId="38" fontId="16" fillId="0" borderId="29" xfId="1" applyFont="1" applyBorder="1" applyAlignment="1">
      <alignment vertical="center" shrinkToFit="1"/>
    </xf>
    <xf numFmtId="38" fontId="25" fillId="0" borderId="27" xfId="4" applyFont="1" applyBorder="1" applyAlignment="1">
      <alignment vertical="center" shrinkToFit="1"/>
    </xf>
    <xf numFmtId="38" fontId="25" fillId="0" borderId="15" xfId="4" applyFont="1" applyBorder="1" applyAlignment="1">
      <alignment vertical="center" shrinkToFit="1"/>
    </xf>
    <xf numFmtId="38" fontId="21" fillId="0" borderId="31" xfId="4" applyFont="1" applyBorder="1" applyAlignment="1">
      <alignment vertical="center" shrinkToFit="1"/>
    </xf>
    <xf numFmtId="38" fontId="21" fillId="0" borderId="21" xfId="4" applyFont="1" applyBorder="1" applyAlignment="1">
      <alignment vertical="center" shrinkToFit="1"/>
    </xf>
    <xf numFmtId="38" fontId="21" fillId="2" borderId="22" xfId="4" applyFont="1" applyFill="1" applyBorder="1" applyAlignment="1">
      <alignment vertical="center" shrinkToFit="1"/>
    </xf>
    <xf numFmtId="38" fontId="14" fillId="4" borderId="29" xfId="1" applyFont="1" applyFill="1" applyBorder="1" applyAlignment="1">
      <alignment vertical="center" shrinkToFit="1"/>
    </xf>
    <xf numFmtId="38" fontId="24" fillId="0" borderId="14" xfId="4" applyFont="1" applyBorder="1" applyAlignment="1">
      <alignment vertical="center" shrinkToFit="1"/>
    </xf>
    <xf numFmtId="10" fontId="24" fillId="0" borderId="32" xfId="10" applyNumberFormat="1" applyFont="1" applyBorder="1" applyAlignment="1">
      <alignment vertical="center" shrinkToFit="1"/>
    </xf>
    <xf numFmtId="38" fontId="26" fillId="0" borderId="16" xfId="4" applyFont="1" applyBorder="1" applyAlignment="1">
      <alignment vertical="center" shrinkToFit="1"/>
    </xf>
    <xf numFmtId="38" fontId="25" fillId="0" borderId="0" xfId="4" applyFont="1" applyAlignment="1">
      <alignment vertical="center" shrinkToFit="1"/>
    </xf>
    <xf numFmtId="38" fontId="24" fillId="0" borderId="0" xfId="4" applyFont="1" applyAlignment="1">
      <alignment vertical="center" shrinkToFit="1"/>
    </xf>
    <xf numFmtId="38" fontId="26" fillId="0" borderId="0" xfId="4" applyFont="1" applyAlignment="1">
      <alignment vertical="center" shrinkToFit="1"/>
    </xf>
    <xf numFmtId="38" fontId="24" fillId="0" borderId="33" xfId="4" applyFont="1" applyBorder="1" applyAlignment="1">
      <alignment vertical="center" shrinkToFit="1"/>
    </xf>
    <xf numFmtId="10" fontId="24" fillId="5" borderId="34" xfId="10" applyNumberFormat="1" applyFont="1" applyFill="1" applyBorder="1" applyAlignment="1" applyProtection="1">
      <alignment vertical="center" shrinkToFit="1"/>
      <protection locked="0"/>
    </xf>
    <xf numFmtId="38" fontId="25" fillId="0" borderId="35" xfId="4" applyFont="1" applyBorder="1" applyAlignment="1">
      <alignment vertical="center" shrinkToFit="1"/>
    </xf>
    <xf numFmtId="177" fontId="25" fillId="5" borderId="32" xfId="11" applyNumberFormat="1" applyFont="1" applyFill="1" applyBorder="1" applyAlignment="1" applyProtection="1">
      <alignment vertical="center" shrinkToFit="1"/>
      <protection locked="0"/>
    </xf>
    <xf numFmtId="38" fontId="24" fillId="0" borderId="18" xfId="4" applyFont="1" applyBorder="1" applyAlignment="1">
      <alignment vertical="center" shrinkToFit="1"/>
    </xf>
    <xf numFmtId="10" fontId="24" fillId="5" borderId="19" xfId="10" applyNumberFormat="1" applyFont="1" applyFill="1" applyBorder="1" applyAlignment="1" applyProtection="1">
      <alignment vertical="center" shrinkToFit="1"/>
      <protection locked="0"/>
    </xf>
    <xf numFmtId="0" fontId="25" fillId="0" borderId="0" xfId="5" applyFont="1" applyAlignment="1">
      <alignment vertical="center" shrinkToFit="1"/>
    </xf>
    <xf numFmtId="38" fontId="14" fillId="3" borderId="29" xfId="1" applyFont="1" applyFill="1" applyBorder="1" applyAlignment="1">
      <alignment vertical="center" shrinkToFit="1"/>
    </xf>
    <xf numFmtId="38" fontId="16" fillId="0" borderId="7" xfId="1" applyFont="1" applyBorder="1" applyAlignment="1">
      <alignment vertical="center" shrinkToFit="1"/>
    </xf>
    <xf numFmtId="38" fontId="14" fillId="0" borderId="0" xfId="1" applyFont="1" applyAlignment="1">
      <alignment horizontal="center" vertical="center" shrinkToFit="1"/>
    </xf>
    <xf numFmtId="38" fontId="24" fillId="0" borderId="17" xfId="4" applyFont="1" applyBorder="1" applyAlignment="1">
      <alignment vertical="center" shrinkToFit="1"/>
    </xf>
    <xf numFmtId="10" fontId="24" fillId="5" borderId="13" xfId="10" applyNumberFormat="1" applyFont="1" applyFill="1" applyBorder="1" applyAlignment="1" applyProtection="1">
      <alignment vertical="center" shrinkToFit="1"/>
      <protection locked="0"/>
    </xf>
    <xf numFmtId="38" fontId="14" fillId="0" borderId="0" xfId="1" applyFont="1" applyAlignment="1">
      <alignment horizontal="center" vertical="center"/>
    </xf>
    <xf numFmtId="38" fontId="24" fillId="0" borderId="36" xfId="4" applyFont="1" applyBorder="1" applyAlignment="1">
      <alignment vertical="center" shrinkToFit="1"/>
    </xf>
    <xf numFmtId="10" fontId="24" fillId="5" borderId="37" xfId="10" applyNumberFormat="1" applyFont="1" applyFill="1" applyBorder="1" applyAlignment="1" applyProtection="1">
      <alignment vertical="center" shrinkToFit="1"/>
      <protection locked="0"/>
    </xf>
    <xf numFmtId="38" fontId="24" fillId="5" borderId="13" xfId="4" applyFont="1" applyFill="1" applyBorder="1" applyAlignment="1" applyProtection="1">
      <alignment vertical="center" shrinkToFit="1"/>
      <protection locked="0"/>
    </xf>
    <xf numFmtId="38" fontId="24" fillId="5" borderId="38" xfId="4" applyFont="1" applyFill="1" applyBorder="1" applyAlignment="1" applyProtection="1">
      <alignment vertical="center" shrinkToFit="1"/>
      <protection locked="0"/>
    </xf>
    <xf numFmtId="38" fontId="22" fillId="0" borderId="0" xfId="4" applyFont="1" applyAlignment="1">
      <alignment horizontal="center" vertical="center" shrinkToFit="1"/>
    </xf>
    <xf numFmtId="38" fontId="16" fillId="0" borderId="8" xfId="1" applyFont="1" applyBorder="1" applyAlignment="1" applyProtection="1">
      <alignment vertical="center" shrinkToFit="1"/>
      <protection locked="0"/>
    </xf>
    <xf numFmtId="38" fontId="25" fillId="0" borderId="10" xfId="4" applyFont="1" applyBorder="1" applyProtection="1">
      <alignment vertical="center"/>
      <protection locked="0" hidden="1"/>
    </xf>
    <xf numFmtId="38" fontId="25" fillId="0" borderId="4" xfId="4" applyFont="1" applyBorder="1" applyProtection="1">
      <alignment vertical="center"/>
      <protection locked="0" hidden="1"/>
    </xf>
    <xf numFmtId="38" fontId="25" fillId="0" borderId="4" xfId="8" applyFont="1" applyBorder="1" applyProtection="1">
      <alignment vertical="center"/>
      <protection locked="0" hidden="1"/>
    </xf>
    <xf numFmtId="38" fontId="25" fillId="0" borderId="3" xfId="4" applyFont="1" applyBorder="1" applyProtection="1">
      <alignment vertical="center"/>
      <protection locked="0" hidden="1"/>
    </xf>
    <xf numFmtId="38" fontId="25" fillId="0" borderId="11" xfId="4" applyFont="1" applyBorder="1" applyProtection="1">
      <alignment vertical="center"/>
      <protection locked="0" hidden="1"/>
    </xf>
    <xf numFmtId="38" fontId="25" fillId="0" borderId="0" xfId="4" applyFont="1" applyProtection="1">
      <alignment vertical="center"/>
      <protection locked="0" hidden="1"/>
    </xf>
    <xf numFmtId="38" fontId="25" fillId="0" borderId="0" xfId="8" applyFont="1" applyProtection="1">
      <alignment vertical="center"/>
      <protection locked="0" hidden="1"/>
    </xf>
    <xf numFmtId="38" fontId="25" fillId="0" borderId="5" xfId="4" applyFont="1" applyBorder="1" applyProtection="1">
      <alignment vertical="center"/>
      <protection locked="0" hidden="1"/>
    </xf>
    <xf numFmtId="10" fontId="25" fillId="0" borderId="0" xfId="10" applyNumberFormat="1" applyFont="1" applyProtection="1">
      <alignment vertical="center"/>
      <protection locked="0" hidden="1"/>
    </xf>
    <xf numFmtId="38" fontId="27" fillId="0" borderId="0" xfId="1" applyFont="1">
      <alignment vertical="center"/>
    </xf>
    <xf numFmtId="38" fontId="18" fillId="0" borderId="0" xfId="1" applyFont="1">
      <alignment vertical="center"/>
    </xf>
    <xf numFmtId="38" fontId="15" fillId="0" borderId="0" xfId="1" applyFont="1">
      <alignment vertical="center"/>
    </xf>
    <xf numFmtId="38" fontId="22" fillId="0" borderId="0" xfId="1" applyFont="1" applyAlignment="1">
      <alignment horizontal="center" vertical="center" shrinkToFit="1"/>
    </xf>
    <xf numFmtId="38" fontId="25" fillId="0" borderId="12" xfId="4" applyFont="1" applyBorder="1" applyProtection="1">
      <alignment vertical="center"/>
      <protection locked="0" hidden="1"/>
    </xf>
    <xf numFmtId="38" fontId="25" fillId="0" borderId="1" xfId="4" applyFont="1" applyBorder="1" applyProtection="1">
      <alignment vertical="center"/>
      <protection locked="0" hidden="1"/>
    </xf>
    <xf numFmtId="38" fontId="25" fillId="0" borderId="1" xfId="8" applyFont="1" applyBorder="1" applyProtection="1">
      <alignment vertical="center"/>
      <protection locked="0" hidden="1"/>
    </xf>
    <xf numFmtId="38" fontId="25" fillId="0" borderId="9" xfId="4" applyFont="1" applyBorder="1" applyProtection="1">
      <alignment vertical="center"/>
      <protection locked="0" hidden="1"/>
    </xf>
    <xf numFmtId="38" fontId="28" fillId="0" borderId="0" xfId="1" applyFont="1" applyAlignment="1">
      <alignment vertical="center" shrinkToFit="1"/>
    </xf>
    <xf numFmtId="38" fontId="5" fillId="0" borderId="0" xfId="1" applyFont="1" applyAlignment="1" applyProtection="1">
      <alignment vertical="center" shrinkToFit="1"/>
      <protection hidden="1"/>
    </xf>
    <xf numFmtId="38" fontId="29" fillId="0" borderId="0" xfId="1" applyFont="1" applyAlignment="1">
      <alignment vertical="center" shrinkToFit="1"/>
    </xf>
    <xf numFmtId="176" fontId="14" fillId="0" borderId="0" xfId="1" applyNumberFormat="1" applyFont="1" applyAlignment="1">
      <alignment horizontal="left"/>
    </xf>
    <xf numFmtId="38" fontId="25" fillId="0" borderId="0" xfId="1" applyFont="1" applyAlignment="1">
      <alignment vertical="center" shrinkToFit="1"/>
    </xf>
    <xf numFmtId="38" fontId="16" fillId="0" borderId="0" xfId="1" applyFont="1" applyAlignment="1">
      <alignment horizontal="center" vertical="center" shrinkToFit="1"/>
    </xf>
    <xf numFmtId="38" fontId="27" fillId="0" borderId="0" xfId="1" applyFont="1" applyAlignment="1">
      <alignment vertical="center" shrinkToFit="1"/>
    </xf>
    <xf numFmtId="38" fontId="16" fillId="0" borderId="0" xfId="1" quotePrefix="1" applyFont="1" applyAlignment="1">
      <alignment horizontal="center" vertical="center" shrinkToFit="1"/>
    </xf>
    <xf numFmtId="38" fontId="14" fillId="0" borderId="0" xfId="1" quotePrefix="1" applyFont="1" applyAlignment="1">
      <alignment horizontal="center" vertical="center" shrinkToFit="1"/>
    </xf>
    <xf numFmtId="38" fontId="29" fillId="0" borderId="0" xfId="1" applyFont="1" applyAlignment="1">
      <alignment horizontal="left" vertical="center"/>
    </xf>
    <xf numFmtId="38" fontId="14" fillId="4" borderId="34" xfId="1" applyFont="1" applyFill="1" applyBorder="1" applyAlignment="1">
      <alignment horizontal="center" vertical="center" shrinkToFit="1"/>
    </xf>
    <xf numFmtId="38" fontId="14" fillId="0" borderId="13" xfId="1" applyFont="1" applyBorder="1" applyAlignment="1">
      <alignment vertical="center" shrinkToFit="1"/>
    </xf>
    <xf numFmtId="38" fontId="14" fillId="0" borderId="44" xfId="1" applyFont="1" applyBorder="1" applyAlignment="1">
      <alignment vertical="center" shrinkToFit="1"/>
    </xf>
    <xf numFmtId="38" fontId="14" fillId="4" borderId="45" xfId="1" applyFont="1" applyFill="1" applyBorder="1" applyAlignment="1">
      <alignment vertical="center" shrinkToFit="1"/>
    </xf>
    <xf numFmtId="38" fontId="14" fillId="3" borderId="45" xfId="1" applyFont="1" applyFill="1" applyBorder="1" applyAlignment="1">
      <alignment vertical="center" shrinkToFit="1"/>
    </xf>
    <xf numFmtId="38" fontId="14" fillId="0" borderId="46" xfId="1" applyFont="1" applyBorder="1" applyAlignment="1">
      <alignment vertical="center" shrinkToFit="1"/>
    </xf>
    <xf numFmtId="38" fontId="14" fillId="0" borderId="47" xfId="1" applyFont="1" applyBorder="1" applyAlignment="1">
      <alignment vertical="center" shrinkToFit="1"/>
    </xf>
    <xf numFmtId="38" fontId="16" fillId="0" borderId="48" xfId="1" applyFont="1" applyBorder="1" applyAlignment="1">
      <alignment vertical="center" shrinkToFit="1"/>
    </xf>
    <xf numFmtId="38" fontId="16" fillId="0" borderId="33" xfId="1" applyFont="1" applyBorder="1" applyAlignment="1">
      <alignment horizontal="right" vertical="center" shrinkToFit="1"/>
    </xf>
    <xf numFmtId="38" fontId="16" fillId="0" borderId="40" xfId="1" applyFont="1" applyBorder="1" applyAlignment="1">
      <alignment vertical="center" shrinkToFit="1"/>
    </xf>
    <xf numFmtId="38" fontId="16" fillId="0" borderId="17" xfId="1" applyFont="1" applyBorder="1" applyAlignment="1">
      <alignment horizontal="right" vertical="center" shrinkToFit="1"/>
    </xf>
    <xf numFmtId="38" fontId="14" fillId="0" borderId="45" xfId="1" applyFont="1" applyBorder="1" applyAlignment="1">
      <alignment vertical="center" shrinkToFit="1"/>
    </xf>
    <xf numFmtId="38" fontId="22" fillId="0" borderId="22" xfId="4" applyFont="1" applyBorder="1" applyAlignment="1">
      <alignment vertical="center" shrinkToFit="1"/>
    </xf>
    <xf numFmtId="38" fontId="30" fillId="0" borderId="0" xfId="1" applyFont="1" applyAlignment="1">
      <alignment vertical="center" shrinkToFit="1"/>
    </xf>
    <xf numFmtId="38" fontId="30" fillId="0" borderId="0" xfId="1" applyFont="1" applyAlignment="1">
      <alignment horizontal="center" vertical="center" shrinkToFit="1"/>
    </xf>
    <xf numFmtId="38" fontId="31" fillId="0" borderId="0" xfId="1" applyFont="1" applyAlignment="1">
      <alignment vertical="center" shrinkToFit="1"/>
    </xf>
    <xf numFmtId="14" fontId="5" fillId="0" borderId="0" xfId="1" applyNumberFormat="1" applyFont="1" applyAlignment="1">
      <alignment vertical="center" shrinkToFit="1"/>
    </xf>
    <xf numFmtId="38" fontId="14" fillId="7" borderId="45" xfId="1" applyFont="1" applyFill="1" applyBorder="1" applyAlignment="1">
      <alignment vertical="center" shrinkToFit="1"/>
    </xf>
    <xf numFmtId="38" fontId="14" fillId="7" borderId="29" xfId="1" applyFont="1" applyFill="1" applyBorder="1" applyAlignment="1">
      <alignment vertical="center" shrinkToFit="1"/>
    </xf>
    <xf numFmtId="38" fontId="30" fillId="0" borderId="0" xfId="1" applyFont="1">
      <alignment vertical="center"/>
    </xf>
    <xf numFmtId="10" fontId="24" fillId="5" borderId="52" xfId="10" applyNumberFormat="1" applyFont="1" applyFill="1" applyBorder="1" applyAlignment="1" applyProtection="1">
      <alignment vertical="center" shrinkToFit="1"/>
      <protection locked="0"/>
    </xf>
    <xf numFmtId="177" fontId="25" fillId="5" borderId="0" xfId="11" applyNumberFormat="1" applyFont="1" applyFill="1" applyAlignment="1" applyProtection="1">
      <alignment vertical="center" shrinkToFit="1"/>
      <protection locked="0"/>
    </xf>
    <xf numFmtId="38" fontId="16" fillId="0" borderId="53" xfId="1" applyFont="1" applyBorder="1" applyAlignment="1">
      <alignment vertical="center" shrinkToFit="1"/>
    </xf>
    <xf numFmtId="38" fontId="5" fillId="2" borderId="0" xfId="1" applyFont="1" applyFill="1" applyAlignment="1">
      <alignment vertical="center" shrinkToFit="1"/>
    </xf>
    <xf numFmtId="38" fontId="16" fillId="0" borderId="24" xfId="1" applyFont="1" applyBorder="1" applyAlignment="1">
      <alignment vertical="center" shrinkToFit="1"/>
    </xf>
    <xf numFmtId="38" fontId="16" fillId="0" borderId="28" xfId="1" applyFont="1" applyBorder="1" applyAlignment="1">
      <alignment vertical="center" shrinkToFit="1"/>
    </xf>
    <xf numFmtId="38" fontId="16" fillId="0" borderId="6" xfId="1" applyFont="1" applyBorder="1" applyAlignment="1">
      <alignment vertical="center" shrinkToFit="1"/>
    </xf>
    <xf numFmtId="38" fontId="16" fillId="0" borderId="30" xfId="1" applyFont="1" applyBorder="1" applyAlignment="1">
      <alignment vertical="center" shrinkToFit="1"/>
    </xf>
    <xf numFmtId="38" fontId="16" fillId="0" borderId="23" xfId="1" applyFont="1" applyBorder="1" applyAlignment="1">
      <alignment vertical="center" shrinkToFit="1"/>
    </xf>
    <xf numFmtId="38" fontId="16" fillId="0" borderId="8" xfId="1" applyFont="1" applyBorder="1" applyAlignment="1">
      <alignment vertical="center" shrinkToFit="1"/>
    </xf>
    <xf numFmtId="38" fontId="16" fillId="0" borderId="39" xfId="1" applyFont="1" applyBorder="1" applyAlignment="1">
      <alignment vertical="center" shrinkToFit="1"/>
    </xf>
    <xf numFmtId="38" fontId="16" fillId="0" borderId="54" xfId="1" applyFont="1" applyBorder="1" applyAlignment="1">
      <alignment vertical="center" shrinkToFit="1"/>
    </xf>
    <xf numFmtId="38" fontId="16" fillId="0" borderId="55" xfId="1" applyFont="1" applyBorder="1" applyAlignment="1">
      <alignment vertical="center" shrinkToFit="1"/>
    </xf>
    <xf numFmtId="38" fontId="14" fillId="4" borderId="55" xfId="1" applyFont="1" applyFill="1" applyBorder="1" applyAlignment="1">
      <alignment vertical="center" shrinkToFit="1"/>
    </xf>
    <xf numFmtId="38" fontId="14" fillId="7" borderId="55" xfId="1" applyFont="1" applyFill="1" applyBorder="1" applyAlignment="1">
      <alignment vertical="center" shrinkToFit="1"/>
    </xf>
    <xf numFmtId="38" fontId="14" fillId="3" borderId="55" xfId="1" applyFont="1" applyFill="1" applyBorder="1" applyAlignment="1">
      <alignment vertical="center" shrinkToFit="1"/>
    </xf>
    <xf numFmtId="38" fontId="16" fillId="0" borderId="56" xfId="1" applyFont="1" applyBorder="1" applyAlignment="1">
      <alignment vertical="center" shrinkToFit="1"/>
    </xf>
    <xf numFmtId="38" fontId="16" fillId="8" borderId="23" xfId="1" applyFont="1" applyFill="1" applyBorder="1" applyAlignment="1" applyProtection="1">
      <alignment vertical="center" shrinkToFit="1"/>
      <protection locked="0"/>
    </xf>
    <xf numFmtId="38" fontId="16" fillId="0" borderId="53" xfId="1" applyFont="1" applyBorder="1">
      <alignment vertical="center"/>
    </xf>
    <xf numFmtId="38" fontId="14" fillId="0" borderId="53" xfId="1" applyFont="1" applyBorder="1" applyAlignment="1">
      <alignment vertical="center" shrinkToFit="1"/>
    </xf>
    <xf numFmtId="38" fontId="16" fillId="0" borderId="0" xfId="1" applyFont="1" applyAlignment="1">
      <alignment shrinkToFit="1"/>
    </xf>
    <xf numFmtId="38" fontId="14" fillId="0" borderId="17" xfId="1" applyFont="1" applyBorder="1" applyAlignment="1">
      <alignment horizontal="left" vertical="center" shrinkToFit="1"/>
    </xf>
    <xf numFmtId="38" fontId="14" fillId="0" borderId="43" xfId="1" applyFont="1" applyBorder="1" applyAlignment="1">
      <alignment vertical="center" shrinkToFit="1"/>
    </xf>
    <xf numFmtId="38" fontId="14" fillId="6" borderId="45" xfId="1" applyFont="1" applyFill="1" applyBorder="1" applyAlignment="1">
      <alignment vertical="center" shrinkToFit="1"/>
    </xf>
    <xf numFmtId="10" fontId="24" fillId="0" borderId="0" xfId="10" applyNumberFormat="1" applyFont="1" applyAlignment="1">
      <alignment vertical="center" shrinkToFit="1"/>
    </xf>
    <xf numFmtId="38" fontId="14" fillId="4" borderId="29" xfId="1" applyFont="1" applyFill="1" applyBorder="1" applyAlignment="1" applyProtection="1">
      <alignment vertical="center" shrinkToFit="1"/>
      <protection locked="0"/>
    </xf>
    <xf numFmtId="38" fontId="14" fillId="0" borderId="29" xfId="1" applyFont="1" applyBorder="1" applyAlignment="1">
      <alignment vertical="center" shrinkToFit="1"/>
    </xf>
    <xf numFmtId="38" fontId="16" fillId="7" borderId="29" xfId="1" applyFont="1" applyFill="1" applyBorder="1" applyAlignment="1" applyProtection="1">
      <alignment vertical="center" shrinkToFit="1"/>
      <protection locked="0"/>
    </xf>
    <xf numFmtId="38" fontId="14" fillId="4" borderId="55" xfId="1" applyFont="1" applyFill="1" applyBorder="1" applyAlignment="1" applyProtection="1">
      <alignment vertical="center" shrinkToFit="1"/>
      <protection locked="0"/>
    </xf>
    <xf numFmtId="38" fontId="16" fillId="0" borderId="22" xfId="1" applyFont="1" applyBorder="1" applyAlignment="1" applyProtection="1">
      <alignment vertical="center" shrinkToFit="1"/>
      <protection locked="0"/>
    </xf>
    <xf numFmtId="9" fontId="16" fillId="0" borderId="22" xfId="2" applyFont="1" applyBorder="1" applyAlignment="1" applyProtection="1">
      <alignment vertical="center" shrinkToFit="1"/>
      <protection locked="0"/>
    </xf>
    <xf numFmtId="38" fontId="0" fillId="0" borderId="0" xfId="1" applyFont="1">
      <alignment vertical="center"/>
    </xf>
    <xf numFmtId="38" fontId="22" fillId="0" borderId="0" xfId="1" applyFont="1">
      <alignment vertical="center"/>
    </xf>
    <xf numFmtId="38" fontId="14" fillId="0" borderId="52" xfId="1" applyFont="1" applyBorder="1" applyAlignment="1">
      <alignment vertical="center" shrinkToFit="1"/>
    </xf>
    <xf numFmtId="38" fontId="14" fillId="0" borderId="19" xfId="1" applyFont="1" applyBorder="1" applyAlignment="1">
      <alignment vertical="center" shrinkToFit="1"/>
    </xf>
    <xf numFmtId="10" fontId="0" fillId="0" borderId="57" xfId="11" applyNumberFormat="1" applyFont="1" applyBorder="1">
      <alignment vertical="center"/>
    </xf>
    <xf numFmtId="10" fontId="0" fillId="0" borderId="0" xfId="11" applyNumberFormat="1" applyFont="1">
      <alignment vertical="center"/>
    </xf>
    <xf numFmtId="10" fontId="0" fillId="0" borderId="59" xfId="11" applyNumberFormat="1" applyFont="1" applyBorder="1">
      <alignment vertical="center"/>
    </xf>
    <xf numFmtId="10" fontId="0" fillId="0" borderId="61" xfId="11" applyNumberFormat="1" applyFont="1" applyBorder="1">
      <alignment vertical="center"/>
    </xf>
    <xf numFmtId="10" fontId="0" fillId="0" borderId="60" xfId="11" applyNumberFormat="1" applyFont="1" applyBorder="1" applyProtection="1">
      <alignment vertical="center"/>
      <protection locked="0"/>
    </xf>
    <xf numFmtId="38" fontId="0" fillId="0" borderId="0" xfId="1" applyFont="1" applyAlignment="1">
      <alignment vertical="center" shrinkToFit="1"/>
    </xf>
    <xf numFmtId="38" fontId="0" fillId="0" borderId="62" xfId="1" applyFont="1" applyBorder="1">
      <alignment vertical="center"/>
    </xf>
    <xf numFmtId="38" fontId="0" fillId="0" borderId="63" xfId="1" applyFont="1" applyBorder="1">
      <alignment vertical="center"/>
    </xf>
    <xf numFmtId="38" fontId="0" fillId="0" borderId="64" xfId="1" applyFont="1" applyBorder="1">
      <alignment vertical="center"/>
    </xf>
    <xf numFmtId="38" fontId="0" fillId="0" borderId="65" xfId="1" applyFont="1" applyBorder="1">
      <alignment vertical="center"/>
    </xf>
    <xf numFmtId="38" fontId="0" fillId="0" borderId="66" xfId="1" applyFont="1" applyBorder="1">
      <alignment vertical="center"/>
    </xf>
    <xf numFmtId="38" fontId="0" fillId="0" borderId="67" xfId="1" applyFont="1" applyBorder="1">
      <alignment vertical="center"/>
    </xf>
    <xf numFmtId="38" fontId="0" fillId="0" borderId="0" xfId="1" applyFont="1" applyProtection="1">
      <alignment vertical="center"/>
      <protection locked="0"/>
    </xf>
    <xf numFmtId="38" fontId="0" fillId="0" borderId="63" xfId="1" applyFont="1" applyBorder="1" applyProtection="1">
      <alignment vertical="center"/>
      <protection locked="0"/>
    </xf>
    <xf numFmtId="38" fontId="0" fillId="0" borderId="53" xfId="1" applyFont="1" applyBorder="1">
      <alignment vertical="center"/>
    </xf>
    <xf numFmtId="38" fontId="22" fillId="0" borderId="53" xfId="1" applyFont="1" applyBorder="1">
      <alignment vertical="center"/>
    </xf>
    <xf numFmtId="10" fontId="0" fillId="0" borderId="58" xfId="11" applyNumberFormat="1" applyFont="1" applyBorder="1">
      <alignment vertical="center"/>
    </xf>
    <xf numFmtId="0" fontId="0" fillId="0" borderId="0" xfId="11" applyNumberFormat="1" applyFont="1">
      <alignment vertical="center"/>
    </xf>
    <xf numFmtId="177" fontId="0" fillId="0" borderId="0" xfId="2" applyNumberFormat="1" applyFont="1">
      <alignment vertical="center"/>
    </xf>
    <xf numFmtId="10" fontId="0" fillId="0" borderId="62" xfId="11" applyNumberFormat="1" applyFont="1" applyBorder="1">
      <alignment vertical="center"/>
    </xf>
    <xf numFmtId="10" fontId="0" fillId="0" borderId="70" xfId="11" applyNumberFormat="1" applyFont="1" applyBorder="1" applyProtection="1">
      <alignment vertical="center"/>
      <protection locked="0"/>
    </xf>
    <xf numFmtId="0" fontId="0" fillId="0" borderId="63" xfId="11" applyNumberFormat="1" applyFont="1" applyBorder="1">
      <alignment vertical="center"/>
    </xf>
    <xf numFmtId="10" fontId="0" fillId="0" borderId="64" xfId="11" applyNumberFormat="1" applyFont="1" applyBorder="1">
      <alignment vertical="center"/>
    </xf>
    <xf numFmtId="0" fontId="0" fillId="0" borderId="65" xfId="11" applyNumberFormat="1" applyFont="1" applyBorder="1">
      <alignment vertical="center"/>
    </xf>
    <xf numFmtId="10" fontId="0" fillId="0" borderId="66" xfId="11" applyNumberFormat="1" applyFont="1" applyBorder="1">
      <alignment vertical="center"/>
    </xf>
    <xf numFmtId="10" fontId="0" fillId="0" borderId="71" xfId="11" applyNumberFormat="1" applyFont="1" applyBorder="1" applyProtection="1">
      <alignment vertical="center"/>
      <protection locked="0"/>
    </xf>
    <xf numFmtId="10" fontId="0" fillId="0" borderId="67" xfId="11" applyNumberFormat="1" applyFont="1" applyBorder="1">
      <alignment vertical="center"/>
    </xf>
    <xf numFmtId="38" fontId="0" fillId="0" borderId="26" xfId="1" applyFont="1" applyBorder="1">
      <alignment vertical="center"/>
    </xf>
    <xf numFmtId="38" fontId="22" fillId="0" borderId="26" xfId="1" applyFont="1" applyBorder="1">
      <alignment vertical="center"/>
    </xf>
    <xf numFmtId="38" fontId="0" fillId="0" borderId="20" xfId="1" applyFont="1" applyBorder="1">
      <alignment vertical="center"/>
    </xf>
    <xf numFmtId="38" fontId="0" fillId="0" borderId="73" xfId="1" applyFont="1" applyBorder="1">
      <alignment vertical="center"/>
    </xf>
    <xf numFmtId="38" fontId="0" fillId="0" borderId="22" xfId="1" applyFont="1" applyBorder="1">
      <alignment vertical="center"/>
    </xf>
    <xf numFmtId="38" fontId="0" fillId="0" borderId="51" xfId="1" applyFont="1" applyBorder="1">
      <alignment vertical="center"/>
    </xf>
    <xf numFmtId="38" fontId="0" fillId="0" borderId="75" xfId="1" applyFont="1" applyBorder="1">
      <alignment vertical="center"/>
    </xf>
    <xf numFmtId="38" fontId="0" fillId="0" borderId="76" xfId="1" applyFont="1" applyBorder="1">
      <alignment vertical="center"/>
    </xf>
    <xf numFmtId="38" fontId="0" fillId="0" borderId="76" xfId="1" applyFont="1" applyBorder="1" applyAlignment="1">
      <alignment vertical="center" shrinkToFit="1"/>
    </xf>
    <xf numFmtId="38" fontId="0" fillId="0" borderId="77" xfId="1" applyFont="1" applyBorder="1">
      <alignment vertical="center"/>
    </xf>
    <xf numFmtId="38" fontId="0" fillId="0" borderId="78" xfId="1" applyFont="1" applyBorder="1">
      <alignment vertical="center"/>
    </xf>
    <xf numFmtId="38" fontId="0" fillId="0" borderId="65" xfId="1" applyFont="1" applyBorder="1" applyProtection="1">
      <alignment vertical="center"/>
      <protection locked="0"/>
    </xf>
    <xf numFmtId="38" fontId="0" fillId="0" borderId="60" xfId="1" applyFont="1" applyBorder="1">
      <alignment vertical="center"/>
    </xf>
    <xf numFmtId="38" fontId="0" fillId="0" borderId="71" xfId="1" applyFont="1" applyBorder="1">
      <alignment vertical="center"/>
    </xf>
    <xf numFmtId="177" fontId="22" fillId="0" borderId="0" xfId="2" applyNumberFormat="1" applyFont="1">
      <alignment vertical="center"/>
    </xf>
    <xf numFmtId="38" fontId="22" fillId="0" borderId="65" xfId="1" applyFont="1" applyBorder="1">
      <alignment vertical="center"/>
    </xf>
    <xf numFmtId="38" fontId="22" fillId="0" borderId="67" xfId="1" applyFont="1" applyBorder="1">
      <alignment vertical="center"/>
    </xf>
    <xf numFmtId="10" fontId="0" fillId="0" borderId="0" xfId="2" applyNumberFormat="1" applyFont="1">
      <alignment vertical="center"/>
    </xf>
    <xf numFmtId="9" fontId="0" fillId="0" borderId="76" xfId="2" applyFont="1" applyBorder="1">
      <alignment vertical="center"/>
    </xf>
    <xf numFmtId="38" fontId="0" fillId="0" borderId="79" xfId="1" applyFont="1" applyBorder="1">
      <alignment vertical="center"/>
    </xf>
    <xf numFmtId="38" fontId="22" fillId="0" borderId="73" xfId="1" applyFont="1" applyBorder="1">
      <alignment vertical="center"/>
    </xf>
    <xf numFmtId="38" fontId="22" fillId="0" borderId="21" xfId="1" applyFont="1" applyBorder="1">
      <alignment vertical="center"/>
    </xf>
    <xf numFmtId="38" fontId="22" fillId="0" borderId="69" xfId="1" applyFont="1" applyBorder="1">
      <alignment vertical="center"/>
    </xf>
    <xf numFmtId="38" fontId="22" fillId="0" borderId="15" xfId="1" applyFont="1" applyBorder="1">
      <alignment vertical="center"/>
    </xf>
    <xf numFmtId="38" fontId="22" fillId="0" borderId="81" xfId="1" applyFont="1" applyBorder="1">
      <alignment vertical="center"/>
    </xf>
    <xf numFmtId="38" fontId="22" fillId="0" borderId="82" xfId="1" applyFont="1" applyBorder="1">
      <alignment vertical="center"/>
    </xf>
    <xf numFmtId="38" fontId="22" fillId="0" borderId="83" xfId="1" applyFont="1" applyBorder="1">
      <alignment vertical="center"/>
    </xf>
    <xf numFmtId="38" fontId="0" fillId="9" borderId="0" xfId="1" applyFont="1" applyFill="1">
      <alignment vertical="center"/>
    </xf>
    <xf numFmtId="38" fontId="0" fillId="9" borderId="26" xfId="1" applyFont="1" applyFill="1" applyBorder="1">
      <alignment vertical="center"/>
    </xf>
    <xf numFmtId="38" fontId="22" fillId="9" borderId="83" xfId="1" applyFont="1" applyFill="1" applyBorder="1">
      <alignment vertical="center"/>
    </xf>
    <xf numFmtId="38" fontId="22" fillId="9" borderId="15" xfId="1" applyFont="1" applyFill="1" applyBorder="1">
      <alignment vertical="center"/>
    </xf>
    <xf numFmtId="38" fontId="0" fillId="10" borderId="68" xfId="1" applyFont="1" applyFill="1" applyBorder="1">
      <alignment vertical="center"/>
    </xf>
    <xf numFmtId="38" fontId="22" fillId="10" borderId="16" xfId="1" applyFont="1" applyFill="1" applyBorder="1">
      <alignment vertical="center"/>
    </xf>
    <xf numFmtId="38" fontId="0" fillId="10" borderId="72" xfId="1" applyFont="1" applyFill="1" applyBorder="1">
      <alignment vertical="center"/>
    </xf>
    <xf numFmtId="38" fontId="0" fillId="10" borderId="16" xfId="1" applyFont="1" applyFill="1" applyBorder="1">
      <alignment vertical="center"/>
    </xf>
    <xf numFmtId="38" fontId="0" fillId="10" borderId="69" xfId="1" applyFont="1" applyFill="1" applyBorder="1">
      <alignment vertical="center"/>
    </xf>
    <xf numFmtId="10" fontId="0" fillId="0" borderId="84" xfId="11" applyNumberFormat="1" applyFont="1" applyBorder="1">
      <alignment vertical="center"/>
    </xf>
    <xf numFmtId="10" fontId="0" fillId="0" borderId="85" xfId="11" applyNumberFormat="1" applyFont="1" applyBorder="1">
      <alignment vertical="center"/>
    </xf>
    <xf numFmtId="38" fontId="33" fillId="0" borderId="0" xfId="1" applyFont="1">
      <alignment vertical="center"/>
    </xf>
    <xf numFmtId="10" fontId="0" fillId="0" borderId="86" xfId="11" applyNumberFormat="1" applyFont="1" applyBorder="1">
      <alignment vertical="center"/>
    </xf>
    <xf numFmtId="10" fontId="0" fillId="0" borderId="87" xfId="11" applyNumberFormat="1" applyFont="1" applyBorder="1">
      <alignment vertical="center"/>
    </xf>
    <xf numFmtId="10" fontId="0" fillId="0" borderId="88" xfId="11" applyNumberFormat="1" applyFont="1" applyBorder="1" applyAlignment="1">
      <alignment horizontal="center" vertical="center"/>
    </xf>
    <xf numFmtId="10" fontId="0" fillId="0" borderId="89" xfId="11" applyNumberFormat="1" applyFont="1" applyBorder="1">
      <alignment vertical="center"/>
    </xf>
    <xf numFmtId="10" fontId="0" fillId="0" borderId="90" xfId="11" applyNumberFormat="1" applyFont="1" applyBorder="1">
      <alignment vertical="center"/>
    </xf>
    <xf numFmtId="10" fontId="0" fillId="0" borderId="91" xfId="11" applyNumberFormat="1" applyFont="1" applyBorder="1" applyProtection="1">
      <alignment vertical="center"/>
      <protection locked="0"/>
    </xf>
    <xf numFmtId="0" fontId="0" fillId="0" borderId="74" xfId="11" applyNumberFormat="1" applyFont="1" applyBorder="1">
      <alignment vertical="center"/>
    </xf>
    <xf numFmtId="0" fontId="0" fillId="0" borderId="92" xfId="11" applyNumberFormat="1" applyFont="1" applyBorder="1">
      <alignment vertical="center"/>
    </xf>
    <xf numFmtId="0" fontId="0" fillId="0" borderId="88" xfId="11" applyNumberFormat="1" applyFont="1" applyBorder="1">
      <alignment vertical="center"/>
    </xf>
    <xf numFmtId="177" fontId="0" fillId="0" borderId="93" xfId="2" applyNumberFormat="1" applyFont="1" applyBorder="1" applyProtection="1">
      <alignment vertical="center"/>
      <protection locked="0"/>
    </xf>
    <xf numFmtId="177" fontId="0" fillId="0" borderId="94" xfId="2" applyNumberFormat="1" applyFont="1" applyBorder="1" applyProtection="1">
      <alignment vertical="center"/>
      <protection locked="0"/>
    </xf>
    <xf numFmtId="38" fontId="0" fillId="0" borderId="95" xfId="1" applyFont="1" applyBorder="1">
      <alignment vertical="center"/>
    </xf>
    <xf numFmtId="38" fontId="0" fillId="0" borderId="96" xfId="1" applyFont="1" applyBorder="1">
      <alignment vertical="center"/>
    </xf>
    <xf numFmtId="177" fontId="22" fillId="0" borderId="98" xfId="2" applyNumberFormat="1" applyFont="1" applyBorder="1">
      <alignment vertical="center"/>
    </xf>
    <xf numFmtId="177" fontId="22" fillId="0" borderId="97" xfId="2" applyNumberFormat="1" applyFont="1" applyBorder="1">
      <alignment vertical="center"/>
    </xf>
    <xf numFmtId="38" fontId="0" fillId="0" borderId="99" xfId="1" applyFont="1" applyBorder="1">
      <alignment vertical="center"/>
    </xf>
    <xf numFmtId="38" fontId="0" fillId="0" borderId="100" xfId="1" applyFont="1" applyBorder="1">
      <alignment vertical="center"/>
    </xf>
    <xf numFmtId="38" fontId="0" fillId="0" borderId="87" xfId="1" applyFont="1" applyBorder="1">
      <alignment vertical="center"/>
    </xf>
    <xf numFmtId="38" fontId="0" fillId="0" borderId="92" xfId="1" applyFont="1" applyBorder="1">
      <alignment vertical="center"/>
    </xf>
    <xf numFmtId="38" fontId="0" fillId="0" borderId="101" xfId="1" applyFont="1" applyBorder="1" applyAlignment="1">
      <alignment horizontal="center" vertical="center"/>
    </xf>
    <xf numFmtId="38" fontId="0" fillId="0" borderId="102" xfId="1" applyFont="1" applyBorder="1" applyAlignment="1">
      <alignment horizontal="center" vertical="center"/>
    </xf>
    <xf numFmtId="38" fontId="0" fillId="0" borderId="103" xfId="1" applyFont="1" applyBorder="1" applyAlignment="1">
      <alignment horizontal="center" vertical="center"/>
    </xf>
    <xf numFmtId="38" fontId="22" fillId="0" borderId="20" xfId="1" applyFont="1" applyBorder="1">
      <alignment vertical="center"/>
    </xf>
    <xf numFmtId="38" fontId="22" fillId="0" borderId="22" xfId="1" applyFont="1" applyBorder="1">
      <alignment vertical="center"/>
    </xf>
    <xf numFmtId="38" fontId="22" fillId="0" borderId="95" xfId="1" applyFont="1" applyBorder="1">
      <alignment vertical="center"/>
    </xf>
    <xf numFmtId="38" fontId="22" fillId="0" borderId="96" xfId="1" applyFont="1" applyBorder="1">
      <alignment vertical="center"/>
    </xf>
    <xf numFmtId="38" fontId="22" fillId="0" borderId="99" xfId="1" applyFont="1" applyBorder="1">
      <alignment vertical="center"/>
    </xf>
    <xf numFmtId="38" fontId="0" fillId="0" borderId="0" xfId="1" applyFont="1" applyAlignment="1">
      <alignment horizontal="center" vertical="center"/>
    </xf>
    <xf numFmtId="0" fontId="22" fillId="0" borderId="0" xfId="0" applyFont="1">
      <alignment vertical="center"/>
    </xf>
    <xf numFmtId="0" fontId="35" fillId="0" borderId="0" xfId="0" applyFont="1">
      <alignment vertical="center"/>
    </xf>
    <xf numFmtId="10" fontId="0" fillId="0" borderId="80" xfId="2" applyNumberFormat="1" applyFont="1" applyBorder="1" applyProtection="1">
      <alignment vertical="center"/>
      <protection locked="0"/>
    </xf>
    <xf numFmtId="10" fontId="0" fillId="0" borderId="104" xfId="2" applyNumberFormat="1" applyFont="1" applyBorder="1">
      <alignment vertical="center"/>
    </xf>
    <xf numFmtId="0" fontId="0" fillId="0" borderId="50" xfId="0" applyBorder="1" applyProtection="1">
      <alignment vertical="center"/>
      <protection locked="0"/>
    </xf>
    <xf numFmtId="0" fontId="0" fillId="0" borderId="2" xfId="0" applyBorder="1" applyProtection="1">
      <alignment vertical="center"/>
      <protection locked="0"/>
    </xf>
    <xf numFmtId="0" fontId="0" fillId="0" borderId="106" xfId="0" applyBorder="1" applyProtection="1">
      <alignment vertical="center"/>
      <protection locked="0"/>
    </xf>
    <xf numFmtId="0" fontId="0" fillId="0" borderId="3" xfId="0" applyBorder="1">
      <alignment vertical="center"/>
    </xf>
    <xf numFmtId="0" fontId="0" fillId="0" borderId="11" xfId="0" applyBorder="1">
      <alignment vertical="center"/>
    </xf>
    <xf numFmtId="0" fontId="0" fillId="0" borderId="5" xfId="0" applyBorder="1">
      <alignment vertical="center"/>
    </xf>
    <xf numFmtId="37" fontId="22" fillId="0" borderId="104" xfId="0" applyNumberFormat="1" applyFont="1" applyBorder="1">
      <alignment vertical="center"/>
    </xf>
    <xf numFmtId="0" fontId="36" fillId="0" borderId="11" xfId="0" applyFont="1" applyBorder="1" applyAlignment="1">
      <alignment horizontal="right" vertical="center"/>
    </xf>
    <xf numFmtId="0" fontId="33" fillId="0" borderId="0" xfId="0" applyFont="1">
      <alignment vertical="center"/>
    </xf>
    <xf numFmtId="37" fontId="0" fillId="0" borderId="0" xfId="0" applyNumberFormat="1">
      <alignment vertical="center"/>
    </xf>
    <xf numFmtId="38" fontId="0" fillId="0" borderId="0" xfId="0" applyNumberFormat="1">
      <alignment vertical="center"/>
    </xf>
    <xf numFmtId="0" fontId="0" fillId="0" borderId="12" xfId="0" applyBorder="1">
      <alignment vertical="center"/>
    </xf>
    <xf numFmtId="0" fontId="0" fillId="0" borderId="1" xfId="0" applyBorder="1">
      <alignment vertical="center"/>
    </xf>
    <xf numFmtId="0" fontId="0" fillId="0" borderId="9" xfId="0" applyBorder="1">
      <alignment vertical="center"/>
    </xf>
    <xf numFmtId="38" fontId="0" fillId="0" borderId="1" xfId="0" applyNumberFormat="1" applyBorder="1">
      <alignment vertical="center"/>
    </xf>
    <xf numFmtId="0" fontId="22" fillId="0" borderId="5" xfId="0" applyFont="1" applyBorder="1">
      <alignment vertical="center"/>
    </xf>
    <xf numFmtId="38" fontId="0" fillId="2" borderId="0" xfId="1" applyFont="1" applyFill="1">
      <alignment vertical="center"/>
    </xf>
    <xf numFmtId="0" fontId="22" fillId="0" borderId="11" xfId="0" applyFont="1" applyBorder="1">
      <alignment vertical="center"/>
    </xf>
    <xf numFmtId="0" fontId="22" fillId="0" borderId="12" xfId="0" applyFont="1" applyBorder="1">
      <alignment vertical="center"/>
    </xf>
    <xf numFmtId="37" fontId="0" fillId="0" borderId="5" xfId="0" applyNumberFormat="1" applyBorder="1">
      <alignment vertical="center"/>
    </xf>
    <xf numFmtId="0" fontId="22" fillId="0" borderId="107" xfId="0" applyFont="1" applyBorder="1">
      <alignment vertical="center"/>
    </xf>
    <xf numFmtId="37" fontId="22" fillId="0" borderId="108" xfId="0" applyNumberFormat="1" applyFont="1" applyBorder="1">
      <alignment vertical="center"/>
    </xf>
    <xf numFmtId="38" fontId="0" fillId="0" borderId="22" xfId="1" applyFont="1" applyBorder="1" applyProtection="1">
      <alignment vertical="center"/>
      <protection locked="0"/>
    </xf>
    <xf numFmtId="0" fontId="0" fillId="12" borderId="0" xfId="0" applyFill="1">
      <alignment vertical="center"/>
    </xf>
    <xf numFmtId="0" fontId="39" fillId="12" borderId="0" xfId="0" applyFont="1" applyFill="1">
      <alignment vertical="center"/>
    </xf>
    <xf numFmtId="0" fontId="40" fillId="12" borderId="0" xfId="12" applyFill="1">
      <alignment vertical="center"/>
    </xf>
    <xf numFmtId="38" fontId="41" fillId="0" borderId="0" xfId="1" applyFont="1" applyAlignment="1">
      <alignment vertical="center" shrinkToFit="1"/>
    </xf>
    <xf numFmtId="38" fontId="41" fillId="0" borderId="0" xfId="1" applyFont="1">
      <alignment vertical="center"/>
    </xf>
    <xf numFmtId="38" fontId="33" fillId="0" borderId="0" xfId="1" applyFont="1" applyAlignment="1">
      <alignment horizontal="center" vertical="center" shrinkToFit="1"/>
    </xf>
    <xf numFmtId="38" fontId="41" fillId="0" borderId="0" xfId="1" applyFont="1" applyAlignment="1" applyProtection="1">
      <alignment vertical="center" shrinkToFit="1"/>
      <protection locked="0"/>
    </xf>
    <xf numFmtId="38" fontId="43" fillId="0" borderId="0" xfId="1" applyFont="1" applyAlignment="1">
      <alignment horizontal="left" vertical="center" shrinkToFit="1"/>
    </xf>
    <xf numFmtId="38" fontId="43" fillId="0" borderId="0" xfId="1" applyFont="1" applyAlignment="1">
      <alignment vertical="center" shrinkToFit="1"/>
    </xf>
    <xf numFmtId="38" fontId="41" fillId="0" borderId="0" xfId="1" applyFont="1" applyAlignment="1" applyProtection="1">
      <alignment vertical="center" shrinkToFit="1"/>
      <protection hidden="1"/>
    </xf>
    <xf numFmtId="176" fontId="42" fillId="0" borderId="0" xfId="1" applyNumberFormat="1" applyFont="1" applyAlignment="1">
      <alignment horizontal="center" shrinkToFit="1"/>
    </xf>
    <xf numFmtId="38" fontId="42" fillId="0" borderId="0" xfId="1" applyFont="1" applyAlignment="1">
      <alignment horizontal="center" shrinkToFit="1"/>
    </xf>
    <xf numFmtId="38" fontId="3" fillId="0" borderId="0" xfId="1" applyFont="1" applyAlignment="1">
      <alignment vertical="center" shrinkToFit="1"/>
    </xf>
    <xf numFmtId="38" fontId="44" fillId="0" borderId="0" xfId="1" applyFont="1" applyAlignment="1">
      <alignment vertical="center" shrinkToFit="1"/>
    </xf>
    <xf numFmtId="38" fontId="14" fillId="0" borderId="0" xfId="1" applyFont="1" applyAlignment="1">
      <alignment horizontal="right" vertical="center" shrinkToFit="1"/>
    </xf>
    <xf numFmtId="0" fontId="22" fillId="0" borderId="50" xfId="0" applyFont="1" applyBorder="1">
      <alignment vertical="center"/>
    </xf>
    <xf numFmtId="37" fontId="22" fillId="0" borderId="2" xfId="0" applyNumberFormat="1" applyFont="1" applyBorder="1">
      <alignment vertical="center"/>
    </xf>
    <xf numFmtId="38" fontId="22" fillId="0" borderId="106" xfId="1" applyFont="1" applyBorder="1">
      <alignment vertical="center"/>
    </xf>
    <xf numFmtId="0" fontId="0" fillId="13" borderId="10" xfId="0" applyFill="1" applyBorder="1">
      <alignment vertical="center"/>
    </xf>
    <xf numFmtId="0" fontId="34" fillId="13" borderId="4" xfId="0" applyFont="1" applyFill="1" applyBorder="1" applyAlignment="1">
      <alignment horizontal="center" vertical="center"/>
    </xf>
    <xf numFmtId="0" fontId="34" fillId="13" borderId="3" xfId="0" applyFont="1" applyFill="1" applyBorder="1" applyAlignment="1">
      <alignment horizontal="center" vertical="center"/>
    </xf>
    <xf numFmtId="0" fontId="34" fillId="13" borderId="105" xfId="0" applyFont="1" applyFill="1" applyBorder="1">
      <alignment vertical="center"/>
    </xf>
    <xf numFmtId="38" fontId="14" fillId="0" borderId="110" xfId="1" applyFont="1" applyBorder="1" applyAlignment="1">
      <alignment vertical="center" shrinkToFit="1"/>
    </xf>
    <xf numFmtId="38" fontId="14" fillId="4" borderId="110" xfId="1" applyFont="1" applyFill="1" applyBorder="1" applyAlignment="1">
      <alignment vertical="center" shrinkToFit="1"/>
    </xf>
    <xf numFmtId="38" fontId="14" fillId="7" borderId="110" xfId="1" applyFont="1" applyFill="1" applyBorder="1" applyAlignment="1">
      <alignment vertical="center" shrinkToFit="1"/>
    </xf>
    <xf numFmtId="38" fontId="14" fillId="3" borderId="110" xfId="1" applyFont="1" applyFill="1" applyBorder="1" applyAlignment="1">
      <alignment vertical="center" shrinkToFit="1"/>
    </xf>
    <xf numFmtId="10" fontId="17" fillId="0" borderId="111" xfId="9" applyNumberFormat="1" applyFont="1" applyBorder="1" applyProtection="1">
      <alignment vertical="center"/>
      <protection locked="0"/>
    </xf>
    <xf numFmtId="10" fontId="17" fillId="0" borderId="112" xfId="9" applyNumberFormat="1" applyFont="1" applyBorder="1" applyProtection="1">
      <alignment vertical="center"/>
      <protection locked="0"/>
    </xf>
    <xf numFmtId="10" fontId="16" fillId="0" borderId="112" xfId="2" applyNumberFormat="1" applyFont="1" applyBorder="1" applyAlignment="1" applyProtection="1">
      <alignment vertical="center" shrinkToFit="1"/>
      <protection locked="0"/>
    </xf>
    <xf numFmtId="38" fontId="16" fillId="0" borderId="112" xfId="1" applyFont="1" applyBorder="1" applyAlignment="1" applyProtection="1">
      <alignment vertical="center" shrinkToFit="1"/>
      <protection locked="0"/>
    </xf>
    <xf numFmtId="38" fontId="16" fillId="0" borderId="113" xfId="1" applyFont="1" applyBorder="1" applyAlignment="1" applyProtection="1">
      <alignment vertical="center" shrinkToFit="1"/>
      <protection locked="0"/>
    </xf>
    <xf numFmtId="38" fontId="14" fillId="0" borderId="33" xfId="1" applyFont="1" applyBorder="1" applyAlignment="1">
      <alignment horizontal="right" vertical="center" shrinkToFit="1"/>
    </xf>
    <xf numFmtId="38" fontId="14" fillId="0" borderId="40" xfId="1" applyFont="1" applyBorder="1" applyAlignment="1" applyProtection="1">
      <alignment horizontal="center" vertical="center" shrinkToFit="1"/>
      <protection locked="0"/>
    </xf>
    <xf numFmtId="38" fontId="14" fillId="0" borderId="41" xfId="1" applyFont="1" applyBorder="1" applyAlignment="1" applyProtection="1">
      <alignment horizontal="center" vertical="center" shrinkToFit="1"/>
      <protection locked="0"/>
    </xf>
    <xf numFmtId="38" fontId="14" fillId="0" borderId="41" xfId="1" applyFont="1" applyBorder="1" applyAlignment="1">
      <alignment horizontal="center" vertical="center" shrinkToFit="1"/>
    </xf>
    <xf numFmtId="38" fontId="14" fillId="0" borderId="42" xfId="1" applyFont="1" applyBorder="1" applyAlignment="1">
      <alignment horizontal="center" vertical="center" shrinkToFit="1"/>
    </xf>
    <xf numFmtId="38" fontId="45" fillId="4" borderId="109" xfId="8" applyFont="1" applyFill="1" applyBorder="1" applyAlignment="1">
      <alignment horizontal="center" vertical="center"/>
    </xf>
    <xf numFmtId="38" fontId="0" fillId="0" borderId="114" xfId="1" applyFont="1" applyBorder="1" applyProtection="1">
      <alignment vertical="center"/>
      <protection locked="0"/>
    </xf>
    <xf numFmtId="38" fontId="5" fillId="0" borderId="0" xfId="1" applyFont="1" applyAlignment="1" applyProtection="1">
      <alignment vertical="center" shrinkToFit="1"/>
      <protection locked="0"/>
    </xf>
    <xf numFmtId="38" fontId="14" fillId="0" borderId="49" xfId="1" applyFont="1" applyBorder="1" applyAlignment="1">
      <alignment vertical="center" shrinkToFit="1"/>
    </xf>
    <xf numFmtId="38" fontId="14" fillId="0" borderId="27" xfId="1" applyFont="1" applyBorder="1" applyAlignment="1">
      <alignment vertical="center" shrinkToFit="1"/>
    </xf>
    <xf numFmtId="38" fontId="0" fillId="0" borderId="75" xfId="1" applyFont="1" applyBorder="1" applyAlignment="1">
      <alignment vertical="center" shrinkToFit="1"/>
    </xf>
    <xf numFmtId="38" fontId="14" fillId="0" borderId="18" xfId="1" applyFont="1" applyBorder="1" applyAlignment="1">
      <alignment horizontal="left" vertical="center" shrinkToFit="1"/>
    </xf>
    <xf numFmtId="38" fontId="16" fillId="0" borderId="115" xfId="1" applyFont="1" applyBorder="1" applyAlignment="1" applyProtection="1">
      <alignment vertical="center" shrinkToFit="1"/>
      <protection locked="0"/>
    </xf>
    <xf numFmtId="38" fontId="16" fillId="0" borderId="115" xfId="1" applyFont="1" applyBorder="1" applyAlignment="1">
      <alignment vertical="center" shrinkToFit="1"/>
    </xf>
    <xf numFmtId="38" fontId="0" fillId="0" borderId="68" xfId="1" applyFont="1" applyBorder="1">
      <alignment vertical="center"/>
    </xf>
    <xf numFmtId="38" fontId="0" fillId="0" borderId="16" xfId="1" applyFont="1" applyBorder="1">
      <alignment vertical="center"/>
    </xf>
    <xf numFmtId="38" fontId="0" fillId="0" borderId="116" xfId="1" applyFont="1" applyBorder="1">
      <alignment vertical="center"/>
    </xf>
    <xf numFmtId="38" fontId="0" fillId="9" borderId="53" xfId="1" applyFont="1" applyFill="1" applyBorder="1">
      <alignment vertical="center"/>
    </xf>
    <xf numFmtId="38" fontId="0" fillId="9" borderId="5" xfId="1" applyFont="1" applyFill="1" applyBorder="1">
      <alignment vertical="center"/>
    </xf>
    <xf numFmtId="38" fontId="22" fillId="0" borderId="5" xfId="1" applyFont="1" applyBorder="1">
      <alignment vertical="center"/>
    </xf>
    <xf numFmtId="38" fontId="0" fillId="0" borderId="5" xfId="1" applyFont="1" applyBorder="1">
      <alignment vertical="center"/>
    </xf>
    <xf numFmtId="38" fontId="0" fillId="0" borderId="117" xfId="1" applyFont="1" applyBorder="1">
      <alignment vertical="center"/>
    </xf>
    <xf numFmtId="38" fontId="0" fillId="0" borderId="118" xfId="1" applyFont="1" applyBorder="1">
      <alignment vertical="center"/>
    </xf>
    <xf numFmtId="40" fontId="5" fillId="0" borderId="0" xfId="1" applyNumberFormat="1" applyFont="1" applyAlignment="1">
      <alignment vertical="center" shrinkToFit="1"/>
    </xf>
    <xf numFmtId="38" fontId="22" fillId="0" borderId="0" xfId="0" applyNumberFormat="1" applyFont="1">
      <alignment vertical="center"/>
    </xf>
    <xf numFmtId="38" fontId="22" fillId="0" borderId="1" xfId="0" applyNumberFormat="1" applyFont="1" applyBorder="1">
      <alignment vertical="center"/>
    </xf>
    <xf numFmtId="0" fontId="46" fillId="0" borderId="0" xfId="0" applyFont="1">
      <alignment vertical="center"/>
    </xf>
    <xf numFmtId="38" fontId="22" fillId="0" borderId="22" xfId="1" applyFont="1" applyBorder="1" applyProtection="1">
      <alignment vertical="center"/>
      <protection locked="0"/>
    </xf>
    <xf numFmtId="38" fontId="22" fillId="0" borderId="22" xfId="0" applyNumberFormat="1" applyFont="1" applyBorder="1">
      <alignment vertical="center"/>
    </xf>
    <xf numFmtId="0" fontId="22" fillId="0" borderId="73" xfId="0" applyFont="1" applyBorder="1">
      <alignment vertical="center"/>
    </xf>
    <xf numFmtId="38" fontId="22" fillId="0" borderId="22" xfId="0" applyNumberFormat="1" applyFont="1" applyBorder="1" applyProtection="1">
      <alignment vertical="center"/>
      <protection locked="0"/>
    </xf>
    <xf numFmtId="38" fontId="35" fillId="0" borderId="0" xfId="1" applyFont="1">
      <alignment vertical="center"/>
    </xf>
    <xf numFmtId="0" fontId="36" fillId="0" borderId="11" xfId="0" applyFont="1" applyBorder="1" applyAlignment="1">
      <alignment horizontal="left" vertical="center"/>
    </xf>
    <xf numFmtId="38" fontId="22" fillId="0" borderId="5" xfId="0" applyNumberFormat="1" applyFont="1" applyBorder="1">
      <alignment vertical="center"/>
    </xf>
    <xf numFmtId="0" fontId="22" fillId="0" borderId="12" xfId="0" applyFont="1" applyBorder="1" applyAlignment="1">
      <alignment horizontal="left" vertical="center"/>
    </xf>
    <xf numFmtId="38" fontId="22" fillId="0" borderId="9" xfId="0" applyNumberFormat="1" applyFont="1" applyBorder="1">
      <alignment vertical="center"/>
    </xf>
    <xf numFmtId="38" fontId="22" fillId="0" borderId="104" xfId="0" applyNumberFormat="1" applyFont="1" applyBorder="1">
      <alignment vertical="center"/>
    </xf>
    <xf numFmtId="38" fontId="22" fillId="0" borderId="108" xfId="1" applyFont="1" applyBorder="1">
      <alignment vertical="center"/>
    </xf>
    <xf numFmtId="38" fontId="34" fillId="11" borderId="22" xfId="1" applyFont="1" applyFill="1" applyBorder="1" applyAlignment="1">
      <alignment horizontal="center" vertical="center" shrinkToFit="1"/>
    </xf>
    <xf numFmtId="38" fontId="34" fillId="11" borderId="20" xfId="1" applyFont="1" applyFill="1" applyBorder="1" applyAlignment="1">
      <alignment horizontal="center" vertical="center" shrinkToFit="1"/>
    </xf>
    <xf numFmtId="0" fontId="25" fillId="0" borderId="0" xfId="0" applyFont="1">
      <alignment vertical="center"/>
    </xf>
    <xf numFmtId="38" fontId="21" fillId="0" borderId="22" xfId="1" applyFont="1" applyBorder="1" applyAlignment="1" applyProtection="1">
      <alignment horizontal="right" vertical="center"/>
      <protection locked="0"/>
    </xf>
    <xf numFmtId="38" fontId="22" fillId="0" borderId="0" xfId="1" applyFont="1" applyAlignment="1">
      <alignment horizontal="center" vertical="center"/>
    </xf>
    <xf numFmtId="38" fontId="22" fillId="0" borderId="119" xfId="0" applyNumberFormat="1" applyFont="1" applyBorder="1">
      <alignment vertical="center"/>
    </xf>
    <xf numFmtId="38" fontId="22" fillId="0" borderId="120" xfId="1" applyFont="1" applyBorder="1">
      <alignment vertical="center"/>
    </xf>
    <xf numFmtId="38" fontId="22" fillId="0" borderId="120" xfId="1" applyFont="1" applyBorder="1" applyAlignment="1">
      <alignment horizontal="right" vertical="center"/>
    </xf>
    <xf numFmtId="38" fontId="22" fillId="0" borderId="121" xfId="1" applyFont="1" applyBorder="1">
      <alignment vertical="center"/>
    </xf>
    <xf numFmtId="38" fontId="22" fillId="0" borderId="45" xfId="1" applyFont="1" applyBorder="1">
      <alignment vertical="center"/>
    </xf>
    <xf numFmtId="38" fontId="22" fillId="0" borderId="122" xfId="1" applyFont="1" applyBorder="1">
      <alignment vertical="center"/>
    </xf>
    <xf numFmtId="38" fontId="22" fillId="0" borderId="110" xfId="1" applyFont="1" applyBorder="1">
      <alignment vertical="center"/>
    </xf>
    <xf numFmtId="38" fontId="22" fillId="0" borderId="123" xfId="1" applyFont="1" applyBorder="1">
      <alignment vertical="center"/>
    </xf>
    <xf numFmtId="38" fontId="22" fillId="0" borderId="124" xfId="1" applyFont="1" applyBorder="1">
      <alignment vertical="center"/>
    </xf>
    <xf numFmtId="38" fontId="22" fillId="0" borderId="125" xfId="1" applyFont="1" applyBorder="1">
      <alignment vertical="center"/>
    </xf>
    <xf numFmtId="0" fontId="22" fillId="0" borderId="0" xfId="0" applyFont="1" applyAlignment="1">
      <alignment horizontal="right" vertical="center"/>
    </xf>
    <xf numFmtId="0" fontId="0" fillId="0" borderId="0" xfId="0" applyProtection="1">
      <alignment vertical="center"/>
      <protection locked="0"/>
    </xf>
    <xf numFmtId="38" fontId="22" fillId="0" borderId="0" xfId="0" applyNumberFormat="1" applyFont="1" applyAlignment="1">
      <alignment horizontal="center" vertical="center"/>
    </xf>
    <xf numFmtId="0" fontId="22" fillId="0" borderId="0" xfId="0" applyFont="1" applyAlignment="1">
      <alignment horizontal="center" vertical="center"/>
    </xf>
    <xf numFmtId="38" fontId="47" fillId="0" borderId="0" xfId="12" applyNumberFormat="1" applyFont="1">
      <alignment vertical="center"/>
    </xf>
    <xf numFmtId="0" fontId="0" fillId="0" borderId="0" xfId="0" applyAlignment="1">
      <alignment vertical="center" shrinkToFit="1"/>
    </xf>
    <xf numFmtId="38" fontId="34" fillId="11" borderId="31" xfId="1" applyFont="1" applyFill="1" applyBorder="1" applyAlignment="1">
      <alignment horizontal="center" vertical="center" shrinkToFit="1"/>
    </xf>
    <xf numFmtId="38" fontId="22" fillId="0" borderId="119" xfId="1" applyFont="1" applyBorder="1">
      <alignment vertical="center"/>
    </xf>
    <xf numFmtId="38" fontId="34" fillId="11" borderId="81" xfId="1" applyFont="1" applyFill="1" applyBorder="1" applyAlignment="1">
      <alignment horizontal="center" vertical="center" shrinkToFit="1"/>
    </xf>
    <xf numFmtId="38" fontId="34" fillId="11" borderId="32" xfId="1" applyFont="1" applyFill="1" applyBorder="1" applyAlignment="1">
      <alignment horizontal="center" vertical="center" shrinkToFit="1"/>
    </xf>
    <xf numFmtId="38" fontId="48" fillId="0" borderId="0" xfId="1" applyFont="1" applyAlignment="1">
      <alignment vertical="center" shrinkToFit="1"/>
    </xf>
    <xf numFmtId="38" fontId="16" fillId="0" borderId="11" xfId="4" applyFont="1" applyBorder="1" applyProtection="1">
      <alignment vertical="center"/>
      <protection locked="0" hidden="1"/>
    </xf>
    <xf numFmtId="38" fontId="16" fillId="0" borderId="0" xfId="4" applyFont="1" applyProtection="1">
      <alignment vertical="center"/>
      <protection locked="0" hidden="1"/>
    </xf>
    <xf numFmtId="10" fontId="16" fillId="0" borderId="0" xfId="10" applyNumberFormat="1" applyFont="1" applyProtection="1">
      <alignment vertical="center"/>
      <protection locked="0" hidden="1"/>
    </xf>
    <xf numFmtId="38" fontId="16" fillId="0" borderId="0" xfId="8" applyFont="1" applyProtection="1">
      <alignment vertical="center"/>
      <protection locked="0" hidden="1"/>
    </xf>
    <xf numFmtId="38" fontId="16" fillId="0" borderId="5" xfId="4" applyFont="1" applyBorder="1" applyProtection="1">
      <alignment vertical="center"/>
      <protection locked="0" hidden="1"/>
    </xf>
    <xf numFmtId="38" fontId="16" fillId="0" borderId="105" xfId="1" applyFont="1" applyBorder="1" applyAlignment="1">
      <alignment vertical="center" shrinkToFit="1"/>
    </xf>
    <xf numFmtId="38" fontId="16" fillId="0" borderId="105" xfId="1" applyFont="1" applyBorder="1" applyAlignment="1" applyProtection="1">
      <alignment vertical="center" shrinkToFit="1"/>
      <protection locked="0"/>
    </xf>
    <xf numFmtId="38" fontId="5" fillId="0" borderId="105" xfId="1" applyFont="1" applyBorder="1" applyAlignment="1" applyProtection="1">
      <alignment vertical="center" shrinkToFit="1"/>
      <protection locked="0"/>
    </xf>
    <xf numFmtId="38" fontId="48" fillId="0" borderId="105" xfId="1" applyFont="1" applyBorder="1" applyAlignment="1">
      <alignment vertical="center" shrinkToFit="1"/>
    </xf>
    <xf numFmtId="38" fontId="16" fillId="0" borderId="105" xfId="1" applyFont="1" applyBorder="1" applyAlignment="1">
      <alignment horizontal="center" vertical="center" shrinkToFit="1"/>
    </xf>
    <xf numFmtId="38" fontId="48" fillId="0" borderId="0" xfId="1" applyFont="1">
      <alignment vertical="center"/>
    </xf>
    <xf numFmtId="38" fontId="0" fillId="0" borderId="126" xfId="1" applyFont="1" applyBorder="1">
      <alignment vertical="center"/>
    </xf>
    <xf numFmtId="38" fontId="0" fillId="0" borderId="127" xfId="1" applyFont="1" applyBorder="1">
      <alignment vertical="center"/>
    </xf>
    <xf numFmtId="38" fontId="22" fillId="0" borderId="74" xfId="1" applyFont="1" applyBorder="1">
      <alignment vertical="center"/>
    </xf>
    <xf numFmtId="0" fontId="22" fillId="0" borderId="9" xfId="0" applyFont="1" applyBorder="1">
      <alignment vertical="center"/>
    </xf>
    <xf numFmtId="38" fontId="22" fillId="0" borderId="0" xfId="1" applyFont="1" applyAlignment="1">
      <alignment horizontal="center"/>
    </xf>
    <xf numFmtId="38" fontId="22" fillId="0" borderId="51" xfId="1" applyFont="1" applyBorder="1">
      <alignment vertical="center"/>
    </xf>
    <xf numFmtId="38" fontId="42" fillId="11" borderId="22" xfId="1" applyFont="1" applyFill="1" applyBorder="1" applyAlignment="1">
      <alignment horizontal="center" vertical="center" shrinkToFit="1"/>
    </xf>
    <xf numFmtId="38" fontId="14" fillId="0" borderId="105" xfId="1" applyFont="1" applyBorder="1" applyAlignment="1">
      <alignment vertical="center" shrinkToFit="1"/>
    </xf>
    <xf numFmtId="38" fontId="40" fillId="0" borderId="0" xfId="12" applyNumberFormat="1" applyProtection="1">
      <alignment vertical="center"/>
      <protection locked="0"/>
    </xf>
    <xf numFmtId="38" fontId="16" fillId="0" borderId="117" xfId="1" applyFont="1" applyBorder="1" applyAlignment="1">
      <alignment vertical="center" shrinkToFit="1"/>
    </xf>
    <xf numFmtId="38" fontId="22" fillId="0" borderId="128" xfId="1" applyFont="1" applyBorder="1">
      <alignment vertical="center"/>
    </xf>
    <xf numFmtId="38" fontId="0" fillId="0" borderId="15" xfId="1" applyFont="1" applyBorder="1">
      <alignment vertical="center"/>
    </xf>
    <xf numFmtId="38" fontId="22" fillId="0" borderId="129" xfId="1" applyFont="1" applyBorder="1">
      <alignment vertical="center"/>
    </xf>
    <xf numFmtId="38" fontId="16" fillId="0" borderId="21" xfId="1" applyFont="1" applyBorder="1" applyAlignment="1" applyProtection="1">
      <alignment vertical="center" shrinkToFit="1"/>
      <protection locked="0"/>
    </xf>
    <xf numFmtId="38" fontId="0" fillId="0" borderId="69" xfId="1" applyFont="1" applyBorder="1">
      <alignment vertical="center"/>
    </xf>
    <xf numFmtId="0" fontId="0" fillId="0" borderId="0" xfId="0" applyAlignment="1"/>
    <xf numFmtId="38" fontId="22" fillId="0" borderId="130" xfId="1" applyFont="1" applyBorder="1">
      <alignment vertical="center"/>
    </xf>
    <xf numFmtId="177" fontId="22" fillId="0" borderId="130" xfId="2" applyNumberFormat="1" applyFont="1" applyBorder="1">
      <alignment vertical="center"/>
    </xf>
    <xf numFmtId="38" fontId="22" fillId="0" borderId="25" xfId="1" applyFont="1" applyBorder="1">
      <alignment vertical="center"/>
    </xf>
    <xf numFmtId="38" fontId="22" fillId="0" borderId="27" xfId="1" applyFont="1" applyBorder="1">
      <alignment vertical="center"/>
    </xf>
    <xf numFmtId="38" fontId="22" fillId="0" borderId="31" xfId="1" applyFont="1" applyBorder="1">
      <alignment vertical="center"/>
    </xf>
    <xf numFmtId="177" fontId="22" fillId="0" borderId="14" xfId="2" applyNumberFormat="1" applyFont="1" applyBorder="1">
      <alignment vertical="center"/>
    </xf>
    <xf numFmtId="38" fontId="22" fillId="0" borderId="117" xfId="1" applyFont="1" applyBorder="1">
      <alignment vertical="center"/>
    </xf>
    <xf numFmtId="38" fontId="22" fillId="0" borderId="131" xfId="1" applyFont="1" applyBorder="1">
      <alignment vertical="center"/>
    </xf>
    <xf numFmtId="38" fontId="0" fillId="0" borderId="0" xfId="0" applyNumberFormat="1" applyAlignment="1"/>
    <xf numFmtId="38" fontId="21" fillId="0" borderId="22" xfId="4" applyFont="1" applyBorder="1" applyAlignment="1">
      <alignment vertical="center" shrinkToFit="1"/>
    </xf>
    <xf numFmtId="0" fontId="0" fillId="0" borderId="21" xfId="0" applyBorder="1" applyAlignment="1"/>
  </cellXfs>
  <cellStyles count="13">
    <cellStyle name="パーセント" xfId="2" builtinId="5"/>
    <cellStyle name="パーセント 2" xfId="9" xr:uid="{00000000-0005-0000-0000-000009000000}"/>
    <cellStyle name="パーセント 3" xfId="11" xr:uid="{00000000-0005-0000-0000-00000B000000}"/>
    <cellStyle name="パーセント 5" xfId="10" xr:uid="{00000000-0005-0000-0000-00000A000000}"/>
    <cellStyle name="パーセント 8 2" xfId="7" xr:uid="{00000000-0005-0000-0000-000007000000}"/>
    <cellStyle name="ハイパーリンク" xfId="12" builtinId="8"/>
    <cellStyle name="桁区切り" xfId="1" builtinId="6"/>
    <cellStyle name="桁区切り 2 5" xfId="8" xr:uid="{00000000-0005-0000-0000-000008000000}"/>
    <cellStyle name="桁区切り 3" xfId="4" xr:uid="{00000000-0005-0000-0000-000004000000}"/>
    <cellStyle name="桁区切り 7 2" xfId="6" xr:uid="{00000000-0005-0000-0000-000006000000}"/>
    <cellStyle name="標準" xfId="0" builtinId="0"/>
    <cellStyle name="標準 108" xfId="3" xr:uid="{00000000-0005-0000-0000-000003000000}"/>
    <cellStyle name="標準 20 2" xfId="5" xr:uid="{00000000-0005-0000-0000-000005000000}"/>
  </cellStyles>
  <dxfs count="33">
    <dxf>
      <numFmt numFmtId="178" formatCode="#,##0,;[Red]\-#,##0,"/>
    </dxf>
    <dxf>
      <numFmt numFmtId="178" formatCode="#,##0,;[Red]\-#,##0,"/>
    </dxf>
    <dxf>
      <numFmt numFmtId="178" formatCode="#,##0,;[Red]\-#,##0,"/>
    </dxf>
    <dxf>
      <numFmt numFmtId="178" formatCode="#,##0,;[Red]\-#,##0,"/>
    </dxf>
    <dxf>
      <fill>
        <patternFill>
          <bgColor rgb="FFFFFFE0"/>
        </patternFill>
      </fill>
    </dxf>
    <dxf>
      <fill>
        <patternFill>
          <bgColor theme="7"/>
        </patternFill>
      </fill>
    </dxf>
    <dxf>
      <fill>
        <patternFill>
          <bgColor theme="7"/>
        </patternFill>
      </fill>
    </dxf>
    <dxf>
      <fill>
        <patternFill>
          <bgColor theme="7"/>
        </patternFill>
      </fill>
    </dxf>
    <dxf>
      <fill>
        <patternFill>
          <bgColor theme="7"/>
        </patternFill>
      </fill>
    </dxf>
    <dxf>
      <numFmt numFmtId="178" formatCode="#,##0,;[Red]\-#,##0,"/>
    </dxf>
    <dxf>
      <numFmt numFmtId="178" formatCode="#,##0,;[Red]\-#,##0,"/>
    </dxf>
    <dxf>
      <numFmt numFmtId="178" formatCode="#,##0,;[Red]\-#,##0,"/>
    </dxf>
    <dxf>
      <numFmt numFmtId="178" formatCode="#,##0,;[Red]\-#,##0,"/>
    </dxf>
    <dxf>
      <numFmt numFmtId="178" formatCode="#,##0,;[Red]\-#,##0,"/>
    </dxf>
    <dxf>
      <fill>
        <patternFill>
          <bgColor theme="7"/>
        </patternFill>
      </fill>
    </dxf>
    <dxf>
      <fill>
        <patternFill>
          <bgColor theme="7"/>
        </patternFill>
      </fill>
    </dxf>
    <dxf>
      <fill>
        <patternFill>
          <bgColor theme="7"/>
        </patternFill>
      </fill>
    </dxf>
    <dxf>
      <numFmt numFmtId="178" formatCode="#,##0,;[Red]\-#,##0,"/>
    </dxf>
    <dxf>
      <fill>
        <patternFill>
          <bgColor theme="7"/>
        </patternFill>
      </fill>
    </dxf>
    <dxf>
      <fill>
        <patternFill>
          <bgColor rgb="FFFFFFE0"/>
        </patternFill>
      </fill>
    </dxf>
    <dxf>
      <numFmt numFmtId="178" formatCode="#,##0,;[Red]\-#,##0,"/>
    </dxf>
    <dxf>
      <numFmt numFmtId="178" formatCode="#,##0,;[Red]\-#,##0,"/>
    </dxf>
    <dxf>
      <fill>
        <patternFill patternType="solid">
          <bgColor rgb="FFFFFFE0"/>
        </patternFill>
      </fill>
    </dxf>
    <dxf>
      <numFmt numFmtId="178" formatCode="#,##0,;[Red]\-#,##0,"/>
    </dxf>
    <dxf>
      <numFmt numFmtId="178" formatCode="#,##0,;[Red]\-#,##0,"/>
    </dxf>
    <dxf>
      <numFmt numFmtId="178" formatCode="#,##0,;[Red]\-#,##0,"/>
    </dxf>
    <dxf>
      <numFmt numFmtId="178" formatCode="#,##0,;[Red]\-#,##0,"/>
    </dxf>
    <dxf>
      <numFmt numFmtId="178" formatCode="#,##0,;[Red]\-#,##0,"/>
    </dxf>
    <dxf>
      <numFmt numFmtId="178" formatCode="#,##0,;[Red]\-#,##0,"/>
    </dxf>
    <dxf>
      <numFmt numFmtId="178" formatCode="#,##0,;[Red]\-#,##0,"/>
    </dxf>
    <dxf>
      <numFmt numFmtId="178" formatCode="#,##0,;[Red]\-#,##0,"/>
    </dxf>
    <dxf>
      <numFmt numFmtId="178" formatCode="#,##0,;[Red]\-#,##0,"/>
    </dxf>
    <dxf>
      <fill>
        <patternFill>
          <bgColor rgb="FFFFFFD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法人成後手取り増減額</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報告書!$B$100</c:f>
              <c:strCache>
                <c:ptCount val="1"/>
                <c:pt idx="0">
                  <c:v>合算手取り額</c:v>
                </c:pt>
              </c:strCache>
            </c:strRef>
          </c:tx>
          <c:spPr>
            <a:solidFill>
              <a:schemeClr val="accent1"/>
            </a:solidFill>
            <a:ln>
              <a:noFill/>
            </a:ln>
            <a:effectLst/>
          </c:spPr>
          <c:invertIfNegative val="0"/>
          <c:val>
            <c:numRef>
              <c:f>報告書!$C$100</c:f>
              <c:numCache>
                <c:formatCode>#,##0_);[Red]\(#,##0\)</c:formatCode>
                <c:ptCount val="1"/>
                <c:pt idx="0">
                  <c:v>178231.99899864197</c:v>
                </c:pt>
              </c:numCache>
            </c:numRef>
          </c:val>
          <c:extLst>
            <c:ext xmlns:c16="http://schemas.microsoft.com/office/drawing/2014/chart" uri="{C3380CC4-5D6E-409C-BE32-E72D297353CC}">
              <c16:uniqueId val="{00000000-1C5F-41DB-9BD1-75FEF1D24CA6}"/>
            </c:ext>
          </c:extLst>
        </c:ser>
        <c:ser>
          <c:idx val="1"/>
          <c:order val="1"/>
          <c:tx>
            <c:strRef>
              <c:f>報告書!$B$101</c:f>
              <c:strCache>
                <c:ptCount val="1"/>
                <c:pt idx="0">
                  <c:v>法人手取り額</c:v>
                </c:pt>
              </c:strCache>
            </c:strRef>
          </c:tx>
          <c:spPr>
            <a:solidFill>
              <a:schemeClr val="accent2"/>
            </a:solidFill>
            <a:ln>
              <a:noFill/>
            </a:ln>
            <a:effectLst/>
          </c:spPr>
          <c:invertIfNegative val="0"/>
          <c:val>
            <c:numRef>
              <c:f>報告書!$C$101</c:f>
              <c:numCache>
                <c:formatCode>#,##0_);[Red]\(#,##0\)</c:formatCode>
                <c:ptCount val="1"/>
                <c:pt idx="0">
                  <c:v>111759.99949932098</c:v>
                </c:pt>
              </c:numCache>
            </c:numRef>
          </c:val>
          <c:extLst>
            <c:ext xmlns:c16="http://schemas.microsoft.com/office/drawing/2014/chart" uri="{C3380CC4-5D6E-409C-BE32-E72D297353CC}">
              <c16:uniqueId val="{00000001-1C5F-41DB-9BD1-75FEF1D24CA6}"/>
            </c:ext>
          </c:extLst>
        </c:ser>
        <c:ser>
          <c:idx val="2"/>
          <c:order val="2"/>
          <c:tx>
            <c:strRef>
              <c:f>報告書!$B$102</c:f>
              <c:strCache>
                <c:ptCount val="1"/>
                <c:pt idx="0">
                  <c:v>個人手取り額</c:v>
                </c:pt>
              </c:strCache>
            </c:strRef>
          </c:tx>
          <c:spPr>
            <a:solidFill>
              <a:schemeClr val="accent3"/>
            </a:solidFill>
            <a:ln>
              <a:noFill/>
            </a:ln>
            <a:effectLst/>
          </c:spPr>
          <c:invertIfNegative val="0"/>
          <c:val>
            <c:numRef>
              <c:f>報告書!$C$102</c:f>
              <c:numCache>
                <c:formatCode>#,##0_);[Red]\(#,##0\)</c:formatCode>
                <c:ptCount val="1"/>
                <c:pt idx="0">
                  <c:v>66471.999499320984</c:v>
                </c:pt>
              </c:numCache>
            </c:numRef>
          </c:val>
          <c:extLst>
            <c:ext xmlns:c16="http://schemas.microsoft.com/office/drawing/2014/chart" uri="{C3380CC4-5D6E-409C-BE32-E72D297353CC}">
              <c16:uniqueId val="{00000002-1C5F-41DB-9BD1-75FEF1D24CA6}"/>
            </c:ext>
          </c:extLst>
        </c:ser>
        <c:dLbls>
          <c:showLegendKey val="0"/>
          <c:showVal val="0"/>
          <c:showCatName val="0"/>
          <c:showSerName val="0"/>
          <c:showPercent val="0"/>
          <c:showBubbleSize val="0"/>
        </c:dLbls>
        <c:gapWidth val="219"/>
        <c:overlap val="-27"/>
        <c:axId val="1555727695"/>
        <c:axId val="1555724335"/>
      </c:barChart>
      <c:catAx>
        <c:axId val="1555727695"/>
        <c:scaling>
          <c:orientation val="minMax"/>
        </c:scaling>
        <c:delete val="1"/>
        <c:axPos val="b"/>
        <c:numFmt formatCode="General" sourceLinked="1"/>
        <c:majorTickMark val="none"/>
        <c:minorTickMark val="none"/>
        <c:tickLblPos val="nextTo"/>
        <c:crossAx val="1555724335"/>
        <c:crosses val="autoZero"/>
        <c:auto val="1"/>
        <c:lblAlgn val="ctr"/>
        <c:lblOffset val="100"/>
        <c:noMultiLvlLbl val="0"/>
      </c:catAx>
      <c:valAx>
        <c:axId val="1555724335"/>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557276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法人成後手取り増減額</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報告書!$H$100</c:f>
              <c:strCache>
                <c:ptCount val="1"/>
                <c:pt idx="0">
                  <c:v>合算手取り額</c:v>
                </c:pt>
              </c:strCache>
            </c:strRef>
          </c:tx>
          <c:spPr>
            <a:solidFill>
              <a:schemeClr val="accent1"/>
            </a:solidFill>
            <a:ln>
              <a:noFill/>
            </a:ln>
            <a:effectLst/>
          </c:spPr>
          <c:invertIfNegative val="0"/>
          <c:val>
            <c:numRef>
              <c:f>報告書!$I$100</c:f>
              <c:numCache>
                <c:formatCode>#,##0_);[Red]\(#,##0\)</c:formatCode>
                <c:ptCount val="1"/>
                <c:pt idx="0">
                  <c:v>-266271.99749660492</c:v>
                </c:pt>
              </c:numCache>
            </c:numRef>
          </c:val>
          <c:extLst>
            <c:ext xmlns:c16="http://schemas.microsoft.com/office/drawing/2014/chart" uri="{C3380CC4-5D6E-409C-BE32-E72D297353CC}">
              <c16:uniqueId val="{00000000-93F0-4CF2-86E7-5982890704CE}"/>
            </c:ext>
          </c:extLst>
        </c:ser>
        <c:ser>
          <c:idx val="1"/>
          <c:order val="1"/>
          <c:tx>
            <c:strRef>
              <c:f>報告書!$H$101</c:f>
              <c:strCache>
                <c:ptCount val="1"/>
                <c:pt idx="0">
                  <c:v>法人手取り額</c:v>
                </c:pt>
              </c:strCache>
            </c:strRef>
          </c:tx>
          <c:spPr>
            <a:solidFill>
              <a:schemeClr val="accent2"/>
            </a:solidFill>
            <a:ln>
              <a:noFill/>
            </a:ln>
            <a:effectLst/>
          </c:spPr>
          <c:invertIfNegative val="0"/>
          <c:val>
            <c:numRef>
              <c:f>報告書!$I$101</c:f>
              <c:numCache>
                <c:formatCode>#,##0_);[Red]\(#,##0\)</c:formatCode>
                <c:ptCount val="1"/>
                <c:pt idx="0">
                  <c:v>2828499.9987483025</c:v>
                </c:pt>
              </c:numCache>
            </c:numRef>
          </c:val>
          <c:extLst>
            <c:ext xmlns:c16="http://schemas.microsoft.com/office/drawing/2014/chart" uri="{C3380CC4-5D6E-409C-BE32-E72D297353CC}">
              <c16:uniqueId val="{00000001-93F0-4CF2-86E7-5982890704CE}"/>
            </c:ext>
          </c:extLst>
        </c:ser>
        <c:ser>
          <c:idx val="2"/>
          <c:order val="2"/>
          <c:tx>
            <c:strRef>
              <c:f>報告書!$H$102</c:f>
              <c:strCache>
                <c:ptCount val="1"/>
                <c:pt idx="0">
                  <c:v>個人手取り額</c:v>
                </c:pt>
              </c:strCache>
            </c:strRef>
          </c:tx>
          <c:spPr>
            <a:solidFill>
              <a:schemeClr val="accent3"/>
            </a:solidFill>
            <a:ln>
              <a:noFill/>
            </a:ln>
            <a:effectLst/>
          </c:spPr>
          <c:invertIfNegative val="0"/>
          <c:val>
            <c:numRef>
              <c:f>報告書!$I$102</c:f>
              <c:numCache>
                <c:formatCode>#,##0_);[Red]\(#,##0\)</c:formatCode>
                <c:ptCount val="1"/>
                <c:pt idx="0">
                  <c:v>-2562228.0012516975</c:v>
                </c:pt>
              </c:numCache>
            </c:numRef>
          </c:val>
          <c:extLst>
            <c:ext xmlns:c16="http://schemas.microsoft.com/office/drawing/2014/chart" uri="{C3380CC4-5D6E-409C-BE32-E72D297353CC}">
              <c16:uniqueId val="{00000002-93F0-4CF2-86E7-5982890704CE}"/>
            </c:ext>
          </c:extLst>
        </c:ser>
        <c:dLbls>
          <c:showLegendKey val="0"/>
          <c:showVal val="0"/>
          <c:showCatName val="0"/>
          <c:showSerName val="0"/>
          <c:showPercent val="0"/>
          <c:showBubbleSize val="0"/>
        </c:dLbls>
        <c:gapWidth val="219"/>
        <c:overlap val="-27"/>
        <c:axId val="1894321615"/>
        <c:axId val="1894323055"/>
      </c:barChart>
      <c:catAx>
        <c:axId val="1894321615"/>
        <c:scaling>
          <c:orientation val="minMax"/>
        </c:scaling>
        <c:delete val="1"/>
        <c:axPos val="b"/>
        <c:numFmt formatCode="General" sourceLinked="1"/>
        <c:majorTickMark val="out"/>
        <c:minorTickMark val="none"/>
        <c:tickLblPos val="nextTo"/>
        <c:crossAx val="1894323055"/>
        <c:crosses val="autoZero"/>
        <c:auto val="1"/>
        <c:lblAlgn val="ctr"/>
        <c:lblOffset val="100"/>
        <c:noMultiLvlLbl val="0"/>
      </c:catAx>
      <c:valAx>
        <c:axId val="1894323055"/>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9432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D$111" lockText="1" noThreeD="1"/>
</file>

<file path=xl/ctrlProps/ctrlProp6.xml><?xml version="1.0" encoding="utf-8"?>
<formControlPr xmlns="http://schemas.microsoft.com/office/spreadsheetml/2009/9/main" objectType="CheckBox" fmlaLink="$E$111" lockText="1" noThreeD="1"/>
</file>

<file path=xl/ctrlProps/ctrlProp7.xml><?xml version="1.0" encoding="utf-8"?>
<formControlPr xmlns="http://schemas.microsoft.com/office/spreadsheetml/2009/9/main" objectType="CheckBox" fmlaLink="F111" lockText="1" noThreeD="1"/>
</file>

<file path=xl/ctrlProps/ctrlProp8.xml><?xml version="1.0" encoding="utf-8"?>
<formControlPr xmlns="http://schemas.microsoft.com/office/spreadsheetml/2009/9/main" objectType="CheckBox" fmlaLink="G111" lockText="1" noThreeD="1"/>
</file>

<file path=xl/ctrlProps/ctrlProp9.xml><?xml version="1.0" encoding="utf-8"?>
<formControlPr xmlns="http://schemas.microsoft.com/office/spreadsheetml/2009/9/main" objectType="CheckBox" fmlaLink="$D$112" lockText="1" noThreeD="1"/>
</file>

<file path=xl/ctrlProps/ctrlProp10.xml><?xml version="1.0" encoding="utf-8"?>
<formControlPr xmlns="http://schemas.microsoft.com/office/spreadsheetml/2009/9/main" objectType="CheckBox" fmlaLink="$E$112" lockText="1" noThreeD="1"/>
</file>

<file path=xl/ctrlProps/ctrlProp11.xml><?xml version="1.0" encoding="utf-8"?>
<formControlPr xmlns="http://schemas.microsoft.com/office/spreadsheetml/2009/9/main" objectType="CheckBox" fmlaLink="$F$112" lockText="1" noThreeD="1"/>
</file>

<file path=xl/ctrlProps/ctrlProp12.xml><?xml version="1.0" encoding="utf-8"?>
<formControlPr xmlns="http://schemas.microsoft.com/office/spreadsheetml/2009/9/main" objectType="CheckBox" fmlaLink="$G$112"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fmlaLink="$AT$1"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Radio" firstButton="1" fmlaLink="$AT$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fmlaLink="$AT$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CheckBox" fmlaLink="$AM$1"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Radio" checked="Checked" firstButton="1" fmlaLink="$AT$1" lockText="1" noThreeD="1"/>
</file>

<file path=xl/ctrlProps/ctrlProp3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107950</xdr:colOff>
      <xdr:row>1</xdr:row>
      <xdr:rowOff>0</xdr:rowOff>
    </xdr:from>
    <xdr:to>
      <xdr:col>4</xdr:col>
      <xdr:colOff>127000</xdr:colOff>
      <xdr:row>1</xdr:row>
      <xdr:rowOff>19050</xdr:rowOff>
    </xdr:to>
    <xdr:pic>
      <xdr:nvPicPr>
        <xdr:cNvPr id="1077" name="CheckBox2">
          <a:extLst>
            <a:ext uri="{FF2B5EF4-FFF2-40B4-BE49-F238E27FC236}">
              <a16:creationId xmlns:a16="http://schemas.microsoft.com/office/drawing/2014/main" id="{B21851D7-9667-0FFF-F312-A86B6F2B994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78350" y="457200"/>
          <a:ext cx="19050" cy="19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6</xdr:col>
      <xdr:colOff>260350</xdr:colOff>
      <xdr:row>1</xdr:row>
      <xdr:rowOff>0</xdr:rowOff>
    </xdr:from>
    <xdr:to>
      <xdr:col>6</xdr:col>
      <xdr:colOff>279400</xdr:colOff>
      <xdr:row>1</xdr:row>
      <xdr:rowOff>19050</xdr:rowOff>
    </xdr:to>
    <xdr:pic>
      <xdr:nvPicPr>
        <xdr:cNvPr id="1078" name="CheckBox4">
          <a:extLst>
            <a:ext uri="{FF2B5EF4-FFF2-40B4-BE49-F238E27FC236}">
              <a16:creationId xmlns:a16="http://schemas.microsoft.com/office/drawing/2014/main" id="{90A66519-69A0-ED4F-8CE0-5CFFCEE9341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08850" y="457200"/>
          <a:ext cx="19050" cy="19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mc:AlternateContent xmlns:mc="http://schemas.openxmlformats.org/markup-compatibility/2006">
    <mc:Choice xmlns:a14="http://schemas.microsoft.com/office/drawing/2010/main" Requires="a14">
      <xdr:twoCellAnchor editAs="absolute">
        <xdr:from>
          <xdr:col>16</xdr:col>
          <xdr:colOff>184150</xdr:colOff>
          <xdr:row>126</xdr:row>
          <xdr:rowOff>209550</xdr:rowOff>
        </xdr:from>
        <xdr:to>
          <xdr:col>18</xdr:col>
          <xdr:colOff>209550</xdr:colOff>
          <xdr:row>127</xdr:row>
          <xdr:rowOff>203200</xdr:rowOff>
        </xdr:to>
        <xdr:sp macro="" textlink="">
          <xdr:nvSpPr>
            <xdr:cNvPr id="1112" name="ボタン 112"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000" b="0" i="0" u="none" strike="noStrike" baseline="0">
                  <a:solidFill>
                    <a:srgbClr val="FF0000"/>
                  </a:solidFill>
                  <a:latin typeface="メイリオ"/>
                  <a:ea typeface="メイリオ"/>
                </a:rPr>
                <a:t>予算変更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69850</xdr:colOff>
          <xdr:row>48</xdr:row>
          <xdr:rowOff>158750</xdr:rowOff>
        </xdr:from>
        <xdr:to>
          <xdr:col>15</xdr:col>
          <xdr:colOff>692150</xdr:colOff>
          <xdr:row>49</xdr:row>
          <xdr:rowOff>196850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健康保険料任意入力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69850</xdr:colOff>
          <xdr:row>50</xdr:row>
          <xdr:rowOff>6350</xdr:rowOff>
        </xdr:from>
        <xdr:to>
          <xdr:col>15</xdr:col>
          <xdr:colOff>692150</xdr:colOff>
          <xdr:row>51</xdr:row>
          <xdr:rowOff>82550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健康保険料自動計算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527050</xdr:colOff>
          <xdr:row>0</xdr:row>
          <xdr:rowOff>222250</xdr:rowOff>
        </xdr:from>
        <xdr:to>
          <xdr:col>16</xdr:col>
          <xdr:colOff>717550</xdr:colOff>
          <xdr:row>1</xdr:row>
          <xdr:rowOff>76200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画面更新　valueになる場合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304800</xdr:colOff>
          <xdr:row>29</xdr:row>
          <xdr:rowOff>209550</xdr:rowOff>
        </xdr:from>
        <xdr:to>
          <xdr:col>3</xdr:col>
          <xdr:colOff>609600</xdr:colOff>
          <xdr:row>29</xdr:row>
          <xdr:rowOff>469900</xdr:rowOff>
        </xdr:to>
        <xdr:sp macro="" textlink="">
          <xdr:nvSpPr>
            <xdr:cNvPr id="1122" name="チェック 2490"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317500</xdr:colOff>
          <xdr:row>29</xdr:row>
          <xdr:rowOff>209550</xdr:rowOff>
        </xdr:from>
        <xdr:to>
          <xdr:col>4</xdr:col>
          <xdr:colOff>641350</xdr:colOff>
          <xdr:row>29</xdr:row>
          <xdr:rowOff>469900</xdr:rowOff>
        </xdr:to>
        <xdr:sp macro="" textlink="">
          <xdr:nvSpPr>
            <xdr:cNvPr id="1123" name="チェック 2491"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304800</xdr:colOff>
          <xdr:row>29</xdr:row>
          <xdr:rowOff>203200</xdr:rowOff>
        </xdr:from>
        <xdr:to>
          <xdr:col>5</xdr:col>
          <xdr:colOff>622300</xdr:colOff>
          <xdr:row>29</xdr:row>
          <xdr:rowOff>469900</xdr:rowOff>
        </xdr:to>
        <xdr:sp macro="" textlink="">
          <xdr:nvSpPr>
            <xdr:cNvPr id="1124" name="チェック 2492"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260350</xdr:colOff>
          <xdr:row>29</xdr:row>
          <xdr:rowOff>203200</xdr:rowOff>
        </xdr:from>
        <xdr:to>
          <xdr:col>6</xdr:col>
          <xdr:colOff>685800</xdr:colOff>
          <xdr:row>29</xdr:row>
          <xdr:rowOff>469900</xdr:rowOff>
        </xdr:to>
        <xdr:sp macro="" textlink="">
          <xdr:nvSpPr>
            <xdr:cNvPr id="1125" name="チェック 2493"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222250</xdr:colOff>
          <xdr:row>4</xdr:row>
          <xdr:rowOff>69850</xdr:rowOff>
        </xdr:from>
        <xdr:to>
          <xdr:col>3</xdr:col>
          <xdr:colOff>876300</xdr:colOff>
          <xdr:row>5</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304800</xdr:colOff>
          <xdr:row>4</xdr:row>
          <xdr:rowOff>69850</xdr:rowOff>
        </xdr:from>
        <xdr:to>
          <xdr:col>4</xdr:col>
          <xdr:colOff>946150</xdr:colOff>
          <xdr:row>5</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304800</xdr:colOff>
          <xdr:row>4</xdr:row>
          <xdr:rowOff>69850</xdr:rowOff>
        </xdr:from>
        <xdr:to>
          <xdr:col>5</xdr:col>
          <xdr:colOff>914400</xdr:colOff>
          <xdr:row>5</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273050</xdr:colOff>
          <xdr:row>4</xdr:row>
          <xdr:rowOff>69850</xdr:rowOff>
        </xdr:from>
        <xdr:to>
          <xdr:col>6</xdr:col>
          <xdr:colOff>914400</xdr:colOff>
          <xdr:row>5</xdr:row>
          <xdr:rowOff>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44450</xdr:colOff>
          <xdr:row>32</xdr:row>
          <xdr:rowOff>165100</xdr:rowOff>
        </xdr:from>
        <xdr:to>
          <xdr:col>1</xdr:col>
          <xdr:colOff>577850</xdr:colOff>
          <xdr:row>36</xdr:row>
          <xdr:rowOff>165100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他の所得金額と</a:t>
              </a:r>
            </a:p>
            <a:p>
              <a:pPr algn="ctr" rtl="0">
                <a:defRPr sz="1000"/>
              </a:pPr>
              <a:r>
                <a:rPr lang="ja-JP" altLang="en-US" sz="1100" b="0" i="0" u="none" strike="noStrike" baseline="0">
                  <a:solidFill>
                    <a:srgbClr val="000000"/>
                  </a:solidFill>
                  <a:latin typeface="メイリオ"/>
                  <a:ea typeface="メイリオ"/>
                </a:rPr>
                <a:t>所得控除転記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260350</xdr:colOff>
          <xdr:row>0</xdr:row>
          <xdr:rowOff>222250</xdr:rowOff>
        </xdr:from>
        <xdr:to>
          <xdr:col>22</xdr:col>
          <xdr:colOff>127000</xdr:colOff>
          <xdr:row>1</xdr:row>
          <xdr:rowOff>69850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現在のファイルのコピーをバックアップ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146050</xdr:colOff>
          <xdr:row>0</xdr:row>
          <xdr:rowOff>222250</xdr:rowOff>
        </xdr:from>
        <xdr:to>
          <xdr:col>19</xdr:col>
          <xdr:colOff>165100</xdr:colOff>
          <xdr:row>1</xdr:row>
          <xdr:rowOff>76200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名前をつけて保存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69850</xdr:colOff>
          <xdr:row>0</xdr:row>
          <xdr:rowOff>222250</xdr:rowOff>
        </xdr:from>
        <xdr:to>
          <xdr:col>14</xdr:col>
          <xdr:colOff>450850</xdr:colOff>
          <xdr:row>1</xdr:row>
          <xdr:rowOff>82550</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260350</xdr:colOff>
          <xdr:row>0</xdr:row>
          <xdr:rowOff>190500</xdr:rowOff>
        </xdr:from>
        <xdr:to>
          <xdr:col>24</xdr:col>
          <xdr:colOff>38100</xdr:colOff>
          <xdr:row>1</xdr:row>
          <xdr:rowOff>69850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622300</xdr:colOff>
          <xdr:row>0</xdr:row>
          <xdr:rowOff>450850</xdr:rowOff>
        </xdr:from>
        <xdr:to>
          <xdr:col>6</xdr:col>
          <xdr:colOff>1066800</xdr:colOff>
          <xdr:row>2</xdr:row>
          <xdr:rowOff>19050</xdr:rowOff>
        </xdr:to>
        <xdr:sp macro="" textlink="">
          <xdr:nvSpPr>
            <xdr:cNvPr id="1135" name="Option 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622300</xdr:colOff>
          <xdr:row>1</xdr:row>
          <xdr:rowOff>222250</xdr:rowOff>
        </xdr:from>
        <xdr:to>
          <xdr:col>13</xdr:col>
          <xdr:colOff>114300</xdr:colOff>
          <xdr:row>2</xdr:row>
          <xdr:rowOff>209550</xdr:rowOff>
        </xdr:to>
        <xdr:sp macro="" textlink="">
          <xdr:nvSpPr>
            <xdr:cNvPr id="1136" name="Option 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50800</xdr:colOff>
          <xdr:row>0</xdr:row>
          <xdr:rowOff>374650</xdr:rowOff>
        </xdr:from>
        <xdr:to>
          <xdr:col>7</xdr:col>
          <xdr:colOff>336550</xdr:colOff>
          <xdr:row>1</xdr:row>
          <xdr:rowOff>431800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法人成後役員報酬</a:t>
              </a:r>
            </a:p>
            <a:p>
              <a:pPr algn="ctr" rtl="0">
                <a:defRPr sz="1000"/>
              </a:pPr>
              <a:r>
                <a:rPr lang="ja-JP" altLang="en-US" sz="900" b="0" i="0" u="none" strike="noStrike" baseline="0">
                  <a:solidFill>
                    <a:srgbClr val="000000"/>
                  </a:solidFill>
                  <a:latin typeface="メイリオ"/>
                  <a:ea typeface="メイリオ"/>
                </a:rPr>
                <a:t>試算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69850</xdr:colOff>
          <xdr:row>0</xdr:row>
          <xdr:rowOff>355600</xdr:rowOff>
        </xdr:from>
        <xdr:to>
          <xdr:col>19</xdr:col>
          <xdr:colOff>355600</xdr:colOff>
          <xdr:row>1</xdr:row>
          <xdr:rowOff>431800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マイクロ法人なり</a:t>
              </a:r>
            </a:p>
            <a:p>
              <a:pPr algn="ctr" rtl="0">
                <a:defRPr sz="1000"/>
              </a:pPr>
              <a:r>
                <a:rPr lang="ja-JP" altLang="en-US" sz="900" b="0" i="0" u="none" strike="noStrike" baseline="0">
                  <a:solidFill>
                    <a:srgbClr val="000000"/>
                  </a:solidFill>
                  <a:latin typeface="メイリオ"/>
                  <a:ea typeface="メイリオ"/>
                </a:rPr>
                <a:t>役員報酬試算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222250</xdr:colOff>
          <xdr:row>0</xdr:row>
          <xdr:rowOff>127000</xdr:rowOff>
        </xdr:from>
        <xdr:to>
          <xdr:col>1</xdr:col>
          <xdr:colOff>38100</xdr:colOff>
          <xdr:row>0</xdr:row>
          <xdr:rowOff>298450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203200</xdr:colOff>
          <xdr:row>0</xdr:row>
          <xdr:rowOff>342900</xdr:rowOff>
        </xdr:from>
        <xdr:to>
          <xdr:col>2</xdr:col>
          <xdr:colOff>266700</xdr:colOff>
          <xdr:row>1</xdr:row>
          <xdr:rowOff>76200</xdr:rowOff>
        </xdr:to>
        <xdr:sp macro="" textlink="">
          <xdr:nvSpPr>
            <xdr:cNvPr id="4103" name="Option 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374650</xdr:colOff>
          <xdr:row>0</xdr:row>
          <xdr:rowOff>31750</xdr:rowOff>
        </xdr:from>
        <xdr:to>
          <xdr:col>8</xdr:col>
          <xdr:colOff>717550</xdr:colOff>
          <xdr:row>0</xdr:row>
          <xdr:rowOff>374650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PLAN１をPLAN2に転記して保存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31750</xdr:colOff>
          <xdr:row>0</xdr:row>
          <xdr:rowOff>69850</xdr:rowOff>
        </xdr:from>
        <xdr:to>
          <xdr:col>11</xdr:col>
          <xdr:colOff>603250</xdr:colOff>
          <xdr:row>0</xdr:row>
          <xdr:rowOff>374650</xdr:rowOff>
        </xdr:to>
        <xdr:sp macro="" textlink="">
          <xdr:nvSpPr>
            <xdr:cNvPr id="5122" name="ボタン 9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0</xdr:row>
          <xdr:rowOff>31750</xdr:rowOff>
        </xdr:from>
        <xdr:to>
          <xdr:col>2</xdr:col>
          <xdr:colOff>203200</xdr:colOff>
          <xdr:row>0</xdr:row>
          <xdr:rowOff>203200</xdr:rowOff>
        </xdr:to>
        <xdr:sp macro="" textlink="">
          <xdr:nvSpPr>
            <xdr:cNvPr id="5123" name="Option 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0</xdr:row>
          <xdr:rowOff>260350</xdr:rowOff>
        </xdr:from>
        <xdr:to>
          <xdr:col>3</xdr:col>
          <xdr:colOff>184150</xdr:colOff>
          <xdr:row>0</xdr:row>
          <xdr:rowOff>450850</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twoCellAnchor>
    <xdr:from>
      <xdr:col>1</xdr:col>
      <xdr:colOff>35277</xdr:colOff>
      <xdr:row>34</xdr:row>
      <xdr:rowOff>145342</xdr:rowOff>
    </xdr:from>
    <xdr:to>
      <xdr:col>5</xdr:col>
      <xdr:colOff>613832</xdr:colOff>
      <xdr:row>49</xdr:row>
      <xdr:rowOff>136875</xdr:rowOff>
    </xdr:to>
    <xdr:graphicFrame macro="">
      <xdr:nvGraphicFramePr>
        <xdr:cNvPr id="5" name="グラフ 4">
          <a:extLst>
            <a:ext uri="{FF2B5EF4-FFF2-40B4-BE49-F238E27FC236}">
              <a16:creationId xmlns:a16="http://schemas.microsoft.com/office/drawing/2014/main" id="{D3BE9F44-7224-643F-D4F8-5125B2CB88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536222</xdr:colOff>
      <xdr:row>34</xdr:row>
      <xdr:rowOff>67733</xdr:rowOff>
    </xdr:from>
    <xdr:to>
      <xdr:col>11</xdr:col>
      <xdr:colOff>797277</xdr:colOff>
      <xdr:row>49</xdr:row>
      <xdr:rowOff>59266</xdr:rowOff>
    </xdr:to>
    <xdr:graphicFrame macro="">
      <xdr:nvGraphicFramePr>
        <xdr:cNvPr id="6" name="グラフ 5">
          <a:extLst>
            <a:ext uri="{FF2B5EF4-FFF2-40B4-BE49-F238E27FC236}">
              <a16:creationId xmlns:a16="http://schemas.microsoft.com/office/drawing/2014/main" id="{A6D823F4-329D-ED6A-A511-83C3A44725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222250</xdr:colOff>
          <xdr:row>35</xdr:row>
          <xdr:rowOff>31750</xdr:rowOff>
        </xdr:from>
        <xdr:to>
          <xdr:col>1</xdr:col>
          <xdr:colOff>565150</xdr:colOff>
          <xdr:row>36</xdr:row>
          <xdr:rowOff>31750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412750</xdr:colOff>
          <xdr:row>3</xdr:row>
          <xdr:rowOff>38100</xdr:rowOff>
        </xdr:from>
        <xdr:to>
          <xdr:col>14</xdr:col>
          <xdr:colOff>679450</xdr:colOff>
          <xdr:row>4</xdr:row>
          <xdr:rowOff>127000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755650</xdr:colOff>
          <xdr:row>3</xdr:row>
          <xdr:rowOff>38100</xdr:rowOff>
        </xdr:from>
        <xdr:to>
          <xdr:col>15</xdr:col>
          <xdr:colOff>565150</xdr:colOff>
          <xdr:row>4</xdr:row>
          <xdr:rowOff>127000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0</xdr:row>
          <xdr:rowOff>107950</xdr:rowOff>
        </xdr:from>
        <xdr:to>
          <xdr:col>1</xdr:col>
          <xdr:colOff>469900</xdr:colOff>
          <xdr:row>3</xdr:row>
          <xdr:rowOff>31750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1</xdr:row>
          <xdr:rowOff>0</xdr:rowOff>
        </xdr:from>
        <xdr:to>
          <xdr:col>2</xdr:col>
          <xdr:colOff>647700</xdr:colOff>
          <xdr:row>3</xdr:row>
          <xdr:rowOff>12700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opbox\&#39015;&#21839;&#20808;&#27770;&#31639;&#30003;&#21578;&#12487;&#12540;&#12479;\02&#12469;&#12531;&#12463;&#12481;&#12517;&#12450;&#12522;\30&#24180;2&#26376;&#27770;&#31639;\kaneguru1.076\&#12469;&#12531;&#12463;kaneguru1.0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メニュー"/>
      <sheetName val="前期実績"/>
      <sheetName val="会計シート前期"/>
      <sheetName val="事業計画"/>
      <sheetName val="売上仕入計画"/>
      <sheetName val="当期予算"/>
      <sheetName val="計画表紙"/>
      <sheetName val="当期計画印刷"/>
      <sheetName val="当期計画印刷2"/>
      <sheetName val="着眼点"/>
      <sheetName val="当期シミュレーション"/>
      <sheetName val="会計シート当期"/>
      <sheetName val="当期実績"/>
      <sheetName val="予実管理"/>
      <sheetName val="当期確認用"/>
      <sheetName val="表紙"/>
      <sheetName val="損益実績"/>
      <sheetName val="前期損益印刷"/>
      <sheetName val="報告書"/>
      <sheetName val="前期対比"/>
      <sheetName val="予算対比"/>
      <sheetName val="予実管理印刷"/>
      <sheetName val="報告書2"/>
      <sheetName val="まとめ２"/>
      <sheetName val="経営グラフ"/>
      <sheetName val="対比表"/>
      <sheetName val="報告書3"/>
      <sheetName val="予実管理印刷2"/>
      <sheetName val="予定納税"/>
      <sheetName val="節税チェックリスト"/>
      <sheetName val="税金計算"/>
      <sheetName val="税金計算yj"/>
      <sheetName val="返済計画"/>
      <sheetName val="新規借入"/>
      <sheetName val="長期シミュレーション"/>
      <sheetName val="長期BS"/>
      <sheetName val="PF"/>
      <sheetName val="長期確認用"/>
      <sheetName val="長期まとめ"/>
      <sheetName val="減価償却"/>
      <sheetName val="lookup"/>
      <sheetName val="hensai"/>
      <sheetName val="risoku"/>
      <sheetName val="設定"/>
      <sheetName val="サンクkaneguru1.07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ow r="73">
          <cell r="Q73">
            <v>10000</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ow r="3">
          <cell r="E3">
            <v>2</v>
          </cell>
          <cell r="F3">
            <v>0.5</v>
          </cell>
          <cell r="G3">
            <v>1</v>
          </cell>
        </row>
        <row r="4">
          <cell r="E4">
            <v>3</v>
          </cell>
          <cell r="F4">
            <v>0.33400000000000002</v>
          </cell>
          <cell r="G4">
            <v>0.66700000000000004</v>
          </cell>
          <cell r="H4">
            <v>1</v>
          </cell>
          <cell r="I4">
            <v>0.11089</v>
          </cell>
        </row>
        <row r="5">
          <cell r="E5">
            <v>4</v>
          </cell>
          <cell r="F5">
            <v>0.25</v>
          </cell>
          <cell r="G5">
            <v>0.5</v>
          </cell>
          <cell r="H5">
            <v>1</v>
          </cell>
          <cell r="I5">
            <v>0.12499</v>
          </cell>
        </row>
        <row r="6">
          <cell r="E6">
            <v>5</v>
          </cell>
          <cell r="F6">
            <v>0.2</v>
          </cell>
          <cell r="G6">
            <v>0.4</v>
          </cell>
          <cell r="H6">
            <v>0.5</v>
          </cell>
          <cell r="I6">
            <v>0.108</v>
          </cell>
        </row>
        <row r="7">
          <cell r="E7">
            <v>6</v>
          </cell>
          <cell r="F7">
            <v>0.16700000000000001</v>
          </cell>
          <cell r="G7">
            <v>0.33300000000000002</v>
          </cell>
          <cell r="H7">
            <v>0.33400000000000002</v>
          </cell>
          <cell r="I7">
            <v>9.9110000000000004E-2</v>
          </cell>
        </row>
        <row r="8">
          <cell r="E8">
            <v>7</v>
          </cell>
          <cell r="F8">
            <v>0.14299999999999999</v>
          </cell>
          <cell r="G8">
            <v>0.28599999999999998</v>
          </cell>
          <cell r="H8">
            <v>0.33400000000000002</v>
          </cell>
          <cell r="I8">
            <v>8.6800000000000002E-2</v>
          </cell>
        </row>
        <row r="9">
          <cell r="E9">
            <v>8</v>
          </cell>
          <cell r="F9">
            <v>0.125</v>
          </cell>
          <cell r="G9">
            <v>0.25</v>
          </cell>
          <cell r="H9">
            <v>0.33400000000000002</v>
          </cell>
          <cell r="I9">
            <v>7.9089999999999994E-2</v>
          </cell>
        </row>
        <row r="10">
          <cell r="E10">
            <v>9</v>
          </cell>
          <cell r="F10">
            <v>0.112</v>
          </cell>
          <cell r="G10">
            <v>0.222</v>
          </cell>
          <cell r="H10">
            <v>0.25</v>
          </cell>
          <cell r="I10">
            <v>7.1260000000000004E-2</v>
          </cell>
        </row>
        <row r="11">
          <cell r="E11">
            <v>10</v>
          </cell>
          <cell r="F11">
            <v>0.1</v>
          </cell>
          <cell r="G11">
            <v>0.2</v>
          </cell>
          <cell r="H11">
            <v>0.25</v>
          </cell>
          <cell r="I11">
            <v>6.5519999999999995E-2</v>
          </cell>
        </row>
        <row r="12">
          <cell r="E12">
            <v>11</v>
          </cell>
          <cell r="F12">
            <v>9.0999999999999998E-2</v>
          </cell>
          <cell r="G12">
            <v>0.182</v>
          </cell>
          <cell r="H12">
            <v>0.2</v>
          </cell>
          <cell r="I12">
            <v>5.9920000000000001E-2</v>
          </cell>
        </row>
        <row r="13">
          <cell r="E13">
            <v>12</v>
          </cell>
          <cell r="F13">
            <v>8.4000000000000005E-2</v>
          </cell>
          <cell r="G13">
            <v>0.16700000000000001</v>
          </cell>
          <cell r="H13">
            <v>0.2</v>
          </cell>
          <cell r="I13">
            <v>5.5660000000000001E-2</v>
          </cell>
        </row>
        <row r="14">
          <cell r="E14">
            <v>13</v>
          </cell>
          <cell r="F14">
            <v>7.6999999999999999E-2</v>
          </cell>
          <cell r="G14">
            <v>0.154</v>
          </cell>
          <cell r="H14">
            <v>0.16700000000000001</v>
          </cell>
          <cell r="I14">
            <v>5.1799999999999999E-2</v>
          </cell>
        </row>
        <row r="15">
          <cell r="E15">
            <v>14</v>
          </cell>
          <cell r="F15">
            <v>7.1999999999999995E-2</v>
          </cell>
          <cell r="G15">
            <v>0.14299999999999999</v>
          </cell>
          <cell r="H15">
            <v>0.16700000000000001</v>
          </cell>
          <cell r="I15">
            <v>4.854E-2</v>
          </cell>
        </row>
        <row r="16">
          <cell r="E16">
            <v>15</v>
          </cell>
          <cell r="F16">
            <v>6.7000000000000004E-2</v>
          </cell>
          <cell r="G16">
            <v>0.13300000000000001</v>
          </cell>
          <cell r="H16">
            <v>0.14299999999999999</v>
          </cell>
          <cell r="I16">
            <v>4.5650000000000003E-2</v>
          </cell>
        </row>
        <row r="17">
          <cell r="E17">
            <v>16</v>
          </cell>
          <cell r="F17">
            <v>6.3E-2</v>
          </cell>
          <cell r="G17">
            <v>0.125</v>
          </cell>
          <cell r="H17">
            <v>0.14299999999999999</v>
          </cell>
          <cell r="I17">
            <v>4.2939999999999999E-2</v>
          </cell>
        </row>
        <row r="18">
          <cell r="E18">
            <v>17</v>
          </cell>
          <cell r="F18">
            <v>5.8999999999999997E-2</v>
          </cell>
          <cell r="G18">
            <v>0.11799999999999999</v>
          </cell>
          <cell r="H18">
            <v>0.125</v>
          </cell>
          <cell r="I18">
            <v>4.0379999999999999E-2</v>
          </cell>
        </row>
        <row r="19">
          <cell r="E19">
            <v>18</v>
          </cell>
          <cell r="F19">
            <v>5.6000000000000001E-2</v>
          </cell>
          <cell r="G19">
            <v>0.111</v>
          </cell>
          <cell r="H19">
            <v>0.112</v>
          </cell>
          <cell r="I19">
            <v>3.884E-2</v>
          </cell>
        </row>
        <row r="20">
          <cell r="E20">
            <v>19</v>
          </cell>
          <cell r="F20">
            <v>5.2999999999999999E-2</v>
          </cell>
          <cell r="G20">
            <v>0.105</v>
          </cell>
          <cell r="H20">
            <v>0.112</v>
          </cell>
          <cell r="I20">
            <v>3.6929999999999998E-2</v>
          </cell>
        </row>
        <row r="21">
          <cell r="E21">
            <v>20</v>
          </cell>
          <cell r="F21">
            <v>0.05</v>
          </cell>
          <cell r="G21">
            <v>0.1</v>
          </cell>
          <cell r="H21">
            <v>0.112</v>
          </cell>
          <cell r="I21">
            <v>3.4860000000000002E-2</v>
          </cell>
        </row>
        <row r="22">
          <cell r="E22">
            <v>21</v>
          </cell>
          <cell r="F22">
            <v>4.8000000000000001E-2</v>
          </cell>
          <cell r="G22">
            <v>9.5000000000000001E-2</v>
          </cell>
          <cell r="H22">
            <v>0.1</v>
          </cell>
          <cell r="I22">
            <v>3.3349999999999998E-2</v>
          </cell>
        </row>
        <row r="23">
          <cell r="E23">
            <v>22</v>
          </cell>
          <cell r="F23">
            <v>4.5999999999999999E-2</v>
          </cell>
          <cell r="G23">
            <v>9.0999999999999998E-2</v>
          </cell>
          <cell r="H23">
            <v>0.1</v>
          </cell>
          <cell r="I23">
            <v>3.1820000000000001E-2</v>
          </cell>
        </row>
        <row r="24">
          <cell r="E24">
            <v>23</v>
          </cell>
          <cell r="F24">
            <v>4.3999999999999997E-2</v>
          </cell>
          <cell r="G24">
            <v>8.6999999999999994E-2</v>
          </cell>
          <cell r="H24">
            <v>9.0999999999999998E-2</v>
          </cell>
          <cell r="I24">
            <v>3.0519999999999999E-2</v>
          </cell>
        </row>
        <row r="25">
          <cell r="E25">
            <v>24</v>
          </cell>
          <cell r="F25">
            <v>4.2000000000000003E-2</v>
          </cell>
          <cell r="G25">
            <v>8.3000000000000004E-2</v>
          </cell>
          <cell r="H25">
            <v>8.4000000000000005E-2</v>
          </cell>
          <cell r="I25">
            <v>2.9690000000000001E-2</v>
          </cell>
        </row>
        <row r="26">
          <cell r="E26">
            <v>25</v>
          </cell>
          <cell r="F26">
            <v>0.04</v>
          </cell>
          <cell r="G26">
            <v>0.08</v>
          </cell>
          <cell r="H26">
            <v>8.4000000000000005E-2</v>
          </cell>
          <cell r="I26">
            <v>2.8410000000000001E-2</v>
          </cell>
        </row>
        <row r="27">
          <cell r="E27">
            <v>26</v>
          </cell>
          <cell r="F27">
            <v>3.9E-2</v>
          </cell>
          <cell r="G27">
            <v>7.6999999999999999E-2</v>
          </cell>
          <cell r="H27">
            <v>8.4000000000000005E-2</v>
          </cell>
          <cell r="I27">
            <v>2.716E-2</v>
          </cell>
        </row>
        <row r="28">
          <cell r="E28">
            <v>27</v>
          </cell>
          <cell r="F28">
            <v>3.7999999999999999E-2</v>
          </cell>
          <cell r="G28">
            <v>7.3999999999999996E-2</v>
          </cell>
          <cell r="H28">
            <v>7.6999999999999999E-2</v>
          </cell>
          <cell r="I28">
            <v>2.6239999999999999E-2</v>
          </cell>
        </row>
        <row r="29">
          <cell r="E29">
            <v>28</v>
          </cell>
          <cell r="F29">
            <v>3.5999999999999997E-2</v>
          </cell>
          <cell r="G29">
            <v>7.0999999999999994E-2</v>
          </cell>
          <cell r="H29">
            <v>7.1999999999999995E-2</v>
          </cell>
          <cell r="I29">
            <v>2.5680000000000001E-2</v>
          </cell>
        </row>
        <row r="30">
          <cell r="E30">
            <v>29</v>
          </cell>
          <cell r="F30">
            <v>3.5000000000000003E-2</v>
          </cell>
          <cell r="G30">
            <v>6.9000000000000006E-2</v>
          </cell>
          <cell r="H30">
            <v>7.1999999999999995E-2</v>
          </cell>
          <cell r="I30">
            <v>2.4629999999999999E-2</v>
          </cell>
        </row>
        <row r="31">
          <cell r="E31">
            <v>30</v>
          </cell>
          <cell r="F31">
            <v>3.4000000000000002E-2</v>
          </cell>
          <cell r="G31">
            <v>6.7000000000000004E-2</v>
          </cell>
          <cell r="H31">
            <v>7.1999999999999995E-2</v>
          </cell>
          <cell r="I31">
            <v>2.366E-2</v>
          </cell>
        </row>
        <row r="32">
          <cell r="E32">
            <v>31</v>
          </cell>
          <cell r="F32">
            <v>3.3000000000000002E-2</v>
          </cell>
          <cell r="G32">
            <v>6.5000000000000002E-2</v>
          </cell>
          <cell r="H32">
            <v>6.7000000000000004E-2</v>
          </cell>
          <cell r="I32">
            <v>2.2859999999999998E-2</v>
          </cell>
        </row>
        <row r="33">
          <cell r="E33">
            <v>32</v>
          </cell>
          <cell r="F33">
            <v>3.2000000000000001E-2</v>
          </cell>
          <cell r="G33">
            <v>6.3E-2</v>
          </cell>
          <cell r="H33">
            <v>6.7000000000000004E-2</v>
          </cell>
          <cell r="I33">
            <v>2.2159999999999999E-2</v>
          </cell>
        </row>
        <row r="34">
          <cell r="E34">
            <v>33</v>
          </cell>
          <cell r="F34">
            <v>3.1E-2</v>
          </cell>
          <cell r="G34">
            <v>6.0999999999999999E-2</v>
          </cell>
          <cell r="H34">
            <v>6.3E-2</v>
          </cell>
          <cell r="I34">
            <v>2.1610000000000001E-2</v>
          </cell>
        </row>
        <row r="35">
          <cell r="E35">
            <v>34</v>
          </cell>
          <cell r="F35">
            <v>0.03</v>
          </cell>
          <cell r="G35">
            <v>5.8999999999999997E-2</v>
          </cell>
          <cell r="H35">
            <v>6.3E-2</v>
          </cell>
          <cell r="I35">
            <v>2.0969999999999999E-2</v>
          </cell>
        </row>
        <row r="36">
          <cell r="E36">
            <v>35</v>
          </cell>
          <cell r="F36">
            <v>2.9000000000000001E-2</v>
          </cell>
          <cell r="G36">
            <v>5.7000000000000002E-2</v>
          </cell>
          <cell r="H36">
            <v>5.8999999999999997E-2</v>
          </cell>
          <cell r="I36">
            <v>2.051E-2</v>
          </cell>
        </row>
        <row r="37">
          <cell r="E37">
            <v>36</v>
          </cell>
          <cell r="F37">
            <v>2.8000000000000001E-2</v>
          </cell>
          <cell r="G37">
            <v>5.6000000000000001E-2</v>
          </cell>
          <cell r="H37">
            <v>5.8999999999999997E-2</v>
          </cell>
          <cell r="I37">
            <v>1.9740000000000001E-2</v>
          </cell>
        </row>
        <row r="38">
          <cell r="E38">
            <v>37</v>
          </cell>
          <cell r="F38">
            <v>2.8000000000000001E-2</v>
          </cell>
          <cell r="G38">
            <v>5.3999999999999999E-2</v>
          </cell>
          <cell r="H38">
            <v>5.6000000000000001E-2</v>
          </cell>
          <cell r="I38">
            <v>1.95E-2</v>
          </cell>
        </row>
        <row r="39">
          <cell r="E39">
            <v>38</v>
          </cell>
          <cell r="F39">
            <v>2.7E-2</v>
          </cell>
          <cell r="G39">
            <v>5.2999999999999999E-2</v>
          </cell>
          <cell r="H39">
            <v>5.6000000000000001E-2</v>
          </cell>
          <cell r="I39">
            <v>1.882E-2</v>
          </cell>
        </row>
        <row r="40">
          <cell r="E40">
            <v>39</v>
          </cell>
          <cell r="F40">
            <v>2.5999999999999999E-2</v>
          </cell>
          <cell r="G40">
            <v>5.0999999999999997E-2</v>
          </cell>
          <cell r="H40">
            <v>5.2999999999999999E-2</v>
          </cell>
          <cell r="I40">
            <v>1.8599999999999998E-2</v>
          </cell>
        </row>
        <row r="41">
          <cell r="E41">
            <v>40</v>
          </cell>
          <cell r="F41">
            <v>2.5000000000000001E-2</v>
          </cell>
          <cell r="G41">
            <v>0.05</v>
          </cell>
          <cell r="H41">
            <v>5.2999999999999999E-2</v>
          </cell>
          <cell r="I41">
            <v>1.7909999999999999E-2</v>
          </cell>
        </row>
        <row r="42">
          <cell r="E42">
            <v>41</v>
          </cell>
          <cell r="F42">
            <v>2.5000000000000001E-2</v>
          </cell>
          <cell r="G42">
            <v>4.9000000000000002E-2</v>
          </cell>
          <cell r="H42">
            <v>0.05</v>
          </cell>
          <cell r="I42">
            <v>1.7409999999999998E-2</v>
          </cell>
        </row>
        <row r="43">
          <cell r="E43">
            <v>42</v>
          </cell>
          <cell r="F43">
            <v>2.4E-2</v>
          </cell>
          <cell r="G43">
            <v>4.8000000000000001E-2</v>
          </cell>
          <cell r="H43">
            <v>0.05</v>
          </cell>
          <cell r="I43">
            <v>1.694E-2</v>
          </cell>
        </row>
        <row r="44">
          <cell r="E44">
            <v>43</v>
          </cell>
          <cell r="F44">
            <v>2.4E-2</v>
          </cell>
          <cell r="G44">
            <v>4.7E-2</v>
          </cell>
          <cell r="H44">
            <v>4.8000000000000001E-2</v>
          </cell>
          <cell r="I44">
            <v>1.6639999999999999E-2</v>
          </cell>
        </row>
        <row r="45">
          <cell r="E45">
            <v>44</v>
          </cell>
          <cell r="F45">
            <v>2.3E-2</v>
          </cell>
          <cell r="G45">
            <v>4.4999999999999998E-2</v>
          </cell>
          <cell r="H45">
            <v>4.5999999999999999E-2</v>
          </cell>
          <cell r="I45">
            <v>1.6639999999999999E-2</v>
          </cell>
        </row>
        <row r="46">
          <cell r="E46">
            <v>45</v>
          </cell>
          <cell r="F46">
            <v>2.3E-2</v>
          </cell>
          <cell r="G46">
            <v>4.3999999999999997E-2</v>
          </cell>
          <cell r="H46">
            <v>4.5999999999999999E-2</v>
          </cell>
          <cell r="I46">
            <v>1.634E-2</v>
          </cell>
        </row>
        <row r="47">
          <cell r="E47">
            <v>46</v>
          </cell>
          <cell r="F47">
            <v>2.1999999999999999E-2</v>
          </cell>
          <cell r="G47">
            <v>4.2999999999999997E-2</v>
          </cell>
          <cell r="H47">
            <v>4.3999999999999997E-2</v>
          </cell>
          <cell r="I47">
            <v>1.601E-2</v>
          </cell>
        </row>
        <row r="48">
          <cell r="E48">
            <v>47</v>
          </cell>
          <cell r="F48">
            <v>2.1999999999999999E-2</v>
          </cell>
          <cell r="G48">
            <v>4.2999999999999997E-2</v>
          </cell>
          <cell r="H48">
            <v>4.3999999999999997E-2</v>
          </cell>
          <cell r="I48">
            <v>1.532E-2</v>
          </cell>
        </row>
        <row r="49">
          <cell r="E49">
            <v>48</v>
          </cell>
          <cell r="F49">
            <v>2.1000000000000001E-2</v>
          </cell>
          <cell r="G49">
            <v>4.2000000000000003E-2</v>
          </cell>
          <cell r="H49">
            <v>4.3999999999999997E-2</v>
          </cell>
          <cell r="I49">
            <v>1.499E-2</v>
          </cell>
        </row>
        <row r="50">
          <cell r="E50">
            <v>49</v>
          </cell>
          <cell r="F50">
            <v>2.1000000000000001E-2</v>
          </cell>
          <cell r="G50">
            <v>4.1000000000000002E-2</v>
          </cell>
          <cell r="H50">
            <v>4.2000000000000003E-2</v>
          </cell>
          <cell r="I50">
            <v>1.4749999999999999E-2</v>
          </cell>
        </row>
        <row r="51">
          <cell r="E51">
            <v>50</v>
          </cell>
          <cell r="F51">
            <v>0.02</v>
          </cell>
          <cell r="G51">
            <v>0.04</v>
          </cell>
          <cell r="H51">
            <v>4.2000000000000003E-2</v>
          </cell>
          <cell r="I51">
            <v>1.44E-2</v>
          </cell>
        </row>
      </sheetData>
      <sheetData sheetId="41" refreshError="1"/>
      <sheetData sheetId="42" refreshError="1"/>
      <sheetData sheetId="43" refreshError="1"/>
      <sheetData sheetId="44" refreshError="1"/>
    </sheetDataSet>
  </externalBook>
</externalLink>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youtu.be/WZoL9WKuFMA" TargetMode="External"/><Relationship Id="rId1" Type="http://schemas.openxmlformats.org/officeDocument/2006/relationships/hyperlink" Target="https://www.slideshare.net/ManabuKondo1/houjinnariver2"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hyperlink" Target="https://vimeo.com/showcase/9743561"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8.xml"/><Relationship Id="rId7"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3:B32"/>
  <sheetViews>
    <sheetView showRowColHeaders="0" workbookViewId="0">
      <selection activeCell="B5" sqref="B5"/>
    </sheetView>
  </sheetViews>
  <sheetFormatPr defaultColWidth="9.1796875" defaultRowHeight="14.5" x14ac:dyDescent="0.5"/>
  <cols>
    <col min="1" max="1" width="9.1796875" style="267" customWidth="1"/>
    <col min="2" max="2" width="67" style="267" customWidth="1"/>
    <col min="3" max="3" width="9.1796875" style="267" customWidth="1"/>
    <col min="4" max="16384" width="9.1796875" style="267"/>
  </cols>
  <sheetData>
    <row r="3" spans="2:2" ht="38" customHeight="1" x14ac:dyDescent="0.5">
      <c r="B3" s="268" t="s">
        <v>126</v>
      </c>
    </row>
    <row r="6" spans="2:2" x14ac:dyDescent="0.5">
      <c r="B6" s="267" t="s">
        <v>127</v>
      </c>
    </row>
    <row r="7" spans="2:2" x14ac:dyDescent="0.5">
      <c r="B7" s="269" t="s">
        <v>128</v>
      </c>
    </row>
    <row r="9" spans="2:2" x14ac:dyDescent="0.5">
      <c r="B9" s="267" t="s">
        <v>129</v>
      </c>
    </row>
    <row r="10" spans="2:2" x14ac:dyDescent="0.5">
      <c r="B10" s="269" t="s">
        <v>130</v>
      </c>
    </row>
    <row r="28" spans="2:2" x14ac:dyDescent="0.5">
      <c r="B28" s="267" t="s">
        <v>131</v>
      </c>
    </row>
    <row r="29" spans="2:2" x14ac:dyDescent="0.5">
      <c r="B29" s="267" t="s">
        <v>132</v>
      </c>
    </row>
    <row r="31" spans="2:2" x14ac:dyDescent="0.5">
      <c r="B31" s="267" t="s">
        <v>133</v>
      </c>
    </row>
    <row r="32" spans="2:2" x14ac:dyDescent="0.5">
      <c r="B32" s="267" t="s">
        <v>134</v>
      </c>
    </row>
  </sheetData>
  <sheetProtection sheet="1" objects="1" scenarios="1"/>
  <phoneticPr fontId="6"/>
  <hyperlinks>
    <hyperlink ref="B7" r:id="rId1" xr:uid="{00000000-0004-0000-0000-000000000000}"/>
    <hyperlink ref="B10"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tabColor rgb="FFFFCCCC"/>
    <pageSetUpPr fitToPage="1"/>
  </sheetPr>
  <dimension ref="A1:BR174"/>
  <sheetViews>
    <sheetView showGridLines="0" showZeros="0" tabSelected="1" zoomScale="80" zoomScaleNormal="80" workbookViewId="0">
      <selection activeCell="D35" sqref="D35"/>
    </sheetView>
  </sheetViews>
  <sheetFormatPr defaultColWidth="9.453125" defaultRowHeight="13" x14ac:dyDescent="0.5"/>
  <cols>
    <col min="1" max="1" width="10.453125" style="1" customWidth="1"/>
    <col min="2" max="2" width="10.54296875" style="1" customWidth="1"/>
    <col min="3" max="3" width="26.54296875" style="1" customWidth="1"/>
    <col min="4" max="4" width="16.453125" style="1" customWidth="1"/>
    <col min="5" max="6" width="18.453125" style="1" customWidth="1"/>
    <col min="7" max="7" width="19.453125" style="1" customWidth="1"/>
    <col min="8" max="13" width="12.54296875" style="1" hidden="1" customWidth="1"/>
    <col min="14" max="15" width="12.54296875" style="1" customWidth="1"/>
    <col min="16" max="18" width="10.54296875" style="1" customWidth="1"/>
    <col min="19" max="19" width="12.453125" style="1" customWidth="1"/>
    <col min="20" max="20" width="12.54296875" style="1" customWidth="1"/>
    <col min="21" max="21" width="14" style="1" customWidth="1"/>
    <col min="22" max="25" width="11.453125" style="1" bestFit="1" customWidth="1"/>
    <col min="26" max="26" width="11.453125" style="1" customWidth="1"/>
    <col min="27" max="32" width="11.453125" style="1" hidden="1" customWidth="1"/>
    <col min="33" max="36" width="9.453125" style="1" hidden="1" customWidth="1"/>
    <col min="37" max="56" width="9.453125" style="1" customWidth="1"/>
    <col min="57" max="58" width="0" style="1" hidden="1"/>
    <col min="59" max="59" width="9.54296875" style="1" hidden="1" customWidth="1"/>
    <col min="60" max="70" width="0" style="1" hidden="1"/>
    <col min="71" max="71" width="9.453125" style="1" customWidth="1"/>
    <col min="72" max="16384" width="9.453125" style="1"/>
  </cols>
  <sheetData>
    <row r="1" spans="1:68" ht="36" customHeight="1" x14ac:dyDescent="0.65">
      <c r="C1" s="2"/>
      <c r="D1" s="3"/>
      <c r="E1" s="4"/>
      <c r="F1" s="5"/>
      <c r="G1" s="6"/>
      <c r="H1" s="7"/>
      <c r="I1" s="6"/>
      <c r="J1" s="7"/>
      <c r="K1" s="6"/>
      <c r="L1" s="8"/>
      <c r="M1" s="6"/>
      <c r="N1" s="9"/>
      <c r="O1" s="7"/>
      <c r="P1" s="10"/>
      <c r="Q1" s="11"/>
      <c r="R1" s="12"/>
      <c r="AT1" s="305">
        <v>1</v>
      </c>
    </row>
    <row r="2" spans="1:68" ht="19" customHeight="1" x14ac:dyDescent="0.65">
      <c r="A2" s="13"/>
      <c r="B2" s="13"/>
      <c r="C2" s="13"/>
      <c r="D2" s="84" t="s">
        <v>0</v>
      </c>
      <c r="E2" s="18"/>
      <c r="F2" s="18"/>
      <c r="G2" s="18"/>
      <c r="H2" s="18"/>
      <c r="I2" s="18"/>
      <c r="J2" s="18"/>
      <c r="K2" s="18"/>
      <c r="L2" s="18"/>
      <c r="M2" s="18"/>
      <c r="N2" s="18"/>
      <c r="O2" s="18"/>
      <c r="P2" s="18"/>
      <c r="Q2" s="18"/>
      <c r="R2" s="13"/>
      <c r="S2" s="13"/>
      <c r="T2" s="13"/>
      <c r="U2" s="13"/>
      <c r="V2" s="13"/>
      <c r="W2" s="13"/>
      <c r="X2" s="13"/>
      <c r="Y2" s="13"/>
      <c r="Z2" s="13"/>
    </row>
    <row r="3" spans="1:68" ht="19" customHeight="1" x14ac:dyDescent="0.5">
      <c r="A3" s="13"/>
      <c r="B3" s="13"/>
      <c r="C3" s="13"/>
      <c r="D3" s="13"/>
      <c r="E3" s="13"/>
      <c r="F3" s="13"/>
      <c r="G3" s="13"/>
      <c r="H3" s="13"/>
      <c r="I3" s="13"/>
      <c r="J3" s="13"/>
      <c r="K3" s="13"/>
      <c r="L3" s="13"/>
      <c r="M3" s="13"/>
      <c r="N3" s="13"/>
      <c r="O3" s="13"/>
      <c r="P3" s="13"/>
      <c r="Q3" s="13"/>
      <c r="R3" s="13"/>
      <c r="S3" s="13"/>
      <c r="T3" s="13"/>
      <c r="U3" s="13"/>
      <c r="V3" s="13"/>
      <c r="W3" s="13"/>
      <c r="X3" s="13"/>
      <c r="Y3" s="13"/>
      <c r="Z3" s="13"/>
    </row>
    <row r="4" spans="1:68" ht="18" customHeight="1" thickBot="1" x14ac:dyDescent="0.55000000000000004">
      <c r="A4" s="13"/>
      <c r="B4" s="13"/>
      <c r="C4" s="90" t="s">
        <v>1</v>
      </c>
      <c r="D4" s="13"/>
      <c r="E4" s="13"/>
      <c r="G4" s="13"/>
      <c r="H4" s="13"/>
      <c r="I4" s="13"/>
      <c r="J4" s="13"/>
      <c r="K4" s="13"/>
      <c r="L4" s="13"/>
      <c r="N4" s="83"/>
      <c r="O4" s="14" t="s">
        <v>2</v>
      </c>
      <c r="P4" s="13"/>
      <c r="Q4" s="355" t="s">
        <v>3</v>
      </c>
      <c r="R4" s="13"/>
      <c r="S4" s="13"/>
      <c r="T4" s="13"/>
      <c r="U4" s="13"/>
      <c r="V4" s="13"/>
      <c r="W4" s="13"/>
      <c r="X4" s="13"/>
      <c r="Y4" s="13"/>
      <c r="Z4" s="13"/>
    </row>
    <row r="5" spans="1:68" ht="24" customHeight="1" thickBot="1" x14ac:dyDescent="0.55000000000000004">
      <c r="A5" s="15"/>
      <c r="B5" s="13"/>
      <c r="C5" s="13"/>
      <c r="D5" s="13"/>
      <c r="E5" s="13"/>
      <c r="F5" s="13"/>
      <c r="G5" s="13"/>
      <c r="H5" s="13"/>
      <c r="I5" s="13"/>
      <c r="J5" s="13"/>
      <c r="K5" s="13"/>
      <c r="L5" s="13"/>
      <c r="M5" s="13"/>
      <c r="N5" s="83"/>
      <c r="O5" s="13"/>
      <c r="P5" s="13"/>
      <c r="Q5" s="13"/>
      <c r="R5" s="13"/>
      <c r="S5" s="13"/>
      <c r="T5" s="13"/>
      <c r="U5" s="13"/>
      <c r="V5" s="13"/>
      <c r="W5" s="13"/>
      <c r="X5" s="13"/>
      <c r="Y5" s="13"/>
      <c r="Z5" s="13"/>
      <c r="BE5" s="398" t="s">
        <v>4</v>
      </c>
      <c r="BF5" s="399"/>
      <c r="BG5" s="103" t="s">
        <v>5</v>
      </c>
      <c r="BH5" s="103" t="s">
        <v>6</v>
      </c>
      <c r="BI5" s="103" t="s">
        <v>7</v>
      </c>
      <c r="BL5" s="398" t="s">
        <v>4</v>
      </c>
      <c r="BM5" s="399"/>
      <c r="BN5" s="103" t="s">
        <v>5</v>
      </c>
      <c r="BO5" s="103" t="s">
        <v>6</v>
      </c>
      <c r="BP5" s="103" t="s">
        <v>7</v>
      </c>
    </row>
    <row r="6" spans="1:68" ht="18" customHeight="1" x14ac:dyDescent="0.5">
      <c r="A6" s="15" t="s">
        <v>8</v>
      </c>
      <c r="B6" s="15"/>
      <c r="C6" s="298" t="s">
        <v>9</v>
      </c>
      <c r="D6" s="299" t="s">
        <v>10</v>
      </c>
      <c r="E6" s="300" t="s">
        <v>11</v>
      </c>
      <c r="F6" s="300"/>
      <c r="G6" s="300"/>
      <c r="H6" s="301"/>
      <c r="I6" s="301"/>
      <c r="J6" s="301"/>
      <c r="K6" s="301"/>
      <c r="L6" s="301"/>
      <c r="M6" s="302"/>
      <c r="N6" s="91" t="s">
        <v>12</v>
      </c>
      <c r="O6" s="303" t="s">
        <v>13</v>
      </c>
      <c r="P6" s="21"/>
      <c r="Q6" s="13"/>
      <c r="R6" s="13"/>
      <c r="S6" s="13"/>
      <c r="T6" s="13"/>
      <c r="U6" s="13"/>
      <c r="V6" s="13"/>
      <c r="W6" s="13"/>
      <c r="X6" s="13"/>
      <c r="Y6" s="13"/>
      <c r="Z6" s="13"/>
      <c r="BE6" s="22" t="s">
        <v>14</v>
      </c>
      <c r="BF6" s="23">
        <v>0</v>
      </c>
      <c r="BG6" s="24"/>
      <c r="BH6" s="24"/>
      <c r="BI6" s="24"/>
      <c r="BL6" s="22" t="s">
        <v>14</v>
      </c>
      <c r="BM6" s="23">
        <v>0</v>
      </c>
      <c r="BN6" s="24"/>
      <c r="BO6" s="24"/>
      <c r="BP6" s="24"/>
    </row>
    <row r="7" spans="1:68" ht="18" customHeight="1" x14ac:dyDescent="0.5">
      <c r="A7" s="13"/>
      <c r="B7" s="13"/>
      <c r="C7" s="132" t="s">
        <v>15</v>
      </c>
      <c r="D7" s="128">
        <v>10000000</v>
      </c>
      <c r="E7" s="128"/>
      <c r="F7" s="128"/>
      <c r="G7" s="128"/>
      <c r="H7" s="53"/>
      <c r="I7" s="53"/>
      <c r="J7" s="53"/>
      <c r="K7" s="53"/>
      <c r="L7" s="53"/>
      <c r="M7" s="115"/>
      <c r="N7" s="93">
        <f t="shared" ref="N7:N14" si="0">SUM(D7:M7)</f>
        <v>10000000</v>
      </c>
      <c r="O7" s="293">
        <v>9.9099999999999994E-2</v>
      </c>
      <c r="P7" s="21" t="s">
        <v>16</v>
      </c>
      <c r="Q7" s="381" t="s">
        <v>17</v>
      </c>
      <c r="R7" s="13"/>
      <c r="S7" s="13"/>
      <c r="T7" s="13"/>
      <c r="U7" s="13"/>
      <c r="V7" s="13"/>
      <c r="W7" s="13"/>
      <c r="X7" s="13"/>
      <c r="Y7" s="13"/>
      <c r="Z7" s="13"/>
      <c r="BE7" s="26" t="s">
        <v>18</v>
      </c>
      <c r="BF7" s="23">
        <f>IF(BI53&lt;0,0,BI53)</f>
        <v>0</v>
      </c>
      <c r="BG7" s="24"/>
      <c r="BH7" s="24"/>
      <c r="BI7" s="24"/>
      <c r="BL7" s="26" t="s">
        <v>18</v>
      </c>
      <c r="BM7" s="23">
        <f>IF(BP53&lt;0,0,BP53)</f>
        <v>0</v>
      </c>
      <c r="BN7" s="24"/>
      <c r="BO7" s="24"/>
      <c r="BP7" s="24"/>
    </row>
    <row r="8" spans="1:68" ht="18" customHeight="1" x14ac:dyDescent="0.5">
      <c r="A8" s="13"/>
      <c r="B8" s="13"/>
      <c r="C8" s="133" t="s">
        <v>19</v>
      </c>
      <c r="D8" s="27">
        <v>10000000</v>
      </c>
      <c r="E8" s="27"/>
      <c r="F8" s="27"/>
      <c r="G8" s="27"/>
      <c r="H8" s="116">
        <v>0</v>
      </c>
      <c r="I8" s="116"/>
      <c r="J8" s="116"/>
      <c r="K8" s="116"/>
      <c r="L8" s="116"/>
      <c r="M8" s="122"/>
      <c r="N8" s="93">
        <f t="shared" si="0"/>
        <v>10000000</v>
      </c>
      <c r="O8" s="294">
        <v>1.5900000000000001E-2</v>
      </c>
      <c r="P8" s="21" t="s">
        <v>20</v>
      </c>
      <c r="Q8" s="14" t="s">
        <v>21</v>
      </c>
      <c r="R8" s="13"/>
      <c r="S8" s="13"/>
      <c r="T8" s="13"/>
      <c r="U8" s="13"/>
      <c r="V8" s="13"/>
      <c r="W8" s="13"/>
      <c r="X8" s="13"/>
      <c r="Y8" s="13"/>
      <c r="Z8" s="13"/>
      <c r="AA8" s="1">
        <f t="shared" ref="AA8:AJ8" si="1">IF(D8/12&gt;=60.5,62*12,D8)</f>
        <v>744</v>
      </c>
      <c r="AB8" s="1">
        <f t="shared" si="1"/>
        <v>0</v>
      </c>
      <c r="AC8" s="1">
        <f t="shared" si="1"/>
        <v>0</v>
      </c>
      <c r="AD8" s="1">
        <f t="shared" si="1"/>
        <v>0</v>
      </c>
      <c r="AE8" s="1">
        <f t="shared" si="1"/>
        <v>0</v>
      </c>
      <c r="AF8" s="1">
        <f t="shared" si="1"/>
        <v>0</v>
      </c>
      <c r="AG8" s="1">
        <f t="shared" si="1"/>
        <v>0</v>
      </c>
      <c r="AH8" s="1">
        <f t="shared" si="1"/>
        <v>0</v>
      </c>
      <c r="AI8" s="1">
        <f t="shared" si="1"/>
        <v>0</v>
      </c>
      <c r="AJ8" s="1">
        <f t="shared" si="1"/>
        <v>0</v>
      </c>
      <c r="BE8" s="26" t="s">
        <v>22</v>
      </c>
      <c r="BF8" s="28">
        <f>シミュレーション!BD239</f>
        <v>0</v>
      </c>
      <c r="BG8" s="24"/>
      <c r="BH8" s="24"/>
      <c r="BI8" s="24"/>
      <c r="BL8" s="26" t="s">
        <v>22</v>
      </c>
      <c r="BM8" s="28">
        <f>シミュレーション!BK239</f>
        <v>0</v>
      </c>
      <c r="BN8" s="24"/>
      <c r="BO8" s="24"/>
      <c r="BP8" s="24"/>
    </row>
    <row r="9" spans="1:68" ht="18" customHeight="1" x14ac:dyDescent="0.5">
      <c r="A9" s="13"/>
      <c r="B9" s="13"/>
      <c r="C9" s="102" t="s">
        <v>23</v>
      </c>
      <c r="D9" s="32">
        <f t="array" aca="1" ref="D9" ca="1">IF(D112=FALSE,koujyogoTS(D8),Koujyogo_ch(D8))</f>
        <v>8050000</v>
      </c>
      <c r="E9" s="32">
        <f t="array" aca="1" ref="E9" ca="1">IF(E112=FALSE,koujyogoTS(E8),Koujyogo_ch(E8))</f>
        <v>0</v>
      </c>
      <c r="F9" s="32">
        <f t="array" aca="1" ref="F9" ca="1">IF(F112=FALSE,koujyogoTS(F8),Koujyogo_ch(F8))</f>
        <v>0</v>
      </c>
      <c r="G9" s="32">
        <f t="array" aca="1" ref="G9" ca="1">IF(G112=FALSE,koujyogoTS(G8),Koujyogo_ch(G8))</f>
        <v>0</v>
      </c>
      <c r="H9" s="117"/>
      <c r="I9" s="117"/>
      <c r="J9" s="117"/>
      <c r="K9" s="117"/>
      <c r="L9" s="117"/>
      <c r="M9" s="118"/>
      <c r="N9" s="289">
        <f t="shared" ca="1" si="0"/>
        <v>8050000</v>
      </c>
      <c r="O9" s="294">
        <v>0.183</v>
      </c>
      <c r="P9" s="21" t="s">
        <v>24</v>
      </c>
      <c r="Q9" s="13"/>
      <c r="R9" s="13"/>
      <c r="S9" s="13"/>
      <c r="T9" s="13"/>
      <c r="U9" s="13"/>
      <c r="V9" s="13"/>
      <c r="W9" s="13"/>
      <c r="X9" s="13"/>
      <c r="Y9" s="13"/>
      <c r="Z9" s="13"/>
      <c r="BE9" s="26" t="s">
        <v>25</v>
      </c>
      <c r="BF9" s="31"/>
      <c r="BG9" s="24"/>
      <c r="BH9" s="24"/>
      <c r="BI9" s="24"/>
      <c r="BL9" s="26" t="s">
        <v>25</v>
      </c>
      <c r="BM9" s="31"/>
      <c r="BN9" s="24"/>
      <c r="BO9" s="24"/>
      <c r="BP9" s="24"/>
    </row>
    <row r="10" spans="1:68" ht="18" customHeight="1" x14ac:dyDescent="0.5">
      <c r="A10" s="13"/>
      <c r="B10" s="13"/>
      <c r="C10" s="102" t="s">
        <v>26</v>
      </c>
      <c r="D10" s="29">
        <v>2500000</v>
      </c>
      <c r="E10" s="29"/>
      <c r="F10" s="29"/>
      <c r="G10" s="29"/>
      <c r="H10" s="32"/>
      <c r="I10" s="32"/>
      <c r="J10" s="32"/>
      <c r="K10" s="32"/>
      <c r="L10" s="32"/>
      <c r="M10" s="123"/>
      <c r="N10" s="289">
        <f t="shared" si="0"/>
        <v>2500000</v>
      </c>
      <c r="O10" s="295">
        <v>3.5999999999999999E-3</v>
      </c>
      <c r="P10" s="14" t="s">
        <v>27</v>
      </c>
      <c r="Q10" s="13"/>
      <c r="R10" s="13"/>
      <c r="S10" s="13"/>
      <c r="T10" s="13"/>
      <c r="U10" s="13"/>
      <c r="V10" s="13"/>
      <c r="W10" s="13"/>
      <c r="X10" s="13"/>
      <c r="Y10" s="13"/>
      <c r="Z10" s="13"/>
      <c r="BE10" s="33" t="s">
        <v>28</v>
      </c>
      <c r="BF10" s="34">
        <f>INT((BF7-BF8-BF9)/100)*100</f>
        <v>0</v>
      </c>
      <c r="BG10" s="24">
        <v>0</v>
      </c>
      <c r="BH10" s="24">
        <f>BF10-BG10</f>
        <v>0</v>
      </c>
      <c r="BI10" s="24" t="e">
        <f>IF(#REF!&gt;=200000,INT(ROUNDDOWN(BF10/12,2)*6/100)*100,0)</f>
        <v>#REF!</v>
      </c>
      <c r="BL10" s="33" t="s">
        <v>28</v>
      </c>
      <c r="BM10" s="34">
        <f>INT((BM7-BM8-BM9)/100)*100</f>
        <v>0</v>
      </c>
      <c r="BN10" s="24">
        <v>0</v>
      </c>
      <c r="BO10" s="24">
        <f>BM10-BN10</f>
        <v>0</v>
      </c>
      <c r="BP10" s="24" t="e">
        <f>IF(#REF!&gt;=200000,INT(ROUNDDOWN(BM10/12,2)*6/100)*100,0)</f>
        <v>#REF!</v>
      </c>
    </row>
    <row r="11" spans="1:68" ht="18" customHeight="1" x14ac:dyDescent="0.5">
      <c r="A11" s="13"/>
      <c r="B11" s="281"/>
      <c r="C11" s="102" t="s">
        <v>29</v>
      </c>
      <c r="D11" s="32">
        <f t="array" aca="1" ref="D11" ca="1">PensionIncome(D10,D32,D7+D9+D12)</f>
        <v>1500000</v>
      </c>
      <c r="E11" s="32">
        <f t="array" aca="1" ref="E11" ca="1">PensionIncome(E10,E32,E7+E9+E12)</f>
        <v>0</v>
      </c>
      <c r="F11" s="32">
        <f t="array" aca="1" ref="F11" ca="1">PensionIncome(F10,F32,F7+F9+F12)</f>
        <v>0</v>
      </c>
      <c r="G11" s="32">
        <f t="array" aca="1" ref="G11" ca="1">PensionIncome(G10,G32,G7+G9+G12)</f>
        <v>0</v>
      </c>
      <c r="H11" s="32"/>
      <c r="I11" s="32"/>
      <c r="J11" s="32"/>
      <c r="K11" s="32"/>
      <c r="L11" s="32"/>
      <c r="M11" s="123"/>
      <c r="N11" s="289">
        <f t="shared" ca="1" si="0"/>
        <v>1500000</v>
      </c>
      <c r="O11" s="296">
        <v>5730000</v>
      </c>
      <c r="P11" s="14" t="s">
        <v>30</v>
      </c>
      <c r="Q11" s="13"/>
      <c r="R11" s="13"/>
      <c r="S11" s="13"/>
      <c r="T11" s="13"/>
      <c r="U11" s="13"/>
      <c r="V11" s="13"/>
      <c r="W11" s="13"/>
      <c r="X11" s="13"/>
      <c r="Y11" s="13"/>
      <c r="Z11" s="13"/>
      <c r="BE11" s="26" t="s">
        <v>31</v>
      </c>
      <c r="BF11" s="23">
        <f>INT(BI53*BI22/100)*100</f>
        <v>0</v>
      </c>
      <c r="BG11" s="24">
        <v>0</v>
      </c>
      <c r="BH11" s="24">
        <f>BF11-BG11</f>
        <v>0</v>
      </c>
      <c r="BI11" s="24" t="e">
        <f>IF(#REF!&gt;=200000,INT(ROUNDDOWN(BF11/12,2)*6/100)*100,0)</f>
        <v>#REF!</v>
      </c>
      <c r="BL11" s="26" t="s">
        <v>31</v>
      </c>
      <c r="BM11" s="23">
        <f>INT(BP53*BP22/100)*100</f>
        <v>0</v>
      </c>
      <c r="BN11" s="24">
        <v>0</v>
      </c>
      <c r="BO11" s="24">
        <f>BM11-BN11</f>
        <v>0</v>
      </c>
      <c r="BP11" s="24" t="e">
        <f>IF(#REF!&gt;=200000,INT(ROUNDDOWN(BM11/12,2)*6/100)*100,0)</f>
        <v>#REF!</v>
      </c>
    </row>
    <row r="12" spans="1:68" ht="18" customHeight="1" thickBot="1" x14ac:dyDescent="0.55000000000000004">
      <c r="A12" s="13"/>
      <c r="B12" s="13"/>
      <c r="C12" s="102" t="s">
        <v>32</v>
      </c>
      <c r="D12" s="29">
        <v>0</v>
      </c>
      <c r="E12" s="29"/>
      <c r="F12" s="29"/>
      <c r="G12" s="29"/>
      <c r="H12" s="32">
        <f ca="1">koujyogoTS((H8+H9)*10000)/10000</f>
        <v>0</v>
      </c>
      <c r="I12" s="32">
        <f ca="1">koujyogoTS((I8+I9)*10000)/10000</f>
        <v>0</v>
      </c>
      <c r="J12" s="32">
        <f ca="1">koujyogoTS((J8+J9)*10000)/10000</f>
        <v>0</v>
      </c>
      <c r="K12" s="32">
        <f ca="1">koujyogoTS((K8+K9)*10000)/10000</f>
        <v>0</v>
      </c>
      <c r="L12" s="32">
        <f ca="1">koujyogoTS((L8+L9)*10000)/10000</f>
        <v>0</v>
      </c>
      <c r="M12" s="123">
        <f ca="1">koujyogoTS((M8+M9)*10000)/10000</f>
        <v>0</v>
      </c>
      <c r="N12" s="289">
        <f t="shared" ca="1" si="0"/>
        <v>0</v>
      </c>
      <c r="O12" s="297">
        <v>1500000</v>
      </c>
      <c r="P12" s="14" t="s">
        <v>33</v>
      </c>
      <c r="Q12" s="13"/>
      <c r="R12" s="13"/>
      <c r="S12" s="13"/>
      <c r="T12" s="13"/>
      <c r="U12" s="13"/>
      <c r="V12" s="13"/>
      <c r="W12" s="13"/>
      <c r="X12" s="13"/>
      <c r="Y12" s="13"/>
      <c r="Z12" s="13"/>
      <c r="BE12" s="26" t="s">
        <v>34</v>
      </c>
      <c r="BF12" s="23">
        <f>BI94</f>
        <v>0</v>
      </c>
      <c r="BG12" s="24">
        <v>0</v>
      </c>
      <c r="BH12" s="24">
        <f>BF12-BG12</f>
        <v>0</v>
      </c>
      <c r="BI12" s="24" t="e">
        <f>IF(#REF!&gt;=200000,INT(ROUNDDOWN(BF12/12,2)*6/100)*100,0)</f>
        <v>#REF!</v>
      </c>
      <c r="BL12" s="26" t="s">
        <v>34</v>
      </c>
      <c r="BM12" s="23">
        <f>BP94</f>
        <v>0</v>
      </c>
      <c r="BN12" s="24">
        <v>0</v>
      </c>
      <c r="BO12" s="24">
        <f>BM12-BN12</f>
        <v>0</v>
      </c>
      <c r="BP12" s="24" t="e">
        <f>IF(#REF!&gt;=200000,INT(ROUNDDOWN(BM12/12,2)*6/100)*100,0)</f>
        <v>#REF!</v>
      </c>
    </row>
    <row r="13" spans="1:68" ht="18" customHeight="1" x14ac:dyDescent="0.5">
      <c r="A13" s="13"/>
      <c r="B13" s="13"/>
      <c r="C13" s="134" t="s">
        <v>35</v>
      </c>
      <c r="D13" s="137">
        <f ca="1">D7+D9+D11+D12</f>
        <v>19550000</v>
      </c>
      <c r="E13" s="137">
        <f ca="1">E7+E9+E11+E12</f>
        <v>0</v>
      </c>
      <c r="F13" s="137">
        <f ca="1">F7+F9+F11+F12</f>
        <v>0</v>
      </c>
      <c r="G13" s="137">
        <f ca="1">G7+G9+G11+G12</f>
        <v>0</v>
      </c>
      <c r="H13" s="117"/>
      <c r="I13" s="117"/>
      <c r="J13" s="117"/>
      <c r="K13" s="117"/>
      <c r="L13" s="117"/>
      <c r="M13" s="118"/>
      <c r="N13" s="289">
        <f t="shared" ca="1" si="0"/>
        <v>19550000</v>
      </c>
      <c r="O13" s="113"/>
      <c r="P13" s="13"/>
      <c r="Q13" s="13"/>
      <c r="R13" s="13"/>
      <c r="S13" s="13"/>
      <c r="T13" s="13"/>
      <c r="U13" s="13"/>
      <c r="V13" s="13"/>
      <c r="W13" s="13"/>
      <c r="X13" s="13"/>
      <c r="Y13" s="13"/>
      <c r="Z13" s="13"/>
      <c r="BE13" s="26" t="s">
        <v>36</v>
      </c>
      <c r="BF13" s="23">
        <f>INT(BF12*BI27/100)*100</f>
        <v>0</v>
      </c>
      <c r="BG13" s="24">
        <v>0</v>
      </c>
      <c r="BH13" s="24">
        <f>BF13-BG13</f>
        <v>0</v>
      </c>
      <c r="BI13" s="24" t="e">
        <f>IF(#REF!&gt;=200000,INT(ROUNDDOWN(BF13/12,2)*6/100)*100,0)</f>
        <v>#REF!</v>
      </c>
      <c r="BL13" s="26" t="s">
        <v>36</v>
      </c>
      <c r="BM13" s="23">
        <f>INT(BM12*BP27/100)*100</f>
        <v>0</v>
      </c>
      <c r="BN13" s="24">
        <v>0</v>
      </c>
      <c r="BO13" s="24">
        <f>BM13-BN13</f>
        <v>0</v>
      </c>
      <c r="BP13" s="24" t="e">
        <f>IF(#REF!&gt;=200000,INT(ROUNDDOWN(BM13/12,2)*6/100)*100,0)</f>
        <v>#REF!</v>
      </c>
    </row>
    <row r="14" spans="1:68" ht="18" customHeight="1" thickBot="1" x14ac:dyDescent="0.55000000000000004">
      <c r="A14" s="13"/>
      <c r="B14" s="13"/>
      <c r="C14" s="102" t="s">
        <v>37</v>
      </c>
      <c r="D14" s="32">
        <f t="shared" ref="D14:M14" si="2">D25</f>
        <v>800000</v>
      </c>
      <c r="E14" s="32">
        <f t="shared" si="2"/>
        <v>0</v>
      </c>
      <c r="F14" s="32">
        <f t="shared" si="2"/>
        <v>0</v>
      </c>
      <c r="G14" s="32">
        <f t="shared" si="2"/>
        <v>0</v>
      </c>
      <c r="H14" s="32">
        <f t="shared" si="2"/>
        <v>0</v>
      </c>
      <c r="I14" s="32">
        <f t="shared" si="2"/>
        <v>0</v>
      </c>
      <c r="J14" s="32">
        <f t="shared" si="2"/>
        <v>0</v>
      </c>
      <c r="K14" s="32">
        <f t="shared" si="2"/>
        <v>0</v>
      </c>
      <c r="L14" s="32">
        <f t="shared" si="2"/>
        <v>0</v>
      </c>
      <c r="M14" s="123">
        <f t="shared" si="2"/>
        <v>0</v>
      </c>
      <c r="N14" s="289">
        <f t="shared" si="0"/>
        <v>800000</v>
      </c>
      <c r="O14" s="129"/>
      <c r="P14" s="13"/>
      <c r="Q14" s="13"/>
      <c r="R14" s="13"/>
      <c r="S14" s="13"/>
      <c r="T14" s="13"/>
      <c r="U14" s="13"/>
      <c r="V14" s="13"/>
      <c r="W14" s="13"/>
      <c r="X14" s="13"/>
      <c r="Y14" s="13"/>
      <c r="Z14" s="13"/>
      <c r="BE14" s="26" t="s">
        <v>38</v>
      </c>
      <c r="BF14" s="23">
        <f>INT(INT((BF7-BF8)/1000)*1000*BF33/100)*100+INT(INT(((BF7-BF8)/1000)*1000*BF32-BF35)/100)*100+BF34</f>
        <v>70000</v>
      </c>
      <c r="BG14" s="24">
        <v>0</v>
      </c>
      <c r="BH14" s="24">
        <f>BF14-BG14</f>
        <v>70000</v>
      </c>
      <c r="BI14" s="24" t="e">
        <f>IF(#REF!&gt;=200000,INT(ROUNDDOWN(BF14/12,2)*6/100)*100,0)</f>
        <v>#REF!</v>
      </c>
      <c r="BL14" s="26" t="s">
        <v>38</v>
      </c>
      <c r="BM14" s="23">
        <f>INT(INT((BM7-BM8)/1000)*1000*BM33/100)*100+INT(INT(((BM7-BM8)/1000)*1000*BM32-BM35)/100)*100+BM34</f>
        <v>70000</v>
      </c>
      <c r="BN14" s="24">
        <v>0</v>
      </c>
      <c r="BO14" s="24">
        <f>BM14-BN14</f>
        <v>70000</v>
      </c>
      <c r="BP14" s="24" t="e">
        <f>IF(#REF!&gt;=200000,INT(ROUNDDOWN(BM14/12,2)*6/100)*100,0)</f>
        <v>#REF!</v>
      </c>
    </row>
    <row r="15" spans="1:68" ht="18" customHeight="1" thickBot="1" x14ac:dyDescent="0.55000000000000004">
      <c r="A15" s="13"/>
      <c r="B15" s="13"/>
      <c r="C15" s="102" t="s">
        <v>39</v>
      </c>
      <c r="D15" s="29">
        <v>100000</v>
      </c>
      <c r="E15" s="29"/>
      <c r="F15" s="30"/>
      <c r="G15" s="30"/>
      <c r="H15" s="117"/>
      <c r="I15" s="117"/>
      <c r="J15" s="117"/>
      <c r="K15" s="117"/>
      <c r="L15" s="117"/>
      <c r="M15" s="118"/>
      <c r="N15" s="289"/>
      <c r="O15" s="113"/>
      <c r="P15" s="14"/>
      <c r="Q15" s="13"/>
      <c r="R15" s="13"/>
      <c r="S15" s="13"/>
      <c r="T15" s="13"/>
      <c r="U15" s="13"/>
      <c r="V15" s="13"/>
      <c r="W15" s="13"/>
      <c r="X15" s="13"/>
      <c r="Y15" s="13"/>
      <c r="Z15" s="13"/>
      <c r="BE15" s="35" t="s">
        <v>40</v>
      </c>
      <c r="BF15" s="36">
        <f>SUM(BF10:BF14)</f>
        <v>70000</v>
      </c>
      <c r="BG15" s="36">
        <f>SUM(BG10:BG14)</f>
        <v>0</v>
      </c>
      <c r="BH15" s="37">
        <f>SUM(BH10:BH14)</f>
        <v>70000</v>
      </c>
      <c r="BI15" s="37" t="e">
        <f>SUM(BI10:BI14)</f>
        <v>#REF!</v>
      </c>
      <c r="BL15" s="35" t="s">
        <v>40</v>
      </c>
      <c r="BM15" s="36">
        <f>SUM(BM10:BM14)</f>
        <v>70000</v>
      </c>
      <c r="BN15" s="36">
        <f>SUM(BN10:BN14)</f>
        <v>0</v>
      </c>
      <c r="BO15" s="37">
        <f>SUM(BO10:BO14)</f>
        <v>70000</v>
      </c>
      <c r="BP15" s="37" t="e">
        <f>SUM(BP10:BP14)</f>
        <v>#REF!</v>
      </c>
    </row>
    <row r="16" spans="1:68" ht="18" customHeight="1" thickBot="1" x14ac:dyDescent="0.55000000000000004">
      <c r="A16" s="13"/>
      <c r="B16" s="13"/>
      <c r="C16" s="134" t="s">
        <v>41</v>
      </c>
      <c r="D16" s="32">
        <f ca="1">VLOOKUP(D13,$C$122:$D$130,2,TRUE)</f>
        <v>580000</v>
      </c>
      <c r="E16" s="32">
        <f ca="1">VLOOKUP(E13,$C$122:$D$130,2,TRUE)</f>
        <v>950000</v>
      </c>
      <c r="F16" s="32">
        <f ca="1">VLOOKUP(F13,$C$122:$D$130,2,TRUE)</f>
        <v>950000</v>
      </c>
      <c r="G16" s="32">
        <f ca="1">VLOOKUP(G13,$C$122:$D$130,2,TRUE)</f>
        <v>950000</v>
      </c>
      <c r="H16" s="32"/>
      <c r="I16" s="32"/>
      <c r="J16" s="32"/>
      <c r="K16" s="32"/>
      <c r="L16" s="32"/>
      <c r="M16" s="123"/>
      <c r="N16" s="289"/>
      <c r="O16" s="113"/>
      <c r="P16" s="13"/>
      <c r="Q16" s="13"/>
      <c r="R16" s="13"/>
      <c r="S16" s="13"/>
      <c r="T16" s="13"/>
      <c r="U16" s="13"/>
      <c r="V16" s="13"/>
      <c r="W16" s="13"/>
      <c r="X16" s="13"/>
      <c r="Y16" s="13"/>
      <c r="Z16" s="13"/>
      <c r="BE16" s="39" t="s">
        <v>42</v>
      </c>
      <c r="BF16" s="40" t="str">
        <f>IF(ISERROR(BF15/BF6),"",BF15/BF6)</f>
        <v/>
      </c>
      <c r="BG16" s="41" t="s">
        <v>43</v>
      </c>
      <c r="BH16" s="42"/>
      <c r="BI16" s="42"/>
      <c r="BL16" s="39" t="s">
        <v>42</v>
      </c>
      <c r="BM16" s="40" t="str">
        <f>IF(ISERROR(BM15/BM6),"",BM15/BM6)</f>
        <v/>
      </c>
      <c r="BN16" s="41" t="s">
        <v>43</v>
      </c>
      <c r="BO16" s="42"/>
      <c r="BP16" s="42"/>
    </row>
    <row r="17" spans="1:68" ht="18" customHeight="1" x14ac:dyDescent="0.5">
      <c r="A17" s="13"/>
      <c r="B17" s="13"/>
      <c r="C17" s="134" t="s">
        <v>44</v>
      </c>
      <c r="D17" s="137">
        <f ca="1">IF((D13-D14-D15-D16)&gt;0,(D13-D14-D15-D16),0)</f>
        <v>18070000</v>
      </c>
      <c r="E17" s="137">
        <f ca="1">IF((E13-E14-E15-E16)&gt;0,(E13-E14-E15-E16),0)</f>
        <v>0</v>
      </c>
      <c r="F17" s="137">
        <f ca="1">IF((F13-F14-F15-F16)&gt;0,(F13-F14-F15-F16),0)</f>
        <v>0</v>
      </c>
      <c r="G17" s="137">
        <f ca="1">IF((G13-G14-G15-G16)&gt;0,(G13-G14-G15-G16),0)</f>
        <v>0</v>
      </c>
      <c r="H17" s="32">
        <f t="shared" ref="H17:M17" ca="1" si="3">IF((H12+H13-SUM(H14:H16))&gt;0,(H12+H13-SUM(H14:H16)),0)</f>
        <v>0</v>
      </c>
      <c r="I17" s="32">
        <f t="shared" ca="1" si="3"/>
        <v>0</v>
      </c>
      <c r="J17" s="32">
        <f t="shared" ca="1" si="3"/>
        <v>0</v>
      </c>
      <c r="K17" s="32">
        <f t="shared" ca="1" si="3"/>
        <v>0</v>
      </c>
      <c r="L17" s="32">
        <f t="shared" ca="1" si="3"/>
        <v>0</v>
      </c>
      <c r="M17" s="123">
        <f t="shared" ca="1" si="3"/>
        <v>0</v>
      </c>
      <c r="N17" s="289">
        <f t="shared" ref="N17:N29" ca="1" si="4">SUM(D17:M17)</f>
        <v>18070000</v>
      </c>
      <c r="O17" s="113"/>
      <c r="P17" s="13"/>
      <c r="Q17" s="13"/>
      <c r="R17" s="13"/>
      <c r="S17" s="13"/>
      <c r="T17" s="13"/>
      <c r="U17" s="13"/>
      <c r="V17" s="13"/>
      <c r="W17" s="13"/>
      <c r="X17" s="13"/>
      <c r="Y17" s="13"/>
      <c r="Z17" s="13"/>
      <c r="BE17" s="43"/>
      <c r="BF17" s="135"/>
      <c r="BG17" s="44"/>
      <c r="BH17" s="42"/>
      <c r="BI17" s="42"/>
      <c r="BL17" s="43"/>
      <c r="BM17" s="135"/>
      <c r="BN17" s="44"/>
      <c r="BO17" s="42"/>
      <c r="BP17" s="42"/>
    </row>
    <row r="18" spans="1:68" ht="18" customHeight="1" thickBot="1" x14ac:dyDescent="0.55000000000000004">
      <c r="A18" s="13"/>
      <c r="B18" s="13"/>
      <c r="C18" s="94" t="s">
        <v>45</v>
      </c>
      <c r="D18" s="38">
        <f ca="1">incometaxTS(D17)*1.021</f>
        <v>4525072</v>
      </c>
      <c r="E18" s="38">
        <f ca="1">incometaxTS(E17)*1.021</f>
        <v>0</v>
      </c>
      <c r="F18" s="38">
        <f ca="1">incometaxTS(F17)*1.021</f>
        <v>0</v>
      </c>
      <c r="G18" s="38">
        <f ca="1">incometaxTS(G17)*1.021</f>
        <v>0</v>
      </c>
      <c r="H18" s="38">
        <f t="shared" ref="H18:M18" ca="1" si="5">incometaxTS(H17*10000)/10000</f>
        <v>0</v>
      </c>
      <c r="I18" s="38">
        <f t="shared" ca="1" si="5"/>
        <v>0</v>
      </c>
      <c r="J18" s="38">
        <f t="shared" ca="1" si="5"/>
        <v>0</v>
      </c>
      <c r="K18" s="38">
        <f t="shared" ca="1" si="5"/>
        <v>0</v>
      </c>
      <c r="L18" s="38">
        <f t="shared" ca="1" si="5"/>
        <v>0</v>
      </c>
      <c r="M18" s="124">
        <f t="shared" ca="1" si="5"/>
        <v>0</v>
      </c>
      <c r="N18" s="290">
        <f t="shared" ca="1" si="4"/>
        <v>4525072</v>
      </c>
      <c r="O18" s="54" t="s">
        <v>10</v>
      </c>
      <c r="P18" s="54"/>
      <c r="Q18" s="13"/>
      <c r="R18" s="13"/>
      <c r="S18" s="382" t="s">
        <v>46</v>
      </c>
      <c r="T18" s="54" t="s">
        <v>11</v>
      </c>
      <c r="U18" s="54"/>
      <c r="V18" s="13"/>
      <c r="W18" s="13"/>
      <c r="X18" s="13" t="s">
        <v>46</v>
      </c>
      <c r="Y18" s="13"/>
      <c r="Z18" s="13"/>
      <c r="BE18" s="43" t="s">
        <v>47</v>
      </c>
      <c r="BF18" s="43"/>
      <c r="BG18" s="44" t="s">
        <v>48</v>
      </c>
      <c r="BH18" s="42"/>
      <c r="BI18" s="42"/>
      <c r="BL18" s="43" t="s">
        <v>47</v>
      </c>
      <c r="BM18" s="43"/>
      <c r="BN18" s="44" t="s">
        <v>48</v>
      </c>
      <c r="BO18" s="42"/>
      <c r="BP18" s="42"/>
    </row>
    <row r="19" spans="1:68" ht="18" customHeight="1" thickBot="1" x14ac:dyDescent="0.55000000000000004">
      <c r="A19" s="13"/>
      <c r="B19" s="13"/>
      <c r="C19" s="94" t="s">
        <v>49</v>
      </c>
      <c r="D19" s="136"/>
      <c r="E19" s="136"/>
      <c r="F19" s="136"/>
      <c r="G19" s="136"/>
      <c r="H19" s="38"/>
      <c r="I19" s="38"/>
      <c r="J19" s="38"/>
      <c r="K19" s="38"/>
      <c r="L19" s="38"/>
      <c r="M19" s="124"/>
      <c r="N19" s="290">
        <f t="shared" si="4"/>
        <v>0</v>
      </c>
      <c r="O19" s="113" t="s">
        <v>50</v>
      </c>
      <c r="P19" s="140">
        <v>650000</v>
      </c>
      <c r="Q19" s="13" t="s">
        <v>51</v>
      </c>
      <c r="R19" s="141">
        <v>0.05</v>
      </c>
      <c r="S19" s="140">
        <v>2900000</v>
      </c>
      <c r="T19" s="113" t="s">
        <v>50</v>
      </c>
      <c r="U19" s="140">
        <v>0</v>
      </c>
      <c r="V19" s="13" t="s">
        <v>51</v>
      </c>
      <c r="W19" s="141"/>
      <c r="X19" s="140">
        <v>0</v>
      </c>
      <c r="Y19" s="13"/>
      <c r="Z19" s="13"/>
      <c r="BE19" s="43"/>
      <c r="BF19" s="43"/>
      <c r="BG19" s="44"/>
      <c r="BH19" s="42"/>
      <c r="BI19" s="42"/>
      <c r="BL19" s="43"/>
      <c r="BM19" s="43"/>
      <c r="BN19" s="44"/>
      <c r="BO19" s="42"/>
      <c r="BP19" s="42"/>
    </row>
    <row r="20" spans="1:68" ht="18" customHeight="1" x14ac:dyDescent="0.5">
      <c r="A20" s="13"/>
      <c r="B20" s="13"/>
      <c r="C20" s="94" t="s">
        <v>52</v>
      </c>
      <c r="D20" s="38">
        <f t="shared" ref="D20:M20" ca="1" si="6">D17*0.1</f>
        <v>1807000</v>
      </c>
      <c r="E20" s="38">
        <f t="shared" ca="1" si="6"/>
        <v>0</v>
      </c>
      <c r="F20" s="38">
        <f t="shared" ca="1" si="6"/>
        <v>0</v>
      </c>
      <c r="G20" s="38">
        <f t="shared" ca="1" si="6"/>
        <v>0</v>
      </c>
      <c r="H20" s="38">
        <f t="shared" ca="1" si="6"/>
        <v>0</v>
      </c>
      <c r="I20" s="38">
        <f t="shared" ca="1" si="6"/>
        <v>0</v>
      </c>
      <c r="J20" s="38">
        <f t="shared" ca="1" si="6"/>
        <v>0</v>
      </c>
      <c r="K20" s="38">
        <f t="shared" ca="1" si="6"/>
        <v>0</v>
      </c>
      <c r="L20" s="38">
        <f t="shared" ca="1" si="6"/>
        <v>0</v>
      </c>
      <c r="M20" s="124">
        <f t="shared" ca="1" si="6"/>
        <v>0</v>
      </c>
      <c r="N20" s="290">
        <f t="shared" ca="1" si="4"/>
        <v>1807000</v>
      </c>
      <c r="O20" s="130"/>
      <c r="P20" s="15"/>
      <c r="Q20" s="15"/>
      <c r="R20" s="13"/>
      <c r="S20" s="13"/>
      <c r="T20" s="13"/>
      <c r="U20" s="13"/>
      <c r="V20" s="13"/>
      <c r="W20" s="13"/>
      <c r="X20" s="13"/>
      <c r="Y20" s="13"/>
      <c r="Z20" s="13"/>
      <c r="AA20" s="1">
        <v>1</v>
      </c>
      <c r="AB20" s="1">
        <v>2</v>
      </c>
      <c r="AC20" s="1">
        <v>3</v>
      </c>
      <c r="AD20" s="1">
        <v>4</v>
      </c>
      <c r="AE20" s="1">
        <v>5</v>
      </c>
      <c r="AF20" s="1">
        <v>6</v>
      </c>
      <c r="AG20" s="1">
        <v>7</v>
      </c>
      <c r="AH20" s="1">
        <v>8</v>
      </c>
      <c r="AI20" s="1">
        <v>9</v>
      </c>
      <c r="AJ20" s="1">
        <v>10</v>
      </c>
      <c r="BE20" s="42" t="s">
        <v>28</v>
      </c>
      <c r="BF20" s="42"/>
      <c r="BG20" s="42"/>
      <c r="BH20" s="42" t="s">
        <v>31</v>
      </c>
      <c r="BI20" s="42"/>
      <c r="BL20" s="42" t="s">
        <v>28</v>
      </c>
      <c r="BM20" s="42"/>
      <c r="BN20" s="42"/>
      <c r="BO20" s="42" t="s">
        <v>31</v>
      </c>
      <c r="BP20" s="42"/>
    </row>
    <row r="21" spans="1:68" ht="18" customHeight="1" thickBot="1" x14ac:dyDescent="0.55000000000000004">
      <c r="A21" s="13"/>
      <c r="B21" s="13"/>
      <c r="C21" s="94" t="s">
        <v>53</v>
      </c>
      <c r="D21" s="38">
        <f>IF((D7+$P$19-S19)*$R$19&gt;=0,(D7+$P$19-S19)*$R$19,0)</f>
        <v>387500</v>
      </c>
      <c r="E21" s="38">
        <f>IF((E7+$U$19-X19)*$W$19&gt;=0,(E7+$U$19-X19)*$W$19,0)</f>
        <v>0</v>
      </c>
      <c r="F21" s="38"/>
      <c r="G21" s="38"/>
      <c r="H21" s="38"/>
      <c r="I21" s="38"/>
      <c r="J21" s="38"/>
      <c r="K21" s="38"/>
      <c r="L21" s="38"/>
      <c r="M21" s="124"/>
      <c r="N21" s="290">
        <f t="shared" si="4"/>
        <v>387500</v>
      </c>
      <c r="O21" s="130"/>
      <c r="P21" s="15"/>
      <c r="U21" s="13"/>
      <c r="V21" s="13"/>
      <c r="W21" s="13"/>
      <c r="X21" s="13"/>
      <c r="Y21" s="13"/>
      <c r="Z21" s="13"/>
      <c r="AA21" s="114">
        <f t="shared" ref="AA21:AJ21" si="7">IF(D101=TRUE,D102,0)</f>
        <v>0</v>
      </c>
      <c r="AB21" s="114">
        <f t="shared" si="7"/>
        <v>0</v>
      </c>
      <c r="AC21" s="114">
        <f t="shared" si="7"/>
        <v>0</v>
      </c>
      <c r="AD21" s="114">
        <f t="shared" si="7"/>
        <v>0</v>
      </c>
      <c r="AE21" s="114">
        <f t="shared" si="7"/>
        <v>0</v>
      </c>
      <c r="AF21" s="114">
        <f t="shared" si="7"/>
        <v>0</v>
      </c>
      <c r="AG21" s="114">
        <f t="shared" si="7"/>
        <v>0</v>
      </c>
      <c r="AH21" s="114">
        <f t="shared" si="7"/>
        <v>0</v>
      </c>
      <c r="AI21" s="114">
        <f t="shared" si="7"/>
        <v>0</v>
      </c>
      <c r="AJ21" s="114">
        <f t="shared" si="7"/>
        <v>0</v>
      </c>
      <c r="AK21" s="1">
        <f>N102</f>
        <v>0</v>
      </c>
      <c r="AL21" s="1">
        <f>O98</f>
        <v>0</v>
      </c>
      <c r="BE21" s="42"/>
      <c r="BF21" s="42"/>
      <c r="BG21" s="42"/>
      <c r="BH21" s="42"/>
      <c r="BI21" s="42"/>
      <c r="BL21" s="42"/>
      <c r="BM21" s="42"/>
      <c r="BN21" s="42"/>
      <c r="BO21" s="42"/>
      <c r="BP21" s="42"/>
    </row>
    <row r="22" spans="1:68" ht="18" customHeight="1" thickBot="1" x14ac:dyDescent="0.55000000000000004">
      <c r="A22" s="13"/>
      <c r="B22" s="13"/>
      <c r="C22" s="94" t="s">
        <v>54</v>
      </c>
      <c r="D22" s="38">
        <f ca="1">D18-D19+D20+D21</f>
        <v>6719572</v>
      </c>
      <c r="E22" s="38">
        <f ca="1">E18-E19+E20+E21</f>
        <v>0</v>
      </c>
      <c r="F22" s="38">
        <f ca="1">F18-F19+F20+F21</f>
        <v>0</v>
      </c>
      <c r="G22" s="38">
        <f ca="1">G18-G19+G20+G21</f>
        <v>0</v>
      </c>
      <c r="H22" s="136">
        <v>0</v>
      </c>
      <c r="I22" s="136">
        <v>0</v>
      </c>
      <c r="J22" s="136">
        <v>0</v>
      </c>
      <c r="K22" s="136">
        <v>0</v>
      </c>
      <c r="L22" s="136">
        <v>0</v>
      </c>
      <c r="M22" s="139">
        <v>0</v>
      </c>
      <c r="N22" s="290">
        <f t="shared" ca="1" si="4"/>
        <v>6719572</v>
      </c>
      <c r="O22" s="113"/>
      <c r="P22" s="13"/>
      <c r="Q22" s="13"/>
      <c r="R22" s="13"/>
      <c r="S22" s="13"/>
      <c r="T22" s="13"/>
      <c r="U22" s="13"/>
      <c r="V22" s="13"/>
      <c r="W22" s="13"/>
      <c r="X22" s="13"/>
      <c r="Y22" s="13"/>
      <c r="Z22" s="13"/>
      <c r="BE22" s="45" t="s">
        <v>55</v>
      </c>
      <c r="BF22" s="46">
        <v>0.15</v>
      </c>
      <c r="BG22" s="42"/>
      <c r="BH22" s="47"/>
      <c r="BI22" s="48">
        <v>4.3999999999999997E-2</v>
      </c>
      <c r="BL22" s="45" t="s">
        <v>55</v>
      </c>
      <c r="BM22" s="46">
        <v>0.15</v>
      </c>
      <c r="BN22" s="42"/>
      <c r="BO22" s="47"/>
      <c r="BP22" s="48">
        <v>4.3999999999999997E-2</v>
      </c>
    </row>
    <row r="23" spans="1:68" ht="18" customHeight="1" x14ac:dyDescent="0.5">
      <c r="A23" s="13"/>
      <c r="B23" s="13"/>
      <c r="C23" s="108" t="s">
        <v>56</v>
      </c>
      <c r="D23" s="138">
        <v>800000</v>
      </c>
      <c r="E23" s="138"/>
      <c r="F23" s="138"/>
      <c r="G23" s="138"/>
      <c r="H23" s="109">
        <f t="shared" ref="H23:M23" si="8">IF(H101=TRUE,H102,0)</f>
        <v>0</v>
      </c>
      <c r="I23" s="109">
        <f t="shared" si="8"/>
        <v>0</v>
      </c>
      <c r="J23" s="109">
        <f t="shared" si="8"/>
        <v>0</v>
      </c>
      <c r="K23" s="109">
        <f t="shared" si="8"/>
        <v>0</v>
      </c>
      <c r="L23" s="109">
        <f t="shared" si="8"/>
        <v>0</v>
      </c>
      <c r="M23" s="125">
        <f t="shared" si="8"/>
        <v>0</v>
      </c>
      <c r="N23" s="291">
        <f t="shared" si="4"/>
        <v>800000</v>
      </c>
      <c r="O23" s="113"/>
      <c r="P23" s="13"/>
      <c r="Q23" s="13"/>
      <c r="R23" s="13"/>
      <c r="S23" s="13"/>
      <c r="T23" s="13"/>
      <c r="U23" s="13"/>
      <c r="V23" s="13"/>
      <c r="W23" s="13"/>
      <c r="X23" s="13"/>
      <c r="Y23" s="13"/>
      <c r="Z23" s="13"/>
      <c r="BE23" s="26"/>
      <c r="BF23" s="111"/>
      <c r="BG23" s="42"/>
      <c r="BH23" s="42"/>
      <c r="BI23" s="112"/>
      <c r="BL23" s="26"/>
      <c r="BM23" s="111"/>
      <c r="BN23" s="42"/>
      <c r="BO23" s="42"/>
      <c r="BP23" s="112"/>
    </row>
    <row r="24" spans="1:68" ht="18" customHeight="1" thickBot="1" x14ac:dyDescent="0.55000000000000004">
      <c r="A24" s="13"/>
      <c r="B24" s="281"/>
      <c r="C24" s="108" t="s">
        <v>57</v>
      </c>
      <c r="D24" s="138">
        <v>0</v>
      </c>
      <c r="E24" s="138"/>
      <c r="F24" s="138"/>
      <c r="G24" s="138"/>
      <c r="H24" s="109">
        <f t="shared" ref="H24:M24" si="9">IF(H101=TRUE,H108,0)</f>
        <v>0</v>
      </c>
      <c r="I24" s="109">
        <f t="shared" si="9"/>
        <v>0</v>
      </c>
      <c r="J24" s="109">
        <f t="shared" si="9"/>
        <v>0</v>
      </c>
      <c r="K24" s="109">
        <f t="shared" si="9"/>
        <v>0</v>
      </c>
      <c r="L24" s="109">
        <f t="shared" si="9"/>
        <v>0</v>
      </c>
      <c r="M24" s="125">
        <f t="shared" si="9"/>
        <v>0</v>
      </c>
      <c r="N24" s="291">
        <f t="shared" si="4"/>
        <v>0</v>
      </c>
      <c r="O24" s="113"/>
      <c r="P24" s="13"/>
      <c r="Q24" s="13"/>
      <c r="R24" s="13"/>
      <c r="S24" s="14"/>
      <c r="T24" s="13"/>
      <c r="U24" s="13"/>
      <c r="V24" s="13"/>
      <c r="W24" s="13"/>
      <c r="X24" s="13"/>
      <c r="Y24" s="13"/>
      <c r="Z24" s="13"/>
      <c r="BE24" s="49" t="s">
        <v>58</v>
      </c>
      <c r="BF24" s="50">
        <v>0.23899999999999999</v>
      </c>
      <c r="BG24" s="51" t="s">
        <v>59</v>
      </c>
      <c r="BH24" s="42"/>
      <c r="BI24" s="42"/>
      <c r="BL24" s="49" t="s">
        <v>58</v>
      </c>
      <c r="BM24" s="50">
        <v>0.23899999999999999</v>
      </c>
      <c r="BN24" s="51" t="s">
        <v>59</v>
      </c>
      <c r="BO24" s="42"/>
      <c r="BP24" s="42"/>
    </row>
    <row r="25" spans="1:68" ht="18" customHeight="1" x14ac:dyDescent="0.5">
      <c r="A25" s="13"/>
      <c r="B25" s="13"/>
      <c r="C25" s="108" t="s">
        <v>60</v>
      </c>
      <c r="D25" s="109">
        <f t="shared" ref="D25:M25" si="10">SUM(D23:D24)</f>
        <v>800000</v>
      </c>
      <c r="E25" s="109">
        <f t="shared" si="10"/>
        <v>0</v>
      </c>
      <c r="F25" s="109">
        <f t="shared" si="10"/>
        <v>0</v>
      </c>
      <c r="G25" s="109">
        <f t="shared" si="10"/>
        <v>0</v>
      </c>
      <c r="H25" s="109">
        <f t="shared" si="10"/>
        <v>0</v>
      </c>
      <c r="I25" s="109">
        <f t="shared" si="10"/>
        <v>0</v>
      </c>
      <c r="J25" s="109">
        <f t="shared" si="10"/>
        <v>0</v>
      </c>
      <c r="K25" s="109">
        <f t="shared" si="10"/>
        <v>0</v>
      </c>
      <c r="L25" s="109">
        <f t="shared" si="10"/>
        <v>0</v>
      </c>
      <c r="M25" s="125">
        <f t="shared" si="10"/>
        <v>0</v>
      </c>
      <c r="N25" s="291">
        <f t="shared" si="4"/>
        <v>800000</v>
      </c>
      <c r="O25" s="113"/>
      <c r="P25" s="13"/>
      <c r="Q25" s="13"/>
      <c r="R25" s="13"/>
      <c r="S25" s="13"/>
      <c r="T25" s="13"/>
      <c r="U25" s="13"/>
      <c r="V25" s="13"/>
      <c r="W25" s="13"/>
      <c r="X25" s="13"/>
      <c r="Y25" s="13"/>
      <c r="Z25" s="13"/>
      <c r="BE25" s="42"/>
      <c r="BF25" s="42" t="s">
        <v>61</v>
      </c>
      <c r="BG25" s="42"/>
      <c r="BH25" s="42"/>
      <c r="BI25" s="42"/>
      <c r="BL25" s="42"/>
      <c r="BM25" s="42" t="s">
        <v>61</v>
      </c>
      <c r="BN25" s="42"/>
      <c r="BO25" s="42"/>
      <c r="BP25" s="42"/>
    </row>
    <row r="26" spans="1:68" ht="18" customHeight="1" thickBot="1" x14ac:dyDescent="0.55000000000000004">
      <c r="A26" s="13"/>
      <c r="B26" s="13"/>
      <c r="C26" s="108" t="s">
        <v>62</v>
      </c>
      <c r="D26" s="109">
        <f t="shared" ref="D26:M26" ca="1" si="11">D22+D25</f>
        <v>7519572</v>
      </c>
      <c r="E26" s="109">
        <f t="shared" ca="1" si="11"/>
        <v>0</v>
      </c>
      <c r="F26" s="109">
        <f t="shared" ca="1" si="11"/>
        <v>0</v>
      </c>
      <c r="G26" s="109">
        <f t="shared" ca="1" si="11"/>
        <v>0</v>
      </c>
      <c r="H26" s="109">
        <f t="shared" si="11"/>
        <v>0</v>
      </c>
      <c r="I26" s="109">
        <f t="shared" si="11"/>
        <v>0</v>
      </c>
      <c r="J26" s="109">
        <f t="shared" si="11"/>
        <v>0</v>
      </c>
      <c r="K26" s="109">
        <f t="shared" si="11"/>
        <v>0</v>
      </c>
      <c r="L26" s="109">
        <f t="shared" si="11"/>
        <v>0</v>
      </c>
      <c r="M26" s="125">
        <f t="shared" si="11"/>
        <v>0</v>
      </c>
      <c r="N26" s="291">
        <f t="shared" ca="1" si="4"/>
        <v>7519572</v>
      </c>
      <c r="O26" s="113"/>
      <c r="P26" s="13"/>
      <c r="Q26" s="13"/>
      <c r="R26" s="13"/>
      <c r="S26" s="13"/>
      <c r="T26" s="13"/>
      <c r="U26" s="13"/>
      <c r="V26" s="13"/>
      <c r="W26" s="13"/>
      <c r="X26" s="13"/>
      <c r="Y26" s="13"/>
      <c r="Z26" s="13"/>
      <c r="BE26" s="42" t="s">
        <v>34</v>
      </c>
      <c r="BF26" s="42"/>
      <c r="BG26" s="42"/>
      <c r="BH26" s="42" t="s">
        <v>36</v>
      </c>
      <c r="BI26" s="42"/>
      <c r="BL26" s="42" t="s">
        <v>34</v>
      </c>
      <c r="BM26" s="42"/>
      <c r="BN26" s="42"/>
      <c r="BO26" s="42" t="s">
        <v>36</v>
      </c>
      <c r="BP26" s="42"/>
    </row>
    <row r="27" spans="1:68" ht="18" customHeight="1" thickBot="1" x14ac:dyDescent="0.55000000000000004">
      <c r="A27" s="13"/>
      <c r="B27" s="13"/>
      <c r="C27" s="95" t="s">
        <v>63</v>
      </c>
      <c r="D27" s="52">
        <f ca="1">IF(D7&lt;&gt;0,D7+P19+D8+D10+D12-D26,D7+D8+D10+D12-D26)</f>
        <v>15630428</v>
      </c>
      <c r="E27" s="52">
        <f ca="1">IF(E7&lt;&gt;0,E7+U19+E8+E10+E12-E26,E7+E8+E10+E12-E26)</f>
        <v>0</v>
      </c>
      <c r="F27" s="52">
        <f ca="1">F7+F8+F10+F12-F26</f>
        <v>0</v>
      </c>
      <c r="G27" s="52">
        <f ca="1">G7+G8+G10+G12-G26</f>
        <v>0</v>
      </c>
      <c r="H27" s="52">
        <f t="shared" ref="H27:M27" si="12">H8+H9+H13-H26</f>
        <v>0</v>
      </c>
      <c r="I27" s="52">
        <f t="shared" si="12"/>
        <v>0</v>
      </c>
      <c r="J27" s="52">
        <f t="shared" si="12"/>
        <v>0</v>
      </c>
      <c r="K27" s="52">
        <f t="shared" si="12"/>
        <v>0</v>
      </c>
      <c r="L27" s="52">
        <f t="shared" si="12"/>
        <v>0</v>
      </c>
      <c r="M27" s="126">
        <f t="shared" si="12"/>
        <v>0</v>
      </c>
      <c r="N27" s="292">
        <f t="shared" ca="1" si="4"/>
        <v>15630428</v>
      </c>
      <c r="O27" s="113"/>
      <c r="P27" s="13"/>
      <c r="Q27" s="13"/>
      <c r="R27" s="13"/>
      <c r="S27" s="13"/>
      <c r="T27" s="13"/>
      <c r="U27" s="13"/>
      <c r="V27" s="13"/>
      <c r="W27" s="13"/>
      <c r="X27" s="13"/>
      <c r="Y27" s="13"/>
      <c r="Z27" s="13"/>
      <c r="BE27" s="45" t="s">
        <v>64</v>
      </c>
      <c r="BF27" s="46">
        <v>3.4000000000000002E-2</v>
      </c>
      <c r="BG27" s="42"/>
      <c r="BH27" s="47"/>
      <c r="BI27" s="48">
        <v>0.432</v>
      </c>
      <c r="BL27" s="45" t="s">
        <v>64</v>
      </c>
      <c r="BM27" s="46">
        <v>3.4000000000000002E-2</v>
      </c>
      <c r="BN27" s="42"/>
      <c r="BO27" s="47"/>
      <c r="BP27" s="48">
        <v>0.432</v>
      </c>
    </row>
    <row r="28" spans="1:68" ht="33" customHeight="1" x14ac:dyDescent="0.5">
      <c r="A28" s="13"/>
      <c r="B28" s="13"/>
      <c r="C28" s="96" t="s">
        <v>65</v>
      </c>
      <c r="D28" s="53">
        <f t="shared" ref="D28:M28" si="13">IF(D101=TRUE,D25+(D8*10000*$O$10)/10000,0)</f>
        <v>0</v>
      </c>
      <c r="E28" s="53">
        <f t="shared" si="13"/>
        <v>0</v>
      </c>
      <c r="F28" s="53">
        <f t="shared" si="13"/>
        <v>0</v>
      </c>
      <c r="G28" s="53">
        <f t="shared" si="13"/>
        <v>0</v>
      </c>
      <c r="H28" s="53">
        <f t="shared" si="13"/>
        <v>0</v>
      </c>
      <c r="I28" s="53">
        <f t="shared" si="13"/>
        <v>0</v>
      </c>
      <c r="J28" s="53">
        <f t="shared" si="13"/>
        <v>0</v>
      </c>
      <c r="K28" s="53">
        <f t="shared" si="13"/>
        <v>0</v>
      </c>
      <c r="L28" s="53">
        <f t="shared" si="13"/>
        <v>0</v>
      </c>
      <c r="M28" s="115">
        <f t="shared" si="13"/>
        <v>0</v>
      </c>
      <c r="N28" s="92">
        <f t="shared" si="4"/>
        <v>0</v>
      </c>
      <c r="O28" s="13"/>
      <c r="P28" s="13"/>
      <c r="Q28" s="54"/>
      <c r="R28" s="13"/>
      <c r="S28" s="13"/>
      <c r="T28" s="13"/>
      <c r="U28" s="13"/>
      <c r="V28" s="54"/>
      <c r="W28" s="13"/>
      <c r="X28" s="13"/>
      <c r="Y28" s="13"/>
      <c r="Z28" s="13"/>
      <c r="BE28" s="55" t="s">
        <v>55</v>
      </c>
      <c r="BF28" s="56">
        <v>5.0999999999999997E-2</v>
      </c>
      <c r="BG28" s="42"/>
      <c r="BH28" s="42"/>
      <c r="BI28" s="42"/>
      <c r="BL28" s="55" t="s">
        <v>55</v>
      </c>
      <c r="BM28" s="56">
        <v>5.0999999999999997E-2</v>
      </c>
      <c r="BN28" s="42"/>
      <c r="BO28" s="42"/>
      <c r="BP28" s="42"/>
    </row>
    <row r="29" spans="1:68" ht="18" customHeight="1" thickBot="1" x14ac:dyDescent="0.55000000000000004">
      <c r="A29" s="16" t="s">
        <v>66</v>
      </c>
      <c r="B29" s="15"/>
      <c r="C29" s="97" t="s">
        <v>67</v>
      </c>
      <c r="D29" s="98">
        <f t="shared" ref="D29:M29" si="14">D25+D28</f>
        <v>800000</v>
      </c>
      <c r="E29" s="98">
        <f t="shared" si="14"/>
        <v>0</v>
      </c>
      <c r="F29" s="98">
        <f t="shared" si="14"/>
        <v>0</v>
      </c>
      <c r="G29" s="98">
        <f t="shared" si="14"/>
        <v>0</v>
      </c>
      <c r="H29" s="98">
        <f t="shared" si="14"/>
        <v>0</v>
      </c>
      <c r="I29" s="98">
        <f t="shared" si="14"/>
        <v>0</v>
      </c>
      <c r="J29" s="98">
        <f t="shared" si="14"/>
        <v>0</v>
      </c>
      <c r="K29" s="98">
        <f t="shared" si="14"/>
        <v>0</v>
      </c>
      <c r="L29" s="98">
        <f t="shared" si="14"/>
        <v>0</v>
      </c>
      <c r="M29" s="127">
        <f t="shared" si="14"/>
        <v>0</v>
      </c>
      <c r="N29" s="145">
        <f t="shared" si="4"/>
        <v>800000</v>
      </c>
      <c r="O29" s="19"/>
      <c r="P29" s="20"/>
      <c r="Q29" s="54"/>
      <c r="R29" s="13"/>
      <c r="S29" s="13"/>
      <c r="T29" s="13"/>
      <c r="U29" s="13"/>
      <c r="V29" s="15"/>
      <c r="W29" s="19"/>
      <c r="X29" s="20"/>
      <c r="Y29" s="13"/>
      <c r="Z29" s="13"/>
      <c r="BE29" s="49" t="s">
        <v>58</v>
      </c>
      <c r="BF29" s="50">
        <v>6.7000000000000004E-2</v>
      </c>
      <c r="BG29" s="42"/>
      <c r="BH29" s="42"/>
      <c r="BI29" s="42"/>
      <c r="BL29" s="49" t="s">
        <v>58</v>
      </c>
      <c r="BM29" s="50">
        <v>6.7000000000000004E-2</v>
      </c>
      <c r="BN29" s="42"/>
      <c r="BO29" s="42"/>
      <c r="BP29" s="42"/>
    </row>
    <row r="30" spans="1:68" ht="54.5" customHeight="1" thickBot="1" x14ac:dyDescent="0.7">
      <c r="A30" s="16" t="s">
        <v>68</v>
      </c>
      <c r="B30" s="13"/>
      <c r="C30" s="131" t="s">
        <v>69</v>
      </c>
      <c r="D30" s="13"/>
      <c r="E30" s="13"/>
      <c r="F30" s="13"/>
      <c r="G30" s="13"/>
      <c r="H30" s="13"/>
      <c r="I30" s="13"/>
      <c r="J30" s="13"/>
      <c r="K30" s="13"/>
      <c r="L30" s="13"/>
      <c r="M30" s="13"/>
      <c r="N30" s="13"/>
      <c r="O30" s="13"/>
      <c r="P30" s="13"/>
      <c r="Q30" s="86"/>
      <c r="R30" s="13"/>
      <c r="S30" s="13"/>
      <c r="T30" s="13"/>
      <c r="U30" s="13"/>
      <c r="V30" s="13"/>
      <c r="W30" s="13"/>
      <c r="X30" s="13"/>
      <c r="Y30" s="13"/>
      <c r="Z30" s="13"/>
      <c r="BE30" s="42" t="s">
        <v>38</v>
      </c>
      <c r="BF30" s="42"/>
      <c r="BG30" s="42"/>
      <c r="BH30" s="42"/>
      <c r="BI30" s="42"/>
      <c r="BL30" s="42" t="s">
        <v>38</v>
      </c>
      <c r="BM30" s="42"/>
      <c r="BN30" s="42"/>
      <c r="BO30" s="42"/>
      <c r="BP30" s="42"/>
    </row>
    <row r="31" spans="1:68" ht="34.5" customHeight="1" thickBot="1" x14ac:dyDescent="0.55000000000000004">
      <c r="A31" s="16"/>
      <c r="B31" s="13"/>
      <c r="C31" s="99" t="s">
        <v>9</v>
      </c>
      <c r="D31" s="100" t="s">
        <v>70</v>
      </c>
      <c r="E31" s="100" t="s">
        <v>71</v>
      </c>
      <c r="F31" s="100" t="s">
        <v>72</v>
      </c>
      <c r="G31" s="100" t="s">
        <v>73</v>
      </c>
      <c r="H31" s="100">
        <f t="shared" ref="H31:M31" si="15">H6</f>
        <v>0</v>
      </c>
      <c r="I31" s="100">
        <f t="shared" si="15"/>
        <v>0</v>
      </c>
      <c r="J31" s="100">
        <f t="shared" si="15"/>
        <v>0</v>
      </c>
      <c r="K31" s="100">
        <f t="shared" si="15"/>
        <v>0</v>
      </c>
      <c r="L31" s="100">
        <f t="shared" si="15"/>
        <v>0</v>
      </c>
      <c r="M31" s="100">
        <f t="shared" si="15"/>
        <v>0</v>
      </c>
      <c r="N31" s="91" t="s">
        <v>12</v>
      </c>
      <c r="P31" s="13"/>
      <c r="Q31" s="86"/>
      <c r="R31" s="13"/>
      <c r="S31" s="13"/>
      <c r="T31" s="13"/>
      <c r="U31" s="13"/>
      <c r="V31" s="13"/>
      <c r="W31" s="13"/>
      <c r="X31" s="13"/>
      <c r="Y31" s="13"/>
      <c r="Z31" s="13"/>
      <c r="BE31" s="42"/>
      <c r="BF31" s="42"/>
      <c r="BG31" s="42"/>
      <c r="BH31" s="42"/>
      <c r="BI31" s="42"/>
      <c r="BL31" s="42"/>
      <c r="BM31" s="42"/>
      <c r="BN31" s="42"/>
      <c r="BO31" s="42"/>
      <c r="BP31" s="42"/>
    </row>
    <row r="32" spans="1:68" ht="18.649999999999999" customHeight="1" x14ac:dyDescent="0.5">
      <c r="A32" s="13"/>
      <c r="B32" s="13"/>
      <c r="C32" s="101" t="s">
        <v>74</v>
      </c>
      <c r="D32" s="25">
        <v>66</v>
      </c>
      <c r="E32" s="25"/>
      <c r="F32" s="25"/>
      <c r="G32" s="25"/>
      <c r="H32" s="119"/>
      <c r="I32" s="119"/>
      <c r="J32" s="119"/>
      <c r="K32" s="119"/>
      <c r="L32" s="119"/>
      <c r="M32" s="119"/>
      <c r="N32" s="92"/>
      <c r="O32" s="16"/>
      <c r="P32" s="14"/>
      <c r="Q32" s="54"/>
      <c r="R32" s="13"/>
      <c r="S32" s="13"/>
      <c r="T32" s="15"/>
      <c r="U32" s="15"/>
      <c r="V32" s="13"/>
      <c r="W32" s="13"/>
      <c r="X32" s="13"/>
      <c r="Y32" s="13"/>
      <c r="Z32" s="13"/>
      <c r="AA32" s="114">
        <f>IF(D34/12&gt;=635000,650000*12,D34)</f>
        <v>2400000</v>
      </c>
      <c r="AB32" s="114">
        <f>IF(E34/12&gt;=635000,650000*12,E34)</f>
        <v>0</v>
      </c>
      <c r="AC32" s="114">
        <f>IF(F34/12&gt;=635000,650000*12,F34)</f>
        <v>0</v>
      </c>
      <c r="AD32" s="114">
        <f>IF(G34/12&gt;=635000,650000*12,G34)</f>
        <v>0</v>
      </c>
      <c r="AE32" s="114"/>
      <c r="AF32" s="114"/>
      <c r="AG32" s="114"/>
      <c r="AH32" s="114"/>
      <c r="AI32" s="114"/>
      <c r="AJ32" s="114"/>
      <c r="BE32" s="45" t="s">
        <v>75</v>
      </c>
      <c r="BF32" s="46">
        <v>3.2000000000000001E-2</v>
      </c>
      <c r="BG32" s="42"/>
      <c r="BH32" s="42"/>
      <c r="BI32" s="42"/>
      <c r="BL32" s="45" t="s">
        <v>75</v>
      </c>
      <c r="BM32" s="46">
        <v>3.2000000000000001E-2</v>
      </c>
      <c r="BN32" s="42"/>
      <c r="BO32" s="42"/>
      <c r="BP32" s="42"/>
    </row>
    <row r="33" spans="1:70" ht="18" customHeight="1" thickBot="1" x14ac:dyDescent="0.55000000000000004">
      <c r="A33" s="13"/>
      <c r="B33" s="13"/>
      <c r="C33" s="309" t="s">
        <v>15</v>
      </c>
      <c r="D33" s="310">
        <v>7000000</v>
      </c>
      <c r="E33" s="310"/>
      <c r="F33" s="311"/>
      <c r="G33" s="311"/>
      <c r="H33" s="311"/>
      <c r="I33" s="311"/>
      <c r="J33" s="311"/>
      <c r="K33" s="311"/>
      <c r="L33" s="311"/>
      <c r="M33" s="311"/>
      <c r="N33" s="145">
        <f t="shared" ref="N33:N44" si="16">SUM(D33:M33)</f>
        <v>7000000</v>
      </c>
      <c r="O33" s="16" t="s">
        <v>76</v>
      </c>
      <c r="P33" s="14"/>
      <c r="Q33" s="57"/>
      <c r="R33" s="13"/>
      <c r="S33" s="15"/>
      <c r="T33" s="15"/>
      <c r="U33" s="15"/>
      <c r="V33" s="13"/>
      <c r="W33" s="13"/>
      <c r="X33" s="13"/>
      <c r="Y33" s="13"/>
      <c r="Z33" s="13"/>
      <c r="AA33" s="114">
        <f t="shared" ref="AA33:AD35" si="17">IF(D35&gt;=1500000,1500000,D35)</f>
        <v>0</v>
      </c>
      <c r="AB33" s="114">
        <f t="shared" si="17"/>
        <v>0</v>
      </c>
      <c r="AC33" s="114">
        <f t="shared" si="17"/>
        <v>0</v>
      </c>
      <c r="AD33" s="114">
        <f t="shared" si="17"/>
        <v>0</v>
      </c>
      <c r="AE33" s="114"/>
      <c r="AF33" s="114"/>
      <c r="AG33" s="114"/>
      <c r="AH33" s="114"/>
      <c r="AI33" s="114"/>
      <c r="AJ33" s="114"/>
      <c r="BE33" s="58" t="s">
        <v>77</v>
      </c>
      <c r="BF33" s="59">
        <v>9.7000000000000003E-2</v>
      </c>
      <c r="BG33" s="42"/>
      <c r="BH33" s="42"/>
      <c r="BI33" s="42"/>
      <c r="BL33" s="58" t="s">
        <v>77</v>
      </c>
      <c r="BM33" s="59">
        <v>9.7000000000000003E-2</v>
      </c>
      <c r="BN33" s="42"/>
      <c r="BO33" s="42"/>
      <c r="BP33" s="42"/>
    </row>
    <row r="34" spans="1:70" ht="18" customHeight="1" x14ac:dyDescent="0.5">
      <c r="A34" s="13"/>
      <c r="B34" s="13"/>
      <c r="C34" s="133" t="s">
        <v>78</v>
      </c>
      <c r="D34" s="27">
        <v>2400000</v>
      </c>
      <c r="E34" s="27"/>
      <c r="F34" s="27"/>
      <c r="G34" s="27"/>
      <c r="H34" s="116"/>
      <c r="I34" s="116"/>
      <c r="J34" s="116"/>
      <c r="K34" s="116"/>
      <c r="L34" s="116"/>
      <c r="M34" s="116"/>
      <c r="N34" s="93">
        <f t="shared" si="16"/>
        <v>2400000</v>
      </c>
      <c r="O34" s="15"/>
      <c r="P34" s="15"/>
      <c r="Q34" s="54"/>
      <c r="R34" s="13"/>
      <c r="S34" s="13"/>
      <c r="T34" s="13"/>
      <c r="U34" s="13"/>
      <c r="V34" s="13"/>
      <c r="W34" s="13"/>
      <c r="X34" s="13"/>
      <c r="Y34" s="13"/>
      <c r="Z34" s="13"/>
      <c r="AA34" s="114">
        <f t="shared" si="17"/>
        <v>0</v>
      </c>
      <c r="AB34" s="114">
        <f t="shared" si="17"/>
        <v>0</v>
      </c>
      <c r="AC34" s="114">
        <f t="shared" si="17"/>
        <v>0</v>
      </c>
      <c r="AD34" s="114">
        <f t="shared" si="17"/>
        <v>0</v>
      </c>
      <c r="AE34" s="114"/>
      <c r="AF34" s="114"/>
      <c r="AG34" s="114"/>
      <c r="AH34" s="114"/>
      <c r="AI34" s="114"/>
      <c r="AJ34" s="114"/>
      <c r="BE34" s="55" t="s">
        <v>79</v>
      </c>
      <c r="BF34" s="60">
        <v>70000</v>
      </c>
      <c r="BG34" s="42"/>
      <c r="BH34" s="51"/>
      <c r="BI34" s="42"/>
      <c r="BL34" s="55" t="s">
        <v>79</v>
      </c>
      <c r="BM34" s="60">
        <v>70000</v>
      </c>
      <c r="BN34" s="42"/>
      <c r="BO34" s="51"/>
      <c r="BP34" s="42"/>
    </row>
    <row r="35" spans="1:70" ht="18" customHeight="1" thickBot="1" x14ac:dyDescent="0.55000000000000004">
      <c r="A35" s="13"/>
      <c r="B35" s="13"/>
      <c r="C35" s="306" t="s">
        <v>80</v>
      </c>
      <c r="D35" s="27"/>
      <c r="E35" s="27"/>
      <c r="F35" s="27"/>
      <c r="G35" s="27"/>
      <c r="H35" s="116"/>
      <c r="I35" s="116"/>
      <c r="J35" s="116"/>
      <c r="K35" s="116"/>
      <c r="L35" s="116"/>
      <c r="M35" s="116"/>
      <c r="N35" s="93">
        <f t="shared" si="16"/>
        <v>0</v>
      </c>
      <c r="O35" s="15"/>
      <c r="P35" s="15"/>
      <c r="Q35" s="54"/>
      <c r="R35" s="13"/>
      <c r="S35" s="13"/>
      <c r="T35" s="13"/>
      <c r="U35" s="13"/>
      <c r="V35" s="13"/>
      <c r="W35" s="13"/>
      <c r="X35" s="13"/>
      <c r="Y35" s="13"/>
      <c r="Z35" s="13"/>
      <c r="AA35" s="114">
        <f t="shared" si="17"/>
        <v>0</v>
      </c>
      <c r="AB35" s="114">
        <f t="shared" si="17"/>
        <v>0</v>
      </c>
      <c r="AC35" s="114">
        <f t="shared" si="17"/>
        <v>0</v>
      </c>
      <c r="AD35" s="114">
        <f t="shared" si="17"/>
        <v>0</v>
      </c>
      <c r="AE35" s="114"/>
      <c r="AF35" s="114"/>
      <c r="AG35" s="114"/>
      <c r="AH35" s="114"/>
      <c r="AI35" s="114"/>
      <c r="AJ35" s="114"/>
      <c r="BE35" s="39" t="s">
        <v>81</v>
      </c>
      <c r="BF35" s="61">
        <v>0</v>
      </c>
      <c r="BG35" s="62"/>
      <c r="BH35" s="51"/>
      <c r="BI35" s="42"/>
      <c r="BL35" s="39" t="s">
        <v>81</v>
      </c>
      <c r="BM35" s="61">
        <v>0</v>
      </c>
      <c r="BN35" s="62"/>
      <c r="BO35" s="51"/>
      <c r="BP35" s="42"/>
    </row>
    <row r="36" spans="1:70" ht="18" customHeight="1" x14ac:dyDescent="0.5">
      <c r="A36" s="13"/>
      <c r="B36" s="13"/>
      <c r="C36" s="307" t="s">
        <v>82</v>
      </c>
      <c r="D36" s="27"/>
      <c r="E36" s="27"/>
      <c r="F36" s="27"/>
      <c r="G36" s="27"/>
      <c r="H36" s="116"/>
      <c r="I36" s="116"/>
      <c r="J36" s="116"/>
      <c r="K36" s="116"/>
      <c r="L36" s="116"/>
      <c r="M36" s="116"/>
      <c r="N36" s="93">
        <f t="shared" si="16"/>
        <v>0</v>
      </c>
      <c r="O36" s="13"/>
      <c r="P36" s="13"/>
      <c r="Q36" s="86"/>
      <c r="R36" s="13"/>
      <c r="S36" s="13"/>
      <c r="T36" s="13"/>
      <c r="U36" s="13"/>
      <c r="V36" s="13"/>
      <c r="W36" s="13"/>
      <c r="X36" s="13"/>
      <c r="Y36" s="13"/>
      <c r="Z36" s="13"/>
    </row>
    <row r="37" spans="1:70" ht="18" customHeight="1" x14ac:dyDescent="0.5">
      <c r="A37" s="13"/>
      <c r="B37" s="13"/>
      <c r="C37" s="133" t="s">
        <v>83</v>
      </c>
      <c r="D37" s="27"/>
      <c r="E37" s="27"/>
      <c r="F37" s="27"/>
      <c r="G37" s="27"/>
      <c r="H37" s="116"/>
      <c r="I37" s="116"/>
      <c r="J37" s="116"/>
      <c r="K37" s="116"/>
      <c r="L37" s="116"/>
      <c r="M37" s="116"/>
      <c r="N37" s="93">
        <f t="shared" si="16"/>
        <v>0</v>
      </c>
      <c r="O37" s="13"/>
      <c r="P37" s="13"/>
      <c r="Q37" s="86"/>
      <c r="R37" s="13"/>
      <c r="S37" s="13"/>
      <c r="T37" s="13"/>
      <c r="U37" s="13"/>
      <c r="V37" s="13"/>
      <c r="W37" s="13"/>
      <c r="X37" s="13"/>
      <c r="Y37" s="13"/>
      <c r="Z37" s="13"/>
    </row>
    <row r="38" spans="1:70" ht="18" customHeight="1" x14ac:dyDescent="0.5">
      <c r="A38" s="13"/>
      <c r="B38" s="13"/>
      <c r="C38" s="102" t="s">
        <v>84</v>
      </c>
      <c r="D38" s="27">
        <v>10000000</v>
      </c>
      <c r="E38" s="63"/>
      <c r="F38" s="63"/>
      <c r="G38" s="63"/>
      <c r="H38" s="120"/>
      <c r="I38" s="120"/>
      <c r="J38" s="120"/>
      <c r="K38" s="120"/>
      <c r="L38" s="120"/>
      <c r="M38" s="121"/>
      <c r="N38" s="93">
        <f t="shared" si="16"/>
        <v>10000000</v>
      </c>
      <c r="O38" s="13"/>
      <c r="P38" s="13"/>
      <c r="Q38" s="54"/>
      <c r="R38" s="13"/>
      <c r="S38" s="13"/>
      <c r="T38" s="54"/>
      <c r="U38" s="54"/>
      <c r="V38" s="13"/>
      <c r="W38" s="13"/>
      <c r="X38" s="13"/>
      <c r="Y38" s="13"/>
      <c r="Z38" s="13"/>
    </row>
    <row r="39" spans="1:70" ht="18" customHeight="1" x14ac:dyDescent="0.5">
      <c r="A39" s="13"/>
      <c r="B39" s="13"/>
      <c r="C39" s="102" t="s">
        <v>85</v>
      </c>
      <c r="D39" s="116">
        <f>SUM(D34:D38)</f>
        <v>12400000</v>
      </c>
      <c r="E39" s="116">
        <f>SUM(E34:E38)</f>
        <v>0</v>
      </c>
      <c r="F39" s="116">
        <f>SUM(F34:F38)</f>
        <v>0</v>
      </c>
      <c r="G39" s="116">
        <f>SUM(G34:G38)</f>
        <v>0</v>
      </c>
      <c r="H39" s="116"/>
      <c r="I39" s="116"/>
      <c r="J39" s="116"/>
      <c r="K39" s="116"/>
      <c r="L39" s="116"/>
      <c r="M39" s="122"/>
      <c r="N39" s="93">
        <f t="shared" si="16"/>
        <v>12400000</v>
      </c>
      <c r="O39" s="13"/>
      <c r="P39" s="13"/>
      <c r="Q39" s="86"/>
      <c r="R39" s="13"/>
      <c r="S39" s="15"/>
      <c r="T39" s="54"/>
      <c r="U39" s="54"/>
      <c r="V39" s="13"/>
      <c r="W39" s="13"/>
      <c r="X39" s="13"/>
      <c r="Y39" s="13"/>
      <c r="Z39" s="13"/>
    </row>
    <row r="40" spans="1:70" ht="18" customHeight="1" x14ac:dyDescent="0.5">
      <c r="A40" s="13"/>
      <c r="B40" s="13"/>
      <c r="C40" s="102" t="s">
        <v>23</v>
      </c>
      <c r="D40" s="32">
        <f t="array" aca="1" ref="D40" ca="1">IF(D112=FALSE,koujyogoTS(D39),Koujyogo_ch(D39))</f>
        <v>10450000</v>
      </c>
      <c r="E40" s="32">
        <f t="array" aca="1" ref="E40" ca="1">IF(E112=FALSE,koujyogoTS(E39),Koujyogo_ch(E39))</f>
        <v>0</v>
      </c>
      <c r="F40" s="32">
        <f t="array" aca="1" ref="F40" ca="1">IF(F112=FALSE,koujyogoTS(F39),Koujyogo_ch(F39))</f>
        <v>0</v>
      </c>
      <c r="G40" s="32">
        <f t="array" aca="1" ref="G40" ca="1">IF(G112=FALSE,koujyogoTS(G39),Koujyogo_ch(G39))</f>
        <v>0</v>
      </c>
      <c r="H40" s="32"/>
      <c r="I40" s="32"/>
      <c r="J40" s="32"/>
      <c r="K40" s="32"/>
      <c r="L40" s="32"/>
      <c r="M40" s="32"/>
      <c r="N40" s="93">
        <f t="shared" ca="1" si="16"/>
        <v>10450000</v>
      </c>
      <c r="O40" s="13"/>
      <c r="P40" s="13"/>
      <c r="Q40" s="86"/>
      <c r="R40" s="13"/>
      <c r="S40" s="15"/>
      <c r="T40" s="54"/>
      <c r="U40" s="54"/>
      <c r="V40" s="13"/>
      <c r="W40" s="13"/>
      <c r="X40" s="13"/>
      <c r="Y40" s="13"/>
      <c r="Z40" s="13"/>
    </row>
    <row r="41" spans="1:70" ht="18" customHeight="1" x14ac:dyDescent="0.5">
      <c r="A41" s="13"/>
      <c r="B41" s="13"/>
      <c r="C41" s="102" t="s">
        <v>26</v>
      </c>
      <c r="D41" s="29">
        <v>2500000</v>
      </c>
      <c r="E41" s="29"/>
      <c r="F41" s="29"/>
      <c r="G41" s="29"/>
      <c r="H41" s="32"/>
      <c r="I41" s="32"/>
      <c r="J41" s="32"/>
      <c r="K41" s="32"/>
      <c r="L41" s="32"/>
      <c r="M41" s="123"/>
      <c r="N41" s="93">
        <f t="shared" si="16"/>
        <v>2500000</v>
      </c>
      <c r="O41" s="13"/>
      <c r="P41" s="13"/>
      <c r="Q41" s="86"/>
      <c r="R41" s="13"/>
      <c r="S41" s="15"/>
      <c r="T41" s="54"/>
      <c r="U41" s="54"/>
      <c r="V41" s="13"/>
      <c r="W41" s="13"/>
      <c r="X41" s="13"/>
      <c r="Y41" s="13"/>
      <c r="Z41" s="13"/>
      <c r="BE41" s="64"/>
      <c r="BF41" s="65"/>
      <c r="BG41" s="65" t="s">
        <v>86</v>
      </c>
      <c r="BH41" s="65"/>
      <c r="BI41" s="66"/>
      <c r="BJ41" s="65"/>
      <c r="BK41" s="67"/>
      <c r="BL41" s="65"/>
      <c r="BM41" s="65"/>
      <c r="BN41" s="65" t="s">
        <v>86</v>
      </c>
      <c r="BO41" s="65"/>
      <c r="BP41" s="66"/>
      <c r="BQ41" s="65"/>
      <c r="BR41" s="67"/>
    </row>
    <row r="42" spans="1:70" ht="18" customHeight="1" x14ac:dyDescent="0.5">
      <c r="A42" s="13"/>
      <c r="B42" s="13"/>
      <c r="C42" s="102" t="s">
        <v>29</v>
      </c>
      <c r="D42" s="32">
        <f t="array" aca="1" ref="D42" ca="1">PensionIncome(D41,D32,D33+D43+D40)</f>
        <v>1500000</v>
      </c>
      <c r="E42" s="32">
        <f t="array" aca="1" ref="E42" ca="1">PensionIncome(E41,E32,E33+E43+E40)</f>
        <v>0</v>
      </c>
      <c r="F42" s="32">
        <f t="array" aca="1" ref="F42" ca="1">PensionIncome(F41,F32,F33+F43+F40)</f>
        <v>0</v>
      </c>
      <c r="G42" s="32">
        <f t="array" aca="1" ref="G42" ca="1">PensionIncome(G41,G32,G33+G43+G40)</f>
        <v>0</v>
      </c>
      <c r="H42" s="32"/>
      <c r="I42" s="32"/>
      <c r="J42" s="32"/>
      <c r="K42" s="32"/>
      <c r="L42" s="32"/>
      <c r="M42" s="123"/>
      <c r="N42" s="93">
        <f t="shared" ca="1" si="16"/>
        <v>1500000</v>
      </c>
      <c r="O42" s="13"/>
      <c r="P42" s="13"/>
      <c r="Q42" s="86"/>
      <c r="R42" s="13"/>
      <c r="S42" s="13"/>
      <c r="T42" s="13"/>
      <c r="U42" s="13"/>
      <c r="V42" s="13"/>
      <c r="W42" s="13"/>
      <c r="X42" s="13"/>
      <c r="Y42" s="13"/>
      <c r="Z42" s="13"/>
      <c r="BE42" s="68"/>
      <c r="BF42" s="69"/>
      <c r="BG42" s="69"/>
      <c r="BH42" s="69"/>
      <c r="BI42" s="70"/>
      <c r="BJ42" s="69"/>
      <c r="BK42" s="71"/>
      <c r="BL42" s="69"/>
      <c r="BM42" s="69"/>
      <c r="BN42" s="69"/>
      <c r="BO42" s="69"/>
      <c r="BP42" s="70"/>
      <c r="BQ42" s="69"/>
      <c r="BR42" s="71"/>
    </row>
    <row r="43" spans="1:70" ht="18" customHeight="1" x14ac:dyDescent="0.5">
      <c r="A43" s="13"/>
      <c r="B43" s="13"/>
      <c r="C43" s="102" t="s">
        <v>32</v>
      </c>
      <c r="D43" s="29">
        <v>0</v>
      </c>
      <c r="E43" s="30"/>
      <c r="F43" s="30"/>
      <c r="G43" s="30"/>
      <c r="H43" s="117"/>
      <c r="I43" s="117"/>
      <c r="J43" s="117"/>
      <c r="K43" s="117"/>
      <c r="L43" s="117"/>
      <c r="M43" s="118"/>
      <c r="N43" s="93">
        <f t="shared" si="16"/>
        <v>0</v>
      </c>
      <c r="O43" s="16"/>
      <c r="P43" s="13"/>
      <c r="Q43" s="13"/>
      <c r="R43" s="13"/>
      <c r="S43" s="13"/>
      <c r="T43" s="13"/>
      <c r="U43" s="13"/>
      <c r="V43" s="13"/>
      <c r="W43" s="13"/>
      <c r="X43" s="13"/>
      <c r="Y43" s="13"/>
      <c r="Z43" s="13"/>
      <c r="BE43" s="68"/>
      <c r="BF43" s="69"/>
      <c r="BG43" s="69"/>
      <c r="BH43" s="69"/>
      <c r="BI43" s="70"/>
      <c r="BJ43" s="69"/>
      <c r="BK43" s="71"/>
      <c r="BL43" s="69"/>
      <c r="BM43" s="69"/>
      <c r="BN43" s="69"/>
      <c r="BO43" s="69"/>
      <c r="BP43" s="70"/>
      <c r="BQ43" s="69"/>
      <c r="BR43" s="71"/>
    </row>
    <row r="44" spans="1:70" ht="18" customHeight="1" x14ac:dyDescent="0.5">
      <c r="A44" s="13"/>
      <c r="B44" s="13"/>
      <c r="C44" s="102" t="s">
        <v>37</v>
      </c>
      <c r="D44" s="32">
        <f ca="1">D55</f>
        <v>357600.00050067902</v>
      </c>
      <c r="E44" s="32">
        <f>E55</f>
        <v>0</v>
      </c>
      <c r="F44" s="32">
        <f>F55</f>
        <v>0</v>
      </c>
      <c r="G44" s="32">
        <f>G55</f>
        <v>0</v>
      </c>
      <c r="H44" s="32"/>
      <c r="I44" s="32"/>
      <c r="J44" s="32"/>
      <c r="K44" s="32"/>
      <c r="L44" s="32"/>
      <c r="M44" s="32"/>
      <c r="N44" s="93">
        <f t="shared" ca="1" si="16"/>
        <v>357600.00050067902</v>
      </c>
      <c r="O44" s="16"/>
      <c r="P44" s="14"/>
      <c r="Q44" s="54"/>
      <c r="R44" s="13"/>
      <c r="S44" s="13"/>
      <c r="T44" s="13"/>
      <c r="U44" s="13"/>
      <c r="V44" s="13"/>
      <c r="W44" s="13"/>
      <c r="X44" s="13"/>
      <c r="Y44" s="13"/>
      <c r="Z44" s="13"/>
      <c r="BE44" s="68"/>
      <c r="BF44" s="69"/>
      <c r="BG44" s="69">
        <f>INT(BF6/1000)*1000</f>
        <v>0</v>
      </c>
      <c r="BH44" s="69" t="s">
        <v>87</v>
      </c>
      <c r="BI44" s="70"/>
      <c r="BJ44" s="69"/>
      <c r="BK44" s="71"/>
      <c r="BL44" s="69"/>
      <c r="BM44" s="69"/>
      <c r="BN44" s="69">
        <f>BM6</f>
        <v>0</v>
      </c>
      <c r="BO44" s="69" t="s">
        <v>87</v>
      </c>
      <c r="BP44" s="70"/>
      <c r="BQ44" s="69"/>
      <c r="BR44" s="71"/>
    </row>
    <row r="45" spans="1:70" ht="18" customHeight="1" x14ac:dyDescent="0.5">
      <c r="A45" s="13"/>
      <c r="B45" s="13"/>
      <c r="C45" s="102" t="s">
        <v>39</v>
      </c>
      <c r="D45" s="29">
        <v>100000</v>
      </c>
      <c r="E45" s="29"/>
      <c r="F45" s="29"/>
      <c r="G45" s="29"/>
      <c r="H45" s="117"/>
      <c r="I45" s="117"/>
      <c r="J45" s="117"/>
      <c r="K45" s="117"/>
      <c r="L45" s="117"/>
      <c r="M45" s="118"/>
      <c r="N45" s="93"/>
      <c r="O45" s="16"/>
      <c r="P45" s="14"/>
      <c r="Q45" s="54"/>
      <c r="R45" s="13"/>
      <c r="S45" s="13"/>
      <c r="T45" s="13"/>
      <c r="U45" s="13"/>
      <c r="V45" s="13"/>
      <c r="W45" s="13"/>
      <c r="X45" s="13"/>
      <c r="Y45" s="13"/>
      <c r="Z45" s="13"/>
      <c r="BE45" s="68"/>
      <c r="BF45" s="69"/>
      <c r="BG45" s="69"/>
      <c r="BH45" s="69"/>
      <c r="BI45" s="70"/>
      <c r="BJ45" s="69"/>
      <c r="BK45" s="71"/>
      <c r="BL45" s="69"/>
      <c r="BM45" s="69"/>
      <c r="BN45" s="69"/>
      <c r="BO45" s="69"/>
      <c r="BP45" s="70"/>
      <c r="BQ45" s="69"/>
      <c r="BR45" s="71"/>
    </row>
    <row r="46" spans="1:70" ht="18" customHeight="1" thickBot="1" x14ac:dyDescent="0.55000000000000004">
      <c r="A46" s="13"/>
      <c r="B46" s="13"/>
      <c r="C46" s="102" t="s">
        <v>41</v>
      </c>
      <c r="D46" s="32">
        <f ca="1">VLOOKUP(D134,$C$122:$D$130,2)</f>
        <v>580000</v>
      </c>
      <c r="E46" s="32">
        <f ca="1">VLOOKUP(E134,$C$122:$D$130,2)</f>
        <v>950000</v>
      </c>
      <c r="F46" s="32">
        <f ca="1">VLOOKUP(F134,$C$122:$D$130,2)</f>
        <v>950000</v>
      </c>
      <c r="G46" s="32">
        <f ca="1">VLOOKUP(G134,$C$122:$D$130,2)</f>
        <v>950000</v>
      </c>
      <c r="H46" s="32"/>
      <c r="I46" s="32"/>
      <c r="J46" s="32"/>
      <c r="K46" s="32"/>
      <c r="L46" s="32"/>
      <c r="M46" s="32"/>
      <c r="N46" s="93"/>
      <c r="O46" s="54" t="s">
        <v>10</v>
      </c>
      <c r="P46" s="16"/>
      <c r="Q46" s="54"/>
      <c r="R46" s="13"/>
      <c r="S46" s="13" t="s">
        <v>46</v>
      </c>
      <c r="T46" s="54" t="s">
        <v>11</v>
      </c>
      <c r="U46" s="13"/>
      <c r="V46" s="13"/>
      <c r="W46" s="13"/>
      <c r="X46" s="13" t="s">
        <v>46</v>
      </c>
      <c r="Y46" s="13"/>
      <c r="Z46" s="13"/>
      <c r="BE46" s="68"/>
      <c r="BF46" s="69"/>
      <c r="BG46" s="69"/>
      <c r="BH46" s="69"/>
      <c r="BI46" s="70"/>
      <c r="BJ46" s="69"/>
      <c r="BK46" s="71"/>
      <c r="BL46" s="69"/>
      <c r="BM46" s="69"/>
      <c r="BN46" s="69"/>
      <c r="BO46" s="69"/>
      <c r="BP46" s="70"/>
      <c r="BQ46" s="69"/>
      <c r="BR46" s="71"/>
    </row>
    <row r="47" spans="1:70" ht="18" customHeight="1" thickBot="1" x14ac:dyDescent="0.55000000000000004">
      <c r="A47" s="13"/>
      <c r="B47" s="13"/>
      <c r="C47" s="102" t="s">
        <v>44</v>
      </c>
      <c r="D47" s="32">
        <f ca="1">INT((IF((D33+D40+D42+D43-D44-D45-D46)&gt;0,(D33+D40+D42+D43-D44-D45-D46),0))/1000)*1000</f>
        <v>17912000</v>
      </c>
      <c r="E47" s="32">
        <f ca="1">INT((IF((E33+E40+E42+E43-E44-E45-E46)&gt;0,(E33+E40+E42+E43-E44-E45-E46),0))/1000)*1000</f>
        <v>0</v>
      </c>
      <c r="F47" s="32">
        <f ca="1">INT((IF((F33+F40+F42+F43-F44-F45-F46)&gt;0,(F33+F40+F42+F43-F44-F45-F46),0))/1000)*1000</f>
        <v>0</v>
      </c>
      <c r="G47" s="32">
        <f ca="1">INT((IF((G33+G40+G42+G43-G44-G45-G46)&gt;0,(G33+G40+G42+G43-G44-G45-G46),0))/1000)*1000</f>
        <v>0</v>
      </c>
      <c r="H47" s="32">
        <f t="shared" ref="H47:M47" si="18">IF((H40+H43-SUM(H44:H46))&gt;0,(H40+H43-SUM(H44:H46)),0)</f>
        <v>0</v>
      </c>
      <c r="I47" s="32">
        <f t="shared" si="18"/>
        <v>0</v>
      </c>
      <c r="J47" s="32">
        <f t="shared" si="18"/>
        <v>0</v>
      </c>
      <c r="K47" s="32">
        <f t="shared" si="18"/>
        <v>0</v>
      </c>
      <c r="L47" s="32">
        <f t="shared" si="18"/>
        <v>0</v>
      </c>
      <c r="M47" s="32">
        <f t="shared" si="18"/>
        <v>0</v>
      </c>
      <c r="N47" s="93">
        <f t="shared" ref="N47:N59" ca="1" si="19">SUM(D47:M47)</f>
        <v>17912000</v>
      </c>
      <c r="O47" s="113" t="s">
        <v>50</v>
      </c>
      <c r="P47" s="140">
        <v>650000</v>
      </c>
      <c r="Q47" s="13" t="s">
        <v>51</v>
      </c>
      <c r="R47" s="141">
        <v>0.05</v>
      </c>
      <c r="S47" s="140">
        <v>2900000</v>
      </c>
      <c r="T47" s="13" t="s">
        <v>50</v>
      </c>
      <c r="U47" s="140">
        <v>0</v>
      </c>
      <c r="V47" s="13" t="s">
        <v>51</v>
      </c>
      <c r="W47" s="141"/>
      <c r="X47" s="386">
        <v>0</v>
      </c>
      <c r="Y47" s="13"/>
      <c r="Z47" s="13"/>
      <c r="BE47" s="68"/>
      <c r="BF47" s="69"/>
      <c r="BG47" s="69"/>
      <c r="BH47" s="69"/>
      <c r="BI47" s="70"/>
      <c r="BJ47" s="69"/>
      <c r="BK47" s="71"/>
      <c r="BL47" s="69"/>
      <c r="BM47" s="69"/>
      <c r="BN47" s="69"/>
      <c r="BO47" s="69"/>
      <c r="BP47" s="70"/>
      <c r="BQ47" s="69"/>
      <c r="BR47" s="71"/>
    </row>
    <row r="48" spans="1:70" ht="18" customHeight="1" x14ac:dyDescent="0.5">
      <c r="A48" s="13"/>
      <c r="B48" s="13"/>
      <c r="C48" s="94" t="s">
        <v>45</v>
      </c>
      <c r="D48" s="38">
        <f ca="1">INT(incometaxTS(D47)*1.021/100)*100</f>
        <v>4466800</v>
      </c>
      <c r="E48" s="38">
        <f ca="1">INT(incometaxTS(E47)*1.021/100)*100</f>
        <v>0</v>
      </c>
      <c r="F48" s="38">
        <f ca="1">INT(incometaxTS(F47)*1.021/100)*100</f>
        <v>0</v>
      </c>
      <c r="G48" s="38">
        <f ca="1">INT(incometaxTS(G47)*1.021/100)*100</f>
        <v>0</v>
      </c>
      <c r="H48" s="38">
        <f t="shared" ref="H48:M48" ca="1" si="20">incometaxTS(H47*10000)/10000</f>
        <v>0</v>
      </c>
      <c r="I48" s="38">
        <f t="shared" ca="1" si="20"/>
        <v>0</v>
      </c>
      <c r="J48" s="38">
        <f t="shared" ca="1" si="20"/>
        <v>0</v>
      </c>
      <c r="K48" s="38">
        <f t="shared" ca="1" si="20"/>
        <v>0</v>
      </c>
      <c r="L48" s="38">
        <f t="shared" ca="1" si="20"/>
        <v>0</v>
      </c>
      <c r="M48" s="38">
        <f t="shared" ca="1" si="20"/>
        <v>0</v>
      </c>
      <c r="N48" s="93">
        <f t="shared" ca="1" si="19"/>
        <v>4466800</v>
      </c>
      <c r="O48" s="16"/>
      <c r="P48" s="16"/>
      <c r="Q48" s="54"/>
      <c r="R48" s="13"/>
      <c r="S48" s="87"/>
      <c r="T48" s="88"/>
      <c r="U48" s="87"/>
      <c r="V48" s="89"/>
      <c r="W48" s="15"/>
      <c r="X48" s="13"/>
      <c r="Y48" s="13"/>
      <c r="Z48" s="13"/>
      <c r="BE48" s="68" t="s">
        <v>28</v>
      </c>
      <c r="BF48" s="69"/>
      <c r="BG48" s="69">
        <f>IF(BG44&lt;8000000,BG44,8000000)</f>
        <v>0</v>
      </c>
      <c r="BH48" s="72">
        <f>BF22</f>
        <v>0.15</v>
      </c>
      <c r="BI48" s="70">
        <f>BG48*BH48</f>
        <v>0</v>
      </c>
      <c r="BJ48" s="69"/>
      <c r="BK48" s="71"/>
      <c r="BL48" s="69" t="s">
        <v>28</v>
      </c>
      <c r="BM48" s="69"/>
      <c r="BN48" s="69">
        <f>IF(BN44&lt;8000000,BN44,8000000)</f>
        <v>0</v>
      </c>
      <c r="BO48" s="72">
        <f>BM22</f>
        <v>0.15</v>
      </c>
      <c r="BP48" s="70">
        <f>BN48*BO48</f>
        <v>0</v>
      </c>
      <c r="BQ48" s="69"/>
      <c r="BR48" s="71"/>
    </row>
    <row r="49" spans="1:70" ht="18" customHeight="1" x14ac:dyDescent="0.5">
      <c r="A49" s="13"/>
      <c r="B49" s="13"/>
      <c r="C49" s="94" t="s">
        <v>49</v>
      </c>
      <c r="D49" s="136"/>
      <c r="E49" s="136"/>
      <c r="F49" s="136"/>
      <c r="G49" s="136"/>
      <c r="H49" s="38"/>
      <c r="I49" s="38"/>
      <c r="J49" s="38"/>
      <c r="K49" s="38"/>
      <c r="L49" s="38"/>
      <c r="M49" s="38"/>
      <c r="N49" s="93">
        <f t="shared" si="19"/>
        <v>0</v>
      </c>
      <c r="O49" s="16" t="s">
        <v>88</v>
      </c>
      <c r="P49" s="16"/>
      <c r="Q49" s="54"/>
      <c r="R49" s="13"/>
      <c r="S49" s="13"/>
      <c r="T49" s="13"/>
      <c r="U49" s="13"/>
      <c r="V49" s="13"/>
      <c r="W49" s="13"/>
      <c r="X49" s="13"/>
      <c r="Y49" s="13"/>
      <c r="Z49" s="13"/>
      <c r="AA49" s="114">
        <f t="shared" ref="AA49:AF49" ca="1" si="21">IF(D111=TRUE,D99+D97,0)</f>
        <v>138000.00250339508</v>
      </c>
      <c r="AB49" s="114">
        <f t="shared" si="21"/>
        <v>0</v>
      </c>
      <c r="AC49" s="114">
        <f t="shared" si="21"/>
        <v>0</v>
      </c>
      <c r="AD49" s="114">
        <f t="shared" si="21"/>
        <v>0</v>
      </c>
      <c r="AE49" s="114">
        <f t="shared" si="21"/>
        <v>0</v>
      </c>
      <c r="AF49" s="114">
        <f t="shared" si="21"/>
        <v>0</v>
      </c>
      <c r="AG49" s="114">
        <f>IF(J111=TRUE,J99,0)</f>
        <v>0</v>
      </c>
      <c r="AH49" s="114">
        <f>IF(K111=TRUE,K99,0)</f>
        <v>0</v>
      </c>
      <c r="AI49" s="114">
        <f>IF(L111=TRUE,L99,0)</f>
        <v>0</v>
      </c>
      <c r="AJ49" s="114">
        <f>IF(M111=TRUE,M99,0)</f>
        <v>0</v>
      </c>
      <c r="BE49" s="68"/>
      <c r="BF49" s="69"/>
      <c r="BG49" s="69">
        <f>IF(BG44-8000000&lt;0,0,INT((BG44-8000000)/1000)*1000)</f>
        <v>0</v>
      </c>
      <c r="BH49" s="72">
        <f>BF24</f>
        <v>0.23899999999999999</v>
      </c>
      <c r="BI49" s="70">
        <f>BG49*BH49</f>
        <v>0</v>
      </c>
      <c r="BJ49" s="69"/>
      <c r="BK49" s="71"/>
      <c r="BL49" s="69"/>
      <c r="BM49" s="69"/>
      <c r="BN49" s="69">
        <f>IF(BN44-8000000&lt;0,0,INT((BN44-8000000)/1000)*1000)</f>
        <v>0</v>
      </c>
      <c r="BO49" s="72">
        <f>BM24</f>
        <v>0.23899999999999999</v>
      </c>
      <c r="BP49" s="70">
        <f>BN49*BO49</f>
        <v>0</v>
      </c>
      <c r="BQ49" s="69"/>
      <c r="BR49" s="71"/>
    </row>
    <row r="50" spans="1:70" ht="18" customHeight="1" x14ac:dyDescent="0.5">
      <c r="A50" s="13"/>
      <c r="B50" s="13"/>
      <c r="C50" s="94" t="s">
        <v>52</v>
      </c>
      <c r="D50" s="38">
        <f ca="1">INT(D47*0.1/100)*100</f>
        <v>1791200</v>
      </c>
      <c r="E50" s="38">
        <f ca="1">INT(E47*0.1/100)*100</f>
        <v>0</v>
      </c>
      <c r="F50" s="38">
        <f ca="1">INT(F47*0.1/100)*100</f>
        <v>0</v>
      </c>
      <c r="G50" s="38">
        <f ca="1">INT(G47*0.1/100)*100</f>
        <v>0</v>
      </c>
      <c r="H50" s="38">
        <f t="shared" ref="H50:M50" si="22">H47*0.1</f>
        <v>0</v>
      </c>
      <c r="I50" s="38">
        <f t="shared" si="22"/>
        <v>0</v>
      </c>
      <c r="J50" s="38">
        <f t="shared" si="22"/>
        <v>0</v>
      </c>
      <c r="K50" s="38">
        <f t="shared" si="22"/>
        <v>0</v>
      </c>
      <c r="L50" s="38">
        <f t="shared" si="22"/>
        <v>0</v>
      </c>
      <c r="M50" s="38">
        <f t="shared" si="22"/>
        <v>0</v>
      </c>
      <c r="N50" s="93">
        <f t="shared" ca="1" si="19"/>
        <v>1791200</v>
      </c>
      <c r="O50" s="16"/>
      <c r="P50" s="16"/>
      <c r="Q50" s="54"/>
      <c r="R50" s="13"/>
      <c r="S50" s="13"/>
      <c r="T50" s="13"/>
      <c r="U50" s="13"/>
      <c r="V50" s="13"/>
      <c r="W50" s="13"/>
      <c r="X50" s="13"/>
      <c r="Y50" s="13"/>
      <c r="Z50" s="13"/>
      <c r="BE50" s="68"/>
      <c r="BF50" s="69"/>
      <c r="BG50" s="69"/>
      <c r="BH50" s="72"/>
      <c r="BI50" s="70"/>
      <c r="BJ50" s="69"/>
      <c r="BK50" s="71"/>
      <c r="BL50" s="69"/>
      <c r="BM50" s="69"/>
      <c r="BN50" s="69"/>
      <c r="BO50" s="72"/>
      <c r="BP50" s="70"/>
      <c r="BQ50" s="69"/>
      <c r="BR50" s="71"/>
    </row>
    <row r="51" spans="1:70" ht="18" customHeight="1" x14ac:dyDescent="0.5">
      <c r="A51" s="13"/>
      <c r="B51" s="13"/>
      <c r="C51" s="94" t="s">
        <v>53</v>
      </c>
      <c r="D51" s="38">
        <f>IF((D33+$P$47-S47)*$R$47&gt;=0,(D33+$P$47-S47)*$R$47,0)</f>
        <v>237500</v>
      </c>
      <c r="E51" s="38">
        <f>IF((E33+$U$19-X47)*$W$19&gt;=0,(E33+$U$19-X47)*$W$19,0)</f>
        <v>0</v>
      </c>
      <c r="F51" s="38">
        <v>0</v>
      </c>
      <c r="G51" s="38">
        <v>0</v>
      </c>
      <c r="H51" s="136"/>
      <c r="I51" s="136"/>
      <c r="J51" s="136"/>
      <c r="K51" s="136"/>
      <c r="L51" s="136"/>
      <c r="M51" s="139"/>
      <c r="N51" s="93">
        <f t="shared" si="19"/>
        <v>237500</v>
      </c>
      <c r="O51" s="16"/>
      <c r="P51" s="16"/>
      <c r="Q51" s="54"/>
      <c r="R51" s="13"/>
      <c r="S51" s="13"/>
      <c r="T51" s="13"/>
      <c r="U51" s="13"/>
      <c r="V51" s="13"/>
      <c r="W51" s="13"/>
      <c r="X51" s="13"/>
      <c r="Y51" s="13"/>
      <c r="Z51" s="13"/>
      <c r="BE51" s="68"/>
      <c r="BF51" s="69"/>
      <c r="BG51" s="69"/>
      <c r="BH51" s="72"/>
      <c r="BI51" s="70"/>
      <c r="BJ51" s="69"/>
      <c r="BK51" s="71"/>
      <c r="BL51" s="69"/>
      <c r="BM51" s="69"/>
      <c r="BN51" s="69"/>
      <c r="BO51" s="72"/>
      <c r="BP51" s="70"/>
      <c r="BQ51" s="69"/>
      <c r="BR51" s="71"/>
    </row>
    <row r="52" spans="1:70" ht="18" customHeight="1" x14ac:dyDescent="0.5">
      <c r="A52" s="13"/>
      <c r="B52" s="13"/>
      <c r="C52" s="134" t="s">
        <v>54</v>
      </c>
      <c r="D52" s="38">
        <f ca="1">D48-D49+D50+D51</f>
        <v>6495500</v>
      </c>
      <c r="E52" s="38">
        <f ca="1">E48-E49+E50+E51</f>
        <v>0</v>
      </c>
      <c r="F52" s="38">
        <f ca="1">F48-F49+F50+F51</f>
        <v>0</v>
      </c>
      <c r="G52" s="38">
        <f ca="1">G48-G49+G50+G51</f>
        <v>0</v>
      </c>
      <c r="H52" s="136">
        <v>0</v>
      </c>
      <c r="I52" s="136">
        <v>0</v>
      </c>
      <c r="J52" s="136">
        <v>0</v>
      </c>
      <c r="K52" s="136">
        <v>0</v>
      </c>
      <c r="L52" s="136">
        <v>0</v>
      </c>
      <c r="M52" s="136">
        <v>0</v>
      </c>
      <c r="N52" s="93">
        <f t="shared" ca="1" si="19"/>
        <v>6495500</v>
      </c>
      <c r="O52" s="16"/>
      <c r="P52" s="16"/>
      <c r="Q52" s="54"/>
      <c r="R52" s="13"/>
      <c r="S52" s="13"/>
      <c r="T52" s="13"/>
      <c r="U52" s="13"/>
      <c r="V52" s="13"/>
      <c r="W52" s="13"/>
      <c r="X52" s="13"/>
      <c r="Y52" s="13"/>
      <c r="Z52" s="13"/>
      <c r="BE52" s="68" t="s">
        <v>89</v>
      </c>
      <c r="BF52" s="69"/>
      <c r="BG52" s="69"/>
      <c r="BH52" s="72"/>
      <c r="BI52" s="70">
        <f>SUM(BI48:BI49)</f>
        <v>0</v>
      </c>
      <c r="BJ52" s="69"/>
      <c r="BK52" s="71"/>
      <c r="BL52" s="69" t="s">
        <v>89</v>
      </c>
      <c r="BM52" s="69"/>
      <c r="BN52" s="69"/>
      <c r="BO52" s="72"/>
      <c r="BP52" s="70">
        <f>SUM(BP48:BP49)</f>
        <v>0</v>
      </c>
      <c r="BQ52" s="69"/>
      <c r="BR52" s="71"/>
    </row>
    <row r="53" spans="1:70" ht="18" customHeight="1" x14ac:dyDescent="0.5">
      <c r="A53" s="13"/>
      <c r="B53" s="13"/>
      <c r="C53" s="108" t="s">
        <v>90</v>
      </c>
      <c r="D53" s="109">
        <f t="shared" ref="D53:I53" ca="1" si="23">IF(D111=TRUE,D99+D97,0)</f>
        <v>138000.00250339508</v>
      </c>
      <c r="E53" s="109">
        <f t="shared" si="23"/>
        <v>0</v>
      </c>
      <c r="F53" s="109">
        <f t="shared" si="23"/>
        <v>0</v>
      </c>
      <c r="G53" s="109">
        <f t="shared" si="23"/>
        <v>0</v>
      </c>
      <c r="H53" s="109">
        <f t="shared" si="23"/>
        <v>0</v>
      </c>
      <c r="I53" s="109">
        <f t="shared" si="23"/>
        <v>0</v>
      </c>
      <c r="J53" s="109">
        <f>IF(J111=TRUE,J99,0)</f>
        <v>0</v>
      </c>
      <c r="K53" s="109">
        <f>IF(K111=TRUE,K99,0)</f>
        <v>0</v>
      </c>
      <c r="L53" s="109">
        <f>IF(L111=TRUE,L99,0)</f>
        <v>0</v>
      </c>
      <c r="M53" s="109">
        <f>IF(M111=TRUE,M99,0)</f>
        <v>0</v>
      </c>
      <c r="N53" s="93">
        <f t="shared" ca="1" si="19"/>
        <v>138000.00250339508</v>
      </c>
      <c r="O53" s="13"/>
      <c r="P53" s="16"/>
      <c r="Q53" s="57"/>
      <c r="R53" s="13"/>
      <c r="S53" s="15"/>
      <c r="T53" s="13"/>
      <c r="U53" s="13"/>
      <c r="V53" s="13"/>
      <c r="W53" s="13"/>
      <c r="X53" s="13"/>
      <c r="Y53" s="13"/>
      <c r="Z53" s="13"/>
      <c r="BE53" s="68"/>
      <c r="BF53" s="69"/>
      <c r="BG53" s="69"/>
      <c r="BH53" s="72"/>
      <c r="BI53" s="70">
        <f>INT(BI52/1000)*1000</f>
        <v>0</v>
      </c>
      <c r="BJ53" s="69"/>
      <c r="BK53" s="71"/>
      <c r="BL53" s="69"/>
      <c r="BM53" s="69"/>
      <c r="BN53" s="69"/>
      <c r="BO53" s="72"/>
      <c r="BP53" s="70">
        <f>INT(BP52/1000)*1000</f>
        <v>0</v>
      </c>
      <c r="BQ53" s="69"/>
      <c r="BR53" s="71"/>
    </row>
    <row r="54" spans="1:70" ht="18" customHeight="1" x14ac:dyDescent="0.5">
      <c r="A54" s="13"/>
      <c r="B54" s="13"/>
      <c r="C54" s="108" t="s">
        <v>91</v>
      </c>
      <c r="D54" s="109">
        <f ca="1">IF(D111=TRUE,D109+D96,0)</f>
        <v>219599.99799728394</v>
      </c>
      <c r="E54" s="109">
        <f>IF(E111=TRUE,E109+E96,0)</f>
        <v>0</v>
      </c>
      <c r="F54" s="109">
        <f>IF(F111=TRUE,F109+F96,0)</f>
        <v>0</v>
      </c>
      <c r="G54" s="109">
        <f>IF(G111=TRUE,G109+G96,0)</f>
        <v>0</v>
      </c>
      <c r="H54" s="109">
        <f t="shared" ref="H54:M54" si="24">IF(H111=TRUE,H109,0)</f>
        <v>0</v>
      </c>
      <c r="I54" s="109">
        <f t="shared" si="24"/>
        <v>0</v>
      </c>
      <c r="J54" s="109">
        <f t="shared" si="24"/>
        <v>0</v>
      </c>
      <c r="K54" s="109">
        <f t="shared" si="24"/>
        <v>0</v>
      </c>
      <c r="L54" s="109">
        <f t="shared" si="24"/>
        <v>0</v>
      </c>
      <c r="M54" s="109">
        <f t="shared" si="24"/>
        <v>0</v>
      </c>
      <c r="N54" s="93">
        <f t="shared" ca="1" si="19"/>
        <v>219599.99799728394</v>
      </c>
      <c r="O54" s="73"/>
      <c r="P54" s="73"/>
      <c r="Q54" s="57"/>
      <c r="R54" s="13"/>
      <c r="S54" s="13"/>
      <c r="T54" s="13"/>
      <c r="U54" s="13"/>
      <c r="V54" s="13"/>
      <c r="W54" s="13"/>
      <c r="X54" s="13"/>
      <c r="Y54" s="13"/>
      <c r="Z54" s="13"/>
      <c r="AA54" s="1">
        <f t="shared" ref="AA54:AG54" ca="1" si="25">IF(D111=TRUE,IF($D$114=1,(D53+D54+((AA32+AA33+AA34+AA35)*$O$10)),(D54+((AA32+AA33+AA34+AA35)*$O$10))),0)</f>
        <v>366240.00050067902</v>
      </c>
      <c r="AB54" s="1">
        <f t="shared" si="25"/>
        <v>0</v>
      </c>
      <c r="AC54" s="1">
        <f t="shared" si="25"/>
        <v>0</v>
      </c>
      <c r="AD54" s="1">
        <f t="shared" si="25"/>
        <v>0</v>
      </c>
      <c r="AE54" s="1">
        <f t="shared" si="25"/>
        <v>0</v>
      </c>
      <c r="AF54" s="1">
        <f t="shared" si="25"/>
        <v>0</v>
      </c>
      <c r="AG54" s="1">
        <f t="shared" si="25"/>
        <v>0</v>
      </c>
      <c r="AH54" s="1">
        <f>IF(K116=TRUE,K104+K102,0)</f>
        <v>0</v>
      </c>
      <c r="AI54" s="1">
        <f>IF(L116=TRUE,L104+L102,0)</f>
        <v>0</v>
      </c>
      <c r="AJ54" s="1">
        <f>IF(M116=TRUE,M104+M102,0)</f>
        <v>0</v>
      </c>
      <c r="BE54" s="68"/>
      <c r="BF54" s="69"/>
      <c r="BG54" s="69"/>
      <c r="BH54" s="72"/>
      <c r="BI54" s="70"/>
      <c r="BJ54" s="69"/>
      <c r="BK54" s="71"/>
      <c r="BL54" s="69"/>
      <c r="BM54" s="69"/>
      <c r="BN54" s="69"/>
      <c r="BO54" s="72"/>
      <c r="BP54" s="70"/>
      <c r="BQ54" s="69"/>
      <c r="BR54" s="71"/>
    </row>
    <row r="55" spans="1:70" ht="18" customHeight="1" x14ac:dyDescent="0.5">
      <c r="A55" s="13"/>
      <c r="B55" s="13"/>
      <c r="C55" s="108" t="s">
        <v>60</v>
      </c>
      <c r="D55" s="109">
        <f t="shared" ref="D55:M55" ca="1" si="26">D53+D54</f>
        <v>357600.00050067902</v>
      </c>
      <c r="E55" s="109">
        <f t="shared" si="26"/>
        <v>0</v>
      </c>
      <c r="F55" s="109">
        <f t="shared" si="26"/>
        <v>0</v>
      </c>
      <c r="G55" s="109">
        <f t="shared" si="26"/>
        <v>0</v>
      </c>
      <c r="H55" s="109">
        <f t="shared" si="26"/>
        <v>0</v>
      </c>
      <c r="I55" s="109">
        <f t="shared" si="26"/>
        <v>0</v>
      </c>
      <c r="J55" s="109">
        <f t="shared" si="26"/>
        <v>0</v>
      </c>
      <c r="K55" s="109">
        <f t="shared" si="26"/>
        <v>0</v>
      </c>
      <c r="L55" s="109">
        <f t="shared" si="26"/>
        <v>0</v>
      </c>
      <c r="M55" s="109">
        <f t="shared" si="26"/>
        <v>0</v>
      </c>
      <c r="N55" s="93">
        <f t="shared" ca="1" si="19"/>
        <v>357600.00050067902</v>
      </c>
      <c r="O55" s="16"/>
      <c r="P55" s="74"/>
      <c r="Q55" s="54"/>
      <c r="R55" s="13"/>
      <c r="S55" s="13"/>
      <c r="T55" s="13"/>
      <c r="U55" s="13"/>
      <c r="V55" s="13"/>
      <c r="W55" s="13"/>
      <c r="X55" s="13"/>
      <c r="Y55" s="13"/>
      <c r="Z55" s="13"/>
      <c r="BE55" s="68"/>
      <c r="BF55" s="69"/>
      <c r="BG55" s="69" t="s">
        <v>92</v>
      </c>
      <c r="BH55" s="72"/>
      <c r="BI55" s="70"/>
      <c r="BJ55" s="69"/>
      <c r="BK55" s="71"/>
      <c r="BL55" s="69"/>
      <c r="BM55" s="69"/>
      <c r="BN55" s="69" t="s">
        <v>92</v>
      </c>
      <c r="BO55" s="72"/>
      <c r="BP55" s="70"/>
      <c r="BQ55" s="69"/>
      <c r="BR55" s="71"/>
    </row>
    <row r="56" spans="1:70" ht="30" customHeight="1" x14ac:dyDescent="0.5">
      <c r="A56" s="14"/>
      <c r="C56" s="108" t="s">
        <v>62</v>
      </c>
      <c r="D56" s="109">
        <f t="shared" ref="D56:M56" ca="1" si="27">D52+D55</f>
        <v>6853100.000500679</v>
      </c>
      <c r="E56" s="109">
        <f t="shared" ca="1" si="27"/>
        <v>0</v>
      </c>
      <c r="F56" s="109">
        <f t="shared" ca="1" si="27"/>
        <v>0</v>
      </c>
      <c r="G56" s="109">
        <f t="shared" ca="1" si="27"/>
        <v>0</v>
      </c>
      <c r="H56" s="109">
        <f t="shared" si="27"/>
        <v>0</v>
      </c>
      <c r="I56" s="109">
        <f t="shared" si="27"/>
        <v>0</v>
      </c>
      <c r="J56" s="109">
        <f t="shared" si="27"/>
        <v>0</v>
      </c>
      <c r="K56" s="109">
        <f t="shared" si="27"/>
        <v>0</v>
      </c>
      <c r="L56" s="109">
        <f t="shared" si="27"/>
        <v>0</v>
      </c>
      <c r="M56" s="109">
        <f t="shared" si="27"/>
        <v>0</v>
      </c>
      <c r="N56" s="93">
        <f t="shared" ca="1" si="19"/>
        <v>6853100.000500679</v>
      </c>
      <c r="O56" s="75"/>
      <c r="P56" s="75"/>
      <c r="Q56" s="76"/>
      <c r="BE56" s="68"/>
      <c r="BF56" s="69"/>
      <c r="BG56" s="69"/>
      <c r="BH56" s="72"/>
      <c r="BI56" s="70"/>
      <c r="BJ56" s="69"/>
      <c r="BK56" s="71"/>
      <c r="BL56" s="69"/>
      <c r="BM56" s="69"/>
      <c r="BN56" s="69"/>
      <c r="BO56" s="72"/>
      <c r="BP56" s="70"/>
      <c r="BQ56" s="69"/>
      <c r="BR56" s="71"/>
    </row>
    <row r="57" spans="1:70" s="13" customFormat="1" ht="18" customHeight="1" x14ac:dyDescent="0.5">
      <c r="B57" s="14"/>
      <c r="C57" s="95" t="s">
        <v>93</v>
      </c>
      <c r="D57" s="52">
        <f ca="1">IF(D33&lt;&gt;0,SUM(D33:D38)+D41+D43-D56+P47+F71,SUM(D33:D38)+D41+D43-D56+F71)</f>
        <v>15696899.999499321</v>
      </c>
      <c r="E57" s="52">
        <f ca="1">IF(E33&lt;&gt;0,SUM(E33:E38)+E41+E43-E56+U47,SUM(E33:E38)+E41+E43-E56)</f>
        <v>0</v>
      </c>
      <c r="F57" s="52">
        <f ca="1">SUM(F33:F38)+F41+F43-F56</f>
        <v>0</v>
      </c>
      <c r="G57" s="52">
        <f ca="1">SUM(G33:G38)+G41+G43-G56</f>
        <v>0</v>
      </c>
      <c r="H57" s="52">
        <f t="shared" ref="H57:M57" si="28">SUM(H34:H38)+H43-H56</f>
        <v>0</v>
      </c>
      <c r="I57" s="52">
        <f t="shared" si="28"/>
        <v>0</v>
      </c>
      <c r="J57" s="52">
        <f t="shared" si="28"/>
        <v>0</v>
      </c>
      <c r="K57" s="52">
        <f t="shared" si="28"/>
        <v>0</v>
      </c>
      <c r="L57" s="52">
        <f t="shared" si="28"/>
        <v>0</v>
      </c>
      <c r="M57" s="52">
        <f t="shared" si="28"/>
        <v>0</v>
      </c>
      <c r="N57" s="144">
        <f t="shared" ca="1" si="19"/>
        <v>15696899.999499321</v>
      </c>
      <c r="O57" s="16"/>
      <c r="P57" s="16"/>
      <c r="Q57" s="54"/>
      <c r="BE57" s="362"/>
      <c r="BF57" s="363"/>
      <c r="BG57" s="363"/>
      <c r="BH57" s="364"/>
      <c r="BI57" s="365"/>
      <c r="BJ57" s="363"/>
      <c r="BK57" s="366"/>
      <c r="BL57" s="363"/>
      <c r="BM57" s="363"/>
      <c r="BN57" s="363"/>
      <c r="BO57" s="364"/>
      <c r="BP57" s="365"/>
      <c r="BQ57" s="363"/>
      <c r="BR57" s="366"/>
    </row>
    <row r="58" spans="1:70" s="13" customFormat="1" ht="18" customHeight="1" x14ac:dyDescent="0.5">
      <c r="C58" s="96" t="s">
        <v>65</v>
      </c>
      <c r="D58" s="53">
        <f ca="1">AA54</f>
        <v>366240.00050067902</v>
      </c>
      <c r="E58" s="53">
        <f>AB54</f>
        <v>0</v>
      </c>
      <c r="F58" s="53">
        <f>AC54</f>
        <v>0</v>
      </c>
      <c r="G58" s="53">
        <f>AD54</f>
        <v>0</v>
      </c>
      <c r="H58" s="53">
        <f t="shared" ref="H58:M58" si="29">IF(H101=TRUE,H55+(SUM(H34:H37)*10000*$O$10)/10000,0)</f>
        <v>0</v>
      </c>
      <c r="I58" s="53">
        <f t="shared" si="29"/>
        <v>0</v>
      </c>
      <c r="J58" s="53">
        <f t="shared" si="29"/>
        <v>0</v>
      </c>
      <c r="K58" s="53">
        <f t="shared" si="29"/>
        <v>0</v>
      </c>
      <c r="L58" s="53">
        <f t="shared" si="29"/>
        <v>0</v>
      </c>
      <c r="M58" s="53">
        <f t="shared" si="29"/>
        <v>0</v>
      </c>
      <c r="N58" s="92">
        <f t="shared" ca="1" si="19"/>
        <v>366240.00050067902</v>
      </c>
      <c r="O58" s="16"/>
      <c r="P58" s="16"/>
      <c r="Q58" s="54"/>
      <c r="BE58" s="362"/>
      <c r="BF58" s="363"/>
      <c r="BG58" s="363"/>
      <c r="BH58" s="364"/>
      <c r="BI58" s="365"/>
      <c r="BJ58" s="363"/>
      <c r="BK58" s="366"/>
      <c r="BL58" s="363"/>
      <c r="BM58" s="363"/>
      <c r="BN58" s="363"/>
      <c r="BO58" s="364"/>
      <c r="BP58" s="365"/>
      <c r="BQ58" s="363"/>
      <c r="BR58" s="366"/>
    </row>
    <row r="59" spans="1:70" s="13" customFormat="1" ht="18" customHeight="1" thickBot="1" x14ac:dyDescent="0.55000000000000004">
      <c r="C59" s="97" t="s">
        <v>67</v>
      </c>
      <c r="D59" s="98">
        <f t="shared" ref="D59:M59" ca="1" si="30">D55+D58</f>
        <v>723840.00100135803</v>
      </c>
      <c r="E59" s="98">
        <f t="shared" si="30"/>
        <v>0</v>
      </c>
      <c r="F59" s="98">
        <f t="shared" si="30"/>
        <v>0</v>
      </c>
      <c r="G59" s="98">
        <f t="shared" si="30"/>
        <v>0</v>
      </c>
      <c r="H59" s="98">
        <f t="shared" si="30"/>
        <v>0</v>
      </c>
      <c r="I59" s="98">
        <f t="shared" si="30"/>
        <v>0</v>
      </c>
      <c r="J59" s="98">
        <f t="shared" si="30"/>
        <v>0</v>
      </c>
      <c r="K59" s="98">
        <f t="shared" si="30"/>
        <v>0</v>
      </c>
      <c r="L59" s="98">
        <f t="shared" si="30"/>
        <v>0</v>
      </c>
      <c r="M59" s="98">
        <f t="shared" si="30"/>
        <v>0</v>
      </c>
      <c r="N59" s="145">
        <f t="shared" ca="1" si="19"/>
        <v>723840.00100135803</v>
      </c>
      <c r="O59" s="16"/>
      <c r="P59" s="16"/>
      <c r="Q59" s="54"/>
      <c r="BE59" s="362"/>
      <c r="BF59" s="363"/>
      <c r="BG59" s="363"/>
      <c r="BH59" s="364"/>
      <c r="BI59" s="365"/>
      <c r="BJ59" s="363"/>
      <c r="BK59" s="366"/>
      <c r="BL59" s="363"/>
      <c r="BM59" s="363"/>
      <c r="BN59" s="363"/>
      <c r="BO59" s="364"/>
      <c r="BP59" s="365"/>
      <c r="BQ59" s="363"/>
      <c r="BR59" s="366"/>
    </row>
    <row r="60" spans="1:70" s="13" customFormat="1" ht="25.5" customHeight="1" x14ac:dyDescent="0.5">
      <c r="C60" s="16" t="s">
        <v>94</v>
      </c>
      <c r="D60" s="1"/>
      <c r="E60" s="1"/>
      <c r="F60" s="1"/>
      <c r="G60" s="1"/>
      <c r="H60" s="1"/>
      <c r="I60" s="1"/>
      <c r="J60" s="1"/>
      <c r="K60" s="1"/>
      <c r="L60" s="1"/>
      <c r="M60" s="1"/>
      <c r="N60" s="1"/>
      <c r="O60" s="16"/>
      <c r="P60" s="16"/>
      <c r="Q60" s="54"/>
      <c r="BE60" s="362"/>
      <c r="BF60" s="363"/>
      <c r="BG60" s="363"/>
      <c r="BH60" s="364"/>
      <c r="BI60" s="365"/>
      <c r="BJ60" s="363"/>
      <c r="BK60" s="366"/>
      <c r="BL60" s="363"/>
      <c r="BM60" s="363"/>
      <c r="BN60" s="363"/>
      <c r="BO60" s="364"/>
      <c r="BP60" s="365"/>
      <c r="BQ60" s="363"/>
      <c r="BR60" s="366"/>
    </row>
    <row r="61" spans="1:70" s="13" customFormat="1" ht="18" customHeight="1" x14ac:dyDescent="0.5">
      <c r="C61" s="367"/>
      <c r="D61" s="371" t="s">
        <v>95</v>
      </c>
      <c r="E61" s="371" t="s">
        <v>96</v>
      </c>
      <c r="F61" s="371" t="s">
        <v>97</v>
      </c>
      <c r="G61" s="371" t="s">
        <v>98</v>
      </c>
      <c r="O61" s="16"/>
      <c r="P61" s="16"/>
      <c r="Q61" s="54"/>
      <c r="BE61" s="362"/>
      <c r="BF61" s="363"/>
      <c r="BG61" s="363"/>
      <c r="BH61" s="364"/>
      <c r="BI61" s="365"/>
      <c r="BJ61" s="363"/>
      <c r="BK61" s="366"/>
      <c r="BL61" s="363"/>
      <c r="BM61" s="363"/>
      <c r="BN61" s="363"/>
      <c r="BO61" s="364"/>
      <c r="BP61" s="365"/>
      <c r="BQ61" s="363"/>
      <c r="BR61" s="366"/>
    </row>
    <row r="62" spans="1:70" s="13" customFormat="1" ht="18" customHeight="1" x14ac:dyDescent="0.5">
      <c r="C62" s="380" t="s">
        <v>99</v>
      </c>
      <c r="D62" s="368"/>
      <c r="E62" s="368"/>
      <c r="F62" s="368"/>
      <c r="G62" s="368"/>
      <c r="N62" s="14" t="s">
        <v>100</v>
      </c>
      <c r="O62" s="16"/>
      <c r="P62" s="16"/>
      <c r="Q62" s="54"/>
      <c r="BE62" s="362"/>
      <c r="BF62" s="363"/>
      <c r="BG62" s="363"/>
      <c r="BH62" s="364"/>
      <c r="BI62" s="365"/>
      <c r="BJ62" s="363"/>
      <c r="BK62" s="366"/>
      <c r="BL62" s="363"/>
      <c r="BM62" s="363"/>
      <c r="BN62" s="363"/>
      <c r="BO62" s="364"/>
      <c r="BP62" s="365"/>
      <c r="BQ62" s="363"/>
      <c r="BR62" s="366"/>
    </row>
    <row r="63" spans="1:70" s="13" customFormat="1" ht="18" customHeight="1" x14ac:dyDescent="0.5">
      <c r="C63" s="380" t="s">
        <v>101</v>
      </c>
      <c r="D63" s="368"/>
      <c r="E63" s="368"/>
      <c r="F63" s="368"/>
      <c r="G63" s="368"/>
      <c r="N63" s="14" t="s">
        <v>102</v>
      </c>
      <c r="O63" s="16"/>
      <c r="P63" s="16"/>
      <c r="Q63" s="54"/>
      <c r="BE63" s="362"/>
      <c r="BF63" s="363"/>
      <c r="BG63" s="363"/>
      <c r="BH63" s="364"/>
      <c r="BI63" s="365"/>
      <c r="BJ63" s="363"/>
      <c r="BK63" s="366"/>
      <c r="BL63" s="363"/>
      <c r="BM63" s="363"/>
      <c r="BN63" s="363"/>
      <c r="BO63" s="364"/>
      <c r="BP63" s="365"/>
      <c r="BQ63" s="363"/>
      <c r="BR63" s="366"/>
    </row>
    <row r="64" spans="1:70" s="13" customFormat="1" ht="18" customHeight="1" x14ac:dyDescent="0.5">
      <c r="C64" s="380" t="s">
        <v>103</v>
      </c>
      <c r="D64" s="368"/>
      <c r="E64" s="368"/>
      <c r="F64" s="368"/>
      <c r="G64" s="368"/>
      <c r="N64" s="14" t="s">
        <v>104</v>
      </c>
      <c r="O64" s="16"/>
      <c r="P64" s="16"/>
      <c r="Q64" s="54"/>
      <c r="BE64" s="362"/>
      <c r="BF64" s="363"/>
      <c r="BG64" s="363"/>
      <c r="BH64" s="364"/>
      <c r="BI64" s="365"/>
      <c r="BJ64" s="363"/>
      <c r="BK64" s="366"/>
      <c r="BL64" s="363"/>
      <c r="BM64" s="363"/>
      <c r="BN64" s="363"/>
      <c r="BO64" s="364"/>
      <c r="BP64" s="365"/>
      <c r="BQ64" s="363"/>
      <c r="BR64" s="366"/>
    </row>
    <row r="65" spans="3:70" ht="18" customHeight="1" x14ac:dyDescent="0.5">
      <c r="C65" s="380" t="s">
        <v>105</v>
      </c>
      <c r="D65" s="368"/>
      <c r="E65" s="368"/>
      <c r="F65" s="368"/>
      <c r="G65" s="368"/>
      <c r="H65" s="13"/>
      <c r="I65" s="13"/>
      <c r="J65" s="13"/>
      <c r="K65" s="13"/>
      <c r="L65" s="13"/>
      <c r="M65" s="13"/>
      <c r="N65" s="14" t="s">
        <v>104</v>
      </c>
      <c r="O65" s="75"/>
      <c r="P65" s="75"/>
      <c r="Q65" s="76"/>
      <c r="BE65" s="68"/>
      <c r="BF65" s="69"/>
      <c r="BG65" s="69"/>
      <c r="BH65" s="72"/>
      <c r="BI65" s="70"/>
      <c r="BJ65" s="69"/>
      <c r="BK65" s="71"/>
      <c r="BL65" s="69"/>
      <c r="BM65" s="69"/>
      <c r="BN65" s="69"/>
      <c r="BO65" s="72"/>
      <c r="BP65" s="70"/>
      <c r="BQ65" s="69"/>
      <c r="BR65" s="71"/>
    </row>
    <row r="66" spans="3:70" ht="20.149999999999999" customHeight="1" x14ac:dyDescent="0.5">
      <c r="C66" s="368"/>
      <c r="D66" s="368"/>
      <c r="E66" s="368"/>
      <c r="F66" s="368"/>
      <c r="G66" s="368"/>
      <c r="H66" s="13"/>
      <c r="I66" s="13"/>
      <c r="J66" s="13"/>
      <c r="K66" s="13"/>
      <c r="L66" s="13"/>
      <c r="M66" s="13"/>
      <c r="N66" s="13"/>
      <c r="O66" s="75"/>
      <c r="P66" s="75"/>
      <c r="Q66" s="76"/>
      <c r="BE66" s="68"/>
      <c r="BF66" s="69"/>
      <c r="BG66" s="69"/>
      <c r="BH66" s="72"/>
      <c r="BI66" s="70"/>
      <c r="BJ66" s="69"/>
      <c r="BK66" s="71"/>
      <c r="BL66" s="69"/>
      <c r="BM66" s="69"/>
      <c r="BN66" s="69"/>
      <c r="BO66" s="72"/>
      <c r="BP66" s="70"/>
      <c r="BQ66" s="69"/>
      <c r="BR66" s="71"/>
    </row>
    <row r="67" spans="3:70" ht="18" customHeight="1" x14ac:dyDescent="0.5">
      <c r="C67" s="368"/>
      <c r="D67" s="368"/>
      <c r="E67" s="368"/>
      <c r="F67" s="368"/>
      <c r="G67" s="368"/>
      <c r="H67" s="13"/>
      <c r="I67" s="13"/>
      <c r="J67" s="13"/>
      <c r="K67" s="13"/>
      <c r="L67" s="13"/>
      <c r="M67" s="13"/>
      <c r="N67" s="13"/>
      <c r="O67" s="75"/>
      <c r="P67" s="75"/>
      <c r="Q67" s="76"/>
      <c r="BE67" s="68"/>
      <c r="BF67" s="69"/>
      <c r="BG67" s="69"/>
      <c r="BH67" s="72"/>
      <c r="BI67" s="70"/>
      <c r="BJ67" s="69"/>
      <c r="BK67" s="71"/>
      <c r="BL67" s="69"/>
      <c r="BM67" s="69"/>
      <c r="BN67" s="69"/>
      <c r="BO67" s="72"/>
      <c r="BP67" s="70"/>
      <c r="BQ67" s="69"/>
      <c r="BR67" s="71"/>
    </row>
    <row r="68" spans="3:70" ht="25.4" customHeight="1" x14ac:dyDescent="0.5">
      <c r="C68" s="368"/>
      <c r="D68" s="368"/>
      <c r="E68" s="368"/>
      <c r="F68" s="368"/>
      <c r="G68" s="368"/>
      <c r="H68" s="13"/>
      <c r="I68" s="13"/>
      <c r="J68" s="13"/>
      <c r="K68" s="13"/>
      <c r="L68" s="13"/>
      <c r="M68" s="13"/>
      <c r="N68" s="13"/>
      <c r="O68" s="75"/>
      <c r="P68" s="75"/>
      <c r="Q68" s="76"/>
      <c r="BE68" s="68"/>
      <c r="BF68" s="69"/>
      <c r="BG68" s="69"/>
      <c r="BH68" s="72"/>
      <c r="BI68" s="70"/>
      <c r="BJ68" s="69"/>
      <c r="BK68" s="71"/>
      <c r="BL68" s="69"/>
      <c r="BM68" s="69"/>
      <c r="BN68" s="69"/>
      <c r="BO68" s="72"/>
      <c r="BP68" s="70"/>
      <c r="BQ68" s="69"/>
      <c r="BR68" s="71"/>
    </row>
    <row r="69" spans="3:70" ht="25.4" customHeight="1" x14ac:dyDescent="0.5">
      <c r="C69" s="369"/>
      <c r="D69" s="369"/>
      <c r="E69" s="369"/>
      <c r="F69" s="369"/>
      <c r="G69" s="369"/>
      <c r="O69" s="75"/>
      <c r="P69" s="75"/>
      <c r="Q69" s="76"/>
      <c r="BE69" s="68"/>
      <c r="BF69" s="69"/>
      <c r="BG69" s="69"/>
      <c r="BH69" s="72"/>
      <c r="BI69" s="70"/>
      <c r="BJ69" s="69"/>
      <c r="BK69" s="71"/>
      <c r="BL69" s="69"/>
      <c r="BM69" s="69"/>
      <c r="BN69" s="69"/>
      <c r="BO69" s="72"/>
      <c r="BP69" s="70"/>
      <c r="BQ69" s="69"/>
      <c r="BR69" s="71"/>
    </row>
    <row r="70" spans="3:70" ht="25.4" customHeight="1" x14ac:dyDescent="0.5">
      <c r="C70" s="369"/>
      <c r="D70" s="369"/>
      <c r="E70" s="369"/>
      <c r="F70" s="369"/>
      <c r="G70" s="369"/>
      <c r="O70" s="75"/>
      <c r="P70" s="75"/>
      <c r="Q70" s="76"/>
      <c r="BE70" s="68"/>
      <c r="BF70" s="69"/>
      <c r="BG70" s="69"/>
      <c r="BH70" s="72"/>
      <c r="BI70" s="70"/>
      <c r="BJ70" s="69"/>
      <c r="BK70" s="71"/>
      <c r="BL70" s="69"/>
      <c r="BM70" s="69"/>
      <c r="BN70" s="69"/>
      <c r="BO70" s="72"/>
      <c r="BP70" s="70"/>
      <c r="BQ70" s="69"/>
      <c r="BR70" s="71"/>
    </row>
    <row r="71" spans="3:70" ht="25.4" customHeight="1" x14ac:dyDescent="0.5">
      <c r="C71" s="370" t="s">
        <v>12</v>
      </c>
      <c r="D71" s="367">
        <f>SUM(D62:D70)</f>
        <v>0</v>
      </c>
      <c r="E71" s="367">
        <f>SUM(E62:E70)</f>
        <v>0</v>
      </c>
      <c r="F71" s="367">
        <f>SUM(F62:F70)</f>
        <v>0</v>
      </c>
      <c r="G71" s="367">
        <f>SUM(G62:G70)</f>
        <v>0</v>
      </c>
      <c r="O71" s="75"/>
      <c r="P71" s="75"/>
      <c r="Q71" s="76"/>
      <c r="BE71" s="68"/>
      <c r="BF71" s="69"/>
      <c r="BG71" s="69"/>
      <c r="BH71" s="72"/>
      <c r="BI71" s="70"/>
      <c r="BJ71" s="69"/>
      <c r="BK71" s="71"/>
      <c r="BL71" s="69"/>
      <c r="BM71" s="69"/>
      <c r="BN71" s="69"/>
      <c r="BO71" s="72"/>
      <c r="BP71" s="70"/>
      <c r="BQ71" s="69"/>
      <c r="BR71" s="71"/>
    </row>
    <row r="72" spans="3:70" ht="25.4" customHeight="1" x14ac:dyDescent="0.5">
      <c r="C72" s="13"/>
      <c r="D72" s="13"/>
      <c r="E72" s="372"/>
      <c r="F72" s="372"/>
      <c r="G72" s="361"/>
      <c r="O72" s="75"/>
      <c r="P72" s="75"/>
      <c r="Q72" s="76"/>
      <c r="BE72" s="68"/>
      <c r="BF72" s="69"/>
      <c r="BG72" s="69"/>
      <c r="BH72" s="72"/>
      <c r="BI72" s="70"/>
      <c r="BJ72" s="69"/>
      <c r="BK72" s="71"/>
      <c r="BL72" s="69"/>
      <c r="BM72" s="69"/>
      <c r="BN72" s="69"/>
      <c r="BO72" s="72"/>
      <c r="BP72" s="70"/>
      <c r="BQ72" s="69"/>
      <c r="BR72" s="71"/>
    </row>
    <row r="73" spans="3:70" ht="25.4" customHeight="1" x14ac:dyDescent="0.5">
      <c r="O73" s="75"/>
      <c r="P73" s="75"/>
      <c r="Q73" s="76"/>
      <c r="BE73" s="68"/>
      <c r="BF73" s="69"/>
      <c r="BG73" s="69"/>
      <c r="BH73" s="72"/>
      <c r="BI73" s="70"/>
      <c r="BJ73" s="69"/>
      <c r="BK73" s="71"/>
      <c r="BL73" s="69"/>
      <c r="BM73" s="69"/>
      <c r="BN73" s="69"/>
      <c r="BO73" s="72"/>
      <c r="BP73" s="70"/>
      <c r="BQ73" s="69"/>
      <c r="BR73" s="71"/>
    </row>
    <row r="74" spans="3:70" ht="25.4" customHeight="1" x14ac:dyDescent="0.5">
      <c r="O74" s="75"/>
      <c r="P74" s="75"/>
      <c r="Q74" s="76"/>
      <c r="BE74" s="68"/>
      <c r="BF74" s="69"/>
      <c r="BG74" s="69"/>
      <c r="BH74" s="72"/>
      <c r="BI74" s="70"/>
      <c r="BJ74" s="69"/>
      <c r="BK74" s="71"/>
      <c r="BL74" s="69"/>
      <c r="BM74" s="69"/>
      <c r="BN74" s="69"/>
      <c r="BO74" s="72"/>
      <c r="BP74" s="70"/>
      <c r="BQ74" s="69"/>
      <c r="BR74" s="71"/>
    </row>
    <row r="75" spans="3:70" ht="25.4" customHeight="1" x14ac:dyDescent="0.5">
      <c r="O75" s="75"/>
      <c r="P75" s="75"/>
      <c r="Q75" s="76"/>
      <c r="BE75" s="68"/>
      <c r="BF75" s="69"/>
      <c r="BG75" s="69"/>
      <c r="BH75" s="72"/>
      <c r="BI75" s="70"/>
      <c r="BJ75" s="69"/>
      <c r="BK75" s="71"/>
      <c r="BL75" s="69"/>
      <c r="BM75" s="69"/>
      <c r="BN75" s="69"/>
      <c r="BO75" s="72"/>
      <c r="BP75" s="70"/>
      <c r="BQ75" s="69"/>
      <c r="BR75" s="71"/>
    </row>
    <row r="76" spans="3:70" ht="25.4" customHeight="1" x14ac:dyDescent="0.5">
      <c r="O76" s="75"/>
      <c r="P76" s="75"/>
      <c r="Q76" s="76"/>
      <c r="BE76" s="68"/>
      <c r="BF76" s="69"/>
      <c r="BG76" s="69"/>
      <c r="BH76" s="72"/>
      <c r="BI76" s="70"/>
      <c r="BJ76" s="69"/>
      <c r="BK76" s="71"/>
      <c r="BL76" s="69"/>
      <c r="BM76" s="69"/>
      <c r="BN76" s="69"/>
      <c r="BO76" s="72"/>
      <c r="BP76" s="70"/>
      <c r="BQ76" s="69"/>
      <c r="BR76" s="71"/>
    </row>
    <row r="77" spans="3:70" ht="25.4" customHeight="1" x14ac:dyDescent="0.5">
      <c r="O77" s="75"/>
      <c r="P77" s="75"/>
      <c r="Q77" s="76"/>
      <c r="BE77" s="68"/>
      <c r="BF77" s="69"/>
      <c r="BG77" s="69"/>
      <c r="BH77" s="72"/>
      <c r="BI77" s="70"/>
      <c r="BJ77" s="69"/>
      <c r="BK77" s="71"/>
      <c r="BL77" s="69"/>
      <c r="BM77" s="69"/>
      <c r="BN77" s="69"/>
      <c r="BO77" s="72"/>
      <c r="BP77" s="70"/>
      <c r="BQ77" s="69"/>
      <c r="BR77" s="71"/>
    </row>
    <row r="78" spans="3:70" ht="25.4" customHeight="1" x14ac:dyDescent="0.5">
      <c r="O78" s="75"/>
      <c r="P78" s="75"/>
      <c r="Q78" s="76"/>
      <c r="BE78" s="68"/>
      <c r="BF78" s="69"/>
      <c r="BG78" s="69"/>
      <c r="BH78" s="72"/>
      <c r="BI78" s="70"/>
      <c r="BJ78" s="69"/>
      <c r="BK78" s="71"/>
      <c r="BL78" s="69"/>
      <c r="BM78" s="69"/>
      <c r="BN78" s="69"/>
      <c r="BO78" s="72"/>
      <c r="BP78" s="70"/>
      <c r="BQ78" s="69"/>
      <c r="BR78" s="71"/>
    </row>
    <row r="79" spans="3:70" ht="25.4" customHeight="1" x14ac:dyDescent="0.5">
      <c r="O79" s="75"/>
      <c r="P79" s="75"/>
      <c r="Q79" s="76"/>
      <c r="BE79" s="68"/>
      <c r="BF79" s="69"/>
      <c r="BG79" s="69"/>
      <c r="BH79" s="72"/>
      <c r="BI79" s="70"/>
      <c r="BJ79" s="69"/>
      <c r="BK79" s="71"/>
      <c r="BL79" s="69"/>
      <c r="BM79" s="69"/>
      <c r="BN79" s="69"/>
      <c r="BO79" s="72"/>
      <c r="BP79" s="70"/>
      <c r="BQ79" s="69"/>
      <c r="BR79" s="71"/>
    </row>
    <row r="80" spans="3:70" ht="25.4" customHeight="1" x14ac:dyDescent="0.5">
      <c r="D80" s="1">
        <v>1</v>
      </c>
      <c r="O80" s="75"/>
      <c r="P80" s="75"/>
      <c r="Q80" s="76"/>
      <c r="BE80" s="68"/>
      <c r="BF80" s="69"/>
      <c r="BG80" s="69"/>
      <c r="BH80" s="72"/>
      <c r="BI80" s="70"/>
      <c r="BJ80" s="69"/>
      <c r="BK80" s="71"/>
      <c r="BL80" s="69"/>
      <c r="BM80" s="69"/>
      <c r="BN80" s="69"/>
      <c r="BO80" s="72"/>
      <c r="BP80" s="70"/>
      <c r="BQ80" s="69"/>
      <c r="BR80" s="71"/>
    </row>
    <row r="81" spans="3:70" ht="25.4" customHeight="1" x14ac:dyDescent="0.5">
      <c r="O81" s="75"/>
      <c r="P81" s="75"/>
      <c r="Q81" s="76"/>
      <c r="BE81" s="68"/>
      <c r="BF81" s="69"/>
      <c r="BG81" s="69"/>
      <c r="BH81" s="72"/>
      <c r="BI81" s="70"/>
      <c r="BJ81" s="69"/>
      <c r="BK81" s="71"/>
      <c r="BL81" s="69"/>
      <c r="BM81" s="69"/>
      <c r="BN81" s="69"/>
      <c r="BO81" s="72"/>
      <c r="BP81" s="70"/>
      <c r="BQ81" s="69"/>
      <c r="BR81" s="71"/>
    </row>
    <row r="82" spans="3:70" ht="25.4" customHeight="1" x14ac:dyDescent="0.5">
      <c r="O82" s="75"/>
      <c r="P82" s="75"/>
      <c r="Q82" s="76"/>
      <c r="BE82" s="68"/>
      <c r="BF82" s="69"/>
      <c r="BG82" s="69"/>
      <c r="BH82" s="72"/>
      <c r="BI82" s="70"/>
      <c r="BJ82" s="69"/>
      <c r="BK82" s="71"/>
      <c r="BL82" s="69"/>
      <c r="BM82" s="69"/>
      <c r="BN82" s="69"/>
      <c r="BO82" s="72"/>
      <c r="BP82" s="70"/>
      <c r="BQ82" s="69"/>
      <c r="BR82" s="71"/>
    </row>
    <row r="83" spans="3:70" ht="25.4" customHeight="1" x14ac:dyDescent="0.5">
      <c r="O83" s="75"/>
      <c r="P83" s="75"/>
      <c r="Q83" s="76"/>
      <c r="BE83" s="68"/>
      <c r="BF83" s="69"/>
      <c r="BG83" s="69"/>
      <c r="BH83" s="72"/>
      <c r="BI83" s="70"/>
      <c r="BJ83" s="69"/>
      <c r="BK83" s="71"/>
      <c r="BL83" s="69"/>
      <c r="BM83" s="69"/>
      <c r="BN83" s="69"/>
      <c r="BO83" s="72"/>
      <c r="BP83" s="70"/>
      <c r="BQ83" s="69"/>
      <c r="BR83" s="71"/>
    </row>
    <row r="84" spans="3:70" ht="25.4" customHeight="1" x14ac:dyDescent="0.5">
      <c r="O84" s="75"/>
      <c r="P84" s="75"/>
      <c r="Q84" s="76"/>
      <c r="BE84" s="68"/>
      <c r="BF84" s="69"/>
      <c r="BG84" s="69"/>
      <c r="BH84" s="72"/>
      <c r="BI84" s="70"/>
      <c r="BJ84" s="69"/>
      <c r="BK84" s="71"/>
      <c r="BL84" s="69"/>
      <c r="BM84" s="69"/>
      <c r="BN84" s="69"/>
      <c r="BO84" s="72"/>
      <c r="BP84" s="70"/>
      <c r="BQ84" s="69"/>
      <c r="BR84" s="71"/>
    </row>
    <row r="85" spans="3:70" ht="25.4" customHeight="1" x14ac:dyDescent="0.5">
      <c r="O85" s="75"/>
      <c r="P85" s="75"/>
      <c r="Q85" s="76"/>
      <c r="BE85" s="68"/>
      <c r="BF85" s="69"/>
      <c r="BG85" s="69"/>
      <c r="BH85" s="72"/>
      <c r="BI85" s="70"/>
      <c r="BJ85" s="69"/>
      <c r="BK85" s="71"/>
      <c r="BL85" s="69"/>
      <c r="BM85" s="69"/>
      <c r="BN85" s="69"/>
      <c r="BO85" s="72"/>
      <c r="BP85" s="70"/>
      <c r="BQ85" s="69"/>
      <c r="BR85" s="71"/>
    </row>
    <row r="86" spans="3:70" ht="25.4" customHeight="1" x14ac:dyDescent="0.5">
      <c r="O86" s="75"/>
      <c r="P86" s="75"/>
      <c r="Q86" s="76"/>
      <c r="BE86" s="68"/>
      <c r="BF86" s="69"/>
      <c r="BG86" s="69"/>
      <c r="BH86" s="72"/>
      <c r="BI86" s="70"/>
      <c r="BJ86" s="69"/>
      <c r="BK86" s="71"/>
      <c r="BL86" s="69"/>
      <c r="BM86" s="69"/>
      <c r="BN86" s="69"/>
      <c r="BO86" s="72"/>
      <c r="BP86" s="70"/>
      <c r="BQ86" s="69"/>
      <c r="BR86" s="71"/>
    </row>
    <row r="87" spans="3:70" ht="25.4" customHeight="1" x14ac:dyDescent="0.5">
      <c r="O87" s="75"/>
      <c r="P87" s="75"/>
      <c r="Q87" s="76"/>
      <c r="BE87" s="68"/>
      <c r="BF87" s="69"/>
      <c r="BG87" s="69"/>
      <c r="BH87" s="72"/>
      <c r="BI87" s="70"/>
      <c r="BJ87" s="69"/>
      <c r="BK87" s="71"/>
      <c r="BL87" s="69"/>
      <c r="BM87" s="69"/>
      <c r="BN87" s="69"/>
      <c r="BO87" s="72"/>
      <c r="BP87" s="70"/>
      <c r="BQ87" s="69"/>
      <c r="BR87" s="71"/>
    </row>
    <row r="88" spans="3:70" ht="25.4" customHeight="1" x14ac:dyDescent="0.5">
      <c r="O88" s="75"/>
      <c r="P88" s="75"/>
      <c r="Q88" s="76"/>
      <c r="BE88" s="68"/>
      <c r="BF88" s="69"/>
      <c r="BG88" s="69"/>
      <c r="BH88" s="72"/>
      <c r="BI88" s="70"/>
      <c r="BJ88" s="69"/>
      <c r="BK88" s="71"/>
      <c r="BL88" s="69"/>
      <c r="BM88" s="69"/>
      <c r="BN88" s="69"/>
      <c r="BO88" s="72"/>
      <c r="BP88" s="70"/>
      <c r="BQ88" s="69"/>
      <c r="BR88" s="71"/>
    </row>
    <row r="89" spans="3:70" ht="25.4" customHeight="1" x14ac:dyDescent="0.5">
      <c r="O89" s="75"/>
      <c r="P89" s="75"/>
      <c r="Q89" s="76"/>
      <c r="BE89" s="68"/>
      <c r="BF89" s="69"/>
      <c r="BG89" s="69"/>
      <c r="BH89" s="72"/>
      <c r="BI89" s="70"/>
      <c r="BJ89" s="69"/>
      <c r="BK89" s="71"/>
      <c r="BL89" s="69"/>
      <c r="BM89" s="69"/>
      <c r="BN89" s="69"/>
      <c r="BO89" s="72"/>
      <c r="BP89" s="70"/>
      <c r="BQ89" s="69"/>
      <c r="BR89" s="71"/>
    </row>
    <row r="90" spans="3:70" ht="25.4" customHeight="1" x14ac:dyDescent="0.5">
      <c r="O90" s="75"/>
      <c r="P90" s="75"/>
      <c r="Q90" s="76"/>
      <c r="BE90" s="68"/>
      <c r="BF90" s="69"/>
      <c r="BG90" s="69"/>
      <c r="BH90" s="72"/>
      <c r="BI90" s="70"/>
      <c r="BJ90" s="69"/>
      <c r="BK90" s="71"/>
      <c r="BL90" s="69"/>
      <c r="BM90" s="69"/>
      <c r="BN90" s="69"/>
      <c r="BO90" s="72"/>
      <c r="BP90" s="70"/>
      <c r="BQ90" s="69"/>
      <c r="BR90" s="71"/>
    </row>
    <row r="91" spans="3:70" ht="18" customHeight="1" x14ac:dyDescent="0.5">
      <c r="O91" s="75"/>
      <c r="P91" s="17"/>
      <c r="Q91" s="76"/>
      <c r="BE91" s="68">
        <v>1</v>
      </c>
      <c r="BF91" s="69"/>
      <c r="BG91" s="69">
        <f>IF(BG44&lt;4000000,BG44,4000000)</f>
        <v>0</v>
      </c>
      <c r="BH91" s="72">
        <f>BF27</f>
        <v>3.4000000000000002E-2</v>
      </c>
      <c r="BI91" s="70">
        <f>INT((BG91*BH91)/100)*100</f>
        <v>0</v>
      </c>
      <c r="BJ91" s="69"/>
      <c r="BK91" s="71"/>
      <c r="BL91" s="69">
        <v>1</v>
      </c>
      <c r="BM91" s="69"/>
      <c r="BN91" s="69">
        <f>IF(BN44&lt;4000000,BN44,4000000)</f>
        <v>0</v>
      </c>
      <c r="BO91" s="72">
        <f>BM27</f>
        <v>3.4000000000000002E-2</v>
      </c>
      <c r="BP91" s="70">
        <f>INT((BN91*BO91)/100)*100</f>
        <v>0</v>
      </c>
      <c r="BQ91" s="69"/>
      <c r="BR91" s="71"/>
    </row>
    <row r="92" spans="3:70" ht="16.399999999999999" customHeight="1" x14ac:dyDescent="0.5">
      <c r="O92" s="211"/>
      <c r="P92" s="271"/>
      <c r="Q92" s="272"/>
      <c r="BE92" s="68">
        <v>2</v>
      </c>
      <c r="BF92" s="69"/>
      <c r="BG92" s="69">
        <f>IF((BG44-BG91)&lt;4000000,(BG44-BG91),4000000)</f>
        <v>0</v>
      </c>
      <c r="BH92" s="72">
        <f>BF28</f>
        <v>5.0999999999999997E-2</v>
      </c>
      <c r="BI92" s="70">
        <f>INT(BG92*BH92/100)*100</f>
        <v>0</v>
      </c>
      <c r="BJ92" s="69"/>
      <c r="BK92" s="71"/>
      <c r="BL92" s="69">
        <v>2</v>
      </c>
      <c r="BM92" s="69"/>
      <c r="BN92" s="69">
        <f>IF((BN44-BN91)&lt;4000000,(BN44-BN91),4000000)</f>
        <v>0</v>
      </c>
      <c r="BO92" s="72">
        <f>BM28</f>
        <v>5.0999999999999997E-2</v>
      </c>
      <c r="BP92" s="70">
        <f>INT(BN92*BO92/100)*100</f>
        <v>0</v>
      </c>
      <c r="BQ92" s="69"/>
      <c r="BR92" s="71"/>
    </row>
    <row r="93" spans="3:70" ht="16.399999999999999" customHeight="1" x14ac:dyDescent="0.5">
      <c r="O93" s="271"/>
      <c r="P93" s="271"/>
      <c r="Q93" s="270"/>
      <c r="BE93" s="68">
        <v>3</v>
      </c>
      <c r="BF93" s="69"/>
      <c r="BG93" s="69">
        <f>INT((BG44-BG91-BG92)/1000)*1000</f>
        <v>0</v>
      </c>
      <c r="BH93" s="72">
        <f>BF29</f>
        <v>6.7000000000000004E-2</v>
      </c>
      <c r="BI93" s="70">
        <f>INT(BG93*BH93/100)*100</f>
        <v>0</v>
      </c>
      <c r="BJ93" s="69"/>
      <c r="BK93" s="71"/>
      <c r="BL93" s="69">
        <v>3</v>
      </c>
      <c r="BM93" s="69"/>
      <c r="BN93" s="69">
        <f>INT((BN44-BN91-BN92)/1000)*1000</f>
        <v>0</v>
      </c>
      <c r="BO93" s="72">
        <f>BM29</f>
        <v>6.7000000000000004E-2</v>
      </c>
      <c r="BP93" s="70">
        <f>INT(BN93*BO93/100)*100</f>
        <v>0</v>
      </c>
      <c r="BQ93" s="69"/>
      <c r="BR93" s="71"/>
    </row>
    <row r="94" spans="3:70" ht="16.399999999999999" customHeight="1" x14ac:dyDescent="0.5">
      <c r="O94" s="211"/>
      <c r="P94" s="271"/>
      <c r="Q94" s="272"/>
      <c r="BE94" s="77"/>
      <c r="BF94" s="78"/>
      <c r="BG94" s="78"/>
      <c r="BH94" s="78"/>
      <c r="BI94" s="79">
        <f>SUM(BI91:BI93)</f>
        <v>0</v>
      </c>
      <c r="BJ94" s="78"/>
      <c r="BK94" s="80"/>
      <c r="BL94" s="78"/>
      <c r="BM94" s="78"/>
      <c r="BN94" s="78"/>
      <c r="BO94" s="78"/>
      <c r="BP94" s="79">
        <f>SUM(BP91:BP93)</f>
        <v>0</v>
      </c>
      <c r="BQ94" s="78"/>
      <c r="BR94" s="80"/>
    </row>
    <row r="95" spans="3:70" ht="16.399999999999999" customHeight="1" x14ac:dyDescent="0.5">
      <c r="D95" s="104"/>
      <c r="E95" s="104"/>
      <c r="F95" s="104"/>
      <c r="G95" s="104"/>
      <c r="H95" s="104"/>
      <c r="I95" s="104"/>
      <c r="J95" s="104"/>
      <c r="K95" s="104"/>
      <c r="L95" s="104"/>
      <c r="M95" s="104"/>
      <c r="O95" s="270"/>
      <c r="P95" s="270"/>
      <c r="Q95" s="270"/>
      <c r="BE95" s="77"/>
      <c r="BF95" s="78"/>
      <c r="BG95" s="78"/>
      <c r="BH95" s="78"/>
      <c r="BI95" s="79"/>
      <c r="BJ95" s="78"/>
      <c r="BK95" s="80"/>
      <c r="BL95" s="77"/>
      <c r="BM95" s="78"/>
      <c r="BN95" s="78"/>
      <c r="BO95" s="78"/>
      <c r="BP95" s="79"/>
      <c r="BQ95" s="78"/>
      <c r="BR95" s="80"/>
    </row>
    <row r="96" spans="3:70" ht="15" customHeight="1" x14ac:dyDescent="0.5">
      <c r="C96" s="280" t="s">
        <v>106</v>
      </c>
      <c r="D96" s="270">
        <f ca="1">SocialInsBPTS(D35,D32)+SocialInsBPTS(D36,D32)+SocialInsBPTS(D37,D32)</f>
        <v>0</v>
      </c>
      <c r="E96" s="270">
        <f ca="1">SocialInsBPTS(E35,E32)+SocialInsBPTS(E36,E32)+SocialInsBPTS(E37,E32)</f>
        <v>0</v>
      </c>
      <c r="F96" s="270">
        <f ca="1">SocialInsBPTS(F35,F32)+SocialInsBPTS(F36,F32)+SocialInsBPTS(F37,F32)</f>
        <v>0</v>
      </c>
      <c r="G96" s="270">
        <f ca="1">SocialInsBPTS(G35,G32)+SocialInsBPTS(G36,G32)+SocialInsBPTS(G37,G32)</f>
        <v>0</v>
      </c>
      <c r="H96" s="270">
        <f t="shared" ref="H96:M96" ca="1" si="31">SocialInsBPTS(H35*10000,H32)/10000+SocialInsBPTS(H36*10000,H32)/10000+SocialInsBPTS(H37*10000,H32)/10000</f>
        <v>0</v>
      </c>
      <c r="I96" s="270">
        <f t="shared" ca="1" si="31"/>
        <v>0</v>
      </c>
      <c r="J96" s="270">
        <f t="shared" ca="1" si="31"/>
        <v>0</v>
      </c>
      <c r="K96" s="270">
        <f t="shared" ca="1" si="31"/>
        <v>0</v>
      </c>
      <c r="L96" s="270">
        <f t="shared" ca="1" si="31"/>
        <v>0</v>
      </c>
      <c r="M96" s="270">
        <f t="shared" ca="1" si="31"/>
        <v>0</v>
      </c>
      <c r="N96" s="270"/>
      <c r="O96" s="270"/>
      <c r="P96" s="270"/>
      <c r="Q96" s="270"/>
    </row>
    <row r="97" spans="3:17" ht="15" customHeight="1" x14ac:dyDescent="0.5">
      <c r="C97" s="280" t="s">
        <v>107</v>
      </c>
      <c r="D97" s="270">
        <f ca="1">SocialInsBTS(D98,$D$32)</f>
        <v>0</v>
      </c>
      <c r="E97" s="270">
        <f ca="1">SocialInsBTS(E98,$D$32)</f>
        <v>0</v>
      </c>
      <c r="F97" s="270">
        <f ca="1">SocialInsBTS(F98,$D$32)</f>
        <v>0</v>
      </c>
      <c r="G97" s="270">
        <f ca="1">SocialInsBTS(G98,$D$32)</f>
        <v>0</v>
      </c>
      <c r="H97" s="270">
        <f t="shared" ref="H97:M97" ca="1" si="32">SocialInsBTS(H98*10000,$D$32)/10000</f>
        <v>0</v>
      </c>
      <c r="I97" s="270">
        <f t="shared" ca="1" si="32"/>
        <v>0</v>
      </c>
      <c r="J97" s="270">
        <f t="shared" ca="1" si="32"/>
        <v>0</v>
      </c>
      <c r="K97" s="270">
        <f t="shared" ca="1" si="32"/>
        <v>0</v>
      </c>
      <c r="L97" s="270">
        <f t="shared" ca="1" si="32"/>
        <v>0</v>
      </c>
      <c r="M97" s="270">
        <f t="shared" ca="1" si="32"/>
        <v>0</v>
      </c>
      <c r="N97" s="270"/>
      <c r="O97" s="270"/>
      <c r="P97" s="270"/>
      <c r="Q97" s="270"/>
    </row>
    <row r="98" spans="3:17" ht="15" customHeight="1" x14ac:dyDescent="0.5">
      <c r="C98" s="280" t="s">
        <v>108</v>
      </c>
      <c r="D98" s="270">
        <f t="shared" ref="D98:M98" si="33">D35+D36+D37</f>
        <v>0</v>
      </c>
      <c r="E98" s="270">
        <f t="shared" si="33"/>
        <v>0</v>
      </c>
      <c r="F98" s="270">
        <f t="shared" si="33"/>
        <v>0</v>
      </c>
      <c r="G98" s="270">
        <f t="shared" si="33"/>
        <v>0</v>
      </c>
      <c r="H98" s="270">
        <f t="shared" si="33"/>
        <v>0</v>
      </c>
      <c r="I98" s="270">
        <f t="shared" si="33"/>
        <v>0</v>
      </c>
      <c r="J98" s="270">
        <f t="shared" si="33"/>
        <v>0</v>
      </c>
      <c r="K98" s="270">
        <f t="shared" si="33"/>
        <v>0</v>
      </c>
      <c r="L98" s="270">
        <f t="shared" si="33"/>
        <v>0</v>
      </c>
      <c r="M98" s="270">
        <f t="shared" si="33"/>
        <v>0</v>
      </c>
      <c r="N98" s="270"/>
      <c r="O98" s="270"/>
      <c r="P98" s="270"/>
      <c r="Q98" s="270"/>
    </row>
    <row r="99" spans="3:17" ht="15" customHeight="1" x14ac:dyDescent="0.5">
      <c r="C99" s="279" t="s">
        <v>109</v>
      </c>
      <c r="D99" s="270">
        <f ca="1">health(D100/12,D32)*12</f>
        <v>138000.00250339508</v>
      </c>
      <c r="E99" s="270">
        <f ca="1">health(E100/12,E32)*12</f>
        <v>0</v>
      </c>
      <c r="F99" s="270">
        <f ca="1">health(F100/12,F32)*12</f>
        <v>0</v>
      </c>
      <c r="G99" s="270">
        <f ca="1">health(G100/12,G32)*12</f>
        <v>0</v>
      </c>
      <c r="H99" s="270">
        <f t="shared" ref="H99:M99" ca="1" si="34">health(H100/12*10000,H7)/10000*12</f>
        <v>0</v>
      </c>
      <c r="I99" s="270">
        <f t="shared" ca="1" si="34"/>
        <v>0</v>
      </c>
      <c r="J99" s="270">
        <f t="shared" ca="1" si="34"/>
        <v>0</v>
      </c>
      <c r="K99" s="270">
        <f t="shared" ca="1" si="34"/>
        <v>0</v>
      </c>
      <c r="L99" s="270">
        <f t="shared" ca="1" si="34"/>
        <v>0</v>
      </c>
      <c r="M99" s="270">
        <f t="shared" ca="1" si="34"/>
        <v>0</v>
      </c>
      <c r="N99" s="270"/>
      <c r="O99" s="270"/>
      <c r="P99" s="270"/>
      <c r="Q99" s="270"/>
    </row>
    <row r="100" spans="3:17" ht="15" customHeight="1" x14ac:dyDescent="0.55000000000000004">
      <c r="C100" s="279" t="s">
        <v>110</v>
      </c>
      <c r="D100" s="270">
        <f t="shared" ref="D100:M100" si="35">D34</f>
        <v>2400000</v>
      </c>
      <c r="E100" s="270">
        <f t="shared" si="35"/>
        <v>0</v>
      </c>
      <c r="F100" s="270">
        <f t="shared" si="35"/>
        <v>0</v>
      </c>
      <c r="G100" s="270">
        <f t="shared" si="35"/>
        <v>0</v>
      </c>
      <c r="H100" s="270">
        <f t="shared" si="35"/>
        <v>0</v>
      </c>
      <c r="I100" s="270">
        <f t="shared" si="35"/>
        <v>0</v>
      </c>
      <c r="J100" s="270">
        <f t="shared" si="35"/>
        <v>0</v>
      </c>
      <c r="K100" s="270">
        <f t="shared" si="35"/>
        <v>0</v>
      </c>
      <c r="L100" s="270">
        <f t="shared" si="35"/>
        <v>0</v>
      </c>
      <c r="M100" s="270">
        <f t="shared" si="35"/>
        <v>0</v>
      </c>
      <c r="N100" s="270"/>
      <c r="O100" s="277"/>
      <c r="P100" s="278"/>
      <c r="Q100" s="270"/>
    </row>
    <row r="101" spans="3:17" ht="15" customHeight="1" x14ac:dyDescent="0.5">
      <c r="C101" s="270"/>
      <c r="D101" s="273"/>
      <c r="E101" s="273"/>
      <c r="F101" s="273"/>
      <c r="G101" s="273"/>
      <c r="H101" s="273"/>
      <c r="I101" s="273"/>
      <c r="J101" s="273"/>
      <c r="K101" s="273"/>
      <c r="L101" s="273"/>
      <c r="M101" s="273"/>
      <c r="N101" s="270"/>
      <c r="O101" s="276"/>
      <c r="P101" s="276"/>
      <c r="Q101" s="270"/>
    </row>
    <row r="102" spans="3:17" ht="15" customHeight="1" x14ac:dyDescent="0.5">
      <c r="C102" s="270"/>
      <c r="D102" s="270"/>
      <c r="E102" s="270"/>
      <c r="F102" s="270"/>
      <c r="G102" s="270"/>
      <c r="H102" s="270">
        <f t="shared" ref="H102:M102" ca="1" si="36">health(H103/12*10000,H7)/10000*12</f>
        <v>0</v>
      </c>
      <c r="I102" s="270">
        <f t="shared" ca="1" si="36"/>
        <v>0</v>
      </c>
      <c r="J102" s="270">
        <f t="shared" ca="1" si="36"/>
        <v>0</v>
      </c>
      <c r="K102" s="270">
        <f t="shared" ca="1" si="36"/>
        <v>0</v>
      </c>
      <c r="L102" s="270">
        <f t="shared" ca="1" si="36"/>
        <v>0</v>
      </c>
      <c r="M102" s="270">
        <f t="shared" ca="1" si="36"/>
        <v>0</v>
      </c>
      <c r="N102" s="270"/>
      <c r="O102" s="270"/>
      <c r="P102" s="270"/>
      <c r="Q102" s="270"/>
    </row>
    <row r="103" spans="3:17" ht="19.5" customHeight="1" x14ac:dyDescent="0.5">
      <c r="C103" s="270"/>
      <c r="D103" s="270"/>
      <c r="E103" s="270"/>
      <c r="F103" s="270"/>
      <c r="G103" s="270"/>
      <c r="H103" s="270">
        <f t="shared" ref="H103:M103" si="37">H8</f>
        <v>0</v>
      </c>
      <c r="I103" s="270">
        <f t="shared" si="37"/>
        <v>0</v>
      </c>
      <c r="J103" s="270">
        <f t="shared" si="37"/>
        <v>0</v>
      </c>
      <c r="K103" s="270">
        <f t="shared" si="37"/>
        <v>0</v>
      </c>
      <c r="L103" s="270">
        <f t="shared" si="37"/>
        <v>0</v>
      </c>
      <c r="M103" s="270">
        <f t="shared" si="37"/>
        <v>0</v>
      </c>
      <c r="N103" s="270"/>
      <c r="O103" s="275"/>
      <c r="P103" s="275"/>
      <c r="Q103" s="270"/>
    </row>
    <row r="104" spans="3:17" ht="17.25" customHeight="1" x14ac:dyDescent="0.55000000000000004">
      <c r="C104" s="270"/>
      <c r="D104" s="277"/>
      <c r="E104" s="277"/>
      <c r="F104" s="277"/>
      <c r="G104" s="277"/>
      <c r="H104" s="277"/>
      <c r="I104" s="277"/>
      <c r="J104" s="277"/>
      <c r="K104" s="277"/>
      <c r="L104" s="277"/>
      <c r="M104" s="277"/>
      <c r="N104" s="277"/>
      <c r="O104" s="275"/>
      <c r="P104" s="275"/>
      <c r="Q104" s="270"/>
    </row>
    <row r="105" spans="3:17" ht="17.25" customHeight="1" x14ac:dyDescent="0.5">
      <c r="C105" s="270"/>
      <c r="D105" s="276"/>
      <c r="E105" s="276"/>
      <c r="F105" s="276"/>
      <c r="G105" s="276"/>
      <c r="H105" s="276"/>
      <c r="I105" s="276"/>
      <c r="J105" s="276"/>
      <c r="K105" s="276"/>
      <c r="L105" s="276"/>
      <c r="M105" s="276"/>
      <c r="N105" s="276"/>
      <c r="O105" s="270"/>
      <c r="P105" s="270"/>
      <c r="Q105" s="270"/>
    </row>
    <row r="106" spans="3:17" ht="17.25" customHeight="1" x14ac:dyDescent="0.5">
      <c r="C106" s="270"/>
      <c r="D106" s="270"/>
      <c r="E106" s="270"/>
      <c r="F106" s="270"/>
      <c r="G106" s="270"/>
      <c r="H106" s="270"/>
      <c r="I106" s="270"/>
      <c r="J106" s="270"/>
      <c r="K106" s="270"/>
      <c r="L106" s="270"/>
      <c r="M106" s="270"/>
      <c r="N106" s="270"/>
      <c r="O106" s="270"/>
      <c r="P106" s="270"/>
      <c r="Q106" s="270"/>
    </row>
    <row r="107" spans="3:17" ht="17.25" customHeight="1" x14ac:dyDescent="0.5">
      <c r="C107" s="274"/>
      <c r="D107" s="275"/>
      <c r="E107" s="275"/>
      <c r="F107" s="275"/>
      <c r="G107" s="275"/>
      <c r="H107" s="275" t="e">
        <f t="shared" ref="H107:M107" si="38">IF(H108=0,0,$O$15)</f>
        <v>#VALUE!</v>
      </c>
      <c r="I107" s="275" t="e">
        <f t="shared" si="38"/>
        <v>#VALUE!</v>
      </c>
      <c r="J107" s="275" t="e">
        <f t="shared" si="38"/>
        <v>#VALUE!</v>
      </c>
      <c r="K107" s="275" t="e">
        <f t="shared" si="38"/>
        <v>#VALUE!</v>
      </c>
      <c r="L107" s="275" t="e">
        <f t="shared" si="38"/>
        <v>#VALUE!</v>
      </c>
      <c r="M107" s="275" t="e">
        <f t="shared" si="38"/>
        <v>#VALUE!</v>
      </c>
      <c r="N107" s="275"/>
      <c r="O107" s="270"/>
      <c r="P107" s="270"/>
      <c r="Q107" s="270"/>
    </row>
    <row r="108" spans="3:17" ht="17.25" customHeight="1" x14ac:dyDescent="0.5">
      <c r="C108" s="275"/>
      <c r="D108" s="275"/>
      <c r="E108" s="275"/>
      <c r="F108" s="275"/>
      <c r="G108" s="275"/>
      <c r="H108" s="275" t="e">
        <f t="shared" ref="H108:M108" si="39">pension(H103/12*10000)/10000*12</f>
        <v>#VALUE!</v>
      </c>
      <c r="I108" s="275" t="e">
        <f t="shared" si="39"/>
        <v>#VALUE!</v>
      </c>
      <c r="J108" s="275" t="e">
        <f t="shared" si="39"/>
        <v>#VALUE!</v>
      </c>
      <c r="K108" s="275" t="e">
        <f t="shared" si="39"/>
        <v>#VALUE!</v>
      </c>
      <c r="L108" s="275" t="e">
        <f t="shared" si="39"/>
        <v>#VALUE!</v>
      </c>
      <c r="M108" s="275" t="e">
        <f t="shared" si="39"/>
        <v>#VALUE!</v>
      </c>
      <c r="N108" s="275"/>
      <c r="O108" s="270"/>
      <c r="P108" s="270"/>
      <c r="Q108" s="270"/>
    </row>
    <row r="109" spans="3:17" ht="17.25" customHeight="1" x14ac:dyDescent="0.5">
      <c r="C109" s="279" t="s">
        <v>24</v>
      </c>
      <c r="D109" s="275">
        <f ca="1">pension(D100/12,D32)*12</f>
        <v>219599.99799728394</v>
      </c>
      <c r="E109" s="275">
        <f ca="1">pension(E100/12,E32)*12</f>
        <v>0</v>
      </c>
      <c r="F109" s="275">
        <f ca="1">pension(F100/12,F32)*12</f>
        <v>0</v>
      </c>
      <c r="G109" s="275">
        <f ca="1">pension(G100/12,G32)*12</f>
        <v>0</v>
      </c>
      <c r="H109" s="275" t="e">
        <f t="shared" ref="H109:M109" si="40">pension(H100/12*10000)/10000*12</f>
        <v>#VALUE!</v>
      </c>
      <c r="I109" s="275" t="e">
        <f t="shared" si="40"/>
        <v>#VALUE!</v>
      </c>
      <c r="J109" s="275" t="e">
        <f t="shared" si="40"/>
        <v>#VALUE!</v>
      </c>
      <c r="K109" s="275" t="e">
        <f t="shared" si="40"/>
        <v>#VALUE!</v>
      </c>
      <c r="L109" s="275" t="e">
        <f t="shared" si="40"/>
        <v>#VALUE!</v>
      </c>
      <c r="M109" s="275" t="e">
        <f t="shared" si="40"/>
        <v>#VALUE!</v>
      </c>
      <c r="N109" s="270"/>
      <c r="O109" s="270"/>
      <c r="P109" s="270"/>
      <c r="Q109" s="270"/>
    </row>
    <row r="110" spans="3:17" ht="17.25" customHeight="1" x14ac:dyDescent="0.5">
      <c r="C110" s="270"/>
      <c r="D110" s="270"/>
      <c r="E110" s="270"/>
      <c r="F110" s="270"/>
      <c r="G110" s="270"/>
      <c r="H110" s="270"/>
      <c r="I110" s="270"/>
      <c r="J110" s="270"/>
      <c r="K110" s="270"/>
      <c r="L110" s="270"/>
      <c r="M110" s="270"/>
      <c r="N110" s="270"/>
    </row>
    <row r="111" spans="3:17" ht="17.25" customHeight="1" x14ac:dyDescent="0.5">
      <c r="C111" s="270" t="s">
        <v>111</v>
      </c>
      <c r="D111" s="273" t="b">
        <v>1</v>
      </c>
      <c r="E111" s="273" t="b">
        <v>0</v>
      </c>
      <c r="F111" s="273" t="b">
        <v>0</v>
      </c>
      <c r="G111" s="273" t="b">
        <v>0</v>
      </c>
      <c r="H111" s="273" t="b">
        <v>0</v>
      </c>
      <c r="I111" s="273" t="b">
        <v>0</v>
      </c>
      <c r="J111" s="273" t="b">
        <v>0</v>
      </c>
      <c r="K111" s="273" t="b">
        <v>0</v>
      </c>
      <c r="L111" s="273" t="b">
        <v>0</v>
      </c>
      <c r="M111" s="273" t="b">
        <v>0</v>
      </c>
      <c r="N111" s="270"/>
    </row>
    <row r="112" spans="3:17" ht="17.25" customHeight="1" x14ac:dyDescent="0.5">
      <c r="C112" s="270"/>
      <c r="D112" s="273" t="b">
        <v>0</v>
      </c>
      <c r="E112" s="273" t="b">
        <v>0</v>
      </c>
      <c r="F112" s="273" t="b">
        <v>0</v>
      </c>
      <c r="G112" s="273" t="b">
        <v>0</v>
      </c>
      <c r="H112" s="270"/>
      <c r="I112" s="270"/>
      <c r="J112" s="270"/>
      <c r="K112" s="270"/>
      <c r="L112" s="270"/>
      <c r="M112" s="270"/>
      <c r="N112" s="270"/>
    </row>
    <row r="113" spans="1:14" ht="19.5" customHeight="1" x14ac:dyDescent="0.5">
      <c r="C113" s="270"/>
      <c r="D113" s="104"/>
      <c r="E113" s="270"/>
      <c r="F113" s="270"/>
      <c r="G113" s="270"/>
      <c r="H113" s="270"/>
      <c r="I113" s="270"/>
      <c r="J113" s="270"/>
      <c r="K113" s="270"/>
      <c r="L113" s="270"/>
      <c r="M113" s="270"/>
      <c r="N113" s="270"/>
    </row>
    <row r="114" spans="1:14" ht="17.25" customHeight="1" x14ac:dyDescent="0.5">
      <c r="C114" s="1" t="s">
        <v>112</v>
      </c>
      <c r="D114" s="1">
        <v>1</v>
      </c>
      <c r="E114" s="104"/>
      <c r="F114" s="104"/>
      <c r="G114" s="110"/>
      <c r="H114" s="104"/>
      <c r="I114" s="104"/>
      <c r="J114" s="104"/>
      <c r="K114" s="104"/>
      <c r="L114" s="104"/>
      <c r="M114" s="104"/>
    </row>
    <row r="115" spans="1:14" ht="17.25" customHeight="1" x14ac:dyDescent="0.5">
      <c r="D115" s="104"/>
      <c r="E115" s="104"/>
      <c r="F115" s="104"/>
      <c r="G115" s="104"/>
      <c r="H115" s="13"/>
      <c r="I115" s="13"/>
      <c r="J115" s="104"/>
      <c r="K115" s="104"/>
      <c r="L115" s="104"/>
      <c r="M115" s="104"/>
    </row>
    <row r="116" spans="1:14" ht="17.25" customHeight="1" x14ac:dyDescent="0.5">
      <c r="D116" s="104"/>
      <c r="E116" s="104"/>
      <c r="F116" s="104"/>
      <c r="G116" s="13"/>
      <c r="H116" s="13"/>
      <c r="I116" s="13"/>
      <c r="J116" s="104"/>
      <c r="K116" s="104"/>
      <c r="L116" s="104"/>
      <c r="M116" s="104"/>
    </row>
    <row r="117" spans="1:14" ht="18.75" customHeight="1" x14ac:dyDescent="0.5">
      <c r="A117" s="1" t="s">
        <v>113</v>
      </c>
      <c r="D117" s="104"/>
      <c r="E117" s="104"/>
      <c r="F117" s="104"/>
      <c r="G117" s="13"/>
      <c r="H117" s="13"/>
      <c r="I117" s="13"/>
      <c r="J117" s="104"/>
      <c r="K117" s="104"/>
      <c r="L117" s="104"/>
      <c r="M117" s="104"/>
    </row>
    <row r="118" spans="1:14" ht="18.75" customHeight="1" x14ac:dyDescent="0.5">
      <c r="A118" s="1" t="s">
        <v>41</v>
      </c>
      <c r="D118" s="104"/>
      <c r="E118" s="104"/>
      <c r="F118" s="104"/>
      <c r="G118" s="13"/>
      <c r="H118" s="13"/>
      <c r="I118" s="13"/>
      <c r="J118" s="104"/>
      <c r="K118" s="104"/>
      <c r="L118" s="104"/>
      <c r="M118" s="104"/>
    </row>
    <row r="119" spans="1:14" ht="18.75" customHeight="1" x14ac:dyDescent="0.5">
      <c r="D119" s="104"/>
      <c r="E119" s="104"/>
      <c r="F119" s="104"/>
      <c r="G119" s="104"/>
      <c r="H119" s="13"/>
      <c r="I119" s="13"/>
      <c r="J119" s="104"/>
      <c r="K119" s="104"/>
      <c r="L119" s="104"/>
      <c r="M119" s="104"/>
    </row>
    <row r="120" spans="1:14" ht="22.5" customHeight="1" x14ac:dyDescent="0.5">
      <c r="D120" s="104"/>
      <c r="E120" s="104"/>
      <c r="F120" s="104"/>
      <c r="G120" s="104"/>
      <c r="H120" s="104"/>
      <c r="I120" s="104"/>
      <c r="J120" s="104"/>
      <c r="K120" s="104"/>
      <c r="L120" s="104"/>
      <c r="M120" s="104"/>
    </row>
    <row r="121" spans="1:14" ht="22.5" customHeight="1" x14ac:dyDescent="0.5">
      <c r="D121" s="104">
        <f ca="1">D13</f>
        <v>19550000</v>
      </c>
      <c r="E121" s="104">
        <f ca="1">E13</f>
        <v>0</v>
      </c>
      <c r="F121" s="104">
        <f ca="1">F13</f>
        <v>0</v>
      </c>
      <c r="G121" s="104">
        <f ca="1">G13</f>
        <v>0</v>
      </c>
      <c r="H121" s="104"/>
      <c r="I121" s="104"/>
      <c r="J121" s="104"/>
      <c r="K121" s="104"/>
      <c r="L121" s="104"/>
      <c r="M121" s="104"/>
    </row>
    <row r="122" spans="1:14" ht="22.5" customHeight="1" x14ac:dyDescent="0.5">
      <c r="C122" s="1">
        <v>0</v>
      </c>
      <c r="D122" s="104">
        <v>950000</v>
      </c>
      <c r="E122" s="104"/>
      <c r="F122" s="104"/>
      <c r="G122" s="104"/>
      <c r="H122" s="104"/>
      <c r="I122" s="104"/>
      <c r="J122" s="104"/>
      <c r="K122" s="104"/>
      <c r="L122" s="104"/>
      <c r="M122" s="104"/>
    </row>
    <row r="123" spans="1:14" ht="22.5" customHeight="1" x14ac:dyDescent="0.5">
      <c r="C123" s="1">
        <v>1320001</v>
      </c>
      <c r="D123" s="104">
        <v>880000</v>
      </c>
      <c r="E123" s="104"/>
      <c r="F123" s="104"/>
      <c r="G123" s="104"/>
      <c r="H123" s="105"/>
      <c r="I123" s="104"/>
      <c r="J123" s="104"/>
      <c r="K123" s="106"/>
      <c r="L123" s="104"/>
      <c r="M123" s="104"/>
    </row>
    <row r="124" spans="1:14" ht="22.5" customHeight="1" x14ac:dyDescent="0.5">
      <c r="C124" s="1">
        <v>3360001</v>
      </c>
      <c r="D124" s="104">
        <v>680000</v>
      </c>
      <c r="E124" s="104"/>
      <c r="F124" s="104"/>
      <c r="G124" s="104"/>
      <c r="H124" s="104"/>
      <c r="I124" s="104"/>
      <c r="J124" s="104"/>
      <c r="K124" s="104"/>
      <c r="L124" s="104"/>
      <c r="M124" s="104"/>
    </row>
    <row r="125" spans="1:14" ht="22.5" customHeight="1" x14ac:dyDescent="0.5">
      <c r="C125" s="1">
        <v>4890001</v>
      </c>
      <c r="D125" s="104">
        <v>630000</v>
      </c>
      <c r="E125" s="104"/>
      <c r="F125" s="104"/>
      <c r="G125" s="104"/>
      <c r="H125" s="104"/>
      <c r="I125" s="104"/>
      <c r="J125" s="104"/>
      <c r="K125" s="104"/>
      <c r="L125" s="104"/>
      <c r="M125" s="104"/>
    </row>
    <row r="126" spans="1:14" ht="22.5" customHeight="1" x14ac:dyDescent="0.5">
      <c r="C126" s="1">
        <v>6550001</v>
      </c>
      <c r="D126" s="104">
        <v>580000</v>
      </c>
      <c r="E126" s="104"/>
      <c r="F126" s="104"/>
      <c r="G126" s="104"/>
      <c r="H126" s="104"/>
      <c r="I126" s="104"/>
      <c r="J126" s="104"/>
      <c r="K126" s="104"/>
      <c r="L126" s="104"/>
      <c r="M126" s="104"/>
    </row>
    <row r="127" spans="1:14" ht="22.5" customHeight="1" x14ac:dyDescent="0.5">
      <c r="C127" s="1">
        <v>23500001</v>
      </c>
      <c r="D127" s="104">
        <v>480000</v>
      </c>
      <c r="E127" s="104"/>
      <c r="F127" s="104"/>
      <c r="G127" s="104"/>
      <c r="H127" s="104"/>
      <c r="I127" s="104"/>
      <c r="J127" s="104"/>
      <c r="K127" s="104"/>
      <c r="L127" s="104"/>
      <c r="M127" s="104"/>
    </row>
    <row r="128" spans="1:14" ht="22.5" customHeight="1" x14ac:dyDescent="0.5">
      <c r="C128" s="1">
        <v>24000001</v>
      </c>
      <c r="D128" s="104">
        <v>320000</v>
      </c>
      <c r="E128" s="104"/>
      <c r="F128" s="104"/>
      <c r="G128" s="104"/>
      <c r="H128" s="104"/>
      <c r="I128" s="104"/>
      <c r="J128" s="104"/>
      <c r="K128" s="104"/>
      <c r="L128" s="104"/>
      <c r="M128" s="104"/>
    </row>
    <row r="129" spans="1:15" ht="22.5" customHeight="1" x14ac:dyDescent="0.5">
      <c r="C129" s="1">
        <v>24500001</v>
      </c>
      <c r="D129" s="104">
        <v>160000</v>
      </c>
      <c r="E129" s="104"/>
      <c r="F129" s="104"/>
      <c r="G129" s="104"/>
      <c r="H129" s="104"/>
      <c r="I129" s="104"/>
      <c r="J129" s="104"/>
      <c r="K129" s="104"/>
      <c r="L129" s="104"/>
      <c r="M129" s="104"/>
    </row>
    <row r="130" spans="1:15" ht="22.5" customHeight="1" x14ac:dyDescent="0.5">
      <c r="A130" s="1" t="s">
        <v>114</v>
      </c>
      <c r="C130" s="1">
        <v>25000001</v>
      </c>
      <c r="D130" s="104">
        <v>0</v>
      </c>
      <c r="E130" s="104"/>
      <c r="F130" s="104"/>
      <c r="G130" s="104"/>
      <c r="H130" s="104"/>
      <c r="I130" s="104"/>
      <c r="J130" s="104"/>
      <c r="K130" s="104"/>
      <c r="L130" s="104"/>
      <c r="M130" s="104"/>
      <c r="O130" s="85"/>
    </row>
    <row r="131" spans="1:15" ht="22.5" customHeight="1" x14ac:dyDescent="0.5">
      <c r="D131" s="104"/>
      <c r="E131" s="104"/>
      <c r="F131" s="104"/>
      <c r="G131" s="104"/>
      <c r="H131" s="104"/>
      <c r="I131" s="104"/>
      <c r="J131" s="104"/>
      <c r="K131" s="104"/>
      <c r="L131" s="104"/>
      <c r="M131" s="104"/>
    </row>
    <row r="132" spans="1:15" ht="22.5" customHeight="1" x14ac:dyDescent="0.5">
      <c r="D132" s="104"/>
      <c r="E132" s="104"/>
      <c r="F132" s="104"/>
      <c r="G132" s="104"/>
      <c r="H132" s="104"/>
      <c r="I132" s="104"/>
      <c r="J132" s="104"/>
      <c r="K132" s="104"/>
      <c r="L132" s="104"/>
      <c r="M132" s="104"/>
    </row>
    <row r="133" spans="1:15" ht="22.5" customHeight="1" x14ac:dyDescent="0.5">
      <c r="D133" s="104"/>
      <c r="E133" s="104"/>
      <c r="F133" s="104"/>
      <c r="G133" s="104"/>
      <c r="H133" s="104"/>
      <c r="I133" s="104"/>
      <c r="J133" s="104"/>
      <c r="K133" s="104"/>
      <c r="L133" s="104"/>
      <c r="M133" s="104"/>
    </row>
    <row r="134" spans="1:15" x14ac:dyDescent="0.5">
      <c r="D134" s="1">
        <f ca="1">D33+D40+D42+D43</f>
        <v>18950000</v>
      </c>
      <c r="E134" s="1">
        <f ca="1">E33+E40+E42+E43</f>
        <v>0</v>
      </c>
      <c r="F134" s="1">
        <f ca="1">F33+F40+F42+F43</f>
        <v>0</v>
      </c>
      <c r="G134" s="1">
        <f ca="1">G33+G40+G42+G43</f>
        <v>0</v>
      </c>
      <c r="H134" s="1">
        <f t="shared" ref="H134:N134" si="41">H33+H40+H43</f>
        <v>0</v>
      </c>
      <c r="I134" s="1">
        <f t="shared" si="41"/>
        <v>0</v>
      </c>
      <c r="J134" s="1">
        <f t="shared" si="41"/>
        <v>0</v>
      </c>
      <c r="K134" s="1">
        <f t="shared" si="41"/>
        <v>0</v>
      </c>
      <c r="L134" s="1">
        <f t="shared" si="41"/>
        <v>0</v>
      </c>
      <c r="M134" s="1">
        <f t="shared" si="41"/>
        <v>0</v>
      </c>
      <c r="N134" s="1">
        <f t="shared" ca="1" si="41"/>
        <v>17450000</v>
      </c>
    </row>
    <row r="142" spans="1:15" x14ac:dyDescent="0.5">
      <c r="A142" s="107">
        <v>44775</v>
      </c>
      <c r="B142" s="321">
        <v>1.42</v>
      </c>
    </row>
    <row r="143" spans="1:15" x14ac:dyDescent="0.5">
      <c r="A143" s="107">
        <v>44784</v>
      </c>
      <c r="B143" s="321">
        <v>1.47</v>
      </c>
    </row>
    <row r="144" spans="1:15" x14ac:dyDescent="0.5">
      <c r="A144" s="107">
        <v>44840</v>
      </c>
      <c r="B144" s="321">
        <v>1.49</v>
      </c>
    </row>
    <row r="145" spans="1:16" x14ac:dyDescent="0.5">
      <c r="A145" s="107">
        <v>44845</v>
      </c>
      <c r="B145" s="321">
        <v>1.5</v>
      </c>
    </row>
    <row r="146" spans="1:16" x14ac:dyDescent="0.5">
      <c r="A146" s="107">
        <v>45141</v>
      </c>
      <c r="B146" s="321">
        <v>1.53</v>
      </c>
      <c r="C146" s="17" t="s">
        <v>115</v>
      </c>
    </row>
    <row r="147" spans="1:16" x14ac:dyDescent="0.5">
      <c r="A147" s="107">
        <v>45428</v>
      </c>
      <c r="B147" s="321">
        <v>1.55</v>
      </c>
      <c r="C147" s="17" t="s">
        <v>116</v>
      </c>
    </row>
    <row r="148" spans="1:16" x14ac:dyDescent="0.5">
      <c r="A148" s="107">
        <v>45469</v>
      </c>
      <c r="B148" s="321">
        <v>1.57</v>
      </c>
      <c r="C148" s="17" t="s">
        <v>117</v>
      </c>
    </row>
    <row r="149" spans="1:16" x14ac:dyDescent="0.5">
      <c r="A149" s="107">
        <v>45509</v>
      </c>
      <c r="B149" s="321">
        <v>1.58</v>
      </c>
      <c r="C149" s="17" t="s">
        <v>118</v>
      </c>
      <c r="O149" s="82"/>
      <c r="P149" s="82"/>
    </row>
    <row r="150" spans="1:16" x14ac:dyDescent="0.5">
      <c r="A150" s="107">
        <v>45586</v>
      </c>
      <c r="B150" s="321">
        <v>1.59</v>
      </c>
      <c r="C150" s="17" t="s">
        <v>119</v>
      </c>
    </row>
    <row r="151" spans="1:16" x14ac:dyDescent="0.5">
      <c r="A151" s="107"/>
      <c r="B151" s="321"/>
      <c r="C151" s="17" t="s">
        <v>120</v>
      </c>
      <c r="O151" s="81"/>
      <c r="P151" s="81"/>
    </row>
    <row r="152" spans="1:16" x14ac:dyDescent="0.5">
      <c r="A152" s="107"/>
      <c r="B152" s="321"/>
      <c r="C152" s="17" t="s">
        <v>121</v>
      </c>
      <c r="O152" s="81"/>
      <c r="P152" s="81"/>
    </row>
    <row r="153" spans="1:16" x14ac:dyDescent="0.5">
      <c r="A153" s="107"/>
      <c r="B153" s="321"/>
      <c r="C153" s="17" t="s">
        <v>122</v>
      </c>
      <c r="G153" s="82"/>
      <c r="H153" s="82"/>
      <c r="I153" s="82"/>
      <c r="J153" s="82"/>
      <c r="K153" s="82"/>
      <c r="L153" s="82"/>
      <c r="M153" s="82"/>
      <c r="N153" s="82"/>
    </row>
    <row r="154" spans="1:16" x14ac:dyDescent="0.5">
      <c r="A154" s="107"/>
      <c r="B154" s="321"/>
      <c r="C154" s="17" t="s">
        <v>123</v>
      </c>
    </row>
    <row r="155" spans="1:16" x14ac:dyDescent="0.5">
      <c r="A155" s="107"/>
      <c r="B155" s="321"/>
      <c r="C155" s="17"/>
      <c r="G155" s="81"/>
      <c r="H155" s="81"/>
      <c r="I155" s="81"/>
      <c r="J155" s="81"/>
      <c r="K155" s="81"/>
      <c r="L155" s="81"/>
      <c r="M155" s="81"/>
      <c r="N155" s="81"/>
    </row>
    <row r="156" spans="1:16" x14ac:dyDescent="0.5">
      <c r="A156" s="107"/>
      <c r="B156" s="321"/>
      <c r="C156" s="17"/>
      <c r="G156" s="81"/>
      <c r="H156" s="81"/>
      <c r="I156" s="81"/>
      <c r="J156" s="81"/>
      <c r="K156" s="81"/>
      <c r="L156" s="81"/>
      <c r="M156" s="81"/>
      <c r="N156" s="81"/>
    </row>
    <row r="157" spans="1:16" x14ac:dyDescent="0.5">
      <c r="A157" s="107"/>
      <c r="B157" s="321"/>
      <c r="C157" s="17"/>
    </row>
    <row r="158" spans="1:16" x14ac:dyDescent="0.5">
      <c r="A158" s="107"/>
      <c r="B158" s="321"/>
      <c r="C158" s="17"/>
    </row>
    <row r="159" spans="1:16" hidden="1" x14ac:dyDescent="0.5">
      <c r="A159" s="107"/>
      <c r="B159" s="321"/>
      <c r="C159" s="17"/>
    </row>
    <row r="160" spans="1:16" hidden="1" x14ac:dyDescent="0.5">
      <c r="A160" s="107"/>
      <c r="B160" s="321"/>
      <c r="C160" s="17"/>
    </row>
    <row r="161" spans="1:7" hidden="1" x14ac:dyDescent="0.5">
      <c r="A161" s="107"/>
      <c r="B161" s="321"/>
      <c r="C161" s="17"/>
    </row>
    <row r="162" spans="1:7" hidden="1" x14ac:dyDescent="0.5">
      <c r="A162" s="107"/>
      <c r="B162" s="321"/>
      <c r="C162" s="17"/>
    </row>
    <row r="163" spans="1:7" x14ac:dyDescent="0.5">
      <c r="A163" s="107"/>
      <c r="B163" s="321"/>
      <c r="C163" s="17"/>
    </row>
    <row r="164" spans="1:7" x14ac:dyDescent="0.5">
      <c r="A164" s="107"/>
      <c r="B164" s="321"/>
      <c r="C164" s="17"/>
    </row>
    <row r="165" spans="1:7" x14ac:dyDescent="0.5">
      <c r="A165" s="107"/>
      <c r="B165" s="321"/>
      <c r="C165" s="17"/>
      <c r="D165" s="1">
        <v>43244</v>
      </c>
      <c r="F165" s="1" t="s">
        <v>124</v>
      </c>
      <c r="G165" s="17"/>
    </row>
    <row r="166" spans="1:7" x14ac:dyDescent="0.5">
      <c r="A166" s="107"/>
      <c r="B166" s="321"/>
      <c r="C166" s="17"/>
      <c r="F166" s="1" t="s">
        <v>125</v>
      </c>
      <c r="G166" s="17"/>
    </row>
    <row r="167" spans="1:7" x14ac:dyDescent="0.5">
      <c r="A167" s="107"/>
      <c r="B167" s="321"/>
      <c r="C167" s="17"/>
      <c r="G167" s="17"/>
    </row>
    <row r="168" spans="1:7" x14ac:dyDescent="0.5">
      <c r="A168" s="107"/>
      <c r="B168" s="321"/>
      <c r="C168" s="17"/>
      <c r="G168" s="17"/>
    </row>
    <row r="169" spans="1:7" x14ac:dyDescent="0.5">
      <c r="A169" s="107"/>
      <c r="B169" s="321"/>
      <c r="C169" s="17"/>
      <c r="G169" s="17"/>
    </row>
    <row r="170" spans="1:7" x14ac:dyDescent="0.5">
      <c r="A170" s="107"/>
      <c r="B170" s="321"/>
      <c r="C170" s="17"/>
      <c r="G170" s="17"/>
    </row>
    <row r="171" spans="1:7" x14ac:dyDescent="0.5">
      <c r="C171" s="17"/>
      <c r="G171" s="17"/>
    </row>
    <row r="172" spans="1:7" x14ac:dyDescent="0.5">
      <c r="C172" s="17"/>
    </row>
    <row r="173" spans="1:7" x14ac:dyDescent="0.5">
      <c r="C173" s="17"/>
    </row>
    <row r="174" spans="1:7" x14ac:dyDescent="0.5">
      <c r="C174" s="17"/>
    </row>
  </sheetData>
  <mergeCells count="2">
    <mergeCell ref="BE5:BF5"/>
    <mergeCell ref="BL5:BM5"/>
  </mergeCells>
  <phoneticPr fontId="6"/>
  <conditionalFormatting sqref="D7:N29 D33:N59">
    <cfRule type="expression" dxfId="30" priority="9" stopIfTrue="1">
      <formula>$AT$1=2</formula>
    </cfRule>
  </conditionalFormatting>
  <conditionalFormatting sqref="O11:O12">
    <cfRule type="expression" dxfId="29" priority="10" stopIfTrue="1">
      <formula>$AT$1=2</formula>
    </cfRule>
  </conditionalFormatting>
  <conditionalFormatting sqref="P19">
    <cfRule type="expression" dxfId="28" priority="11" stopIfTrue="1">
      <formula>$AT$1=2</formula>
    </cfRule>
  </conditionalFormatting>
  <conditionalFormatting sqref="P47">
    <cfRule type="expression" dxfId="27" priority="14" stopIfTrue="1">
      <formula>$AT$1=2</formula>
    </cfRule>
  </conditionalFormatting>
  <conditionalFormatting sqref="S19">
    <cfRule type="expression" dxfId="26" priority="15" stopIfTrue="1">
      <formula>$AT$1=2</formula>
    </cfRule>
  </conditionalFormatting>
  <conditionalFormatting sqref="S47">
    <cfRule type="expression" dxfId="25" priority="7" stopIfTrue="1">
      <formula>$AT$1=2</formula>
    </cfRule>
  </conditionalFormatting>
  <conditionalFormatting sqref="U19">
    <cfRule type="expression" dxfId="24" priority="3" stopIfTrue="1">
      <formula>$AT$1=2</formula>
    </cfRule>
  </conditionalFormatting>
  <conditionalFormatting sqref="X19">
    <cfRule type="expression" dxfId="23" priority="4" stopIfTrue="1">
      <formula>$AT$1=2</formula>
    </cfRule>
  </conditionalFormatting>
  <conditionalFormatting sqref="A1:XFD30 A31:N31 P31:XFD31 A32:XFD1048576">
    <cfRule type="expression" dxfId="22" priority="1">
      <formula>CELL("protect", A1) = 0</formula>
    </cfRule>
  </conditionalFormatting>
  <conditionalFormatting sqref="E21">
    <cfRule type="expression" dxfId="21" priority="16" stopIfTrue="1">
      <formula>$AT$1=2</formula>
    </cfRule>
  </conditionalFormatting>
  <conditionalFormatting sqref="E21:E22">
    <cfRule type="expression" dxfId="20" priority="17" stopIfTrue="1">
      <formula>$AT$1=2</formula>
    </cfRule>
  </conditionalFormatting>
  <dataValidations count="1">
    <dataValidation imeMode="off" allowBlank="1" showInputMessage="1" showErrorMessage="1" sqref="D7:G8 D10:G10 D13:M13 D15:M15 D33:D39 D43:M43 D45:M45 D49:G49 X19 E34:M39 H7:M11 O7:O12 P19 S19 S47 U19 D62:G70" xr:uid="{00000000-0002-0000-0100-000000000000}"/>
  </dataValidations>
  <hyperlinks>
    <hyperlink ref="Q4" r:id="rId1" xr:uid="{00000000-0004-0000-0100-000000000000}"/>
  </hyperlinks>
  <pageMargins left="0.5" right="0.5" top="0.5" bottom="0.5" header="0.17" footer="0.17"/>
  <pageSetup paperSize="9" scale="81" orientation="portrait"/>
  <drawing r:id="rId2"/>
  <legacyDrawing r:id="rId3"/>
  <mc:AlternateContent xmlns:mc="http://schemas.openxmlformats.org/markup-compatibility/2006">
    <mc:Choice Requires="x14">
      <controls>
        <mc:AlternateContent xmlns:mc="http://schemas.openxmlformats.org/markup-compatibility/2006">
          <mc:Choice Requires="x14">
            <control shapeId="1112" r:id="rId4" name="ボタン 112">
              <controlPr defaultSize="0" print="0" autoFill="0" autoPict="0">
                <anchor>
                  <from>
                    <xdr:col>16</xdr:col>
                    <xdr:colOff>184150</xdr:colOff>
                    <xdr:row>126</xdr:row>
                    <xdr:rowOff>209550</xdr:rowOff>
                  </from>
                  <to>
                    <xdr:col>18</xdr:col>
                    <xdr:colOff>209550</xdr:colOff>
                    <xdr:row>127</xdr:row>
                    <xdr:rowOff>203200</xdr:rowOff>
                  </to>
                </anchor>
              </controlPr>
            </control>
          </mc:Choice>
        </mc:AlternateContent>
        <mc:AlternateContent xmlns:mc="http://schemas.openxmlformats.org/markup-compatibility/2006">
          <mc:Choice Requires="x14">
            <control shapeId="1119" r:id="rId5" name="Button 95">
              <controlPr defaultSize="0" print="0" autoFill="0" autoPict="0" macro="[0]!健康保険OFF">
                <anchor>
                  <from>
                    <xdr:col>14</xdr:col>
                    <xdr:colOff>69850</xdr:colOff>
                    <xdr:row>48</xdr:row>
                    <xdr:rowOff>158750</xdr:rowOff>
                  </from>
                  <to>
                    <xdr:col>15</xdr:col>
                    <xdr:colOff>692150</xdr:colOff>
                    <xdr:row>49</xdr:row>
                    <xdr:rowOff>196850</xdr:rowOff>
                  </to>
                </anchor>
              </controlPr>
            </control>
          </mc:Choice>
        </mc:AlternateContent>
        <mc:AlternateContent xmlns:mc="http://schemas.openxmlformats.org/markup-compatibility/2006">
          <mc:Choice Requires="x14">
            <control shapeId="1120" r:id="rId6" name="Button 96">
              <controlPr defaultSize="0" print="0" autoFill="0" autoPict="0" macro="[0]!健康保険ON">
                <anchor>
                  <from>
                    <xdr:col>14</xdr:col>
                    <xdr:colOff>69850</xdr:colOff>
                    <xdr:row>50</xdr:row>
                    <xdr:rowOff>6350</xdr:rowOff>
                  </from>
                  <to>
                    <xdr:col>15</xdr:col>
                    <xdr:colOff>692150</xdr:colOff>
                    <xdr:row>51</xdr:row>
                    <xdr:rowOff>82550</xdr:rowOff>
                  </to>
                </anchor>
              </controlPr>
            </control>
          </mc:Choice>
        </mc:AlternateContent>
        <mc:AlternateContent xmlns:mc="http://schemas.openxmlformats.org/markup-compatibility/2006">
          <mc:Choice Requires="x14">
            <control shapeId="1121" r:id="rId7" name="Button 97">
              <controlPr defaultSize="0" print="0" autoFill="0" autoPict="0" macro="[0]!画面更新">
                <anchor moveWithCells="1" sizeWithCells="1">
                  <from>
                    <xdr:col>14</xdr:col>
                    <xdr:colOff>527050</xdr:colOff>
                    <xdr:row>0</xdr:row>
                    <xdr:rowOff>222250</xdr:rowOff>
                  </from>
                  <to>
                    <xdr:col>16</xdr:col>
                    <xdr:colOff>717550</xdr:colOff>
                    <xdr:row>1</xdr:row>
                    <xdr:rowOff>76200</xdr:rowOff>
                  </to>
                </anchor>
              </controlPr>
            </control>
          </mc:Choice>
        </mc:AlternateContent>
        <mc:AlternateContent xmlns:mc="http://schemas.openxmlformats.org/markup-compatibility/2006">
          <mc:Choice Requires="x14">
            <control shapeId="1122" r:id="rId8" name="チェック 2490">
              <controlPr defaultSize="0" print="0" autoFill="0" autoLine="0" autoPict="0" altText="">
                <anchor>
                  <from>
                    <xdr:col>3</xdr:col>
                    <xdr:colOff>304800</xdr:colOff>
                    <xdr:row>29</xdr:row>
                    <xdr:rowOff>209550</xdr:rowOff>
                  </from>
                  <to>
                    <xdr:col>3</xdr:col>
                    <xdr:colOff>609600</xdr:colOff>
                    <xdr:row>29</xdr:row>
                    <xdr:rowOff>469900</xdr:rowOff>
                  </to>
                </anchor>
              </controlPr>
            </control>
          </mc:Choice>
        </mc:AlternateContent>
        <mc:AlternateContent xmlns:mc="http://schemas.openxmlformats.org/markup-compatibility/2006">
          <mc:Choice Requires="x14">
            <control shapeId="1123" r:id="rId9" name="チェック 2491">
              <controlPr defaultSize="0" print="0" autoFill="0" autoLine="0" autoPict="0" altText="">
                <anchor>
                  <from>
                    <xdr:col>4</xdr:col>
                    <xdr:colOff>317500</xdr:colOff>
                    <xdr:row>29</xdr:row>
                    <xdr:rowOff>209550</xdr:rowOff>
                  </from>
                  <to>
                    <xdr:col>4</xdr:col>
                    <xdr:colOff>641350</xdr:colOff>
                    <xdr:row>29</xdr:row>
                    <xdr:rowOff>469900</xdr:rowOff>
                  </to>
                </anchor>
              </controlPr>
            </control>
          </mc:Choice>
        </mc:AlternateContent>
        <mc:AlternateContent xmlns:mc="http://schemas.openxmlformats.org/markup-compatibility/2006">
          <mc:Choice Requires="x14">
            <control shapeId="1124" r:id="rId10" name="チェック 2492">
              <controlPr defaultSize="0" print="0" autoFill="0" autoLine="0" autoPict="0" altText="">
                <anchor>
                  <from>
                    <xdr:col>5</xdr:col>
                    <xdr:colOff>304800</xdr:colOff>
                    <xdr:row>29</xdr:row>
                    <xdr:rowOff>203200</xdr:rowOff>
                  </from>
                  <to>
                    <xdr:col>5</xdr:col>
                    <xdr:colOff>622300</xdr:colOff>
                    <xdr:row>29</xdr:row>
                    <xdr:rowOff>469900</xdr:rowOff>
                  </to>
                </anchor>
              </controlPr>
            </control>
          </mc:Choice>
        </mc:AlternateContent>
        <mc:AlternateContent xmlns:mc="http://schemas.openxmlformats.org/markup-compatibility/2006">
          <mc:Choice Requires="x14">
            <control shapeId="1125" r:id="rId11" name="チェック 2493">
              <controlPr defaultSize="0" print="0" autoFill="0" autoLine="0" autoPict="0" altText="">
                <anchor>
                  <from>
                    <xdr:col>6</xdr:col>
                    <xdr:colOff>260350</xdr:colOff>
                    <xdr:row>29</xdr:row>
                    <xdr:rowOff>203200</xdr:rowOff>
                  </from>
                  <to>
                    <xdr:col>6</xdr:col>
                    <xdr:colOff>685800</xdr:colOff>
                    <xdr:row>29</xdr:row>
                    <xdr:rowOff>469900</xdr:rowOff>
                  </to>
                </anchor>
              </controlPr>
            </control>
          </mc:Choice>
        </mc:AlternateContent>
        <mc:AlternateContent xmlns:mc="http://schemas.openxmlformats.org/markup-compatibility/2006">
          <mc:Choice Requires="x14">
            <control shapeId="1126" r:id="rId12" name="Check Box 102">
              <controlPr defaultSize="0" autoFill="0" autoLine="0" autoPict="0">
                <anchor>
                  <from>
                    <xdr:col>3</xdr:col>
                    <xdr:colOff>222250</xdr:colOff>
                    <xdr:row>4</xdr:row>
                    <xdr:rowOff>69850</xdr:rowOff>
                  </from>
                  <to>
                    <xdr:col>3</xdr:col>
                    <xdr:colOff>876300</xdr:colOff>
                    <xdr:row>5</xdr:row>
                    <xdr:rowOff>0</xdr:rowOff>
                  </to>
                </anchor>
              </controlPr>
            </control>
          </mc:Choice>
        </mc:AlternateContent>
        <mc:AlternateContent xmlns:mc="http://schemas.openxmlformats.org/markup-compatibility/2006">
          <mc:Choice Requires="x14">
            <control shapeId="1127" r:id="rId13" name="Check Box 103">
              <controlPr defaultSize="0" autoFill="0" autoLine="0" autoPict="0">
                <anchor>
                  <from>
                    <xdr:col>4</xdr:col>
                    <xdr:colOff>304800</xdr:colOff>
                    <xdr:row>4</xdr:row>
                    <xdr:rowOff>69850</xdr:rowOff>
                  </from>
                  <to>
                    <xdr:col>4</xdr:col>
                    <xdr:colOff>946150</xdr:colOff>
                    <xdr:row>5</xdr:row>
                    <xdr:rowOff>0</xdr:rowOff>
                  </to>
                </anchor>
              </controlPr>
            </control>
          </mc:Choice>
        </mc:AlternateContent>
        <mc:AlternateContent xmlns:mc="http://schemas.openxmlformats.org/markup-compatibility/2006">
          <mc:Choice Requires="x14">
            <control shapeId="1128" r:id="rId14" name="Check Box 104">
              <controlPr defaultSize="0" autoFill="0" autoLine="0" autoPict="0">
                <anchor>
                  <from>
                    <xdr:col>5</xdr:col>
                    <xdr:colOff>304800</xdr:colOff>
                    <xdr:row>4</xdr:row>
                    <xdr:rowOff>69850</xdr:rowOff>
                  </from>
                  <to>
                    <xdr:col>5</xdr:col>
                    <xdr:colOff>914400</xdr:colOff>
                    <xdr:row>5</xdr:row>
                    <xdr:rowOff>0</xdr:rowOff>
                  </to>
                </anchor>
              </controlPr>
            </control>
          </mc:Choice>
        </mc:AlternateContent>
        <mc:AlternateContent xmlns:mc="http://schemas.openxmlformats.org/markup-compatibility/2006">
          <mc:Choice Requires="x14">
            <control shapeId="1129" r:id="rId15" name="Check Box 105">
              <controlPr defaultSize="0" autoFill="0" autoLine="0" autoPict="0">
                <anchor>
                  <from>
                    <xdr:col>6</xdr:col>
                    <xdr:colOff>273050</xdr:colOff>
                    <xdr:row>4</xdr:row>
                    <xdr:rowOff>69850</xdr:rowOff>
                  </from>
                  <to>
                    <xdr:col>6</xdr:col>
                    <xdr:colOff>914400</xdr:colOff>
                    <xdr:row>5</xdr:row>
                    <xdr:rowOff>0</xdr:rowOff>
                  </to>
                </anchor>
              </controlPr>
            </control>
          </mc:Choice>
        </mc:AlternateContent>
        <mc:AlternateContent xmlns:mc="http://schemas.openxmlformats.org/markup-compatibility/2006">
          <mc:Choice Requires="x14">
            <control shapeId="1130" r:id="rId16" name="Button 106">
              <controlPr defaultSize="0" print="0" autoFill="0" autoPict="0" macro="[0]!sim_tenki">
                <anchor moveWithCells="1" sizeWithCells="1">
                  <from>
                    <xdr:col>0</xdr:col>
                    <xdr:colOff>44450</xdr:colOff>
                    <xdr:row>32</xdr:row>
                    <xdr:rowOff>165100</xdr:rowOff>
                  </from>
                  <to>
                    <xdr:col>1</xdr:col>
                    <xdr:colOff>577850</xdr:colOff>
                    <xdr:row>36</xdr:row>
                    <xdr:rowOff>165100</xdr:rowOff>
                  </to>
                </anchor>
              </controlPr>
            </control>
          </mc:Choice>
        </mc:AlternateContent>
        <mc:AlternateContent xmlns:mc="http://schemas.openxmlformats.org/markup-compatibility/2006">
          <mc:Choice Requires="x14">
            <control shapeId="1131" r:id="rId17" name="Button 107">
              <controlPr defaultSize="0" print="0" autoFill="0" autoPict="0" macro="[0]!FileBackup">
                <anchor moveWithCells="1" sizeWithCells="1">
                  <from>
                    <xdr:col>19</xdr:col>
                    <xdr:colOff>260350</xdr:colOff>
                    <xdr:row>0</xdr:row>
                    <xdr:rowOff>222250</xdr:rowOff>
                  </from>
                  <to>
                    <xdr:col>22</xdr:col>
                    <xdr:colOff>127000</xdr:colOff>
                    <xdr:row>1</xdr:row>
                    <xdr:rowOff>69850</xdr:rowOff>
                  </to>
                </anchor>
              </controlPr>
            </control>
          </mc:Choice>
        </mc:AlternateContent>
        <mc:AlternateContent xmlns:mc="http://schemas.openxmlformats.org/markup-compatibility/2006">
          <mc:Choice Requires="x14">
            <control shapeId="1132" r:id="rId18" name="Button 108">
              <controlPr defaultSize="0" print="0" autoFill="0" autoPict="0" macro="[0]!名前をつけて保存">
                <anchor moveWithCells="1" sizeWithCells="1">
                  <from>
                    <xdr:col>17</xdr:col>
                    <xdr:colOff>146050</xdr:colOff>
                    <xdr:row>0</xdr:row>
                    <xdr:rowOff>222250</xdr:rowOff>
                  </from>
                  <to>
                    <xdr:col>19</xdr:col>
                    <xdr:colOff>165100</xdr:colOff>
                    <xdr:row>1</xdr:row>
                    <xdr:rowOff>76200</xdr:rowOff>
                  </to>
                </anchor>
              </controlPr>
            </control>
          </mc:Choice>
        </mc:AlternateContent>
        <mc:AlternateContent xmlns:mc="http://schemas.openxmlformats.org/markup-compatibility/2006">
          <mc:Choice Requires="x14">
            <control shapeId="1133" r:id="rId19" name="Button 109">
              <controlPr defaultSize="0" print="0" autoFill="0" autoPict="0" macro="[0]!印刷シミュレーション">
                <anchor>
                  <from>
                    <xdr:col>13</xdr:col>
                    <xdr:colOff>69850</xdr:colOff>
                    <xdr:row>0</xdr:row>
                    <xdr:rowOff>222250</xdr:rowOff>
                  </from>
                  <to>
                    <xdr:col>14</xdr:col>
                    <xdr:colOff>450850</xdr:colOff>
                    <xdr:row>1</xdr:row>
                    <xdr:rowOff>82550</xdr:rowOff>
                  </to>
                </anchor>
              </controlPr>
            </control>
          </mc:Choice>
        </mc:AlternateContent>
        <mc:AlternateContent xmlns:mc="http://schemas.openxmlformats.org/markup-compatibility/2006">
          <mc:Choice Requires="x14">
            <control shapeId="1134" r:id="rId20" name="Button 110">
              <controlPr defaultSize="0" print="0" autoFill="0" autoPict="0" macro="[0]!シミュレーションデータ削除">
                <anchor>
                  <from>
                    <xdr:col>22</xdr:col>
                    <xdr:colOff>260350</xdr:colOff>
                    <xdr:row>0</xdr:row>
                    <xdr:rowOff>190500</xdr:rowOff>
                  </from>
                  <to>
                    <xdr:col>24</xdr:col>
                    <xdr:colOff>38100</xdr:colOff>
                    <xdr:row>1</xdr:row>
                    <xdr:rowOff>69850</xdr:rowOff>
                  </to>
                </anchor>
              </controlPr>
            </control>
          </mc:Choice>
        </mc:AlternateContent>
        <mc:AlternateContent xmlns:mc="http://schemas.openxmlformats.org/markup-compatibility/2006">
          <mc:Choice Requires="x14">
            <control shapeId="1135" r:id="rId21" name="Option Button 111">
              <controlPr defaultSize="0" autoFill="0" autoLine="0" autoPict="0">
                <anchor moveWithCells="1">
                  <from>
                    <xdr:col>6</xdr:col>
                    <xdr:colOff>622300</xdr:colOff>
                    <xdr:row>0</xdr:row>
                    <xdr:rowOff>450850</xdr:rowOff>
                  </from>
                  <to>
                    <xdr:col>6</xdr:col>
                    <xdr:colOff>1066800</xdr:colOff>
                    <xdr:row>2</xdr:row>
                    <xdr:rowOff>19050</xdr:rowOff>
                  </to>
                </anchor>
              </controlPr>
            </control>
          </mc:Choice>
        </mc:AlternateContent>
        <mc:AlternateContent xmlns:mc="http://schemas.openxmlformats.org/markup-compatibility/2006">
          <mc:Choice Requires="x14">
            <control shapeId="1136" r:id="rId22" name="Option Button 112">
              <controlPr defaultSize="0" autoFill="0" autoLine="0" autoPict="0">
                <anchor moveWithCells="1">
                  <from>
                    <xdr:col>6</xdr:col>
                    <xdr:colOff>622300</xdr:colOff>
                    <xdr:row>1</xdr:row>
                    <xdr:rowOff>222250</xdr:rowOff>
                  </from>
                  <to>
                    <xdr:col>13</xdr:col>
                    <xdr:colOff>114300</xdr:colOff>
                    <xdr:row>2</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T100"/>
  <sheetViews>
    <sheetView showGridLines="0" zoomScale="80" zoomScaleNormal="80" workbookViewId="0">
      <selection activeCell="C11" sqref="C11:G11"/>
    </sheetView>
  </sheetViews>
  <sheetFormatPr defaultRowHeight="14.5" x14ac:dyDescent="0.5"/>
  <cols>
    <col min="1" max="1" width="5.1796875" style="388" customWidth="1"/>
    <col min="2" max="2" width="8.81640625" style="388" customWidth="1"/>
    <col min="3" max="5" width="13.54296875" style="388" customWidth="1"/>
    <col min="6" max="7" width="13.54296875" style="142" customWidth="1"/>
    <col min="8" max="8" width="9" style="388" customWidth="1"/>
    <col min="9" max="9" width="13.54296875" style="388" hidden="1" customWidth="1"/>
    <col min="10" max="12" width="13.54296875" style="142" hidden="1" customWidth="1"/>
    <col min="13" max="13" width="13.54296875" style="388" hidden="1" customWidth="1"/>
    <col min="14" max="14" width="9.453125" style="388" customWidth="1"/>
    <col min="15" max="17" width="13.54296875" style="388" customWidth="1"/>
    <col min="18" max="19" width="13.54296875" style="142" customWidth="1"/>
    <col min="20" max="20" width="6.1796875" style="388" customWidth="1"/>
    <col min="21" max="21" width="13.54296875" style="388" customWidth="1"/>
  </cols>
  <sheetData>
    <row r="1" spans="1:46" ht="37" customHeight="1" thickBot="1" x14ac:dyDescent="0.55000000000000004">
      <c r="A1" s="241"/>
      <c r="C1" s="241" t="s">
        <v>135</v>
      </c>
      <c r="I1" s="241" t="s">
        <v>136</v>
      </c>
      <c r="O1" s="329" t="s">
        <v>137</v>
      </c>
      <c r="P1" s="142"/>
      <c r="R1"/>
      <c r="AT1" s="352">
        <v>2</v>
      </c>
    </row>
    <row r="2" spans="1:46" ht="40" customHeight="1" thickBot="1" x14ac:dyDescent="0.55000000000000004">
      <c r="C2" s="240" t="s">
        <v>138</v>
      </c>
      <c r="E2" s="377" t="s">
        <v>139</v>
      </c>
      <c r="I2" s="354" t="s">
        <v>140</v>
      </c>
      <c r="J2" s="235">
        <f>シミュレーション!D34</f>
        <v>2400000</v>
      </c>
      <c r="K2" s="340" t="s">
        <v>141</v>
      </c>
      <c r="L2" s="235">
        <f>シミュレーション!D7</f>
        <v>10000000</v>
      </c>
      <c r="O2" s="143"/>
      <c r="P2" s="142"/>
      <c r="Q2" s="377" t="s">
        <v>139</v>
      </c>
      <c r="R2"/>
    </row>
    <row r="3" spans="1:46" ht="15" customHeight="1" thickBot="1" x14ac:dyDescent="0.55000000000000004">
      <c r="C3" s="353">
        <f>シミュレーション!D7</f>
        <v>10000000</v>
      </c>
      <c r="E3" s="235">
        <v>15630428</v>
      </c>
      <c r="F3" s="378"/>
      <c r="I3" s="76" t="s">
        <v>142</v>
      </c>
      <c r="J3" s="339">
        <v>8000000</v>
      </c>
      <c r="K3" s="340" t="s">
        <v>143</v>
      </c>
      <c r="L3" s="235">
        <f ca="1">シミュレーション!D27</f>
        <v>15630428</v>
      </c>
      <c r="O3" s="142"/>
      <c r="P3" s="142"/>
      <c r="Q3" s="235">
        <v>15630428</v>
      </c>
      <c r="R3" s="378"/>
    </row>
    <row r="4" spans="1:46" ht="16.5" customHeight="1" thickBot="1" x14ac:dyDescent="0.55000000000000004">
      <c r="B4" s="240"/>
      <c r="C4" s="337" t="s">
        <v>144</v>
      </c>
      <c r="D4" s="336" t="s">
        <v>145</v>
      </c>
      <c r="E4" s="337" t="s">
        <v>146</v>
      </c>
      <c r="F4" s="336" t="s">
        <v>147</v>
      </c>
      <c r="G4" s="379" t="s">
        <v>148</v>
      </c>
      <c r="H4" s="356"/>
      <c r="I4" s="357" t="s">
        <v>149</v>
      </c>
      <c r="J4" s="359" t="s">
        <v>145</v>
      </c>
      <c r="K4" s="359" t="s">
        <v>150</v>
      </c>
      <c r="L4" s="359" t="s">
        <v>151</v>
      </c>
      <c r="M4" s="360" t="s">
        <v>152</v>
      </c>
      <c r="N4" s="356"/>
      <c r="O4" s="357" t="s">
        <v>153</v>
      </c>
      <c r="P4" s="359" t="s">
        <v>145</v>
      </c>
      <c r="Q4" s="359" t="s">
        <v>146</v>
      </c>
      <c r="R4" s="359" t="s">
        <v>147</v>
      </c>
      <c r="S4" s="379" t="s">
        <v>148</v>
      </c>
    </row>
    <row r="5" spans="1:46" ht="15" customHeight="1" thickBot="1" x14ac:dyDescent="0.55000000000000004">
      <c r="C5" s="358">
        <v>0</v>
      </c>
      <c r="D5" s="342">
        <v>7676800</v>
      </c>
      <c r="E5" s="342">
        <v>10212900</v>
      </c>
      <c r="F5" s="342">
        <f t="shared" ref="F5:F45" si="0">D5+E5</f>
        <v>17889700</v>
      </c>
      <c r="G5" s="344">
        <f t="shared" ref="G5:G45" si="1">F5-$E$3</f>
        <v>2259272</v>
      </c>
      <c r="H5" s="351"/>
      <c r="I5" s="341">
        <v>10000000</v>
      </c>
      <c r="J5" s="342">
        <v>-1428372.0106172559</v>
      </c>
      <c r="K5" s="343">
        <v>8000000</v>
      </c>
      <c r="L5" s="342">
        <f t="shared" ref="L5:L45" si="2">J5+K5</f>
        <v>6571627.9893827438</v>
      </c>
      <c r="M5" s="344">
        <f t="shared" ref="M5:M45" ca="1" si="3">L5-$L$3</f>
        <v>-9058800.0106172562</v>
      </c>
      <c r="N5" s="338"/>
      <c r="O5" s="358">
        <f>U8</f>
        <v>3000000</v>
      </c>
      <c r="P5" s="342">
        <v>-545680.00065088272</v>
      </c>
      <c r="Q5" s="342">
        <v>15945319.999349117</v>
      </c>
      <c r="R5" s="342">
        <f t="shared" ref="R5:R45" si="4">P5+Q5</f>
        <v>15399639.998698235</v>
      </c>
      <c r="S5" s="344">
        <f t="shared" ref="S5:S45" si="5">R5-$Q$3</f>
        <v>-230788.00130176544</v>
      </c>
      <c r="U5" s="240" t="s">
        <v>154</v>
      </c>
    </row>
    <row r="6" spans="1:46" ht="15" customHeight="1" thickBot="1" x14ac:dyDescent="0.55000000000000004">
      <c r="C6" s="345">
        <v>1000000</v>
      </c>
      <c r="D6" s="346">
        <v>6952655.9997797012</v>
      </c>
      <c r="E6" s="346">
        <v>10711155.999779701</v>
      </c>
      <c r="F6" s="346">
        <f t="shared" si="0"/>
        <v>17663811.999559402</v>
      </c>
      <c r="G6" s="347">
        <f t="shared" si="1"/>
        <v>2033383.9995594025</v>
      </c>
      <c r="I6" s="345">
        <f t="shared" ref="I6:I45" si="6">I5+500000</f>
        <v>10500000</v>
      </c>
      <c r="J6" s="346">
        <v>-928372.01061725616</v>
      </c>
      <c r="K6" s="346">
        <v>8000000</v>
      </c>
      <c r="L6" s="346">
        <f t="shared" si="2"/>
        <v>7071627.9893827438</v>
      </c>
      <c r="M6" s="347">
        <f t="shared" ca="1" si="3"/>
        <v>-8558800.0106172562</v>
      </c>
      <c r="N6" s="338"/>
      <c r="O6" s="345">
        <f t="shared" ref="O6:O45" si="7">O5-$U$12</f>
        <v>2900000</v>
      </c>
      <c r="P6" s="346">
        <v>-409560.00060081482</v>
      </c>
      <c r="Q6" s="346">
        <v>15914079.999399185</v>
      </c>
      <c r="R6" s="346">
        <f t="shared" si="4"/>
        <v>15504519.99879837</v>
      </c>
      <c r="S6" s="347">
        <f t="shared" si="5"/>
        <v>-125908.00120162964</v>
      </c>
      <c r="U6" s="326">
        <f>シミュレーション!D7</f>
        <v>10000000</v>
      </c>
    </row>
    <row r="7" spans="1:46" ht="15" customHeight="1" thickBot="1" x14ac:dyDescent="0.55000000000000004">
      <c r="C7" s="345">
        <v>2000000</v>
      </c>
      <c r="D7" s="346">
        <v>6235539.9995744228</v>
      </c>
      <c r="E7" s="346">
        <v>11147739.999574423</v>
      </c>
      <c r="F7" s="346">
        <f t="shared" si="0"/>
        <v>17383279.999148846</v>
      </c>
      <c r="G7" s="347">
        <f t="shared" si="1"/>
        <v>1752851.9991488457</v>
      </c>
      <c r="I7" s="345">
        <f t="shared" si="6"/>
        <v>11000000</v>
      </c>
      <c r="J7" s="346">
        <v>-428372.01061725622</v>
      </c>
      <c r="K7" s="346">
        <v>8000000</v>
      </c>
      <c r="L7" s="346">
        <f t="shared" si="2"/>
        <v>7571627.9893827438</v>
      </c>
      <c r="M7" s="347">
        <f t="shared" ca="1" si="3"/>
        <v>-8058800.0106172562</v>
      </c>
      <c r="N7" s="338"/>
      <c r="O7" s="345">
        <f t="shared" si="7"/>
        <v>2800000</v>
      </c>
      <c r="P7" s="346">
        <v>-309200.00060081482</v>
      </c>
      <c r="Q7" s="346">
        <v>15864879.999399185</v>
      </c>
      <c r="R7" s="346">
        <f t="shared" si="4"/>
        <v>15555679.99879837</v>
      </c>
      <c r="S7" s="347">
        <f t="shared" si="5"/>
        <v>-74748.001201629639</v>
      </c>
      <c r="U7" s="240" t="s">
        <v>155</v>
      </c>
    </row>
    <row r="8" spans="1:46" ht="15" customHeight="1" thickBot="1" x14ac:dyDescent="0.55000000000000004">
      <c r="C8" s="345">
        <v>3000000</v>
      </c>
      <c r="D8" s="346">
        <v>5406819.9993491173</v>
      </c>
      <c r="E8" s="346">
        <v>11620219.999349117</v>
      </c>
      <c r="F8" s="346">
        <f t="shared" si="0"/>
        <v>17027039.998698235</v>
      </c>
      <c r="G8" s="347">
        <f t="shared" si="1"/>
        <v>1396611.9986982346</v>
      </c>
      <c r="I8" s="345">
        <f t="shared" si="6"/>
        <v>11500000</v>
      </c>
      <c r="J8" s="346">
        <v>40227.989382743843</v>
      </c>
      <c r="K8" s="346">
        <v>8000000</v>
      </c>
      <c r="L8" s="346">
        <f t="shared" si="2"/>
        <v>8040227.9893827438</v>
      </c>
      <c r="M8" s="347">
        <f t="shared" ca="1" si="3"/>
        <v>-7590200.0106172562</v>
      </c>
      <c r="N8" s="338"/>
      <c r="O8" s="345">
        <f t="shared" si="7"/>
        <v>2700000</v>
      </c>
      <c r="P8" s="346">
        <v>-173080.00055074692</v>
      </c>
      <c r="Q8" s="346">
        <v>15833239.999449253</v>
      </c>
      <c r="R8" s="346">
        <f t="shared" si="4"/>
        <v>15660159.998898506</v>
      </c>
      <c r="S8" s="347">
        <f t="shared" si="5"/>
        <v>29731.998898506165</v>
      </c>
      <c r="U8" s="325">
        <v>3000000</v>
      </c>
    </row>
    <row r="9" spans="1:46" ht="15" customHeight="1" thickBot="1" x14ac:dyDescent="0.55000000000000004">
      <c r="C9" s="345">
        <v>4000000</v>
      </c>
      <c r="D9" s="346">
        <v>4550079.9991488457</v>
      </c>
      <c r="E9" s="346">
        <v>12102779.999148846</v>
      </c>
      <c r="F9" s="346">
        <f t="shared" si="0"/>
        <v>16652859.998297691</v>
      </c>
      <c r="G9" s="347">
        <f t="shared" si="1"/>
        <v>1022431.9982976913</v>
      </c>
      <c r="I9" s="345">
        <f t="shared" si="6"/>
        <v>12000000</v>
      </c>
      <c r="J9" s="346">
        <v>428227.98938274378</v>
      </c>
      <c r="K9" s="346">
        <v>8000000</v>
      </c>
      <c r="L9" s="346">
        <f t="shared" si="2"/>
        <v>8428227.9893827438</v>
      </c>
      <c r="M9" s="347">
        <f t="shared" ca="1" si="3"/>
        <v>-7202200.0106172562</v>
      </c>
      <c r="N9" s="338"/>
      <c r="O9" s="345">
        <f t="shared" si="7"/>
        <v>2600000</v>
      </c>
      <c r="P9" s="346">
        <v>-72720.000550746918</v>
      </c>
      <c r="Q9" s="346">
        <v>15784039.999449253</v>
      </c>
      <c r="R9" s="346">
        <f t="shared" si="4"/>
        <v>15711319.998898506</v>
      </c>
      <c r="S9" s="347">
        <f t="shared" si="5"/>
        <v>80891.998898506165</v>
      </c>
      <c r="U9" s="327" t="s">
        <v>156</v>
      </c>
    </row>
    <row r="10" spans="1:46" ht="15" customHeight="1" thickBot="1" x14ac:dyDescent="0.55000000000000004">
      <c r="C10" s="345">
        <v>5000000</v>
      </c>
      <c r="D10" s="346">
        <v>3706619.998973608</v>
      </c>
      <c r="E10" s="346">
        <v>12595719.998973608</v>
      </c>
      <c r="F10" s="346">
        <f t="shared" si="0"/>
        <v>16302339.997947216</v>
      </c>
      <c r="G10" s="347">
        <f t="shared" si="1"/>
        <v>671911.99794721603</v>
      </c>
      <c r="I10" s="345">
        <f t="shared" si="6"/>
        <v>12500000</v>
      </c>
      <c r="J10" s="346">
        <v>816327.98938274384</v>
      </c>
      <c r="K10" s="346">
        <v>8000000</v>
      </c>
      <c r="L10" s="346">
        <f t="shared" si="2"/>
        <v>8816327.9893827438</v>
      </c>
      <c r="M10" s="347">
        <f t="shared" ca="1" si="3"/>
        <v>-6814100.0106172562</v>
      </c>
      <c r="N10" s="338"/>
      <c r="O10" s="345">
        <f t="shared" si="7"/>
        <v>2500000</v>
      </c>
      <c r="P10" s="346">
        <v>33799.999499320984</v>
      </c>
      <c r="Q10" s="346">
        <v>15752399.999499321</v>
      </c>
      <c r="R10" s="346">
        <f t="shared" si="4"/>
        <v>15786199.998998642</v>
      </c>
      <c r="S10" s="347">
        <f t="shared" si="5"/>
        <v>155771.99899864197</v>
      </c>
      <c r="U10" s="326">
        <f>U6-U8</f>
        <v>7000000</v>
      </c>
    </row>
    <row r="11" spans="1:46" ht="15" customHeight="1" thickBot="1" x14ac:dyDescent="0.55000000000000004">
      <c r="C11" s="345">
        <v>6000000</v>
      </c>
      <c r="D11" s="346">
        <v>2828499.9987483025</v>
      </c>
      <c r="E11" s="346">
        <v>13068199.998748302</v>
      </c>
      <c r="F11" s="346">
        <f t="shared" si="0"/>
        <v>15896699.997496605</v>
      </c>
      <c r="G11" s="347">
        <f t="shared" si="1"/>
        <v>266271.99749660492</v>
      </c>
      <c r="I11" s="345">
        <f t="shared" si="6"/>
        <v>13000000</v>
      </c>
      <c r="J11" s="346">
        <v>1204327.9893827441</v>
      </c>
      <c r="K11" s="346">
        <v>8000000</v>
      </c>
      <c r="L11" s="346">
        <f t="shared" si="2"/>
        <v>9204327.9893827438</v>
      </c>
      <c r="M11" s="347">
        <f t="shared" ca="1" si="3"/>
        <v>-6426100.0106172562</v>
      </c>
      <c r="O11" s="345">
        <f t="shared" si="7"/>
        <v>2400000</v>
      </c>
      <c r="P11" s="346">
        <v>111759.99949932098</v>
      </c>
      <c r="Q11" s="346">
        <v>15696899.999499321</v>
      </c>
      <c r="R11" s="346">
        <f t="shared" si="4"/>
        <v>15808659.998998642</v>
      </c>
      <c r="S11" s="347">
        <f t="shared" si="5"/>
        <v>178231.99899864197</v>
      </c>
      <c r="U11" s="327" t="s">
        <v>157</v>
      </c>
    </row>
    <row r="12" spans="1:46" ht="15" customHeight="1" thickBot="1" x14ac:dyDescent="0.55000000000000004">
      <c r="C12" s="345">
        <v>7000000</v>
      </c>
      <c r="D12" s="346">
        <v>1924879.9985229969</v>
      </c>
      <c r="E12" s="346">
        <v>13540279.998522997</v>
      </c>
      <c r="F12" s="346">
        <f t="shared" si="0"/>
        <v>15465159.997045994</v>
      </c>
      <c r="G12" s="347">
        <f t="shared" si="1"/>
        <v>-165268.0029540062</v>
      </c>
      <c r="I12" s="345">
        <f t="shared" si="6"/>
        <v>13500000</v>
      </c>
      <c r="J12" s="346">
        <v>1592427.9893827441</v>
      </c>
      <c r="K12" s="346">
        <v>8000000</v>
      </c>
      <c r="L12" s="346">
        <f t="shared" si="2"/>
        <v>9592427.9893827438</v>
      </c>
      <c r="M12" s="347">
        <f t="shared" ca="1" si="3"/>
        <v>-6038000.0106172562</v>
      </c>
      <c r="O12" s="345">
        <f t="shared" si="7"/>
        <v>2300000</v>
      </c>
      <c r="P12" s="346">
        <v>203599.99952435493</v>
      </c>
      <c r="Q12" s="346">
        <v>15650579.999524355</v>
      </c>
      <c r="R12" s="346">
        <f t="shared" si="4"/>
        <v>15854179.99904871</v>
      </c>
      <c r="S12" s="347">
        <f t="shared" si="5"/>
        <v>223751.99904870987</v>
      </c>
      <c r="U12" s="328">
        <v>100000</v>
      </c>
    </row>
    <row r="13" spans="1:46" x14ac:dyDescent="0.5">
      <c r="C13" s="345">
        <v>8000000</v>
      </c>
      <c r="D13" s="346">
        <v>1046919.9979972839</v>
      </c>
      <c r="E13" s="346">
        <v>14031299.997997284</v>
      </c>
      <c r="F13" s="346">
        <f t="shared" si="0"/>
        <v>15078219.995994568</v>
      </c>
      <c r="G13" s="347">
        <f t="shared" si="1"/>
        <v>-552208.00400543213</v>
      </c>
      <c r="I13" s="345">
        <f t="shared" si="6"/>
        <v>14000000</v>
      </c>
      <c r="J13" s="346">
        <v>1980427.9893827441</v>
      </c>
      <c r="K13" s="346">
        <v>8000000</v>
      </c>
      <c r="L13" s="346">
        <f t="shared" si="2"/>
        <v>9980427.9893827438</v>
      </c>
      <c r="M13" s="347">
        <f t="shared" ca="1" si="3"/>
        <v>-5650000.0106172562</v>
      </c>
      <c r="O13" s="345">
        <f t="shared" si="7"/>
        <v>2200000</v>
      </c>
      <c r="P13" s="346">
        <v>295139.99954938889</v>
      </c>
      <c r="Q13" s="346">
        <v>15604359.999549389</v>
      </c>
      <c r="R13" s="346">
        <f t="shared" si="4"/>
        <v>15899499.999098778</v>
      </c>
      <c r="S13" s="347">
        <f t="shared" si="5"/>
        <v>269071.99909877777</v>
      </c>
    </row>
    <row r="14" spans="1:46" x14ac:dyDescent="0.5">
      <c r="C14" s="345">
        <v>9000000</v>
      </c>
      <c r="D14" s="346">
        <v>233519.99712109566</v>
      </c>
      <c r="E14" s="346">
        <v>14567499.997121096</v>
      </c>
      <c r="F14" s="346">
        <f t="shared" si="0"/>
        <v>14801019.994242191</v>
      </c>
      <c r="G14" s="347">
        <f t="shared" si="1"/>
        <v>-829408.00575780869</v>
      </c>
      <c r="I14" s="345">
        <f t="shared" si="6"/>
        <v>14500000</v>
      </c>
      <c r="J14" s="346">
        <v>2368527.9893827438</v>
      </c>
      <c r="K14" s="346">
        <v>8000000</v>
      </c>
      <c r="L14" s="346">
        <f t="shared" si="2"/>
        <v>10368527.989382744</v>
      </c>
      <c r="M14" s="347">
        <f t="shared" ca="1" si="3"/>
        <v>-5261900.0106172562</v>
      </c>
      <c r="O14" s="345">
        <f t="shared" si="7"/>
        <v>2100000</v>
      </c>
      <c r="P14" s="346">
        <v>373099.99954938889</v>
      </c>
      <c r="Q14" s="346">
        <v>15548059.999549389</v>
      </c>
      <c r="R14" s="346">
        <f t="shared" si="4"/>
        <v>15921159.999098778</v>
      </c>
      <c r="S14" s="347">
        <f t="shared" si="5"/>
        <v>290731.99909877777</v>
      </c>
    </row>
    <row r="15" spans="1:46" x14ac:dyDescent="0.5">
      <c r="C15" s="345">
        <v>10000000</v>
      </c>
      <c r="D15" s="346">
        <v>-734480.00388026237</v>
      </c>
      <c r="E15" s="346">
        <v>15099399.996119738</v>
      </c>
      <c r="F15" s="346">
        <f t="shared" si="0"/>
        <v>14364919.992239475</v>
      </c>
      <c r="G15" s="347">
        <f t="shared" si="1"/>
        <v>-1265508.0077605247</v>
      </c>
      <c r="I15" s="345">
        <f t="shared" si="6"/>
        <v>15000000</v>
      </c>
      <c r="J15" s="346">
        <v>2756527.9893827438</v>
      </c>
      <c r="K15" s="346">
        <v>8000000</v>
      </c>
      <c r="L15" s="346">
        <f t="shared" si="2"/>
        <v>10756527.989382744</v>
      </c>
      <c r="M15" s="347">
        <f t="shared" ca="1" si="3"/>
        <v>-4873900.0106172562</v>
      </c>
      <c r="O15" s="345">
        <f t="shared" si="7"/>
        <v>2000000</v>
      </c>
      <c r="P15" s="346">
        <v>464939.99957442284</v>
      </c>
      <c r="Q15" s="346">
        <v>15501739.999574423</v>
      </c>
      <c r="R15" s="346">
        <f t="shared" si="4"/>
        <v>15966679.999148846</v>
      </c>
      <c r="S15" s="347">
        <f t="shared" si="5"/>
        <v>336251.99914884567</v>
      </c>
    </row>
    <row r="16" spans="1:46" x14ac:dyDescent="0.5">
      <c r="C16" s="345">
        <v>11000000</v>
      </c>
      <c r="D16" s="346">
        <v>-1803480.0051319599</v>
      </c>
      <c r="E16" s="346">
        <v>15586799.99486804</v>
      </c>
      <c r="F16" s="346">
        <f t="shared" si="0"/>
        <v>13783319.98973608</v>
      </c>
      <c r="G16" s="347">
        <f t="shared" si="1"/>
        <v>-1847108.0102639198</v>
      </c>
      <c r="I16" s="345">
        <f t="shared" si="6"/>
        <v>15500000</v>
      </c>
      <c r="J16" s="346">
        <v>3140527.9893827438</v>
      </c>
      <c r="K16" s="346">
        <v>8000000</v>
      </c>
      <c r="L16" s="346">
        <f t="shared" si="2"/>
        <v>11140527.989382744</v>
      </c>
      <c r="M16" s="347">
        <f t="shared" ca="1" si="3"/>
        <v>-4489900.0106172562</v>
      </c>
      <c r="O16" s="345">
        <f t="shared" si="7"/>
        <v>1900000</v>
      </c>
      <c r="P16" s="346">
        <v>556579.99959945679</v>
      </c>
      <c r="Q16" s="346">
        <v>15455919.999599457</v>
      </c>
      <c r="R16" s="346">
        <f t="shared" si="4"/>
        <v>16012499.999198914</v>
      </c>
      <c r="S16" s="347">
        <f t="shared" si="5"/>
        <v>382071.99919891357</v>
      </c>
    </row>
    <row r="17" spans="3:19" x14ac:dyDescent="0.5">
      <c r="C17" s="345">
        <v>12000000</v>
      </c>
      <c r="D17" s="346">
        <v>-2837980.0057578087</v>
      </c>
      <c r="E17" s="346">
        <v>16010399.994242191</v>
      </c>
      <c r="F17" s="346">
        <f t="shared" si="0"/>
        <v>13172419.988484383</v>
      </c>
      <c r="G17" s="347">
        <f t="shared" si="1"/>
        <v>-2458008.0115156174</v>
      </c>
      <c r="I17" s="345">
        <f t="shared" si="6"/>
        <v>16000000</v>
      </c>
      <c r="J17" s="346">
        <v>3514227.9893827438</v>
      </c>
      <c r="K17" s="346">
        <v>8000000</v>
      </c>
      <c r="L17" s="346">
        <f t="shared" si="2"/>
        <v>11514227.989382744</v>
      </c>
      <c r="M17" s="347">
        <f t="shared" ca="1" si="3"/>
        <v>-4116200.0106172562</v>
      </c>
      <c r="O17" s="345">
        <f t="shared" si="7"/>
        <v>1800000</v>
      </c>
      <c r="P17" s="346">
        <v>648319.99962449074</v>
      </c>
      <c r="Q17" s="346">
        <v>15409599.999624491</v>
      </c>
      <c r="R17" s="346">
        <f t="shared" si="4"/>
        <v>16057919.999248981</v>
      </c>
      <c r="S17" s="347">
        <f t="shared" si="5"/>
        <v>427491.99924898148</v>
      </c>
    </row>
    <row r="18" spans="3:19" ht="14.25" customHeight="1" x14ac:dyDescent="0.5">
      <c r="C18" s="345">
        <v>13000000</v>
      </c>
      <c r="D18" s="346">
        <v>-3913880.007134676</v>
      </c>
      <c r="E18" s="346">
        <v>16464699.992865324</v>
      </c>
      <c r="F18" s="346">
        <f t="shared" si="0"/>
        <v>12550819.985730648</v>
      </c>
      <c r="G18" s="347">
        <f t="shared" si="1"/>
        <v>-3079608.014269352</v>
      </c>
      <c r="I18" s="345">
        <f t="shared" si="6"/>
        <v>16500000</v>
      </c>
      <c r="J18" s="346">
        <v>3887927.9893827438</v>
      </c>
      <c r="K18" s="346">
        <v>8000000</v>
      </c>
      <c r="L18" s="346">
        <f t="shared" si="2"/>
        <v>11887927.989382744</v>
      </c>
      <c r="M18" s="347">
        <f t="shared" ca="1" si="3"/>
        <v>-3742500.0106172562</v>
      </c>
      <c r="O18" s="345">
        <f t="shared" si="7"/>
        <v>1700000</v>
      </c>
      <c r="P18" s="346">
        <v>737383.9996445179</v>
      </c>
      <c r="Q18" s="346">
        <v>15361003.999644518</v>
      </c>
      <c r="R18" s="346">
        <f t="shared" si="4"/>
        <v>16098387.999289036</v>
      </c>
      <c r="S18" s="347">
        <f t="shared" si="5"/>
        <v>467959.9992890358</v>
      </c>
    </row>
    <row r="19" spans="3:19" ht="14.25" customHeight="1" x14ac:dyDescent="0.5">
      <c r="C19" s="345">
        <v>14000000</v>
      </c>
      <c r="D19" s="346">
        <v>-4955280.0078856945</v>
      </c>
      <c r="E19" s="346">
        <v>16885399.992114305</v>
      </c>
      <c r="F19" s="346">
        <f t="shared" si="0"/>
        <v>11930119.984228611</v>
      </c>
      <c r="G19" s="347">
        <f t="shared" si="1"/>
        <v>-3700308.015771389</v>
      </c>
      <c r="I19" s="345">
        <f t="shared" si="6"/>
        <v>17000000</v>
      </c>
      <c r="J19" s="346">
        <v>4261527.9893827438</v>
      </c>
      <c r="K19" s="346">
        <v>8000000</v>
      </c>
      <c r="L19" s="346">
        <f t="shared" si="2"/>
        <v>12261527.989382744</v>
      </c>
      <c r="M19" s="347">
        <f t="shared" ca="1" si="3"/>
        <v>-3368900.0106172562</v>
      </c>
      <c r="O19" s="345">
        <f t="shared" si="7"/>
        <v>1600000</v>
      </c>
      <c r="P19" s="346">
        <v>826347.99966454506</v>
      </c>
      <c r="Q19" s="346">
        <v>15312907.999664545</v>
      </c>
      <c r="R19" s="346">
        <f t="shared" si="4"/>
        <v>16139255.99932909</v>
      </c>
      <c r="S19" s="347">
        <f t="shared" si="5"/>
        <v>508827.99932909012</v>
      </c>
    </row>
    <row r="20" spans="3:19" x14ac:dyDescent="0.5">
      <c r="C20" s="345">
        <v>15000000</v>
      </c>
      <c r="D20" s="346">
        <v>-5916922.0023024082</v>
      </c>
      <c r="E20" s="346">
        <v>17232857.997697592</v>
      </c>
      <c r="F20" s="346">
        <f t="shared" si="0"/>
        <v>11315935.995395184</v>
      </c>
      <c r="G20" s="347">
        <f t="shared" si="1"/>
        <v>-4314492.0046048164</v>
      </c>
      <c r="I20" s="345">
        <f t="shared" si="6"/>
        <v>17500000</v>
      </c>
      <c r="J20" s="346">
        <v>4635227.9893827438</v>
      </c>
      <c r="K20" s="346">
        <v>8000000</v>
      </c>
      <c r="L20" s="346">
        <f t="shared" si="2"/>
        <v>12635227.989382744</v>
      </c>
      <c r="M20" s="347">
        <f t="shared" ca="1" si="3"/>
        <v>-2995200.0106172562</v>
      </c>
      <c r="O20" s="345">
        <f t="shared" si="7"/>
        <v>1500000</v>
      </c>
      <c r="P20" s="346">
        <v>915311.99968457222</v>
      </c>
      <c r="Q20" s="346">
        <v>15264811.999684572</v>
      </c>
      <c r="R20" s="346">
        <f t="shared" si="4"/>
        <v>16180123.999369144</v>
      </c>
      <c r="S20" s="347">
        <f t="shared" si="5"/>
        <v>549695.99936914444</v>
      </c>
    </row>
    <row r="21" spans="3:19" x14ac:dyDescent="0.5">
      <c r="C21" s="345">
        <v>16000000</v>
      </c>
      <c r="D21" s="346">
        <v>-6952598.0027186871</v>
      </c>
      <c r="E21" s="346">
        <v>17625781.997281313</v>
      </c>
      <c r="F21" s="346">
        <f t="shared" si="0"/>
        <v>10673183.994562626</v>
      </c>
      <c r="G21" s="347">
        <f t="shared" si="1"/>
        <v>-4957244.0054373741</v>
      </c>
      <c r="I21" s="345">
        <f t="shared" si="6"/>
        <v>18000000</v>
      </c>
      <c r="J21" s="346">
        <v>5008827.9893827438</v>
      </c>
      <c r="K21" s="346">
        <v>8000000</v>
      </c>
      <c r="L21" s="346">
        <f t="shared" si="2"/>
        <v>13008827.989382744</v>
      </c>
      <c r="M21" s="347">
        <f t="shared" ca="1" si="3"/>
        <v>-2621600.0106172562</v>
      </c>
      <c r="O21" s="345">
        <f t="shared" si="7"/>
        <v>1400000</v>
      </c>
      <c r="P21" s="346">
        <v>1004375.9997045994</v>
      </c>
      <c r="Q21" s="346">
        <v>15216215.999704599</v>
      </c>
      <c r="R21" s="346">
        <f t="shared" si="4"/>
        <v>16220591.999409199</v>
      </c>
      <c r="S21" s="347">
        <f t="shared" si="5"/>
        <v>590163.99940919876</v>
      </c>
    </row>
    <row r="22" spans="3:19" x14ac:dyDescent="0.5">
      <c r="C22" s="345">
        <v>17000000</v>
      </c>
      <c r="D22" s="346">
        <v>-7988274.0031349659</v>
      </c>
      <c r="E22" s="346">
        <v>18100005.996865034</v>
      </c>
      <c r="F22" s="346">
        <f t="shared" si="0"/>
        <v>10111731.993730068</v>
      </c>
      <c r="G22" s="347">
        <f t="shared" si="1"/>
        <v>-5518696.0062699318</v>
      </c>
      <c r="I22" s="345">
        <f t="shared" si="6"/>
        <v>18500000</v>
      </c>
      <c r="J22" s="346">
        <v>5382627.9893827438</v>
      </c>
      <c r="K22" s="346">
        <v>8000000</v>
      </c>
      <c r="L22" s="346">
        <f t="shared" si="2"/>
        <v>13382627.989382744</v>
      </c>
      <c r="M22" s="347">
        <f t="shared" ca="1" si="3"/>
        <v>-2247800.0106172562</v>
      </c>
      <c r="O22" s="345">
        <f t="shared" si="7"/>
        <v>1300000</v>
      </c>
      <c r="P22" s="346">
        <v>1093339.9997246265</v>
      </c>
      <c r="Q22" s="346">
        <v>15168119.999724627</v>
      </c>
      <c r="R22" s="346">
        <f t="shared" si="4"/>
        <v>16261459.999449253</v>
      </c>
      <c r="S22" s="347">
        <f t="shared" si="5"/>
        <v>631031.99944925308</v>
      </c>
    </row>
    <row r="23" spans="3:19" x14ac:dyDescent="0.5">
      <c r="C23" s="345">
        <v>18000000</v>
      </c>
      <c r="D23" s="346">
        <v>-8988274.0031349659</v>
      </c>
      <c r="E23" s="346">
        <v>18591605.996865034</v>
      </c>
      <c r="F23" s="346">
        <f t="shared" si="0"/>
        <v>9603331.9937300682</v>
      </c>
      <c r="G23" s="347">
        <f t="shared" si="1"/>
        <v>-6027096.0062699318</v>
      </c>
      <c r="I23" s="345">
        <f t="shared" si="6"/>
        <v>19000000</v>
      </c>
      <c r="J23" s="346">
        <v>5756127.9893827438</v>
      </c>
      <c r="K23" s="346">
        <v>8000000</v>
      </c>
      <c r="L23" s="346">
        <f t="shared" si="2"/>
        <v>13756127.989382744</v>
      </c>
      <c r="M23" s="347">
        <f t="shared" ca="1" si="3"/>
        <v>-1874300.0106172562</v>
      </c>
      <c r="O23" s="345">
        <f t="shared" si="7"/>
        <v>1200000</v>
      </c>
      <c r="P23" s="346">
        <v>1187855.9997546673</v>
      </c>
      <c r="Q23" s="346">
        <v>15124075.999754667</v>
      </c>
      <c r="R23" s="346">
        <f t="shared" si="4"/>
        <v>16311931.999509335</v>
      </c>
      <c r="S23" s="347">
        <f t="shared" si="5"/>
        <v>681503.99950933456</v>
      </c>
    </row>
    <row r="24" spans="3:19" x14ac:dyDescent="0.5">
      <c r="C24" s="345">
        <v>19000000</v>
      </c>
      <c r="D24" s="346">
        <v>-9988274.0031349659</v>
      </c>
      <c r="E24" s="346">
        <v>19083205.996865034</v>
      </c>
      <c r="F24" s="346">
        <f t="shared" si="0"/>
        <v>9094931.9937300682</v>
      </c>
      <c r="G24" s="347">
        <f t="shared" si="1"/>
        <v>-6535496.0062699318</v>
      </c>
      <c r="I24" s="345">
        <f t="shared" si="6"/>
        <v>19500000</v>
      </c>
      <c r="J24" s="346">
        <v>6112427.9893827438</v>
      </c>
      <c r="K24" s="346">
        <v>8000000</v>
      </c>
      <c r="L24" s="346">
        <f t="shared" si="2"/>
        <v>14112427.989382744</v>
      </c>
      <c r="M24" s="347">
        <f t="shared" ca="1" si="3"/>
        <v>-1518000.0106172562</v>
      </c>
      <c r="O24" s="345">
        <f t="shared" si="7"/>
        <v>1100000</v>
      </c>
      <c r="P24" s="346">
        <v>1279695.9997797012</v>
      </c>
      <c r="Q24" s="346">
        <v>15077755.999779701</v>
      </c>
      <c r="R24" s="346">
        <f t="shared" si="4"/>
        <v>16357451.999559402</v>
      </c>
      <c r="S24" s="347">
        <f t="shared" si="5"/>
        <v>727023.99955940247</v>
      </c>
    </row>
    <row r="25" spans="3:19" x14ac:dyDescent="0.5">
      <c r="C25" s="345">
        <v>20000000</v>
      </c>
      <c r="D25" s="346">
        <v>-10988274.003134966</v>
      </c>
      <c r="E25" s="346">
        <v>19574805.996865034</v>
      </c>
      <c r="F25" s="346">
        <f t="shared" si="0"/>
        <v>8586531.9937300682</v>
      </c>
      <c r="G25" s="347">
        <f t="shared" si="1"/>
        <v>-7043896.0062699318</v>
      </c>
      <c r="I25" s="345">
        <f t="shared" si="6"/>
        <v>20000000</v>
      </c>
      <c r="J25" s="346">
        <v>6424327.9893827438</v>
      </c>
      <c r="K25" s="346">
        <v>8000000</v>
      </c>
      <c r="L25" s="346">
        <f t="shared" si="2"/>
        <v>14424327.989382744</v>
      </c>
      <c r="M25" s="347">
        <f t="shared" ca="1" si="3"/>
        <v>-1206100.0106172562</v>
      </c>
      <c r="O25" s="345">
        <f t="shared" si="7"/>
        <v>1000000</v>
      </c>
      <c r="P25" s="346">
        <v>1357455.9997797012</v>
      </c>
      <c r="Q25" s="346">
        <v>15021455.999779701</v>
      </c>
      <c r="R25" s="346">
        <f t="shared" si="4"/>
        <v>16378911.999559402</v>
      </c>
      <c r="S25" s="347">
        <f t="shared" si="5"/>
        <v>748483.99955940247</v>
      </c>
    </row>
    <row r="26" spans="3:19" x14ac:dyDescent="0.5">
      <c r="C26" s="345">
        <v>21000000</v>
      </c>
      <c r="D26" s="346">
        <v>-11988274.003134966</v>
      </c>
      <c r="E26" s="346">
        <v>20066405.996865034</v>
      </c>
      <c r="F26" s="346">
        <f t="shared" si="0"/>
        <v>8078131.9937300682</v>
      </c>
      <c r="G26" s="347">
        <f t="shared" si="1"/>
        <v>-7552296.0062699318</v>
      </c>
      <c r="I26" s="345">
        <f t="shared" si="6"/>
        <v>20500000</v>
      </c>
      <c r="J26" s="346">
        <v>6736227.9893827438</v>
      </c>
      <c r="K26" s="346">
        <v>8000000</v>
      </c>
      <c r="L26" s="346">
        <f t="shared" si="2"/>
        <v>14736227.989382744</v>
      </c>
      <c r="M26" s="347">
        <f t="shared" ca="1" si="3"/>
        <v>-894200.01061725616</v>
      </c>
      <c r="O26" s="345">
        <f t="shared" si="7"/>
        <v>900000</v>
      </c>
      <c r="P26" s="346">
        <v>1440715.999904871</v>
      </c>
      <c r="Q26" s="346">
        <v>14969055.999904871</v>
      </c>
      <c r="R26" s="346">
        <f t="shared" si="4"/>
        <v>16409771.999809742</v>
      </c>
      <c r="S26" s="347">
        <f t="shared" si="5"/>
        <v>779343.99980974197</v>
      </c>
    </row>
    <row r="27" spans="3:19" x14ac:dyDescent="0.5">
      <c r="C27" s="345">
        <v>22000000</v>
      </c>
      <c r="D27" s="346">
        <v>-12988274.003134966</v>
      </c>
      <c r="E27" s="346">
        <v>20558005.996865034</v>
      </c>
      <c r="F27" s="346">
        <f t="shared" si="0"/>
        <v>7569731.9937300682</v>
      </c>
      <c r="G27" s="347">
        <f t="shared" si="1"/>
        <v>-8060696.0062699318</v>
      </c>
      <c r="I27" s="345">
        <f t="shared" si="6"/>
        <v>21000000</v>
      </c>
      <c r="J27" s="346">
        <v>7048127.9893827438</v>
      </c>
      <c r="K27" s="346">
        <v>8000000</v>
      </c>
      <c r="L27" s="346">
        <f t="shared" si="2"/>
        <v>15048127.989382744</v>
      </c>
      <c r="M27" s="347">
        <f t="shared" ca="1" si="3"/>
        <v>-582300.01061725616</v>
      </c>
      <c r="O27" s="345">
        <f t="shared" si="7"/>
        <v>800000</v>
      </c>
      <c r="P27" s="346">
        <v>1524076.0000300407</v>
      </c>
      <c r="Q27" s="346">
        <v>14916556.000030041</v>
      </c>
      <c r="R27" s="346">
        <f t="shared" si="4"/>
        <v>16440632.000060081</v>
      </c>
      <c r="S27" s="347">
        <f t="shared" si="5"/>
        <v>810204.00006008148</v>
      </c>
    </row>
    <row r="28" spans="3:19" x14ac:dyDescent="0.5">
      <c r="C28" s="345">
        <v>23000000</v>
      </c>
      <c r="D28" s="346">
        <v>-13988274.003134966</v>
      </c>
      <c r="E28" s="346">
        <v>21049605.996865034</v>
      </c>
      <c r="F28" s="346">
        <f t="shared" si="0"/>
        <v>7061331.9937300682</v>
      </c>
      <c r="G28" s="347">
        <f t="shared" si="1"/>
        <v>-8569096.0062699318</v>
      </c>
      <c r="I28" s="345">
        <f t="shared" si="6"/>
        <v>21500000</v>
      </c>
      <c r="J28" s="346">
        <v>7359827.9893827438</v>
      </c>
      <c r="K28" s="346">
        <v>8000000</v>
      </c>
      <c r="L28" s="346">
        <f t="shared" si="2"/>
        <v>15359827.989382744</v>
      </c>
      <c r="M28" s="347">
        <f t="shared" ca="1" si="3"/>
        <v>-270600.01061725616</v>
      </c>
      <c r="O28" s="345">
        <f t="shared" si="7"/>
        <v>700000</v>
      </c>
      <c r="P28" s="346">
        <v>1607436.0001552105</v>
      </c>
      <c r="Q28" s="346">
        <v>14864056.00015521</v>
      </c>
      <c r="R28" s="346">
        <f t="shared" si="4"/>
        <v>16471492.000310421</v>
      </c>
      <c r="S28" s="347">
        <f t="shared" si="5"/>
        <v>841064.00031042099</v>
      </c>
    </row>
    <row r="29" spans="3:19" x14ac:dyDescent="0.5">
      <c r="C29" s="345">
        <v>24000000</v>
      </c>
      <c r="D29" s="346">
        <v>-14988274.003134966</v>
      </c>
      <c r="E29" s="346">
        <v>21541205.996865034</v>
      </c>
      <c r="F29" s="346">
        <f t="shared" si="0"/>
        <v>6552931.9937300682</v>
      </c>
      <c r="G29" s="347">
        <f t="shared" si="1"/>
        <v>-9077496.0062699318</v>
      </c>
      <c r="I29" s="345">
        <f t="shared" si="6"/>
        <v>22000000</v>
      </c>
      <c r="J29" s="346">
        <v>7671827.9893827438</v>
      </c>
      <c r="K29" s="346">
        <v>8000000</v>
      </c>
      <c r="L29" s="346">
        <f t="shared" si="2"/>
        <v>15671827.989382744</v>
      </c>
      <c r="M29" s="347">
        <f t="shared" ca="1" si="3"/>
        <v>41399.989382743835</v>
      </c>
      <c r="O29" s="345">
        <f t="shared" si="7"/>
        <v>600000</v>
      </c>
      <c r="P29" s="346">
        <v>1685096.0001552105</v>
      </c>
      <c r="Q29" s="346">
        <v>14807756.00015521</v>
      </c>
      <c r="R29" s="346">
        <f t="shared" si="4"/>
        <v>16492852.000310421</v>
      </c>
      <c r="S29" s="347">
        <f t="shared" si="5"/>
        <v>862424.00031042099</v>
      </c>
    </row>
    <row r="30" spans="3:19" x14ac:dyDescent="0.5">
      <c r="C30" s="345">
        <v>25000000</v>
      </c>
      <c r="D30" s="346">
        <v>-15988274.003134966</v>
      </c>
      <c r="E30" s="346">
        <v>22032805.996865034</v>
      </c>
      <c r="F30" s="346">
        <f t="shared" si="0"/>
        <v>6044531.9937300682</v>
      </c>
      <c r="G30" s="347">
        <f t="shared" si="1"/>
        <v>-9585896.0062699318</v>
      </c>
      <c r="I30" s="345">
        <f t="shared" si="6"/>
        <v>22500000</v>
      </c>
      <c r="J30" s="346">
        <v>7983627.9893827438</v>
      </c>
      <c r="K30" s="346">
        <v>8000000</v>
      </c>
      <c r="L30" s="346">
        <f t="shared" si="2"/>
        <v>15983627.989382744</v>
      </c>
      <c r="M30" s="347">
        <f t="shared" ca="1" si="3"/>
        <v>353199.98938274384</v>
      </c>
      <c r="O30" s="345">
        <f t="shared" si="7"/>
        <v>500000</v>
      </c>
      <c r="P30" s="346">
        <v>1763056.0001552105</v>
      </c>
      <c r="Q30" s="346">
        <v>14751456.00015521</v>
      </c>
      <c r="R30" s="346">
        <f t="shared" si="4"/>
        <v>16514512.000310421</v>
      </c>
      <c r="S30" s="347">
        <f t="shared" si="5"/>
        <v>884084.00031042099</v>
      </c>
    </row>
    <row r="31" spans="3:19" x14ac:dyDescent="0.5">
      <c r="C31" s="345">
        <v>26000000</v>
      </c>
      <c r="D31" s="346">
        <v>-16988274.003134966</v>
      </c>
      <c r="E31" s="346">
        <v>22524405.996865034</v>
      </c>
      <c r="F31" s="346">
        <f t="shared" si="0"/>
        <v>5536131.9937300682</v>
      </c>
      <c r="G31" s="347">
        <f t="shared" si="1"/>
        <v>-10094296.006269932</v>
      </c>
      <c r="I31" s="345">
        <f t="shared" si="6"/>
        <v>23000000</v>
      </c>
      <c r="J31" s="346">
        <v>8295527.9893827438</v>
      </c>
      <c r="K31" s="346">
        <v>8000000</v>
      </c>
      <c r="L31" s="346">
        <f t="shared" si="2"/>
        <v>16295527.989382744</v>
      </c>
      <c r="M31" s="347">
        <f t="shared" ca="1" si="3"/>
        <v>665099.98938274384</v>
      </c>
      <c r="O31" s="345">
        <f t="shared" si="7"/>
        <v>400000</v>
      </c>
      <c r="P31" s="346">
        <v>1841016.0001552105</v>
      </c>
      <c r="Q31" s="346">
        <v>14695156.00015521</v>
      </c>
      <c r="R31" s="346">
        <f t="shared" si="4"/>
        <v>16536172.000310421</v>
      </c>
      <c r="S31" s="347">
        <f t="shared" si="5"/>
        <v>905744.00031042099</v>
      </c>
    </row>
    <row r="32" spans="3:19" x14ac:dyDescent="0.5">
      <c r="C32" s="345">
        <v>27000000</v>
      </c>
      <c r="D32" s="346">
        <v>-17988274.003134966</v>
      </c>
      <c r="E32" s="346">
        <v>23016005.996865034</v>
      </c>
      <c r="F32" s="346">
        <f t="shared" si="0"/>
        <v>5027731.9937300682</v>
      </c>
      <c r="G32" s="347">
        <f t="shared" si="1"/>
        <v>-10602696.006269932</v>
      </c>
      <c r="I32" s="345">
        <f t="shared" si="6"/>
        <v>23500000</v>
      </c>
      <c r="J32" s="346">
        <v>8607427.9893827438</v>
      </c>
      <c r="K32" s="346">
        <v>8000000</v>
      </c>
      <c r="L32" s="346">
        <f t="shared" si="2"/>
        <v>16607427.989382744</v>
      </c>
      <c r="M32" s="347">
        <f t="shared" ca="1" si="3"/>
        <v>976999.98938274384</v>
      </c>
      <c r="O32" s="345">
        <f t="shared" si="7"/>
        <v>300000</v>
      </c>
      <c r="P32" s="346">
        <v>1918876.0001552105</v>
      </c>
      <c r="Q32" s="346">
        <v>14638856.00015521</v>
      </c>
      <c r="R32" s="346">
        <f t="shared" si="4"/>
        <v>16557732.000310421</v>
      </c>
      <c r="S32" s="347">
        <f t="shared" si="5"/>
        <v>927304.00031042099</v>
      </c>
    </row>
    <row r="33" spans="3:19" x14ac:dyDescent="0.5">
      <c r="C33" s="345">
        <v>28000000</v>
      </c>
      <c r="D33" s="346">
        <v>-18988274.003134966</v>
      </c>
      <c r="E33" s="346">
        <v>23507605.996865034</v>
      </c>
      <c r="F33" s="346">
        <f t="shared" si="0"/>
        <v>4519331.9937300682</v>
      </c>
      <c r="G33" s="347">
        <f t="shared" si="1"/>
        <v>-11111096.006269932</v>
      </c>
      <c r="I33" s="345">
        <f t="shared" si="6"/>
        <v>24000000</v>
      </c>
      <c r="J33" s="346">
        <v>8919327.9893827438</v>
      </c>
      <c r="K33" s="346">
        <v>8000000</v>
      </c>
      <c r="L33" s="346">
        <f t="shared" si="2"/>
        <v>16919327.989382744</v>
      </c>
      <c r="M33" s="347">
        <f t="shared" ca="1" si="3"/>
        <v>1288899.9893827438</v>
      </c>
      <c r="O33" s="345">
        <f t="shared" si="7"/>
        <v>200000</v>
      </c>
      <c r="P33" s="346">
        <v>1996736.0001552105</v>
      </c>
      <c r="Q33" s="346">
        <v>14582556.00015521</v>
      </c>
      <c r="R33" s="346">
        <f t="shared" si="4"/>
        <v>16579292.000310421</v>
      </c>
      <c r="S33" s="347">
        <f t="shared" si="5"/>
        <v>948864.00031042099</v>
      </c>
    </row>
    <row r="34" spans="3:19" x14ac:dyDescent="0.5">
      <c r="C34" s="345">
        <v>29000000</v>
      </c>
      <c r="D34" s="346">
        <v>-19988274.003134966</v>
      </c>
      <c r="E34" s="346">
        <v>23999205.996865034</v>
      </c>
      <c r="F34" s="346">
        <f t="shared" si="0"/>
        <v>4010931.9937300682</v>
      </c>
      <c r="G34" s="347">
        <f t="shared" si="1"/>
        <v>-11619496.006269932</v>
      </c>
      <c r="I34" s="345">
        <f t="shared" si="6"/>
        <v>24500000</v>
      </c>
      <c r="J34" s="346">
        <v>9231127.9893827438</v>
      </c>
      <c r="K34" s="346">
        <v>8000000</v>
      </c>
      <c r="L34" s="346">
        <f t="shared" si="2"/>
        <v>17231127.989382744</v>
      </c>
      <c r="M34" s="347">
        <f t="shared" ca="1" si="3"/>
        <v>1600699.9893827438</v>
      </c>
      <c r="O34" s="345">
        <f t="shared" si="7"/>
        <v>100000</v>
      </c>
      <c r="P34" s="346">
        <v>2074796.0001552105</v>
      </c>
      <c r="Q34" s="346">
        <v>14526256.00015521</v>
      </c>
      <c r="R34" s="346">
        <f t="shared" si="4"/>
        <v>16601052.000310421</v>
      </c>
      <c r="S34" s="347">
        <f t="shared" si="5"/>
        <v>970624.00031042099</v>
      </c>
    </row>
    <row r="35" spans="3:19" x14ac:dyDescent="0.5">
      <c r="C35" s="345">
        <v>30000000</v>
      </c>
      <c r="D35" s="346">
        <v>-20988274.003134966</v>
      </c>
      <c r="E35" s="346">
        <v>24490805.996865034</v>
      </c>
      <c r="F35" s="346">
        <f t="shared" si="0"/>
        <v>3502531.9937300682</v>
      </c>
      <c r="G35" s="347">
        <f t="shared" si="1"/>
        <v>-12127896.006269932</v>
      </c>
      <c r="I35" s="345">
        <f t="shared" si="6"/>
        <v>25000000</v>
      </c>
      <c r="J35" s="346">
        <v>9543127.9893827438</v>
      </c>
      <c r="K35" s="346">
        <v>8000000</v>
      </c>
      <c r="L35" s="346">
        <f t="shared" si="2"/>
        <v>17543127.989382744</v>
      </c>
      <c r="M35" s="347">
        <f t="shared" ca="1" si="3"/>
        <v>1912699.9893827438</v>
      </c>
      <c r="O35" s="345">
        <f t="shared" si="7"/>
        <v>0</v>
      </c>
      <c r="P35" s="346">
        <v>2258500</v>
      </c>
      <c r="Q35" s="346">
        <v>14546700</v>
      </c>
      <c r="R35" s="346">
        <f t="shared" si="4"/>
        <v>16805200</v>
      </c>
      <c r="S35" s="347">
        <f t="shared" si="5"/>
        <v>1174772</v>
      </c>
    </row>
    <row r="36" spans="3:19" x14ac:dyDescent="0.5">
      <c r="C36" s="345">
        <v>31000000</v>
      </c>
      <c r="D36" s="346">
        <v>-21988274.003134966</v>
      </c>
      <c r="E36" s="346">
        <v>24982405.996865034</v>
      </c>
      <c r="F36" s="346">
        <f t="shared" si="0"/>
        <v>2994131.9937300682</v>
      </c>
      <c r="G36" s="347">
        <f t="shared" si="1"/>
        <v>-12636296.006269932</v>
      </c>
      <c r="I36" s="345">
        <f t="shared" si="6"/>
        <v>25500000</v>
      </c>
      <c r="J36" s="346">
        <v>9854927.9893827438</v>
      </c>
      <c r="K36" s="346">
        <v>8000000</v>
      </c>
      <c r="L36" s="346">
        <f t="shared" si="2"/>
        <v>17854927.989382744</v>
      </c>
      <c r="M36" s="347">
        <f t="shared" ca="1" si="3"/>
        <v>2224499.9893827438</v>
      </c>
      <c r="O36" s="345">
        <f t="shared" si="7"/>
        <v>-100000</v>
      </c>
      <c r="P36" s="346">
        <v>2336460</v>
      </c>
      <c r="Q36" s="346">
        <v>14490400</v>
      </c>
      <c r="R36" s="346">
        <f t="shared" si="4"/>
        <v>16826860</v>
      </c>
      <c r="S36" s="347">
        <f t="shared" si="5"/>
        <v>1196432</v>
      </c>
    </row>
    <row r="37" spans="3:19" x14ac:dyDescent="0.5">
      <c r="C37" s="345">
        <v>32000000</v>
      </c>
      <c r="D37" s="346">
        <v>-22988274.003134966</v>
      </c>
      <c r="E37" s="346">
        <v>25473505.996865034</v>
      </c>
      <c r="F37" s="346">
        <f t="shared" si="0"/>
        <v>2485231.9937300682</v>
      </c>
      <c r="G37" s="347">
        <f t="shared" si="1"/>
        <v>-13145196.006269932</v>
      </c>
      <c r="I37" s="345">
        <f t="shared" si="6"/>
        <v>26000000</v>
      </c>
      <c r="J37" s="346">
        <v>10166927.98938274</v>
      </c>
      <c r="K37" s="346">
        <v>8000000</v>
      </c>
      <c r="L37" s="346">
        <f t="shared" si="2"/>
        <v>18166927.98938274</v>
      </c>
      <c r="M37" s="347">
        <f t="shared" ca="1" si="3"/>
        <v>2536499.9893827401</v>
      </c>
      <c r="O37" s="345">
        <f t="shared" si="7"/>
        <v>-200000</v>
      </c>
      <c r="P37" s="346">
        <v>2414420</v>
      </c>
      <c r="Q37" s="346">
        <v>14434100</v>
      </c>
      <c r="R37" s="346">
        <f t="shared" si="4"/>
        <v>16848520</v>
      </c>
      <c r="S37" s="347">
        <f t="shared" si="5"/>
        <v>1218092</v>
      </c>
    </row>
    <row r="38" spans="3:19" x14ac:dyDescent="0.5">
      <c r="C38" s="345">
        <v>33000000</v>
      </c>
      <c r="D38" s="346">
        <v>-23988274.003134966</v>
      </c>
      <c r="E38" s="346">
        <v>25914105.996865034</v>
      </c>
      <c r="F38" s="346">
        <f t="shared" si="0"/>
        <v>1925831.9937300682</v>
      </c>
      <c r="G38" s="347">
        <f t="shared" si="1"/>
        <v>-13704596.006269932</v>
      </c>
      <c r="I38" s="345">
        <f t="shared" si="6"/>
        <v>26500000</v>
      </c>
      <c r="J38" s="346">
        <v>10478727.98938274</v>
      </c>
      <c r="K38" s="346">
        <v>8000000</v>
      </c>
      <c r="L38" s="346">
        <f t="shared" si="2"/>
        <v>18478727.98938274</v>
      </c>
      <c r="M38" s="347">
        <f t="shared" ca="1" si="3"/>
        <v>2848299.9893827401</v>
      </c>
      <c r="O38" s="345">
        <f t="shared" si="7"/>
        <v>-300000</v>
      </c>
      <c r="P38" s="346">
        <v>2492180</v>
      </c>
      <c r="Q38" s="346">
        <v>14377800</v>
      </c>
      <c r="R38" s="346">
        <f t="shared" si="4"/>
        <v>16869980</v>
      </c>
      <c r="S38" s="347">
        <f t="shared" si="5"/>
        <v>1239552</v>
      </c>
    </row>
    <row r="39" spans="3:19" x14ac:dyDescent="0.5">
      <c r="C39" s="345">
        <v>34000000</v>
      </c>
      <c r="D39" s="346">
        <v>-24988274.003134966</v>
      </c>
      <c r="E39" s="346">
        <v>26354605.996865034</v>
      </c>
      <c r="F39" s="346">
        <f t="shared" si="0"/>
        <v>1366331.9937300682</v>
      </c>
      <c r="G39" s="347">
        <f t="shared" si="1"/>
        <v>-14264096.006269932</v>
      </c>
      <c r="I39" s="345">
        <f t="shared" si="6"/>
        <v>27000000</v>
      </c>
      <c r="J39" s="346">
        <v>10790627.98938274</v>
      </c>
      <c r="K39" s="346">
        <v>8000000</v>
      </c>
      <c r="L39" s="346">
        <f t="shared" si="2"/>
        <v>18790627.98938274</v>
      </c>
      <c r="M39" s="347">
        <f t="shared" ca="1" si="3"/>
        <v>3160199.9893827401</v>
      </c>
      <c r="O39" s="345">
        <f t="shared" si="7"/>
        <v>-400000</v>
      </c>
      <c r="P39" s="346">
        <v>2570140</v>
      </c>
      <c r="Q39" s="346">
        <v>14321500</v>
      </c>
      <c r="R39" s="346">
        <f t="shared" si="4"/>
        <v>16891640</v>
      </c>
      <c r="S39" s="347">
        <f t="shared" si="5"/>
        <v>1261212</v>
      </c>
    </row>
    <row r="40" spans="3:19" x14ac:dyDescent="0.5">
      <c r="C40" s="345">
        <v>35000000</v>
      </c>
      <c r="D40" s="346">
        <v>-25988274.003134966</v>
      </c>
      <c r="E40" s="346">
        <v>26795205.996865034</v>
      </c>
      <c r="F40" s="346">
        <f t="shared" si="0"/>
        <v>806931.99373006821</v>
      </c>
      <c r="G40" s="347">
        <f t="shared" si="1"/>
        <v>-14823496.006269932</v>
      </c>
      <c r="I40" s="345">
        <f t="shared" si="6"/>
        <v>27500000</v>
      </c>
      <c r="J40" s="346">
        <v>11102427.98938274</v>
      </c>
      <c r="K40" s="346">
        <v>8000000</v>
      </c>
      <c r="L40" s="346">
        <f t="shared" si="2"/>
        <v>19102427.98938274</v>
      </c>
      <c r="M40" s="347">
        <f t="shared" ca="1" si="3"/>
        <v>3471999.9893827401</v>
      </c>
      <c r="O40" s="345">
        <f t="shared" si="7"/>
        <v>-500000</v>
      </c>
      <c r="P40" s="346">
        <v>2648100</v>
      </c>
      <c r="Q40" s="346">
        <v>14265200</v>
      </c>
      <c r="R40" s="346">
        <f t="shared" si="4"/>
        <v>16913300</v>
      </c>
      <c r="S40" s="347">
        <f t="shared" si="5"/>
        <v>1282872</v>
      </c>
    </row>
    <row r="41" spans="3:19" x14ac:dyDescent="0.5">
      <c r="C41" s="345">
        <v>36000000</v>
      </c>
      <c r="D41" s="346">
        <v>-26988274.003134966</v>
      </c>
      <c r="E41" s="346">
        <v>27235705.996865034</v>
      </c>
      <c r="F41" s="346">
        <f t="shared" si="0"/>
        <v>247431.99373006821</v>
      </c>
      <c r="G41" s="347">
        <f t="shared" si="1"/>
        <v>-15382996.006269932</v>
      </c>
      <c r="I41" s="345">
        <f t="shared" si="6"/>
        <v>28000000</v>
      </c>
      <c r="J41" s="346">
        <v>11414327.98938274</v>
      </c>
      <c r="K41" s="346">
        <v>8000000</v>
      </c>
      <c r="L41" s="346">
        <f t="shared" si="2"/>
        <v>19414327.98938274</v>
      </c>
      <c r="M41" s="347">
        <f t="shared" ca="1" si="3"/>
        <v>3783899.9893827401</v>
      </c>
      <c r="O41" s="345">
        <f t="shared" si="7"/>
        <v>-600000</v>
      </c>
      <c r="P41" s="346">
        <v>2725760</v>
      </c>
      <c r="Q41" s="346">
        <v>14208900</v>
      </c>
      <c r="R41" s="346">
        <f t="shared" si="4"/>
        <v>16934660</v>
      </c>
      <c r="S41" s="347">
        <f t="shared" si="5"/>
        <v>1304232</v>
      </c>
    </row>
    <row r="42" spans="3:19" x14ac:dyDescent="0.5">
      <c r="C42" s="345">
        <v>37000000</v>
      </c>
      <c r="D42" s="346">
        <v>-27988274.003134966</v>
      </c>
      <c r="E42" s="346">
        <v>27676305.996865034</v>
      </c>
      <c r="F42" s="346">
        <f t="shared" si="0"/>
        <v>-311968.00626993179</v>
      </c>
      <c r="G42" s="347">
        <f t="shared" si="1"/>
        <v>-15942396.006269932</v>
      </c>
      <c r="I42" s="345">
        <f t="shared" si="6"/>
        <v>28500000</v>
      </c>
      <c r="J42" s="346">
        <v>11726127.98938274</v>
      </c>
      <c r="K42" s="346">
        <v>8000000</v>
      </c>
      <c r="L42" s="346">
        <f t="shared" si="2"/>
        <v>19726127.98938274</v>
      </c>
      <c r="M42" s="347">
        <f t="shared" ca="1" si="3"/>
        <v>4095699.9893827401</v>
      </c>
      <c r="O42" s="345">
        <f t="shared" si="7"/>
        <v>-700000</v>
      </c>
      <c r="P42" s="346">
        <v>2803820</v>
      </c>
      <c r="Q42" s="346">
        <v>14152600</v>
      </c>
      <c r="R42" s="346">
        <f t="shared" si="4"/>
        <v>16956420</v>
      </c>
      <c r="S42" s="347">
        <f t="shared" si="5"/>
        <v>1325992</v>
      </c>
    </row>
    <row r="43" spans="3:19" x14ac:dyDescent="0.5">
      <c r="C43" s="345">
        <v>38000000</v>
      </c>
      <c r="D43" s="346">
        <v>-28988274.003134966</v>
      </c>
      <c r="E43" s="346">
        <v>28116805.996865034</v>
      </c>
      <c r="F43" s="346">
        <f t="shared" si="0"/>
        <v>-871468.00626993179</v>
      </c>
      <c r="G43" s="347">
        <f t="shared" si="1"/>
        <v>-16501896.006269932</v>
      </c>
      <c r="I43" s="345">
        <f t="shared" si="6"/>
        <v>29000000</v>
      </c>
      <c r="J43" s="346">
        <v>12038127.98938274</v>
      </c>
      <c r="K43" s="346">
        <v>8000000</v>
      </c>
      <c r="L43" s="346">
        <f t="shared" si="2"/>
        <v>20038127.98938274</v>
      </c>
      <c r="M43" s="347">
        <f t="shared" ca="1" si="3"/>
        <v>4407699.9893827401</v>
      </c>
      <c r="O43" s="345">
        <f t="shared" si="7"/>
        <v>-800000</v>
      </c>
      <c r="P43" s="346">
        <v>2881680</v>
      </c>
      <c r="Q43" s="346">
        <v>14096300</v>
      </c>
      <c r="R43" s="346">
        <f t="shared" si="4"/>
        <v>16977980</v>
      </c>
      <c r="S43" s="347">
        <f t="shared" si="5"/>
        <v>1347552</v>
      </c>
    </row>
    <row r="44" spans="3:19" x14ac:dyDescent="0.5">
      <c r="C44" s="345">
        <v>39000000</v>
      </c>
      <c r="D44" s="346">
        <v>-29988274.003134966</v>
      </c>
      <c r="E44" s="346">
        <v>28557405.996865034</v>
      </c>
      <c r="F44" s="346">
        <f t="shared" si="0"/>
        <v>-1430868.0062699318</v>
      </c>
      <c r="G44" s="347">
        <f t="shared" si="1"/>
        <v>-17061296.006269932</v>
      </c>
      <c r="I44" s="345">
        <f t="shared" si="6"/>
        <v>29500000</v>
      </c>
      <c r="J44" s="346">
        <v>12349927.98938274</v>
      </c>
      <c r="K44" s="346">
        <v>8000000</v>
      </c>
      <c r="L44" s="346">
        <f t="shared" si="2"/>
        <v>20349927.98938274</v>
      </c>
      <c r="M44" s="347">
        <f t="shared" ca="1" si="3"/>
        <v>4719499.9893827401</v>
      </c>
      <c r="O44" s="345">
        <f t="shared" si="7"/>
        <v>-900000</v>
      </c>
      <c r="P44" s="346">
        <v>2959540</v>
      </c>
      <c r="Q44" s="346">
        <v>14040000</v>
      </c>
      <c r="R44" s="346">
        <f t="shared" si="4"/>
        <v>16999540</v>
      </c>
      <c r="S44" s="347">
        <f t="shared" si="5"/>
        <v>1369112</v>
      </c>
    </row>
    <row r="45" spans="3:19" ht="15" customHeight="1" thickBot="1" x14ac:dyDescent="0.55000000000000004">
      <c r="C45" s="348">
        <v>40000000</v>
      </c>
      <c r="D45" s="349">
        <v>-30988274.003134966</v>
      </c>
      <c r="E45" s="349">
        <v>28997905.996865034</v>
      </c>
      <c r="F45" s="349">
        <f t="shared" si="0"/>
        <v>-1990368.0062699318</v>
      </c>
      <c r="G45" s="350">
        <f t="shared" si="1"/>
        <v>-17620796.006269932</v>
      </c>
      <c r="I45" s="348">
        <f t="shared" si="6"/>
        <v>30000000</v>
      </c>
      <c r="J45" s="349">
        <v>12661827.98938274</v>
      </c>
      <c r="K45" s="349">
        <v>8000000</v>
      </c>
      <c r="L45" s="349">
        <f t="shared" si="2"/>
        <v>20661827.98938274</v>
      </c>
      <c r="M45" s="350">
        <f t="shared" ca="1" si="3"/>
        <v>5031399.9893827401</v>
      </c>
      <c r="O45" s="348">
        <f t="shared" si="7"/>
        <v>-1000000</v>
      </c>
      <c r="P45" s="349">
        <v>3037400</v>
      </c>
      <c r="Q45" s="349">
        <v>13983700</v>
      </c>
      <c r="R45" s="349">
        <f t="shared" si="4"/>
        <v>17021100</v>
      </c>
      <c r="S45" s="350">
        <f t="shared" si="5"/>
        <v>1390672</v>
      </c>
    </row>
    <row r="46" spans="3:19" x14ac:dyDescent="0.5">
      <c r="O46" s="313"/>
      <c r="P46" s="313"/>
      <c r="Q46" s="313"/>
      <c r="R46" s="313"/>
      <c r="S46" s="313"/>
    </row>
    <row r="50" spans="9:9" x14ac:dyDescent="0.5">
      <c r="I50" s="324">
        <v>0</v>
      </c>
    </row>
    <row r="100" spans="18:19" x14ac:dyDescent="0.5">
      <c r="R100" s="142">
        <v>-1000000</v>
      </c>
      <c r="S100" s="142">
        <f>MAX(S5:S45)</f>
        <v>1390672</v>
      </c>
    </row>
  </sheetData>
  <sheetProtection sheet="1" objects="1" scenarios="1"/>
  <phoneticPr fontId="6"/>
  <conditionalFormatting sqref="A1:XFD2 A3 A4:B11 A12:A14 A15:B45 A46:P46 A47:XFD1048576 C3:XFD3 C4:P45 J3:L4 O4:XFD46">
    <cfRule type="expression" dxfId="19" priority="26" stopIfTrue="1">
      <formula>CELL("protect", A1) = 0</formula>
    </cfRule>
  </conditionalFormatting>
  <conditionalFormatting sqref="S5:S45">
    <cfRule type="cellIs" dxfId="18" priority="1" operator="equal">
      <formula>MAX($S$5:$S$45)</formula>
    </cfRule>
    <cfRule type="expression" priority="20">
      <formula>S5=MAX($S$5:$S$45)</formula>
    </cfRule>
  </conditionalFormatting>
  <conditionalFormatting sqref="C1:M45">
    <cfRule type="expression" dxfId="17" priority="27" stopIfTrue="1">
      <formula>$AT$1=2</formula>
    </cfRule>
  </conditionalFormatting>
  <conditionalFormatting sqref="P5:P45">
    <cfRule type="cellIs" dxfId="16" priority="2" operator="equal">
      <formula>MAX($P$5:$P$45)</formula>
    </cfRule>
    <cfRule type="expression" priority="17">
      <formula>P5=MAX($S$5:$S$45)</formula>
    </cfRule>
  </conditionalFormatting>
  <conditionalFormatting sqref="Q5:Q45">
    <cfRule type="cellIs" dxfId="15" priority="8" operator="equal">
      <formula>MAX($Q$5:$Q$45)</formula>
    </cfRule>
    <cfRule type="expression" priority="15">
      <formula>Q5=MAX($S$5:$S$45)</formula>
    </cfRule>
  </conditionalFormatting>
  <conditionalFormatting sqref="R5:R45">
    <cfRule type="cellIs" dxfId="14" priority="7" operator="equal">
      <formula>MAX($R$5:$R$45)</formula>
    </cfRule>
    <cfRule type="expression" priority="13">
      <formula>R5=MAX($S$5:$S$45)</formula>
    </cfRule>
  </conditionalFormatting>
  <conditionalFormatting sqref="P4:S4">
    <cfRule type="expression" dxfId="13" priority="12" stopIfTrue="1">
      <formula>$AT$1=2</formula>
    </cfRule>
  </conditionalFormatting>
  <conditionalFormatting sqref="O5:U45">
    <cfRule type="expression" dxfId="12" priority="28" stopIfTrue="1">
      <formula>$AT$1=2</formula>
    </cfRule>
  </conditionalFormatting>
  <conditionalFormatting sqref="Q3:R3">
    <cfRule type="expression" dxfId="11" priority="11" stopIfTrue="1">
      <formula>$AT$1=2</formula>
    </cfRule>
  </conditionalFormatting>
  <conditionalFormatting sqref="Q2">
    <cfRule type="expression" dxfId="10" priority="10" stopIfTrue="1">
      <formula>$AT$1=2</formula>
    </cfRule>
  </conditionalFormatting>
  <conditionalFormatting sqref="S4">
    <cfRule type="expression" dxfId="9" priority="9" stopIfTrue="1">
      <formula>$AT$1=2</formula>
    </cfRule>
  </conditionalFormatting>
  <conditionalFormatting sqref="D5:D45">
    <cfRule type="cellIs" dxfId="8" priority="6" operator="equal">
      <formula>MAX($D$5:$D$45)</formula>
    </cfRule>
  </conditionalFormatting>
  <conditionalFormatting sqref="E5:E45">
    <cfRule type="cellIs" dxfId="7" priority="5" operator="equal">
      <formula>MAX($E$5:$E$45)</formula>
    </cfRule>
  </conditionalFormatting>
  <conditionalFormatting sqref="F5:F46">
    <cfRule type="cellIs" dxfId="6" priority="4" operator="equal">
      <formula>MAX($F$5:$F$45)</formula>
    </cfRule>
  </conditionalFormatting>
  <conditionalFormatting sqref="G5:G45">
    <cfRule type="cellIs" dxfId="5" priority="3" operator="equal">
      <formula>MAX($G$5:$G$45)</formula>
    </cfRule>
  </conditionalFormatting>
  <dataValidations count="1">
    <dataValidation imeMode="off" allowBlank="1" showInputMessage="1" showErrorMessage="1" sqref="I3:I4 I6:I45 J3 U8 U12" xr:uid="{00000000-0002-0000-0200-000000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最適化">
                <anchor>
                  <from>
                    <xdr:col>6</xdr:col>
                    <xdr:colOff>50800</xdr:colOff>
                    <xdr:row>0</xdr:row>
                    <xdr:rowOff>374650</xdr:rowOff>
                  </from>
                  <to>
                    <xdr:col>7</xdr:col>
                    <xdr:colOff>336550</xdr:colOff>
                    <xdr:row>1</xdr:row>
                    <xdr:rowOff>431800</xdr:rowOff>
                  </to>
                </anchor>
              </controlPr>
            </control>
          </mc:Choice>
        </mc:AlternateContent>
        <mc:AlternateContent xmlns:mc="http://schemas.openxmlformats.org/markup-compatibility/2006">
          <mc:Choice Requires="x14">
            <control shapeId="4100" r:id="rId4" name="Button 4">
              <controlPr defaultSize="0" print="0" autoFill="0" autoPict="0" macro="[0]!マイクロ法人最適化">
                <anchor>
                  <from>
                    <xdr:col>18</xdr:col>
                    <xdr:colOff>69850</xdr:colOff>
                    <xdr:row>0</xdr:row>
                    <xdr:rowOff>355600</xdr:rowOff>
                  </from>
                  <to>
                    <xdr:col>19</xdr:col>
                    <xdr:colOff>355600</xdr:colOff>
                    <xdr:row>1</xdr:row>
                    <xdr:rowOff>431800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0</xdr:col>
                    <xdr:colOff>222250</xdr:colOff>
                    <xdr:row>0</xdr:row>
                    <xdr:rowOff>127000</xdr:rowOff>
                  </from>
                  <to>
                    <xdr:col>1</xdr:col>
                    <xdr:colOff>38100</xdr:colOff>
                    <xdr:row>0</xdr:row>
                    <xdr:rowOff>298450</xdr:rowOff>
                  </to>
                </anchor>
              </controlPr>
            </control>
          </mc:Choice>
        </mc:AlternateContent>
        <mc:AlternateContent xmlns:mc="http://schemas.openxmlformats.org/markup-compatibility/2006">
          <mc:Choice Requires="x14">
            <control shapeId="4103" r:id="rId6" name="Option Button 7">
              <controlPr defaultSize="0" autoFill="0" autoLine="0" autoPict="0">
                <anchor moveWithCells="1">
                  <from>
                    <xdr:col>0</xdr:col>
                    <xdr:colOff>203200</xdr:colOff>
                    <xdr:row>0</xdr:row>
                    <xdr:rowOff>342900</xdr:rowOff>
                  </from>
                  <to>
                    <xdr:col>2</xdr:col>
                    <xdr:colOff>266700</xdr:colOff>
                    <xdr:row>1</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AT102"/>
  <sheetViews>
    <sheetView showGridLines="0" topLeftCell="A11" zoomScale="90" zoomScaleNormal="90" workbookViewId="0">
      <selection activeCell="H32" sqref="H32"/>
    </sheetView>
  </sheetViews>
  <sheetFormatPr defaultRowHeight="14.5" x14ac:dyDescent="0.5"/>
  <cols>
    <col min="1" max="1" width="8.54296875" style="388" customWidth="1"/>
    <col min="2" max="2" width="19.54296875" style="388" customWidth="1"/>
    <col min="3" max="5" width="12.54296875" style="388" customWidth="1"/>
    <col min="6" max="6" width="14.453125" style="388" customWidth="1"/>
    <col min="7" max="7" width="8.54296875" style="388" customWidth="1"/>
    <col min="8" max="8" width="15.54296875" style="388" customWidth="1"/>
    <col min="9" max="12" width="12.54296875" style="388" customWidth="1"/>
  </cols>
  <sheetData>
    <row r="1" spans="1:46" ht="36" customHeight="1" x14ac:dyDescent="0.5">
      <c r="A1" s="252" t="s">
        <v>158</v>
      </c>
      <c r="AT1" s="352">
        <v>1</v>
      </c>
    </row>
    <row r="2" spans="1:46" ht="20.149999999999999" customHeight="1" x14ac:dyDescent="0.5">
      <c r="A2" s="288" t="s">
        <v>159</v>
      </c>
      <c r="B2" s="244" t="s">
        <v>253</v>
      </c>
      <c r="C2" s="245"/>
      <c r="D2" s="245"/>
      <c r="E2" s="246"/>
      <c r="F2" s="247"/>
      <c r="G2" s="288" t="s">
        <v>160</v>
      </c>
      <c r="H2" s="244" t="s">
        <v>252</v>
      </c>
      <c r="I2" s="245"/>
      <c r="J2" s="245"/>
      <c r="K2" s="246"/>
      <c r="L2" s="247"/>
    </row>
    <row r="3" spans="1:46" ht="16.399999999999999" customHeight="1" x14ac:dyDescent="0.5">
      <c r="A3" s="248"/>
      <c r="B3" s="240"/>
      <c r="F3" s="249"/>
      <c r="H3" s="240"/>
      <c r="L3" s="249"/>
    </row>
    <row r="4" spans="1:46" ht="16.399999999999999" customHeight="1" x14ac:dyDescent="0.5">
      <c r="A4" s="248"/>
      <c r="F4" s="249"/>
      <c r="L4" s="249"/>
    </row>
    <row r="5" spans="1:46" ht="18" customHeight="1" x14ac:dyDescent="0.5">
      <c r="A5" s="248"/>
      <c r="B5" s="285"/>
      <c r="C5" s="286" t="s">
        <v>8</v>
      </c>
      <c r="D5" s="286" t="s">
        <v>161</v>
      </c>
      <c r="E5" s="287" t="s">
        <v>162</v>
      </c>
      <c r="F5" s="249"/>
      <c r="H5" s="285"/>
      <c r="I5" s="286" t="s">
        <v>8</v>
      </c>
      <c r="J5" s="286" t="s">
        <v>161</v>
      </c>
      <c r="K5" s="287" t="s">
        <v>162</v>
      </c>
      <c r="L5" s="249"/>
    </row>
    <row r="6" spans="1:46" ht="18" customHeight="1" x14ac:dyDescent="0.5">
      <c r="A6" s="248"/>
      <c r="B6" s="261" t="s">
        <v>138</v>
      </c>
      <c r="C6" s="254">
        <f>シミュレーション!N7</f>
        <v>10000000</v>
      </c>
      <c r="D6" s="254">
        <f>シミュレーション!D33</f>
        <v>7000000</v>
      </c>
      <c r="E6" s="249"/>
      <c r="F6" s="249"/>
      <c r="H6" s="261" t="s">
        <v>138</v>
      </c>
      <c r="I6" s="254">
        <v>10000000</v>
      </c>
      <c r="J6" s="254">
        <v>0</v>
      </c>
      <c r="K6" s="249"/>
      <c r="L6" s="249"/>
    </row>
    <row r="7" spans="1:46" ht="18" customHeight="1" x14ac:dyDescent="0.5">
      <c r="A7" s="248"/>
      <c r="B7" s="261" t="s">
        <v>14</v>
      </c>
      <c r="C7" s="254"/>
      <c r="D7" s="254">
        <f ca="1">法人成り!G20</f>
        <v>233000</v>
      </c>
      <c r="E7" s="249"/>
      <c r="F7" s="249"/>
      <c r="H7" s="261" t="s">
        <v>14</v>
      </c>
      <c r="I7" s="254"/>
      <c r="J7" s="254">
        <v>3734000</v>
      </c>
      <c r="K7" s="249"/>
      <c r="L7" s="249"/>
    </row>
    <row r="8" spans="1:46" ht="18" customHeight="1" x14ac:dyDescent="0.5">
      <c r="A8" s="248"/>
      <c r="B8" s="262" t="s">
        <v>163</v>
      </c>
      <c r="C8" s="258">
        <f>シミュレーション!N8</f>
        <v>10000000</v>
      </c>
      <c r="D8" s="258">
        <f>法人成り!M21</f>
        <v>12400000</v>
      </c>
      <c r="E8" s="257"/>
      <c r="F8" s="249"/>
      <c r="H8" s="262" t="s">
        <v>163</v>
      </c>
      <c r="I8" s="258">
        <v>10000000</v>
      </c>
      <c r="J8" s="258">
        <v>16000000</v>
      </c>
      <c r="K8" s="257"/>
      <c r="L8" s="249"/>
    </row>
    <row r="9" spans="1:46" ht="18" customHeight="1" x14ac:dyDescent="0.5">
      <c r="A9" s="248"/>
      <c r="B9" s="261" t="s">
        <v>164</v>
      </c>
      <c r="C9" s="253"/>
      <c r="D9" s="253">
        <f ca="1">法人成り!G23+法人成り!G24+法人成り!G25</f>
        <v>122000</v>
      </c>
      <c r="E9" s="263">
        <f ca="1">D9-C9</f>
        <v>122000</v>
      </c>
      <c r="F9" s="249"/>
      <c r="H9" s="261" t="s">
        <v>164</v>
      </c>
      <c r="I9" s="253"/>
      <c r="J9" s="253">
        <v>905900</v>
      </c>
      <c r="K9" s="263">
        <v>905900</v>
      </c>
      <c r="L9" s="249"/>
    </row>
    <row r="10" spans="1:46" ht="18" customHeight="1" x14ac:dyDescent="0.5">
      <c r="A10" s="248"/>
      <c r="B10" s="261" t="s">
        <v>165</v>
      </c>
      <c r="C10" s="253">
        <f ca="1">法人成り!M10+法人成り!M11</f>
        <v>6332072</v>
      </c>
      <c r="D10" s="253">
        <f ca="1">法人成り!L23+法人成り!L24</f>
        <v>6258000</v>
      </c>
      <c r="E10" s="263">
        <f ca="1">D10-C10</f>
        <v>-74072</v>
      </c>
      <c r="F10" s="249"/>
      <c r="H10" s="261" t="s">
        <v>165</v>
      </c>
      <c r="I10" s="253">
        <v>6332072</v>
      </c>
      <c r="J10" s="253">
        <v>4537800</v>
      </c>
      <c r="K10" s="263">
        <v>-1794272</v>
      </c>
      <c r="L10" s="249"/>
    </row>
    <row r="11" spans="1:46" ht="18" customHeight="1" x14ac:dyDescent="0.5">
      <c r="A11" s="248"/>
      <c r="B11" s="261" t="s">
        <v>34</v>
      </c>
      <c r="C11" s="253">
        <f>法人成り!M12</f>
        <v>387500</v>
      </c>
      <c r="D11" s="253">
        <f>法人成り!L25</f>
        <v>237500</v>
      </c>
      <c r="E11" s="263">
        <f>D11-C11</f>
        <v>-150000</v>
      </c>
      <c r="F11" s="249"/>
      <c r="H11" s="261" t="s">
        <v>34</v>
      </c>
      <c r="I11" s="253">
        <v>387500</v>
      </c>
      <c r="J11" s="253">
        <v>0</v>
      </c>
      <c r="K11" s="263">
        <v>-387500</v>
      </c>
      <c r="L11" s="249"/>
    </row>
    <row r="12" spans="1:46" ht="18" customHeight="1" x14ac:dyDescent="0.5">
      <c r="A12" s="248"/>
      <c r="B12" s="262"/>
      <c r="C12" s="253"/>
      <c r="D12" s="253"/>
      <c r="E12" s="263"/>
      <c r="F12" s="249"/>
      <c r="H12" s="262"/>
      <c r="I12" s="253"/>
      <c r="J12" s="253"/>
      <c r="K12" s="263"/>
      <c r="L12" s="249"/>
    </row>
    <row r="13" spans="1:46" ht="18" customHeight="1" thickBot="1" x14ac:dyDescent="0.55000000000000004">
      <c r="A13" s="248"/>
      <c r="B13" s="264" t="s">
        <v>166</v>
      </c>
      <c r="C13" s="250">
        <f ca="1">SUM(C9:C12)</f>
        <v>6719572</v>
      </c>
      <c r="D13" s="250">
        <f ca="1">SUM(D9:D12)</f>
        <v>6617500</v>
      </c>
      <c r="E13" s="265">
        <f ca="1">D13-C13</f>
        <v>-102072</v>
      </c>
      <c r="F13" s="249"/>
      <c r="H13" s="264" t="s">
        <v>166</v>
      </c>
      <c r="I13" s="250">
        <v>6719572</v>
      </c>
      <c r="J13" s="250">
        <v>5443700</v>
      </c>
      <c r="K13" s="265">
        <v>-1275872</v>
      </c>
      <c r="L13" s="249"/>
    </row>
    <row r="14" spans="1:46" ht="18" hidden="1" customHeight="1" thickTop="1" x14ac:dyDescent="0.5">
      <c r="A14" s="248"/>
      <c r="B14" s="261"/>
      <c r="C14" s="253"/>
      <c r="D14" s="253"/>
      <c r="E14" s="263"/>
      <c r="F14" s="249"/>
      <c r="H14" s="261"/>
      <c r="I14" s="253"/>
      <c r="J14" s="253"/>
      <c r="K14" s="263"/>
      <c r="L14" s="249"/>
    </row>
    <row r="15" spans="1:46" ht="18" customHeight="1" thickTop="1" x14ac:dyDescent="0.5">
      <c r="A15" s="248"/>
      <c r="B15" s="261"/>
      <c r="C15" s="253"/>
      <c r="D15" s="253"/>
      <c r="E15" s="263"/>
      <c r="F15" s="249"/>
      <c r="H15" s="261"/>
      <c r="I15" s="253"/>
      <c r="J15" s="253"/>
      <c r="K15" s="263"/>
      <c r="L15" s="249"/>
    </row>
    <row r="16" spans="1:46" ht="18" customHeight="1" x14ac:dyDescent="0.5">
      <c r="A16" s="248"/>
      <c r="B16" s="261" t="s">
        <v>167</v>
      </c>
      <c r="C16" s="253">
        <f>法人成り!M14</f>
        <v>800000</v>
      </c>
      <c r="D16" s="253">
        <f ca="1">法人成り!L27</f>
        <v>357600.00050067902</v>
      </c>
      <c r="E16" s="263">
        <f ca="1">D16-C16</f>
        <v>-442399.99949932098</v>
      </c>
      <c r="F16" s="249"/>
      <c r="H16" s="261" t="s">
        <v>167</v>
      </c>
      <c r="I16" s="253">
        <v>800000</v>
      </c>
      <c r="J16" s="253">
        <v>894000.00125169754</v>
      </c>
      <c r="K16" s="263">
        <v>94000.00125169754</v>
      </c>
      <c r="L16" s="249"/>
    </row>
    <row r="17" spans="1:12" ht="18" customHeight="1" x14ac:dyDescent="0.5">
      <c r="A17" s="248"/>
      <c r="B17" s="261" t="s">
        <v>168</v>
      </c>
      <c r="C17" s="253"/>
      <c r="D17" s="253">
        <f ca="1">法人成り!G27</f>
        <v>366240.00050067902</v>
      </c>
      <c r="E17" s="263">
        <f ca="1">D17-C17</f>
        <v>366240.00050067902</v>
      </c>
      <c r="F17" s="249" t="s">
        <v>169</v>
      </c>
      <c r="H17" s="261" t="s">
        <v>168</v>
      </c>
      <c r="I17" s="253"/>
      <c r="J17" s="253">
        <v>915600.00125169754</v>
      </c>
      <c r="K17" s="263">
        <v>915600.00125169754</v>
      </c>
      <c r="L17" s="249" t="s">
        <v>169</v>
      </c>
    </row>
    <row r="18" spans="1:12" ht="18" customHeight="1" x14ac:dyDescent="0.5">
      <c r="A18" s="248"/>
      <c r="B18" s="255"/>
      <c r="C18" s="254"/>
      <c r="D18" s="254"/>
      <c r="E18" s="263"/>
      <c r="F18" s="249"/>
      <c r="H18" s="255"/>
      <c r="I18" s="254"/>
      <c r="J18" s="254"/>
      <c r="K18" s="263"/>
      <c r="L18" s="249"/>
    </row>
    <row r="19" spans="1:12" ht="18" customHeight="1" thickBot="1" x14ac:dyDescent="0.55000000000000004">
      <c r="A19" s="248"/>
      <c r="B19" s="264" t="s">
        <v>109</v>
      </c>
      <c r="C19" s="250">
        <f>SUM(C16:C18)</f>
        <v>800000</v>
      </c>
      <c r="D19" s="250">
        <f ca="1">SUM(D16:D18)</f>
        <v>723840.00100135803</v>
      </c>
      <c r="E19" s="265">
        <f ca="1">D19-C19</f>
        <v>-76159.998998641968</v>
      </c>
      <c r="F19" s="249"/>
      <c r="H19" s="264" t="s">
        <v>109</v>
      </c>
      <c r="I19" s="250">
        <v>800000</v>
      </c>
      <c r="J19" s="250">
        <v>1809600.0025033951</v>
      </c>
      <c r="K19" s="265">
        <v>1009600.0025033951</v>
      </c>
      <c r="L19" s="249"/>
    </row>
    <row r="20" spans="1:12" ht="11.25" customHeight="1" thickTop="1" x14ac:dyDescent="0.5">
      <c r="A20" s="248"/>
      <c r="B20" s="248"/>
      <c r="E20" s="263"/>
      <c r="F20" s="249"/>
      <c r="H20" s="248"/>
      <c r="K20" s="263"/>
      <c r="L20" s="249"/>
    </row>
    <row r="21" spans="1:12" ht="18" customHeight="1" x14ac:dyDescent="0.5">
      <c r="A21" s="248"/>
      <c r="B21" s="282" t="s">
        <v>170</v>
      </c>
      <c r="C21" s="283">
        <f ca="1">C13+C19</f>
        <v>7519572</v>
      </c>
      <c r="D21" s="283">
        <f ca="1">D13+D19</f>
        <v>7341340.001001358</v>
      </c>
      <c r="E21" s="284">
        <f ca="1">D21-C21</f>
        <v>-178231.99899864197</v>
      </c>
      <c r="F21" s="259" t="str">
        <f ca="1">IF(E21&lt;0,"有利/負担減","不利/負担増")</f>
        <v>有利/負担減</v>
      </c>
      <c r="H21" s="282" t="s">
        <v>170</v>
      </c>
      <c r="I21" s="283">
        <v>7519572</v>
      </c>
      <c r="J21" s="283">
        <v>7253300.0025033951</v>
      </c>
      <c r="K21" s="284">
        <v>-266271.99749660492</v>
      </c>
      <c r="L21" s="259" t="str">
        <f>IF(K21&lt;0,"有利/負担減","不利/負担増")</f>
        <v>有利/負担減</v>
      </c>
    </row>
    <row r="22" spans="1:12" ht="16.399999999999999" customHeight="1" thickBot="1" x14ac:dyDescent="0.55000000000000004">
      <c r="A22" s="248"/>
      <c r="B22" s="264" t="s">
        <v>151</v>
      </c>
      <c r="C22" s="334">
        <f ca="1">法人成り!M16</f>
        <v>15630428</v>
      </c>
      <c r="D22" s="334">
        <f ca="1">法人成り!M29</f>
        <v>15808659.998998642</v>
      </c>
      <c r="E22" s="335">
        <f ca="1">法人成り!I40</f>
        <v>178231.99899864197</v>
      </c>
      <c r="F22" s="259" t="str">
        <f ca="1">IF(E22&gt;0,"有利/手取り増","不利/手取り減")</f>
        <v>有利/手取り増</v>
      </c>
      <c r="H22" s="264" t="s">
        <v>151</v>
      </c>
      <c r="I22" s="334">
        <v>15630428</v>
      </c>
      <c r="J22" s="334">
        <v>15896699.997496605</v>
      </c>
      <c r="K22" s="335">
        <v>266271.99749660492</v>
      </c>
      <c r="L22" s="259" t="str">
        <f>IF(K22&gt;0,"有利/手取り増","不利/手取り減")</f>
        <v>有利/手取り増</v>
      </c>
    </row>
    <row r="23" spans="1:12" ht="16.399999999999999" customHeight="1" thickTop="1" x14ac:dyDescent="0.5">
      <c r="A23" s="251"/>
      <c r="B23" s="330" t="s">
        <v>146</v>
      </c>
      <c r="C23" s="322">
        <f ca="1">法人成り!L16</f>
        <v>15630428</v>
      </c>
      <c r="D23" s="322">
        <f ca="1">法人成り!L29</f>
        <v>15696899.999499321</v>
      </c>
      <c r="E23" s="331">
        <f ca="1">D23-C23</f>
        <v>66471.999499320984</v>
      </c>
      <c r="F23" s="259" t="str">
        <f ca="1">IF(E23&gt;0,"有利/手取り増","不利/手取り減")</f>
        <v>有利/手取り増</v>
      </c>
      <c r="H23" s="330" t="s">
        <v>146</v>
      </c>
      <c r="I23" s="322">
        <v>15630428</v>
      </c>
      <c r="J23" s="322">
        <v>13068199.998748302</v>
      </c>
      <c r="K23" s="331">
        <v>-2562228.0012516975</v>
      </c>
      <c r="L23" s="259" t="str">
        <f>IF(K23&gt;0,"有利/手取り増","不利/手取り減")</f>
        <v>不利/手取り減</v>
      </c>
    </row>
    <row r="24" spans="1:12" ht="16.399999999999999" customHeight="1" x14ac:dyDescent="0.5">
      <c r="A24" s="255"/>
      <c r="B24" s="332" t="s">
        <v>145</v>
      </c>
      <c r="C24" s="256"/>
      <c r="D24" s="323">
        <f ca="1">法人成り!G29</f>
        <v>111759.99949932098</v>
      </c>
      <c r="E24" s="333">
        <f ca="1">D24-C24</f>
        <v>111759.99949932098</v>
      </c>
      <c r="F24" s="259" t="str">
        <f ca="1">IF(E24&gt;0,"有利/手取り増","不利/手取り減")</f>
        <v>有利/手取り増</v>
      </c>
      <c r="G24" s="256"/>
      <c r="H24" s="332" t="s">
        <v>145</v>
      </c>
      <c r="I24" s="256"/>
      <c r="J24" s="323">
        <v>2828499.9987483025</v>
      </c>
      <c r="K24" s="333">
        <v>2828499.9987483025</v>
      </c>
      <c r="L24" s="376" t="str">
        <f>IF(K24&gt;0,"有利/手取り増","不利/手取り減")</f>
        <v>有利/手取り増</v>
      </c>
    </row>
    <row r="26" spans="1:12" x14ac:dyDescent="0.5">
      <c r="B26" s="240"/>
      <c r="E26" s="322"/>
      <c r="H26" s="240"/>
      <c r="K26" s="322"/>
    </row>
    <row r="27" spans="1:12" x14ac:dyDescent="0.5">
      <c r="B27" s="240" t="s">
        <v>171</v>
      </c>
      <c r="E27" s="322">
        <f ca="1">E22</f>
        <v>178231.99899864197</v>
      </c>
      <c r="F27" s="240" t="s">
        <v>172</v>
      </c>
      <c r="H27" s="240" t="s">
        <v>171</v>
      </c>
      <c r="K27" s="322">
        <v>266271.99749660492</v>
      </c>
      <c r="L27" s="240" t="s">
        <v>173</v>
      </c>
    </row>
    <row r="29" spans="1:12" x14ac:dyDescent="0.5">
      <c r="B29" s="240" t="s">
        <v>174</v>
      </c>
      <c r="E29" s="322">
        <f ca="1">E27-K27</f>
        <v>-88039.998497962952</v>
      </c>
    </row>
    <row r="30" spans="1:12" x14ac:dyDescent="0.5">
      <c r="B30" s="240" t="s">
        <v>175</v>
      </c>
      <c r="E30" s="322">
        <f ca="1">D23-J23</f>
        <v>2628700.0007510185</v>
      </c>
    </row>
    <row r="31" spans="1:12" x14ac:dyDescent="0.5">
      <c r="B31" s="240" t="s">
        <v>176</v>
      </c>
      <c r="E31" s="322">
        <f ca="1">D24-J24</f>
        <v>-2716739.9992489815</v>
      </c>
    </row>
    <row r="33" spans="2:5" x14ac:dyDescent="0.5">
      <c r="B33" s="240" t="s">
        <v>177</v>
      </c>
      <c r="E33" s="322">
        <f>シミュレーション!G71</f>
        <v>0</v>
      </c>
    </row>
    <row r="100" spans="2:9" x14ac:dyDescent="0.5">
      <c r="B100" s="388" t="s">
        <v>249</v>
      </c>
      <c r="C100" s="397">
        <f ca="1">E22</f>
        <v>178231.99899864197</v>
      </c>
      <c r="H100" s="388" t="s">
        <v>249</v>
      </c>
      <c r="I100" s="397">
        <f>K21</f>
        <v>-266271.99749660492</v>
      </c>
    </row>
    <row r="101" spans="2:9" x14ac:dyDescent="0.5">
      <c r="B101" s="388" t="s">
        <v>250</v>
      </c>
      <c r="C101" s="397">
        <f ca="1">E24</f>
        <v>111759.99949932098</v>
      </c>
      <c r="H101" s="388" t="s">
        <v>250</v>
      </c>
      <c r="I101" s="397">
        <f>K24</f>
        <v>2828499.9987483025</v>
      </c>
    </row>
    <row r="102" spans="2:9" x14ac:dyDescent="0.5">
      <c r="B102" s="388" t="s">
        <v>251</v>
      </c>
      <c r="C102" s="397">
        <f ca="1">E23</f>
        <v>66471.999499320984</v>
      </c>
      <c r="H102" s="388" t="s">
        <v>251</v>
      </c>
      <c r="I102" s="397">
        <f>K23</f>
        <v>-2562228.0012516975</v>
      </c>
    </row>
  </sheetData>
  <sheetProtection sheet="1" objects="1" scenarios="1"/>
  <phoneticPr fontId="6"/>
  <conditionalFormatting sqref="A2:L24">
    <cfRule type="expression" dxfId="32" priority="14">
      <formula>CELL("protect", A2)=0</formula>
    </cfRule>
  </conditionalFormatting>
  <conditionalFormatting sqref="C6:E24 I6:K24">
    <cfRule type="expression" dxfId="31" priority="15" stopIfTrue="1">
      <formula>$AT$1=2</formula>
    </cfRule>
  </conditionalFormatting>
  <pageMargins left="0.5" right="0.5" top="0.2" bottom="0.2" header="0.3" footer="0.3"/>
  <pageSetup paperSize="9" scale="88"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opy_plan">
                <anchor>
                  <from>
                    <xdr:col>6</xdr:col>
                    <xdr:colOff>374650</xdr:colOff>
                    <xdr:row>0</xdr:row>
                    <xdr:rowOff>31750</xdr:rowOff>
                  </from>
                  <to>
                    <xdr:col>8</xdr:col>
                    <xdr:colOff>717550</xdr:colOff>
                    <xdr:row>0</xdr:row>
                    <xdr:rowOff>374650</xdr:rowOff>
                  </to>
                </anchor>
              </controlPr>
            </control>
          </mc:Choice>
        </mc:AlternateContent>
        <mc:AlternateContent xmlns:mc="http://schemas.openxmlformats.org/markup-compatibility/2006">
          <mc:Choice Requires="x14">
            <control shapeId="5122" r:id="rId4" name="ボタン 92">
              <controlPr defaultSize="0" print="0" autoFill="0" autoPict="0" macro="[0]!印刷報告書">
                <anchor moveWithCells="1" sizeWithCells="1">
                  <from>
                    <xdr:col>10</xdr:col>
                    <xdr:colOff>31750</xdr:colOff>
                    <xdr:row>0</xdr:row>
                    <xdr:rowOff>69850</xdr:rowOff>
                  </from>
                  <to>
                    <xdr:col>11</xdr:col>
                    <xdr:colOff>603250</xdr:colOff>
                    <xdr:row>0</xdr:row>
                    <xdr:rowOff>374650</xdr:rowOff>
                  </to>
                </anchor>
              </controlPr>
            </control>
          </mc:Choice>
        </mc:AlternateContent>
        <mc:AlternateContent xmlns:mc="http://schemas.openxmlformats.org/markup-compatibility/2006">
          <mc:Choice Requires="x14">
            <control shapeId="5123" r:id="rId5" name="Option Button 3">
              <controlPr defaultSize="0" autoFill="0" autoLine="0" autoPict="0">
                <anchor moveWithCells="1">
                  <from>
                    <xdr:col>2</xdr:col>
                    <xdr:colOff>31750</xdr:colOff>
                    <xdr:row>0</xdr:row>
                    <xdr:rowOff>31750</xdr:rowOff>
                  </from>
                  <to>
                    <xdr:col>2</xdr:col>
                    <xdr:colOff>203200</xdr:colOff>
                    <xdr:row>0</xdr:row>
                    <xdr:rowOff>203200</xdr:rowOff>
                  </to>
                </anchor>
              </controlPr>
            </control>
          </mc:Choice>
        </mc:AlternateContent>
        <mc:AlternateContent xmlns:mc="http://schemas.openxmlformats.org/markup-compatibility/2006">
          <mc:Choice Requires="x14">
            <control shapeId="5124" r:id="rId6" name="Option Button 4">
              <controlPr defaultSize="0" autoFill="0" autoLine="0" autoPict="0">
                <anchor moveWithCells="1">
                  <from>
                    <xdr:col>2</xdr:col>
                    <xdr:colOff>31750</xdr:colOff>
                    <xdr:row>0</xdr:row>
                    <xdr:rowOff>260350</xdr:rowOff>
                  </from>
                  <to>
                    <xdr:col>3</xdr:col>
                    <xdr:colOff>184150</xdr:colOff>
                    <xdr:row>0</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AT40"/>
  <sheetViews>
    <sheetView zoomScale="90" zoomScaleNormal="90" workbookViewId="0">
      <selection activeCell="L29" sqref="L29"/>
    </sheetView>
  </sheetViews>
  <sheetFormatPr defaultColWidth="9.453125" defaultRowHeight="14.5" x14ac:dyDescent="0.5"/>
  <cols>
    <col min="1" max="1" width="18.453125" style="142" customWidth="1"/>
    <col min="2" max="2" width="11.54296875" style="142" customWidth="1"/>
    <col min="3" max="3" width="11.453125" style="142" customWidth="1"/>
    <col min="4" max="4" width="10.453125" style="142" customWidth="1"/>
    <col min="5" max="5" width="9.453125" style="142" customWidth="1"/>
    <col min="6" max="6" width="18.453125" style="142" customWidth="1"/>
    <col min="7" max="7" width="16.453125" style="142" customWidth="1"/>
    <col min="8" max="12" width="18.453125" style="142" customWidth="1"/>
    <col min="13" max="13" width="14.54296875" style="142" customWidth="1"/>
    <col min="14" max="14" width="9.453125" style="142" customWidth="1"/>
    <col min="15" max="15" width="16.453125" style="142" customWidth="1"/>
    <col min="16" max="16" width="9.453125" style="142" customWidth="1"/>
    <col min="17" max="17" width="9.54296875" style="142" customWidth="1"/>
    <col min="18" max="18" width="9.453125" style="142" customWidth="1"/>
    <col min="19" max="16384" width="9.453125" style="142"/>
  </cols>
  <sheetData>
    <row r="1" spans="1:46" ht="9.75" customHeight="1" x14ac:dyDescent="0.5">
      <c r="AM1" s="158" t="b">
        <v>0</v>
      </c>
      <c r="AT1" s="158">
        <v>1</v>
      </c>
    </row>
    <row r="2" spans="1:46" ht="1.5" customHeight="1" x14ac:dyDescent="0.5"/>
    <row r="3" spans="1:46" ht="16.5" customHeight="1" thickBot="1" x14ac:dyDescent="0.55000000000000004">
      <c r="E3" s="211" t="s">
        <v>178</v>
      </c>
    </row>
    <row r="4" spans="1:46" ht="15" customHeight="1" thickBot="1" x14ac:dyDescent="0.55000000000000004">
      <c r="A4" s="143" t="s">
        <v>179</v>
      </c>
      <c r="E4" s="204"/>
      <c r="F4" s="205" t="s">
        <v>180</v>
      </c>
      <c r="G4" s="206"/>
      <c r="H4" s="204"/>
      <c r="I4" s="207"/>
      <c r="J4" s="207"/>
      <c r="K4" s="207"/>
      <c r="L4" s="207"/>
      <c r="M4" s="208"/>
    </row>
    <row r="5" spans="1:46" ht="15" customHeight="1" thickBot="1" x14ac:dyDescent="0.55000000000000004">
      <c r="A5" s="165" t="s">
        <v>181</v>
      </c>
      <c r="B5" s="166">
        <v>0.15</v>
      </c>
      <c r="C5" s="167"/>
      <c r="D5" s="163"/>
      <c r="E5" s="175"/>
      <c r="F5" s="176"/>
      <c r="G5" s="175"/>
      <c r="H5" s="223" t="s">
        <v>10</v>
      </c>
      <c r="I5" s="224" t="str">
        <f>シミュレーション!E6</f>
        <v>配偶者</v>
      </c>
      <c r="J5" s="224">
        <f>シミュレーション!F6</f>
        <v>0</v>
      </c>
      <c r="K5" s="224">
        <f>シミュレーション!G6</f>
        <v>0</v>
      </c>
      <c r="L5" s="383" t="s">
        <v>182</v>
      </c>
      <c r="M5" s="194" t="s">
        <v>183</v>
      </c>
    </row>
    <row r="6" spans="1:46" ht="15" customHeight="1" x14ac:dyDescent="0.5">
      <c r="A6" s="168" t="s">
        <v>184</v>
      </c>
      <c r="B6" s="150">
        <v>0.23899999999999999</v>
      </c>
      <c r="C6" s="169"/>
      <c r="D6" s="163"/>
      <c r="E6" s="160"/>
      <c r="F6" s="142" t="s">
        <v>185</v>
      </c>
      <c r="G6" s="160"/>
      <c r="H6" s="312">
        <f>シミュレーション!D7</f>
        <v>10000000</v>
      </c>
      <c r="I6" s="313">
        <f>シミュレーション!E7+I7</f>
        <v>0</v>
      </c>
      <c r="J6" s="313">
        <f>シミュレーション!F7+J7</f>
        <v>0</v>
      </c>
      <c r="K6" s="387">
        <f>シミュレーション!G7+K7</f>
        <v>0</v>
      </c>
      <c r="L6" s="391">
        <f t="shared" ref="L6:L16" si="0">SUM(H6:K6)</f>
        <v>10000000</v>
      </c>
      <c r="M6" s="195">
        <f t="shared" ref="M6:M16" si="1">L6</f>
        <v>10000000</v>
      </c>
    </row>
    <row r="7" spans="1:46" x14ac:dyDescent="0.5">
      <c r="A7" s="168" t="s">
        <v>186</v>
      </c>
      <c r="B7" s="150">
        <v>0.10299999999999999</v>
      </c>
      <c r="C7" s="169"/>
      <c r="D7" s="163"/>
      <c r="E7" s="160"/>
      <c r="F7" s="142" t="s">
        <v>187</v>
      </c>
      <c r="G7" s="160"/>
      <c r="H7" s="160">
        <f>シミュレーション!$P$19</f>
        <v>650000</v>
      </c>
      <c r="I7" s="142">
        <f>シミュレーション!$U$19</f>
        <v>0</v>
      </c>
      <c r="K7" s="384"/>
      <c r="L7" s="392">
        <f t="shared" si="0"/>
        <v>650000</v>
      </c>
      <c r="M7" s="196">
        <f t="shared" si="1"/>
        <v>650000</v>
      </c>
    </row>
    <row r="8" spans="1:46" x14ac:dyDescent="0.5">
      <c r="A8" s="168" t="s">
        <v>188</v>
      </c>
      <c r="B8" s="150">
        <v>0.01</v>
      </c>
      <c r="C8" s="169"/>
      <c r="D8" s="163"/>
      <c r="E8" s="160"/>
      <c r="F8" s="142" t="s">
        <v>189</v>
      </c>
      <c r="G8" s="160"/>
      <c r="H8" s="160">
        <f ca="1">シミュレーション!D8+シミュレーション!D12+シミュレーション!D11</f>
        <v>11500000</v>
      </c>
      <c r="I8" s="142">
        <f ca="1">シミュレーション!E8+シミュレーション!E12+シミュレーション!E11</f>
        <v>0</v>
      </c>
      <c r="J8" s="142">
        <f ca="1">シミュレーション!F8+シミュレーション!F12+シミュレーション!F11</f>
        <v>0</v>
      </c>
      <c r="K8" s="384">
        <f ca="1">シミュレーション!G8+シミュレーション!G12+シミュレーション!G11</f>
        <v>0</v>
      </c>
      <c r="L8" s="392">
        <f t="shared" ca="1" si="0"/>
        <v>11500000</v>
      </c>
      <c r="M8" s="196">
        <f t="shared" ca="1" si="1"/>
        <v>11500000</v>
      </c>
    </row>
    <row r="9" spans="1:46" ht="15" customHeight="1" thickBot="1" x14ac:dyDescent="0.55000000000000004">
      <c r="A9" s="168"/>
      <c r="B9" s="150"/>
      <c r="C9" s="218"/>
      <c r="D9" s="163"/>
      <c r="E9" s="161" t="s">
        <v>190</v>
      </c>
      <c r="F9" s="143" t="s">
        <v>191</v>
      </c>
      <c r="G9" s="161"/>
      <c r="H9" s="161">
        <f ca="1">H6+H7+H8</f>
        <v>22150000</v>
      </c>
      <c r="I9" s="143">
        <f ca="1">I6+I8</f>
        <v>0</v>
      </c>
      <c r="J9" s="143">
        <f ca="1">J6+J8</f>
        <v>0</v>
      </c>
      <c r="K9" s="196">
        <f ca="1">K6+K8</f>
        <v>0</v>
      </c>
      <c r="L9" s="392">
        <f t="shared" ca="1" si="0"/>
        <v>22150000</v>
      </c>
      <c r="M9" s="196">
        <f t="shared" ca="1" si="1"/>
        <v>22150000</v>
      </c>
    </row>
    <row r="10" spans="1:46" x14ac:dyDescent="0.5">
      <c r="A10" s="168" t="s">
        <v>192</v>
      </c>
      <c r="B10" s="217">
        <v>0.06</v>
      </c>
      <c r="C10" s="220" t="s">
        <v>193</v>
      </c>
      <c r="D10" s="163"/>
      <c r="E10" s="160"/>
      <c r="F10" s="142" t="s">
        <v>194</v>
      </c>
      <c r="G10" s="160"/>
      <c r="H10" s="160">
        <f ca="1">シミュレーション!D18-シミュレーション!D19</f>
        <v>4525072</v>
      </c>
      <c r="I10" s="142">
        <f ca="1">シミュレーション!E18-シミュレーション!E19</f>
        <v>0</v>
      </c>
      <c r="J10" s="142">
        <f ca="1">シミュレーション!F18-シミュレーション!F19</f>
        <v>0</v>
      </c>
      <c r="K10" s="384">
        <f ca="1">シミュレーション!G18-シミュレーション!G19</f>
        <v>0</v>
      </c>
      <c r="L10" s="392">
        <f t="shared" ca="1" si="0"/>
        <v>4525072</v>
      </c>
      <c r="M10" s="196">
        <f t="shared" ca="1" si="1"/>
        <v>4525072</v>
      </c>
    </row>
    <row r="11" spans="1:46" x14ac:dyDescent="0.5">
      <c r="A11" s="168" t="s">
        <v>195</v>
      </c>
      <c r="B11" s="217">
        <v>3.5000000000000003E-2</v>
      </c>
      <c r="C11" s="221">
        <v>3.5000000000000003E-2</v>
      </c>
      <c r="D11" s="164"/>
      <c r="E11" s="160"/>
      <c r="F11" s="142" t="s">
        <v>196</v>
      </c>
      <c r="G11" s="160"/>
      <c r="H11" s="160">
        <f ca="1">シミュレーション!D20</f>
        <v>1807000</v>
      </c>
      <c r="I11" s="142">
        <f ca="1">シミュレーション!E20</f>
        <v>0</v>
      </c>
      <c r="J11" s="142">
        <f ca="1">シミュレーション!F20</f>
        <v>0</v>
      </c>
      <c r="K11" s="384">
        <f ca="1">シミュレーション!G20</f>
        <v>0</v>
      </c>
      <c r="L11" s="392">
        <f t="shared" ca="1" si="0"/>
        <v>1807000</v>
      </c>
      <c r="M11" s="196">
        <f t="shared" ca="1" si="1"/>
        <v>1807000</v>
      </c>
    </row>
    <row r="12" spans="1:46" ht="15" customHeight="1" thickBot="1" x14ac:dyDescent="0.55000000000000004">
      <c r="A12" s="168" t="s">
        <v>197</v>
      </c>
      <c r="B12" s="217">
        <v>5.6000000000000001E-2</v>
      </c>
      <c r="C12" s="222">
        <v>4.9000000000000002E-2</v>
      </c>
      <c r="D12" s="164"/>
      <c r="E12" s="160"/>
      <c r="F12" s="142" t="s">
        <v>198</v>
      </c>
      <c r="G12" s="160"/>
      <c r="H12" s="160">
        <f>シミュレーション!D21</f>
        <v>387500</v>
      </c>
      <c r="I12" s="142">
        <f>シミュレーション!E21</f>
        <v>0</v>
      </c>
      <c r="K12" s="384"/>
      <c r="L12" s="392">
        <f t="shared" si="0"/>
        <v>387500</v>
      </c>
      <c r="M12" s="196">
        <f t="shared" si="1"/>
        <v>387500</v>
      </c>
    </row>
    <row r="13" spans="1:46" x14ac:dyDescent="0.5">
      <c r="A13" s="168" t="s">
        <v>199</v>
      </c>
      <c r="B13" s="150">
        <v>7.0000000000000007E-2</v>
      </c>
      <c r="C13" s="219"/>
      <c r="D13" s="163"/>
      <c r="E13" s="161" t="s">
        <v>200</v>
      </c>
      <c r="F13" s="143" t="s">
        <v>201</v>
      </c>
      <c r="G13" s="161"/>
      <c r="H13" s="161">
        <f ca="1">SUM(H10:H12)</f>
        <v>6719572</v>
      </c>
      <c r="I13" s="143">
        <f ca="1">SUM(I10:I12)</f>
        <v>0</v>
      </c>
      <c r="J13" s="143">
        <f ca="1">SUM(J10:J12)</f>
        <v>0</v>
      </c>
      <c r="K13" s="196">
        <f ca="1">SUM(K10:K12)</f>
        <v>0</v>
      </c>
      <c r="L13" s="392">
        <f t="shared" ca="1" si="0"/>
        <v>6719572</v>
      </c>
      <c r="M13" s="196">
        <f t="shared" ca="1" si="1"/>
        <v>6719572</v>
      </c>
    </row>
    <row r="14" spans="1:46" ht="15" customHeight="1" thickBot="1" x14ac:dyDescent="0.55000000000000004">
      <c r="A14" s="170" t="s">
        <v>202</v>
      </c>
      <c r="B14" s="171">
        <v>0.37</v>
      </c>
      <c r="C14" s="172"/>
      <c r="D14" s="147"/>
      <c r="E14" s="161" t="s">
        <v>203</v>
      </c>
      <c r="F14" s="143" t="s">
        <v>109</v>
      </c>
      <c r="G14" s="160"/>
      <c r="H14" s="161">
        <f>シミュレーション!D25</f>
        <v>800000</v>
      </c>
      <c r="I14" s="143">
        <f>シミュレーション!E25</f>
        <v>0</v>
      </c>
      <c r="J14" s="143">
        <f>シミュレーション!F25</f>
        <v>0</v>
      </c>
      <c r="K14" s="196">
        <f>シミュレーション!G25</f>
        <v>0</v>
      </c>
      <c r="L14" s="392">
        <f t="shared" si="0"/>
        <v>800000</v>
      </c>
      <c r="M14" s="196">
        <f t="shared" si="1"/>
        <v>800000</v>
      </c>
    </row>
    <row r="15" spans="1:46" ht="15" customHeight="1" thickBot="1" x14ac:dyDescent="0.55000000000000004">
      <c r="A15" s="143" t="s">
        <v>204</v>
      </c>
      <c r="E15" s="161" t="s">
        <v>205</v>
      </c>
      <c r="F15" s="143" t="s">
        <v>206</v>
      </c>
      <c r="G15" s="160"/>
      <c r="H15" s="385">
        <f ca="1">SUM(H13:H14)</f>
        <v>7519572</v>
      </c>
      <c r="I15" s="389">
        <f ca="1">SUM(I13:I14)</f>
        <v>0</v>
      </c>
      <c r="J15" s="395">
        <f ca="1">SUM(J13:J14)</f>
        <v>0</v>
      </c>
      <c r="K15" s="396">
        <f ca="1">SUM(K13:K14)</f>
        <v>0</v>
      </c>
      <c r="L15" s="392">
        <f t="shared" ca="1" si="0"/>
        <v>7519572</v>
      </c>
      <c r="M15" s="196">
        <f t="shared" ca="1" si="1"/>
        <v>7519572</v>
      </c>
    </row>
    <row r="16" spans="1:46" ht="15" customHeight="1" thickBot="1" x14ac:dyDescent="0.55000000000000004">
      <c r="A16" s="143" t="s">
        <v>204</v>
      </c>
      <c r="E16" s="234"/>
      <c r="F16" s="193" t="s">
        <v>207</v>
      </c>
      <c r="G16" s="235"/>
      <c r="H16" s="236">
        <f ca="1">シミュレーション!D27</f>
        <v>15630428</v>
      </c>
      <c r="I16" s="237">
        <f ca="1">シミュレーション!E27</f>
        <v>0</v>
      </c>
      <c r="J16" s="237">
        <f ca="1">シミュレーション!F27</f>
        <v>0</v>
      </c>
      <c r="K16" s="238">
        <f ca="1">シミュレーション!G27</f>
        <v>0</v>
      </c>
      <c r="L16" s="393">
        <f t="shared" ca="1" si="0"/>
        <v>15630428</v>
      </c>
      <c r="M16" s="194">
        <f t="shared" ca="1" si="1"/>
        <v>15630428</v>
      </c>
    </row>
    <row r="17" spans="1:21" ht="15" customHeight="1" thickBot="1" x14ac:dyDescent="0.55000000000000004">
      <c r="A17" s="179" t="s">
        <v>208</v>
      </c>
      <c r="B17" s="153">
        <f>H6+I6</f>
        <v>10000000</v>
      </c>
      <c r="F17" s="143" t="s">
        <v>209</v>
      </c>
      <c r="G17" s="143"/>
      <c r="H17" s="225">
        <f t="shared" ref="H17:M17" ca="1" si="2">IFERROR(H13/H9,0)</f>
        <v>0.30336668171557563</v>
      </c>
      <c r="I17" s="226">
        <f t="shared" ca="1" si="2"/>
        <v>0</v>
      </c>
      <c r="J17" s="226">
        <f t="shared" ca="1" si="2"/>
        <v>0</v>
      </c>
      <c r="K17" s="390">
        <f t="shared" ca="1" si="2"/>
        <v>0</v>
      </c>
      <c r="L17" s="394">
        <f t="shared" ca="1" si="2"/>
        <v>0.30336668171557563</v>
      </c>
      <c r="M17" s="187">
        <f t="shared" ca="1" si="2"/>
        <v>0.30336668171557563</v>
      </c>
    </row>
    <row r="18" spans="1:21" ht="15" customHeight="1" thickBot="1" x14ac:dyDescent="0.55000000000000004">
      <c r="A18" s="308" t="s">
        <v>210</v>
      </c>
      <c r="B18" s="153">
        <f>-シミュレーション!D33</f>
        <v>-7000000</v>
      </c>
      <c r="E18" s="204"/>
      <c r="F18" s="205" t="s">
        <v>211</v>
      </c>
      <c r="G18" s="206"/>
      <c r="H18" s="207"/>
      <c r="I18" s="207"/>
      <c r="J18" s="207"/>
      <c r="K18" s="207"/>
      <c r="L18" s="207"/>
      <c r="M18" s="208"/>
      <c r="O18" s="142" t="s">
        <v>179</v>
      </c>
    </row>
    <row r="19" spans="1:21" ht="15" customHeight="1" thickBot="1" x14ac:dyDescent="0.55000000000000004">
      <c r="A19" s="180" t="s">
        <v>212</v>
      </c>
      <c r="B19" s="155">
        <f>IF(-B18&gt;=650000,0,H7)</f>
        <v>0</v>
      </c>
      <c r="E19" s="175"/>
      <c r="F19" s="176"/>
      <c r="G19" s="177" t="s">
        <v>213</v>
      </c>
      <c r="H19" s="223" t="s">
        <v>214</v>
      </c>
      <c r="I19" s="224" t="s">
        <v>215</v>
      </c>
      <c r="J19" s="224" t="s">
        <v>216</v>
      </c>
      <c r="K19" s="227" t="s">
        <v>217</v>
      </c>
      <c r="L19" s="193" t="s">
        <v>182</v>
      </c>
      <c r="M19" s="194" t="s">
        <v>183</v>
      </c>
      <c r="O19" s="146" t="s">
        <v>181</v>
      </c>
      <c r="P19" s="162">
        <f>B5</f>
        <v>0.15</v>
      </c>
      <c r="Q19" s="162"/>
      <c r="R19" s="147"/>
      <c r="S19" s="147"/>
      <c r="T19" s="147"/>
      <c r="U19" s="147"/>
    </row>
    <row r="20" spans="1:21" x14ac:dyDescent="0.5">
      <c r="A20" s="180" t="s">
        <v>218</v>
      </c>
      <c r="B20" s="184"/>
      <c r="E20" s="160"/>
      <c r="F20" s="151" t="s">
        <v>219</v>
      </c>
      <c r="G20" s="173">
        <f ca="1">IF(B24&lt;0,0,B24)</f>
        <v>233000</v>
      </c>
      <c r="H20" s="312">
        <f>IF(シミュレーション!D33=0,0,シミュレーション!D33+シミュレーション!P47)</f>
        <v>7650000</v>
      </c>
      <c r="I20" s="313">
        <f>IF(シミュレーション!E33=0,0,シミュレーション!E33+シミュレーション!Q47)</f>
        <v>0</v>
      </c>
      <c r="J20" s="313">
        <f>IF(シミュレーション!F33=0,0,シミュレーション!F33+シミュレーション!R47)</f>
        <v>0</v>
      </c>
      <c r="K20" s="314">
        <f>IF(シミュレーション!G33=0,0,シミュレーション!G33+シミュレーション!S47)</f>
        <v>0</v>
      </c>
      <c r="L20" s="198"/>
      <c r="M20" s="196">
        <f t="shared" ref="M20:M29" ca="1" si="3">G20+L20</f>
        <v>233000</v>
      </c>
      <c r="O20" s="148" t="s">
        <v>184</v>
      </c>
      <c r="P20" s="162">
        <f>B6</f>
        <v>0.23899999999999999</v>
      </c>
      <c r="Q20" s="162"/>
      <c r="R20" s="147"/>
      <c r="S20" s="147"/>
      <c r="T20" s="147"/>
      <c r="U20" s="147"/>
    </row>
    <row r="21" spans="1:21" x14ac:dyDescent="0.5">
      <c r="A21" s="180" t="s">
        <v>220</v>
      </c>
      <c r="B21" s="155">
        <f>-SUM(シミュレーション!N34:N37)</f>
        <v>-2400000</v>
      </c>
      <c r="E21" s="160"/>
      <c r="F21" s="200" t="s">
        <v>221</v>
      </c>
      <c r="G21" s="201"/>
      <c r="H21" s="315">
        <f>シミュレーション!D39</f>
        <v>12400000</v>
      </c>
      <c r="I21" s="200">
        <f>シミュレーション!E39</f>
        <v>0</v>
      </c>
      <c r="J21" s="200">
        <f>シミュレーション!F39</f>
        <v>0</v>
      </c>
      <c r="K21" s="316">
        <f>シミュレーション!G39</f>
        <v>0</v>
      </c>
      <c r="L21" s="202">
        <f t="shared" ref="L21:L29" si="4">SUM(H21:K21)</f>
        <v>12400000</v>
      </c>
      <c r="M21" s="203">
        <f t="shared" si="3"/>
        <v>12400000</v>
      </c>
      <c r="O21" s="148" t="s">
        <v>186</v>
      </c>
      <c r="P21" s="162">
        <f>B7</f>
        <v>0.10299999999999999</v>
      </c>
      <c r="Q21" s="162"/>
      <c r="R21" s="147"/>
      <c r="S21" s="147"/>
      <c r="T21" s="147"/>
      <c r="U21" s="147"/>
    </row>
    <row r="22" spans="1:21" ht="15" customHeight="1" thickBot="1" x14ac:dyDescent="0.55000000000000004">
      <c r="A22" s="181" t="s">
        <v>222</v>
      </c>
      <c r="B22" s="155">
        <f ca="1">-B30</f>
        <v>-366240.00050067902</v>
      </c>
      <c r="C22" s="239" t="s">
        <v>79</v>
      </c>
      <c r="E22" s="161" t="s">
        <v>190</v>
      </c>
      <c r="F22" s="143" t="s">
        <v>191</v>
      </c>
      <c r="G22" s="174">
        <f ca="1">SUM(B17:B22)-シミュレーション!D71</f>
        <v>233759.99949932098</v>
      </c>
      <c r="H22" s="161">
        <f>SUM(H20:H21)</f>
        <v>20050000</v>
      </c>
      <c r="I22" s="143">
        <f>SUM(I20:I21)</f>
        <v>0</v>
      </c>
      <c r="J22" s="143">
        <f>SUM(J20:J21)</f>
        <v>0</v>
      </c>
      <c r="K22" s="317">
        <f>SUM(K20:K21)</f>
        <v>0</v>
      </c>
      <c r="L22" s="199">
        <f t="shared" si="4"/>
        <v>20050000</v>
      </c>
      <c r="M22" s="196">
        <f t="shared" ca="1" si="3"/>
        <v>20283759.999499321</v>
      </c>
      <c r="O22" s="148" t="s">
        <v>188</v>
      </c>
      <c r="P22" s="162">
        <f>B8</f>
        <v>0.01</v>
      </c>
      <c r="Q22" s="162"/>
      <c r="R22" s="147"/>
      <c r="S22" s="147"/>
      <c r="T22" s="147"/>
      <c r="U22" s="147"/>
    </row>
    <row r="23" spans="1:21" ht="15" customHeight="1" thickBot="1" x14ac:dyDescent="0.55000000000000004">
      <c r="A23" s="182" t="s">
        <v>223</v>
      </c>
      <c r="B23" s="304"/>
      <c r="C23" s="266">
        <v>70000</v>
      </c>
      <c r="E23" s="160"/>
      <c r="F23" s="142" t="s">
        <v>224</v>
      </c>
      <c r="G23" s="173">
        <f ca="1">INT(ctax(G20)/100)*100</f>
        <v>38500</v>
      </c>
      <c r="H23" s="160">
        <f ca="1">INT((シミュレーション!D48-シミュレーション!D49)/100)*100</f>
        <v>4466800</v>
      </c>
      <c r="I23" s="142">
        <f ca="1">INT((シミュレーション!E48-シミュレーション!E49)/100)*100</f>
        <v>0</v>
      </c>
      <c r="J23" s="142">
        <f ca="1">INT((シミュレーション!F48-シミュレーション!F49)/100)*100</f>
        <v>0</v>
      </c>
      <c r="K23" s="318">
        <f ca="1">INT((シミュレーション!G48-シミュレーション!G49)/100)*100</f>
        <v>0</v>
      </c>
      <c r="L23" s="199">
        <f t="shared" ca="1" si="4"/>
        <v>4466800</v>
      </c>
      <c r="M23" s="196">
        <f t="shared" ca="1" si="3"/>
        <v>4505300</v>
      </c>
      <c r="N23" s="160"/>
      <c r="O23" s="209"/>
      <c r="P23" s="162"/>
      <c r="Q23" s="212"/>
      <c r="R23" s="147"/>
      <c r="S23" s="147"/>
      <c r="T23" s="147"/>
      <c r="U23" s="147"/>
    </row>
    <row r="24" spans="1:21" ht="15" customHeight="1" thickBot="1" x14ac:dyDescent="0.55000000000000004">
      <c r="A24" s="178" t="s">
        <v>14</v>
      </c>
      <c r="B24" s="183">
        <f ca="1">INT((SUM(B17:B22)-B23)/1000)*1000-シミュレーション!E71</f>
        <v>233000</v>
      </c>
      <c r="E24" s="160"/>
      <c r="F24" s="142" t="s">
        <v>196</v>
      </c>
      <c r="G24" s="173">
        <f ca="1">INT((G23/(1+B7)*(P22+P24)+C23)/100)*100</f>
        <v>72400</v>
      </c>
      <c r="H24" s="160">
        <f ca="1">INT(シミュレーション!D50/100)*100</f>
        <v>1791200</v>
      </c>
      <c r="I24" s="142">
        <f ca="1">INT(シミュレーション!E50/100)*100</f>
        <v>0</v>
      </c>
      <c r="J24" s="142">
        <f ca="1">INT(シミュレーション!F50/100)*100</f>
        <v>0</v>
      </c>
      <c r="K24" s="318">
        <f ca="1">INT(シミュレーション!G50/100)*100</f>
        <v>0</v>
      </c>
      <c r="L24" s="199">
        <f t="shared" ca="1" si="4"/>
        <v>1791200</v>
      </c>
      <c r="M24" s="196">
        <f t="shared" ca="1" si="3"/>
        <v>1863600</v>
      </c>
      <c r="O24" s="148" t="s">
        <v>192</v>
      </c>
      <c r="P24" s="210">
        <f>B10</f>
        <v>0.06</v>
      </c>
      <c r="Q24" s="214" t="s">
        <v>193</v>
      </c>
      <c r="R24" s="147"/>
      <c r="S24" s="147"/>
      <c r="T24" s="147"/>
      <c r="U24" s="147"/>
    </row>
    <row r="25" spans="1:21" ht="15" customHeight="1" thickBot="1" x14ac:dyDescent="0.55000000000000004">
      <c r="A25" s="151" t="s">
        <v>222</v>
      </c>
      <c r="E25" s="160"/>
      <c r="F25" s="142" t="s">
        <v>198</v>
      </c>
      <c r="G25" s="173">
        <f ca="1">INT((IF(AM1=TRUE,Mbiztax(G20-B39),biztax(G20)))/100)*100</f>
        <v>11100</v>
      </c>
      <c r="H25" s="160">
        <f>シミュレーション!N51</f>
        <v>237500</v>
      </c>
      <c r="K25" s="318"/>
      <c r="L25" s="199">
        <f t="shared" si="4"/>
        <v>237500</v>
      </c>
      <c r="M25" s="196">
        <f t="shared" ca="1" si="3"/>
        <v>248600</v>
      </c>
      <c r="O25" s="148" t="s">
        <v>195</v>
      </c>
      <c r="P25" s="210">
        <f>B11</f>
        <v>3.5000000000000003E-2</v>
      </c>
      <c r="Q25" s="215">
        <f>C11</f>
        <v>3.5000000000000003E-2</v>
      </c>
      <c r="R25" s="147"/>
      <c r="S25" s="147"/>
      <c r="T25" s="147"/>
      <c r="U25" s="147"/>
    </row>
    <row r="26" spans="1:21" ht="15" customHeight="1" thickBot="1" x14ac:dyDescent="0.55000000000000004">
      <c r="A26" s="179" t="s">
        <v>225</v>
      </c>
      <c r="B26" s="159">
        <v>0</v>
      </c>
      <c r="E26" s="161" t="s">
        <v>200</v>
      </c>
      <c r="F26" s="143" t="s">
        <v>201</v>
      </c>
      <c r="G26" s="173">
        <f ca="1">SUM(G23:G25)</f>
        <v>122000</v>
      </c>
      <c r="H26" s="160">
        <f ca="1">SUM(H23:H25)</f>
        <v>6495500</v>
      </c>
      <c r="I26" s="142">
        <f ca="1">SUM(I23:I25)</f>
        <v>0</v>
      </c>
      <c r="J26" s="142">
        <f ca="1">SUM(J23:J25)</f>
        <v>0</v>
      </c>
      <c r="K26" s="318">
        <f ca="1">SUM(K23:K25)</f>
        <v>0</v>
      </c>
      <c r="L26" s="199">
        <f t="shared" ca="1" si="4"/>
        <v>6495500</v>
      </c>
      <c r="M26" s="196">
        <f t="shared" ca="1" si="3"/>
        <v>6617500</v>
      </c>
      <c r="O26" s="148" t="s">
        <v>197</v>
      </c>
      <c r="P26" s="210">
        <f>B12</f>
        <v>5.6000000000000001E-2</v>
      </c>
      <c r="Q26" s="216">
        <f>C12</f>
        <v>4.9000000000000002E-2</v>
      </c>
      <c r="R26" s="147"/>
      <c r="S26" s="147"/>
      <c r="T26" s="147"/>
      <c r="U26" s="147"/>
    </row>
    <row r="27" spans="1:21" x14ac:dyDescent="0.5">
      <c r="A27" s="160" t="s">
        <v>226</v>
      </c>
      <c r="B27" s="242">
        <v>0.153</v>
      </c>
      <c r="C27" s="260" t="s">
        <v>227</v>
      </c>
      <c r="E27" s="161" t="s">
        <v>203</v>
      </c>
      <c r="F27" s="143" t="s">
        <v>228</v>
      </c>
      <c r="G27" s="173">
        <f ca="1">B30</f>
        <v>366240.00050067902</v>
      </c>
      <c r="H27" s="160">
        <f ca="1">シミュレーション!D55</f>
        <v>357600.00050067902</v>
      </c>
      <c r="I27" s="142">
        <f>シミュレーション!E55</f>
        <v>0</v>
      </c>
      <c r="J27" s="142">
        <f>シミュレーション!F55</f>
        <v>0</v>
      </c>
      <c r="K27" s="318">
        <f>シミュレーション!G55</f>
        <v>0</v>
      </c>
      <c r="L27" s="199">
        <f t="shared" ca="1" si="4"/>
        <v>357600.00050067902</v>
      </c>
      <c r="M27" s="196">
        <f t="shared" ca="1" si="3"/>
        <v>723840.00100135803</v>
      </c>
      <c r="O27" s="148" t="s">
        <v>199</v>
      </c>
      <c r="P27" s="162">
        <f>B13</f>
        <v>7.0000000000000007E-2</v>
      </c>
      <c r="Q27" s="213"/>
      <c r="R27" s="147"/>
      <c r="S27" s="147"/>
      <c r="T27" s="147"/>
      <c r="U27" s="147"/>
    </row>
    <row r="28" spans="1:21" ht="15" customHeight="1" thickBot="1" x14ac:dyDescent="0.55000000000000004">
      <c r="A28" s="191" t="s">
        <v>229</v>
      </c>
      <c r="B28" s="155">
        <f>B26*B27</f>
        <v>0</v>
      </c>
      <c r="E28" s="161" t="s">
        <v>205</v>
      </c>
      <c r="F28" s="143" t="s">
        <v>206</v>
      </c>
      <c r="G28" s="173">
        <f ca="1">G26+G27</f>
        <v>488240.00050067902</v>
      </c>
      <c r="H28" s="178">
        <f ca="1">H26+H27</f>
        <v>6853100.000500679</v>
      </c>
      <c r="I28" s="319">
        <f ca="1">I26+I27</f>
        <v>0</v>
      </c>
      <c r="J28" s="319">
        <f ca="1">J26+J27</f>
        <v>0</v>
      </c>
      <c r="K28" s="320">
        <f ca="1">K26+K27</f>
        <v>0</v>
      </c>
      <c r="L28" s="199">
        <f t="shared" ca="1" si="4"/>
        <v>6853100.000500679</v>
      </c>
      <c r="M28" s="196">
        <f t="shared" ca="1" si="3"/>
        <v>7341340.001001358</v>
      </c>
      <c r="O28" s="149" t="s">
        <v>230</v>
      </c>
      <c r="P28" s="162">
        <f>B14</f>
        <v>0.37</v>
      </c>
      <c r="Q28" s="162"/>
      <c r="R28" s="147"/>
      <c r="S28" s="147"/>
      <c r="T28" s="147"/>
      <c r="U28" s="147"/>
    </row>
    <row r="29" spans="1:21" ht="15" customHeight="1" thickBot="1" x14ac:dyDescent="0.55000000000000004">
      <c r="A29" s="180" t="s">
        <v>231</v>
      </c>
      <c r="B29" s="155">
        <f ca="1">シミュレーション!N58</f>
        <v>366240.00050067902</v>
      </c>
      <c r="E29" s="234"/>
      <c r="F29" s="193" t="s">
        <v>232</v>
      </c>
      <c r="G29" s="235">
        <f ca="1">G22-G26</f>
        <v>111759.99949932098</v>
      </c>
      <c r="H29" s="236">
        <f ca="1">シミュレーション!D57</f>
        <v>15696899.999499321</v>
      </c>
      <c r="I29" s="237">
        <f ca="1">シミュレーション!E57</f>
        <v>0</v>
      </c>
      <c r="J29" s="237">
        <f ca="1">シミュレーション!F57</f>
        <v>0</v>
      </c>
      <c r="K29" s="238">
        <f ca="1">シミュレーション!G57</f>
        <v>0</v>
      </c>
      <c r="L29" s="197">
        <f t="shared" ca="1" si="4"/>
        <v>15696899.999499321</v>
      </c>
      <c r="M29" s="194">
        <f t="shared" ca="1" si="3"/>
        <v>15808659.998998642</v>
      </c>
    </row>
    <row r="30" spans="1:21" ht="15" customHeight="1" thickBot="1" x14ac:dyDescent="0.55000000000000004">
      <c r="A30" s="192" t="s">
        <v>233</v>
      </c>
      <c r="B30" s="157">
        <f ca="1">B28+B29</f>
        <v>366240.00050067902</v>
      </c>
      <c r="F30" s="143" t="s">
        <v>209</v>
      </c>
      <c r="G30" s="187">
        <f t="shared" ref="G30:M30" ca="1" si="5">IFERROR(G26/G22,0)</f>
        <v>0.5219028074148947</v>
      </c>
      <c r="H30" s="187">
        <f t="shared" ca="1" si="5"/>
        <v>0.32396508728179552</v>
      </c>
      <c r="I30" s="187">
        <f t="shared" ca="1" si="5"/>
        <v>0</v>
      </c>
      <c r="J30" s="187">
        <f t="shared" ca="1" si="5"/>
        <v>0</v>
      </c>
      <c r="K30" s="187">
        <f t="shared" ca="1" si="5"/>
        <v>0</v>
      </c>
      <c r="L30" s="187">
        <f t="shared" ca="1" si="5"/>
        <v>0.32396508728179552</v>
      </c>
      <c r="M30" s="187">
        <f t="shared" ca="1" si="5"/>
        <v>0.32624621865784964</v>
      </c>
    </row>
    <row r="31" spans="1:21" x14ac:dyDescent="0.5">
      <c r="A31" s="190" t="s">
        <v>234</v>
      </c>
      <c r="B31" s="190">
        <f>シミュレーション!O7/2</f>
        <v>4.9549999999999997E-2</v>
      </c>
      <c r="C31" s="142" t="s">
        <v>235</v>
      </c>
      <c r="F31" s="143" t="s">
        <v>236</v>
      </c>
    </row>
    <row r="32" spans="1:21" ht="15" customHeight="1" thickBot="1" x14ac:dyDescent="0.55000000000000004">
      <c r="A32" s="190" t="s">
        <v>237</v>
      </c>
      <c r="B32" s="190">
        <f>シミュレーション!O8/2</f>
        <v>7.9500000000000005E-3</v>
      </c>
      <c r="F32" s="143" t="s">
        <v>238</v>
      </c>
    </row>
    <row r="33" spans="1:10" ht="15" customHeight="1" thickBot="1" x14ac:dyDescent="0.55000000000000004">
      <c r="A33" s="190" t="s">
        <v>239</v>
      </c>
      <c r="B33" s="190">
        <f>シミュレーション!O9/2</f>
        <v>9.1499999999999998E-2</v>
      </c>
      <c r="F33" s="231"/>
      <c r="G33" s="232" t="s">
        <v>8</v>
      </c>
      <c r="H33" s="232" t="s">
        <v>161</v>
      </c>
      <c r="I33" s="233" t="s">
        <v>240</v>
      </c>
    </row>
    <row r="34" spans="1:10" x14ac:dyDescent="0.5">
      <c r="A34" s="190" t="s">
        <v>27</v>
      </c>
      <c r="B34" s="190">
        <f>シミュレーション!O10</f>
        <v>3.5999999999999999E-3</v>
      </c>
      <c r="F34" s="228" t="s">
        <v>241</v>
      </c>
      <c r="G34" s="229">
        <f ca="1">M9</f>
        <v>22150000</v>
      </c>
      <c r="H34" s="229">
        <f ca="1">G34</f>
        <v>22150000</v>
      </c>
      <c r="I34" s="230"/>
    </row>
    <row r="35" spans="1:10" ht="15" customHeight="1" thickBot="1" x14ac:dyDescent="0.55000000000000004">
      <c r="A35" s="142" t="s">
        <v>12</v>
      </c>
      <c r="B35" s="243">
        <f>SUM(B31:B34)</f>
        <v>0.15259999999999999</v>
      </c>
      <c r="F35" s="154" t="s">
        <v>242</v>
      </c>
      <c r="G35" s="185">
        <f ca="1">M13</f>
        <v>6719572</v>
      </c>
      <c r="H35" s="185">
        <f ca="1">M26</f>
        <v>6617500</v>
      </c>
      <c r="I35" s="188">
        <f ca="1">H35-G35</f>
        <v>-102072</v>
      </c>
      <c r="J35" s="142" t="str">
        <f ca="1">IF(I35&lt;0,"有利","不利")</f>
        <v>有利</v>
      </c>
    </row>
    <row r="36" spans="1:10" ht="20.149999999999999" customHeight="1" thickTop="1" thickBot="1" x14ac:dyDescent="0.55000000000000004">
      <c r="A36" s="142" t="s">
        <v>243</v>
      </c>
      <c r="F36" s="154" t="s">
        <v>67</v>
      </c>
      <c r="G36" s="185">
        <f>M14</f>
        <v>800000</v>
      </c>
      <c r="H36" s="185">
        <f ca="1">M27</f>
        <v>723840.00100135803</v>
      </c>
      <c r="I36" s="188">
        <f ca="1">H36-G36</f>
        <v>-76159.998998641968</v>
      </c>
      <c r="J36" s="142" t="str">
        <f ca="1">IF(I36&lt;0,"有利","不利")</f>
        <v>有利</v>
      </c>
    </row>
    <row r="37" spans="1:10" x14ac:dyDescent="0.5">
      <c r="A37" s="152" t="s">
        <v>244</v>
      </c>
      <c r="B37" s="159"/>
      <c r="F37" s="154" t="s">
        <v>206</v>
      </c>
      <c r="G37" s="185">
        <f ca="1">G35+G36</f>
        <v>7519572</v>
      </c>
      <c r="H37" s="185">
        <f ca="1">H35+H36</f>
        <v>7341340.001001358</v>
      </c>
      <c r="I37" s="188">
        <f ca="1">H37-G37</f>
        <v>-178231.99899864197</v>
      </c>
      <c r="J37" s="142" t="str">
        <f ca="1">IF(I37&lt;0,"有利","不利")</f>
        <v>有利</v>
      </c>
    </row>
    <row r="38" spans="1:10" x14ac:dyDescent="0.5">
      <c r="A38" s="154" t="s">
        <v>245</v>
      </c>
      <c r="B38" s="184"/>
      <c r="F38" s="373" t="s">
        <v>246</v>
      </c>
      <c r="G38" s="374"/>
      <c r="H38" s="374">
        <f>シミュレーション!D71</f>
        <v>0</v>
      </c>
      <c r="I38" s="375"/>
    </row>
    <row r="39" spans="1:10" ht="15" customHeight="1" thickBot="1" x14ac:dyDescent="0.55000000000000004">
      <c r="A39" s="156" t="s">
        <v>247</v>
      </c>
      <c r="B39" s="157">
        <f ca="1">IFERROR(G20*B37/B38,0)</f>
        <v>0</v>
      </c>
      <c r="F39" s="373" t="s">
        <v>248</v>
      </c>
      <c r="G39" s="374"/>
      <c r="H39" s="374">
        <f>シミュレーション!F71</f>
        <v>0</v>
      </c>
      <c r="I39" s="375"/>
    </row>
    <row r="40" spans="1:10" ht="15" customHeight="1" thickBot="1" x14ac:dyDescent="0.55000000000000004">
      <c r="F40" s="156" t="s">
        <v>93</v>
      </c>
      <c r="G40" s="186">
        <f ca="1">G34-G37</f>
        <v>14630428</v>
      </c>
      <c r="H40" s="186">
        <f ca="1">H34-H37-H38+H39</f>
        <v>14808659.998998642</v>
      </c>
      <c r="I40" s="189">
        <f ca="1">H40-G40</f>
        <v>178231.99899864197</v>
      </c>
      <c r="J40" s="143" t="str">
        <f ca="1">IF(I40&lt;0,"不利","有利")</f>
        <v>有利</v>
      </c>
    </row>
  </sheetData>
  <phoneticPr fontId="6"/>
  <conditionalFormatting sqref="A1:XFD1048576">
    <cfRule type="expression" dxfId="4" priority="1">
      <formula>CELL("protect", A1)=0</formula>
    </cfRule>
  </conditionalFormatting>
  <conditionalFormatting sqref="B17:B30 G34:I40">
    <cfRule type="expression" dxfId="3" priority="2" stopIfTrue="1">
      <formula>$AT$1=2</formula>
    </cfRule>
  </conditionalFormatting>
  <conditionalFormatting sqref="B37:B39">
    <cfRule type="expression" dxfId="2" priority="3" stopIfTrue="1">
      <formula>$AT$1=2</formula>
    </cfRule>
  </conditionalFormatting>
  <conditionalFormatting sqref="H6:M16">
    <cfRule type="expression" dxfId="1" priority="4" stopIfTrue="1">
      <formula>$AT$1=2</formula>
    </cfRule>
  </conditionalFormatting>
  <conditionalFormatting sqref="G20:M29">
    <cfRule type="expression" dxfId="0" priority="5" stopIfTrue="1">
      <formula>$AT$1=2</formula>
    </cfRule>
  </conditionalFormatting>
  <pageMargins left="0.5" right="0.5" top="0.5" bottom="0.5" header="0.3" footer="0.3"/>
  <pageSetup paperSize="9" scale="8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073" r:id="rId3" name="Check Box 1">
              <controlPr defaultSize="0" autoFill="0" autoLine="0" autoPict="0">
                <anchor moveWithCells="1">
                  <from>
                    <xdr:col>1</xdr:col>
                    <xdr:colOff>222250</xdr:colOff>
                    <xdr:row>35</xdr:row>
                    <xdr:rowOff>31750</xdr:rowOff>
                  </from>
                  <to>
                    <xdr:col>1</xdr:col>
                    <xdr:colOff>565150</xdr:colOff>
                    <xdr:row>36</xdr:row>
                    <xdr:rowOff>31750</xdr:rowOff>
                  </to>
                </anchor>
              </controlPr>
            </control>
          </mc:Choice>
        </mc:AlternateContent>
        <mc:AlternateContent xmlns:mc="http://schemas.openxmlformats.org/markup-compatibility/2006">
          <mc:Choice Requires="x14">
            <control shapeId="3074" r:id="rId4" name="Button 2">
              <controlPr defaultSize="0" print="0" autoFill="0" autoPict="0" macro="[0]!印刷法人成り">
                <anchor>
                  <from>
                    <xdr:col>13</xdr:col>
                    <xdr:colOff>412750</xdr:colOff>
                    <xdr:row>3</xdr:row>
                    <xdr:rowOff>38100</xdr:rowOff>
                  </from>
                  <to>
                    <xdr:col>14</xdr:col>
                    <xdr:colOff>679450</xdr:colOff>
                    <xdr:row>4</xdr:row>
                    <xdr:rowOff>127000</xdr:rowOff>
                  </to>
                </anchor>
              </controlPr>
            </control>
          </mc:Choice>
        </mc:AlternateContent>
        <mc:AlternateContent xmlns:mc="http://schemas.openxmlformats.org/markup-compatibility/2006">
          <mc:Choice Requires="x14">
            <control shapeId="3075" r:id="rId5" name="Button 3">
              <controlPr defaultSize="0" print="0" autoFill="0" autoPict="0" macro="[0]!法人成データ削除">
                <anchor>
                  <from>
                    <xdr:col>14</xdr:col>
                    <xdr:colOff>755650</xdr:colOff>
                    <xdr:row>3</xdr:row>
                    <xdr:rowOff>38100</xdr:rowOff>
                  </from>
                  <to>
                    <xdr:col>15</xdr:col>
                    <xdr:colOff>565150</xdr:colOff>
                    <xdr:row>4</xdr:row>
                    <xdr:rowOff>127000</xdr:rowOff>
                  </to>
                </anchor>
              </controlPr>
            </control>
          </mc:Choice>
        </mc:AlternateContent>
        <mc:AlternateContent xmlns:mc="http://schemas.openxmlformats.org/markup-compatibility/2006">
          <mc:Choice Requires="x14">
            <control shapeId="3077" r:id="rId6" name="Option Button 5">
              <controlPr defaultSize="0" autoFill="0" autoLine="0" autoPict="0">
                <anchor moveWithCells="1">
                  <from>
                    <xdr:col>1</xdr:col>
                    <xdr:colOff>38100</xdr:colOff>
                    <xdr:row>0</xdr:row>
                    <xdr:rowOff>107950</xdr:rowOff>
                  </from>
                  <to>
                    <xdr:col>1</xdr:col>
                    <xdr:colOff>469900</xdr:colOff>
                    <xdr:row>3</xdr:row>
                    <xdr:rowOff>31750</xdr:rowOff>
                  </to>
                </anchor>
              </controlPr>
            </control>
          </mc:Choice>
        </mc:AlternateContent>
        <mc:AlternateContent xmlns:mc="http://schemas.openxmlformats.org/markup-compatibility/2006">
          <mc:Choice Requires="x14">
            <control shapeId="3078" r:id="rId7" name="Option Button 6">
              <controlPr defaultSize="0" autoFill="0" autoLine="0" autoPict="0">
                <anchor moveWithCells="1">
                  <from>
                    <xdr:col>1</xdr:col>
                    <xdr:colOff>622300</xdr:colOff>
                    <xdr:row>1</xdr:row>
                    <xdr:rowOff>0</xdr:rowOff>
                  </from>
                  <to>
                    <xdr:col>2</xdr:col>
                    <xdr:colOff>647700</xdr:colOff>
                    <xdr:row>3</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HOME</vt:lpstr>
      <vt:lpstr>シミュレーション</vt:lpstr>
      <vt:lpstr>最適化</vt:lpstr>
      <vt:lpstr>報告書</vt:lpstr>
      <vt:lpstr>法人成り</vt:lpstr>
      <vt:lpstr>シミュレーション!Print_Area</vt:lpstr>
      <vt:lpstr>報告書!Print_Area</vt:lpstr>
      <vt:lpstr>法人成り!Print_Area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manabuchan</dc:creator>
  <cp:lastModifiedBy>近藤学</cp:lastModifiedBy>
  <cp:lastPrinted>2024-05-16T02:05:10Z</cp:lastPrinted>
  <dcterms:created xsi:type="dcterms:W3CDTF">2018-03-21T10:28:10Z</dcterms:created>
  <dcterms:modified xsi:type="dcterms:W3CDTF">2026-04-01T10:12:23Z</dcterms:modified>
</cp:coreProperties>
</file>