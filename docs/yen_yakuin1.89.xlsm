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chartsheets/sheet1.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4.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5.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725" codeName="{DD97A8EA-9A9A-E61F-A557-7D5A7D7259CE}"/>
  <workbookPr updateLinks="never" codeName="ThisWorkbook" defaultThemeVersion="166925"/>
  <mc:AlternateContent xmlns:mc="http://schemas.openxmlformats.org/markup-compatibility/2006">
    <mc:Choice Requires="x15">
      <x15ac:absPath xmlns:x15ac="http://schemas.microsoft.com/office/spreadsheetml/2010/11/ac" url="C:\Users\manab\Documents\koganemushi_App\docs\"/>
    </mc:Choice>
  </mc:AlternateContent>
  <xr:revisionPtr revIDLastSave="0" documentId="13_ncr:1_{24F156FD-B861-4211-A5FE-4F3F899C4156}" xr6:coauthVersionLast="47" xr6:coauthVersionMax="47" xr10:uidLastSave="{00000000-0000-0000-0000-000000000000}"/>
  <bookViews>
    <workbookView xWindow="19103" yWindow="-98" windowWidth="19395" windowHeight="11475" firstSheet="1" activeTab="5" xr2:uid="{00000000-000D-0000-FFFF-FFFF00000000}"/>
  </bookViews>
  <sheets>
    <sheet name="グラフ1" sheetId="3" state="hidden" r:id="rId1"/>
    <sheet name="HOME" sheetId="6" r:id="rId2"/>
    <sheet name="シミュレーション" sheetId="1" r:id="rId3"/>
    <sheet name="法人税" sheetId="2" r:id="rId4"/>
    <sheet name="最適化" sheetId="4" r:id="rId5"/>
    <sheet name="報告書" sheetId="5" r:id="rId6"/>
  </sheets>
  <functionGroups builtInGroupCount="19"/>
  <externalReferences>
    <externalReference r:id="rId7"/>
  </externalReferences>
  <definedNames>
    <definedName name="_xlnm.Print_Area" localSheetId="2">シミュレーション!$A$4:$N$63</definedName>
    <definedName name="_xlnm.Print_Area" localSheetId="5">報告書!$A$1:$L$31</definedName>
    <definedName name="_xlnm.Print_Area" localSheetId="3">法人税!$B$3:$C$49</definedName>
    <definedName name="減価償却率">[1]lookup!$E$3:$I$51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10" i="5" l="1"/>
  <c r="E116" i="1"/>
  <c r="F116" i="1"/>
  <c r="G116" i="1"/>
  <c r="H116" i="1"/>
  <c r="I116" i="1"/>
  <c r="J116" i="1"/>
  <c r="K116" i="1"/>
  <c r="L116" i="1"/>
  <c r="M116" i="1"/>
  <c r="E117" i="1"/>
  <c r="F117" i="1"/>
  <c r="G117" i="1"/>
  <c r="H117" i="1"/>
  <c r="I117" i="1"/>
  <c r="J117" i="1"/>
  <c r="K117" i="1"/>
  <c r="L117" i="1"/>
  <c r="M117" i="1"/>
  <c r="N13" i="1"/>
  <c r="N43" i="1"/>
  <c r="D10" i="5" s="1"/>
  <c r="D117" i="1"/>
  <c r="D116" i="1"/>
  <c r="Q26" i="1" a="1"/>
  <c r="Q26" i="1" s="1"/>
  <c r="D14" i="1" a="1"/>
  <c r="D44" i="1" a="1"/>
  <c r="E10" i="5" l="1"/>
  <c r="D44" i="1"/>
  <c r="D96" i="1" s="1"/>
  <c r="D49" i="1" s="1"/>
  <c r="D14" i="1"/>
  <c r="E73" i="1"/>
  <c r="F73" i="1"/>
  <c r="G73" i="1"/>
  <c r="H73" i="1"/>
  <c r="I73" i="1"/>
  <c r="J121" i="1"/>
  <c r="K121" i="1"/>
  <c r="L73" i="1"/>
  <c r="M121" i="1"/>
  <c r="E70" i="1"/>
  <c r="F70" i="1"/>
  <c r="G122" i="1"/>
  <c r="I70" i="1"/>
  <c r="K122" i="1"/>
  <c r="L122" i="1"/>
  <c r="M122" i="1"/>
  <c r="E118" i="1"/>
  <c r="F118" i="1"/>
  <c r="G118" i="1"/>
  <c r="H118" i="1"/>
  <c r="H123" i="1" s="1"/>
  <c r="I118" i="1"/>
  <c r="J118" i="1"/>
  <c r="K118" i="1"/>
  <c r="L118" i="1"/>
  <c r="M118" i="1"/>
  <c r="E119" i="1"/>
  <c r="F119" i="1"/>
  <c r="G119" i="1"/>
  <c r="H119" i="1"/>
  <c r="I119" i="1"/>
  <c r="J119" i="1"/>
  <c r="K119" i="1"/>
  <c r="L119" i="1"/>
  <c r="M119" i="1"/>
  <c r="D119" i="1"/>
  <c r="D118" i="1"/>
  <c r="D121" i="1"/>
  <c r="AJ40" i="1"/>
  <c r="AI40" i="1"/>
  <c r="AH40" i="1"/>
  <c r="AG40" i="1"/>
  <c r="AF40" i="1"/>
  <c r="AE40" i="1"/>
  <c r="AD40" i="1"/>
  <c r="AC40" i="1"/>
  <c r="AB40" i="1"/>
  <c r="AA40" i="1"/>
  <c r="AJ39" i="1"/>
  <c r="AI39" i="1"/>
  <c r="AH39" i="1"/>
  <c r="AG39" i="1"/>
  <c r="AF39" i="1"/>
  <c r="AE39" i="1"/>
  <c r="AD39" i="1"/>
  <c r="AC39" i="1"/>
  <c r="AB39" i="1"/>
  <c r="AA39" i="1"/>
  <c r="AJ38" i="1"/>
  <c r="AI38" i="1"/>
  <c r="AH38" i="1"/>
  <c r="AG38" i="1"/>
  <c r="AF38" i="1"/>
  <c r="AE38" i="1"/>
  <c r="AD38" i="1"/>
  <c r="AC38" i="1"/>
  <c r="AB38" i="1"/>
  <c r="AA38" i="1"/>
  <c r="AJ37" i="1"/>
  <c r="AI37" i="1"/>
  <c r="AH37" i="1"/>
  <c r="AG37" i="1"/>
  <c r="AF37" i="1"/>
  <c r="AE37" i="1"/>
  <c r="AD37" i="1"/>
  <c r="AC37" i="1"/>
  <c r="AB37" i="1"/>
  <c r="AA37" i="1"/>
  <c r="AB9" i="1"/>
  <c r="AC9" i="1"/>
  <c r="AD9" i="1"/>
  <c r="AE9" i="1"/>
  <c r="AF9" i="1"/>
  <c r="AG9" i="1"/>
  <c r="AH9" i="1"/>
  <c r="AI9" i="1"/>
  <c r="AJ9" i="1"/>
  <c r="AB10" i="1"/>
  <c r="AC10" i="1"/>
  <c r="AD10" i="1"/>
  <c r="AE10" i="1"/>
  <c r="AF10" i="1"/>
  <c r="AG10" i="1"/>
  <c r="AH10" i="1"/>
  <c r="AI10" i="1"/>
  <c r="AJ10" i="1"/>
  <c r="AB11" i="1"/>
  <c r="AC11" i="1"/>
  <c r="AD11" i="1"/>
  <c r="AE11" i="1"/>
  <c r="AF11" i="1"/>
  <c r="AG11" i="1"/>
  <c r="AH11" i="1"/>
  <c r="AI11" i="1"/>
  <c r="AJ11" i="1"/>
  <c r="AA10" i="1"/>
  <c r="AA11" i="1"/>
  <c r="AA9" i="1"/>
  <c r="E76" i="1"/>
  <c r="F76" i="1"/>
  <c r="G76" i="1"/>
  <c r="H76" i="1"/>
  <c r="I76" i="1"/>
  <c r="J76" i="1"/>
  <c r="K76" i="1"/>
  <c r="L76" i="1"/>
  <c r="M76" i="1"/>
  <c r="H75" i="1"/>
  <c r="L74" i="1"/>
  <c r="M75" i="1"/>
  <c r="L75" i="1"/>
  <c r="K74" i="1"/>
  <c r="G75" i="1"/>
  <c r="G74" i="1"/>
  <c r="F74" i="1"/>
  <c r="H74" i="1"/>
  <c r="I74" i="1"/>
  <c r="K75" i="1"/>
  <c r="M74" i="1"/>
  <c r="E74" i="1"/>
  <c r="J74" i="1"/>
  <c r="J75" i="1"/>
  <c r="I75" i="1"/>
  <c r="F75" i="1"/>
  <c r="E75" i="1"/>
  <c r="E25" i="5" l="1"/>
  <c r="E16" i="5"/>
  <c r="D86" i="1"/>
  <c r="D19" i="1" s="1"/>
  <c r="I123" i="1"/>
  <c r="M123" i="1"/>
  <c r="E123" i="1"/>
  <c r="G124" i="1"/>
  <c r="L123" i="1"/>
  <c r="K123" i="1"/>
  <c r="L121" i="1"/>
  <c r="I121" i="1"/>
  <c r="H121" i="1"/>
  <c r="M73" i="1"/>
  <c r="H124" i="1"/>
  <c r="F124" i="1"/>
  <c r="D123" i="1"/>
  <c r="M70" i="1"/>
  <c r="K124" i="1"/>
  <c r="G70" i="1"/>
  <c r="J124" i="1"/>
  <c r="I124" i="1"/>
  <c r="G121" i="1"/>
  <c r="K73" i="1"/>
  <c r="J123" i="1"/>
  <c r="D73" i="1"/>
  <c r="G123" i="1"/>
  <c r="F121" i="1"/>
  <c r="J73" i="1"/>
  <c r="E121" i="1"/>
  <c r="F123" i="1"/>
  <c r="J122" i="1"/>
  <c r="I122" i="1"/>
  <c r="M124" i="1"/>
  <c r="E124" i="1"/>
  <c r="H122" i="1"/>
  <c r="K70" i="1"/>
  <c r="L70" i="1"/>
  <c r="L124" i="1"/>
  <c r="J70" i="1"/>
  <c r="F122" i="1"/>
  <c r="E122" i="1"/>
  <c r="H70" i="1"/>
  <c r="AA41" i="1"/>
  <c r="AA42" i="1" s="1"/>
  <c r="AI41" i="1"/>
  <c r="AI42" i="1" s="1"/>
  <c r="D70" i="1"/>
  <c r="D124" i="1"/>
  <c r="D122" i="1"/>
  <c r="AH41" i="1"/>
  <c r="AH42" i="1" s="1"/>
  <c r="AB41" i="1"/>
  <c r="AB42" i="1" s="1"/>
  <c r="AD41" i="1"/>
  <c r="AD42" i="1" s="1"/>
  <c r="AF41" i="1"/>
  <c r="AF42" i="1" s="1"/>
  <c r="AJ41" i="1"/>
  <c r="AJ42" i="1" s="1"/>
  <c r="AC41" i="1"/>
  <c r="AC42" i="1" s="1"/>
  <c r="AE41" i="1"/>
  <c r="AE42" i="1" s="1"/>
  <c r="AG41" i="1"/>
  <c r="AG42" i="1" s="1"/>
  <c r="N100" i="4"/>
  <c r="K100" i="4"/>
  <c r="F100" i="4"/>
  <c r="D78" i="1"/>
  <c r="M45" i="4" l="1"/>
  <c r="M5" i="4"/>
  <c r="N9" i="1"/>
  <c r="N10" i="1"/>
  <c r="N11" i="1"/>
  <c r="N12" i="1"/>
  <c r="C9" i="5" s="1"/>
  <c r="D76" i="1"/>
  <c r="D18" i="5"/>
  <c r="C18" i="5"/>
  <c r="C6" i="4"/>
  <c r="J14" i="1" a="1"/>
  <c r="F14" i="1" a="1"/>
  <c r="D69" i="1"/>
  <c r="G14" i="1" a="1"/>
  <c r="I14" i="1" a="1"/>
  <c r="H14" i="1" a="1"/>
  <c r="D74" i="1"/>
  <c r="L14" i="1" a="1"/>
  <c r="M14" i="1" a="1"/>
  <c r="K14" i="1" a="1"/>
  <c r="E14" i="1" a="1"/>
  <c r="D75" i="1"/>
  <c r="M6" i="4" l="1"/>
  <c r="M7" i="4" s="1"/>
  <c r="M8" i="4" s="1"/>
  <c r="M9" i="4" s="1"/>
  <c r="M10" i="4" s="1"/>
  <c r="M11" i="4" s="1"/>
  <c r="M12" i="4" s="1"/>
  <c r="M13" i="4" s="1"/>
  <c r="M14" i="4" s="1"/>
  <c r="M15" i="4" s="1"/>
  <c r="M16" i="4" s="1"/>
  <c r="M17" i="4" s="1"/>
  <c r="M18" i="4" s="1"/>
  <c r="M19" i="4" s="1"/>
  <c r="M20" i="4" s="1"/>
  <c r="M21" i="4" s="1"/>
  <c r="M22" i="4" s="1"/>
  <c r="M23" i="4" s="1"/>
  <c r="M24" i="4" s="1"/>
  <c r="M25" i="4" s="1"/>
  <c r="M26" i="4" s="1"/>
  <c r="M27" i="4" s="1"/>
  <c r="M28" i="4" s="1"/>
  <c r="M29" i="4" s="1"/>
  <c r="M30" i="4" s="1"/>
  <c r="M31" i="4" s="1"/>
  <c r="M32" i="4" s="1"/>
  <c r="M33" i="4" s="1"/>
  <c r="M34" i="4" s="1"/>
  <c r="M35" i="4" s="1"/>
  <c r="M36" i="4" s="1"/>
  <c r="M37" i="4" s="1"/>
  <c r="M38" i="4" s="1"/>
  <c r="M39" i="4" s="1"/>
  <c r="M40" i="4" s="1"/>
  <c r="M41" i="4" s="1"/>
  <c r="M42" i="4" s="1"/>
  <c r="M43" i="4" s="1"/>
  <c r="M44" i="4" s="1"/>
  <c r="C8" i="5"/>
  <c r="M14" i="1"/>
  <c r="M86" i="1" s="1"/>
  <c r="M19" i="1" s="1"/>
  <c r="L14" i="1"/>
  <c r="L86" i="1" s="1"/>
  <c r="L19" i="1" s="1"/>
  <c r="H14" i="1"/>
  <c r="H86" i="1" s="1"/>
  <c r="H19" i="1" s="1"/>
  <c r="K14" i="1"/>
  <c r="K86" i="1" s="1"/>
  <c r="K19" i="1" s="1"/>
  <c r="G14" i="1"/>
  <c r="G86" i="1" s="1"/>
  <c r="G19" i="1" s="1"/>
  <c r="I14" i="1"/>
  <c r="I86" i="1" s="1"/>
  <c r="I19" i="1" s="1"/>
  <c r="F14" i="1"/>
  <c r="F86" i="1" s="1"/>
  <c r="F19" i="1" s="1"/>
  <c r="E14" i="1"/>
  <c r="E86" i="1" s="1"/>
  <c r="E19" i="1" s="1"/>
  <c r="J14" i="1"/>
  <c r="J86" i="1" s="1"/>
  <c r="J19" i="1" s="1"/>
  <c r="E36" i="1"/>
  <c r="F36" i="1"/>
  <c r="G36" i="1"/>
  <c r="H36" i="1"/>
  <c r="I36" i="1"/>
  <c r="J36" i="1"/>
  <c r="K36" i="1"/>
  <c r="L36" i="1"/>
  <c r="M36" i="1"/>
  <c r="E37" i="1"/>
  <c r="F37" i="1"/>
  <c r="G37" i="1"/>
  <c r="H37" i="1"/>
  <c r="I37" i="1"/>
  <c r="J37" i="1"/>
  <c r="K37" i="1"/>
  <c r="L37" i="1"/>
  <c r="M37" i="1"/>
  <c r="D37" i="1"/>
  <c r="D36" i="1"/>
  <c r="J44" i="4" s="1"/>
  <c r="D66" i="1"/>
  <c r="J43" i="4" l="1"/>
  <c r="J42" i="4" s="1"/>
  <c r="J41" i="4" s="1"/>
  <c r="J40" i="4" s="1"/>
  <c r="J39" i="4" s="1"/>
  <c r="J38" i="4" s="1"/>
  <c r="J37" i="4" s="1"/>
  <c r="J36" i="4" s="1"/>
  <c r="J35" i="4" s="1"/>
  <c r="J34" i="4" s="1"/>
  <c r="J33" i="4" s="1"/>
  <c r="J32" i="4" s="1"/>
  <c r="J31" i="4" s="1"/>
  <c r="J30" i="4" s="1"/>
  <c r="J29" i="4" s="1"/>
  <c r="J28" i="4" s="1"/>
  <c r="J27" i="4" s="1"/>
  <c r="J26" i="4" s="1"/>
  <c r="J25" i="4" s="1"/>
  <c r="J24" i="4" s="1"/>
  <c r="J23" i="4" s="1"/>
  <c r="J22" i="4" s="1"/>
  <c r="J21" i="4" s="1"/>
  <c r="J20" i="4" s="1"/>
  <c r="J19" i="4" s="1"/>
  <c r="J18" i="4" s="1"/>
  <c r="J17" i="4" s="1"/>
  <c r="J16" i="4" s="1"/>
  <c r="J15" i="4" s="1"/>
  <c r="J14" i="4" s="1"/>
  <c r="J13" i="4" s="1"/>
  <c r="J12" i="4" s="1"/>
  <c r="J11" i="4" s="1"/>
  <c r="J10" i="4" s="1"/>
  <c r="J9" i="4" s="1"/>
  <c r="J8" i="4" s="1"/>
  <c r="J7" i="4" s="1"/>
  <c r="J6" i="4" s="1"/>
  <c r="J5" i="4" s="1"/>
  <c r="N15" i="1"/>
  <c r="N16" i="1"/>
  <c r="C12" i="5" s="1"/>
  <c r="N18" i="1"/>
  <c r="N23" i="1"/>
  <c r="N39" i="1"/>
  <c r="N40" i="1"/>
  <c r="N41" i="1"/>
  <c r="N42" i="1"/>
  <c r="D9" i="5" s="1"/>
  <c r="E9" i="5" s="1"/>
  <c r="N45" i="1"/>
  <c r="N46" i="1"/>
  <c r="D12" i="5" s="1"/>
  <c r="N48" i="1"/>
  <c r="N53" i="1"/>
  <c r="E109" i="1"/>
  <c r="F109" i="1"/>
  <c r="G109" i="1"/>
  <c r="H109" i="1"/>
  <c r="I109" i="1"/>
  <c r="J109" i="1"/>
  <c r="K109" i="1"/>
  <c r="L109" i="1"/>
  <c r="M109" i="1"/>
  <c r="D109" i="1"/>
  <c r="E103" i="1"/>
  <c r="F103" i="1"/>
  <c r="G103" i="1"/>
  <c r="H103" i="1"/>
  <c r="I103" i="1"/>
  <c r="J103" i="1"/>
  <c r="K103" i="1"/>
  <c r="L103" i="1"/>
  <c r="M103" i="1"/>
  <c r="D103" i="1"/>
  <c r="AB8" i="1"/>
  <c r="AB12" i="1" s="1"/>
  <c r="AB13" i="1" s="1"/>
  <c r="AC8" i="1"/>
  <c r="AC12" i="1" s="1"/>
  <c r="AC13" i="1" s="1"/>
  <c r="AD8" i="1"/>
  <c r="AD12" i="1" s="1"/>
  <c r="AD13" i="1" s="1"/>
  <c r="AE8" i="1"/>
  <c r="AE12" i="1" s="1"/>
  <c r="AE13" i="1" s="1"/>
  <c r="AF8" i="1"/>
  <c r="AF12" i="1" s="1"/>
  <c r="AF13" i="1" s="1"/>
  <c r="AG8" i="1"/>
  <c r="AG12" i="1" s="1"/>
  <c r="AG13" i="1" s="1"/>
  <c r="AH8" i="1"/>
  <c r="AH12" i="1" s="1"/>
  <c r="AH13" i="1" s="1"/>
  <c r="AI8" i="1"/>
  <c r="AI12" i="1" s="1"/>
  <c r="AI13" i="1" s="1"/>
  <c r="AJ8" i="1"/>
  <c r="AJ12" i="1" s="1"/>
  <c r="AJ13" i="1" s="1"/>
  <c r="AA8" i="1"/>
  <c r="AA12" i="1" s="1"/>
  <c r="AA13" i="1" s="1"/>
  <c r="H44" i="1" a="1"/>
  <c r="F111" i="1"/>
  <c r="K44" i="1" a="1"/>
  <c r="I44" i="1" a="1"/>
  <c r="F44" i="1" a="1"/>
  <c r="H111" i="1"/>
  <c r="M111" i="1"/>
  <c r="K111" i="1"/>
  <c r="G111" i="1"/>
  <c r="L111" i="1"/>
  <c r="J111" i="1"/>
  <c r="D111" i="1"/>
  <c r="I111" i="1"/>
  <c r="L44" i="1" a="1"/>
  <c r="G44" i="1" a="1"/>
  <c r="J44" i="1" a="1"/>
  <c r="E44" i="1" a="1"/>
  <c r="M44" i="1" a="1"/>
  <c r="H32" i="1" l="1"/>
  <c r="K32" i="1"/>
  <c r="M32" i="1"/>
  <c r="G32" i="1"/>
  <c r="J32" i="1"/>
  <c r="L32" i="1"/>
  <c r="F32" i="1"/>
  <c r="I32" i="1"/>
  <c r="D32" i="1"/>
  <c r="C20" i="5"/>
  <c r="C11" i="5"/>
  <c r="D11" i="5"/>
  <c r="D20" i="5"/>
  <c r="E12" i="5"/>
  <c r="K44" i="1"/>
  <c r="K96" i="1" s="1"/>
  <c r="K49" i="1" s="1"/>
  <c r="L44" i="1"/>
  <c r="L96" i="1" s="1"/>
  <c r="L49" i="1" s="1"/>
  <c r="H44" i="1"/>
  <c r="H96" i="1" s="1"/>
  <c r="H49" i="1" s="1"/>
  <c r="J44" i="1"/>
  <c r="J96" i="1" s="1"/>
  <c r="J49" i="1" s="1"/>
  <c r="G44" i="1"/>
  <c r="G96" i="1" s="1"/>
  <c r="G49" i="1" s="1"/>
  <c r="F44" i="1"/>
  <c r="F96" i="1" s="1"/>
  <c r="F49" i="1" s="1"/>
  <c r="I44" i="1"/>
  <c r="I96" i="1" s="1"/>
  <c r="I49" i="1" s="1"/>
  <c r="M44" i="1"/>
  <c r="M96" i="1" s="1"/>
  <c r="M49" i="1" s="1"/>
  <c r="E44" i="1"/>
  <c r="E96" i="1" s="1"/>
  <c r="E49" i="1" s="1"/>
  <c r="C6" i="2"/>
  <c r="C7" i="2"/>
  <c r="E111" i="1"/>
  <c r="E32" i="1" l="1"/>
  <c r="E20" i="5"/>
  <c r="L92" i="1"/>
  <c r="I92" i="1"/>
  <c r="H92" i="1"/>
  <c r="M92" i="1"/>
  <c r="F92" i="1"/>
  <c r="K92" i="1"/>
  <c r="G92" i="1"/>
  <c r="E92" i="1"/>
  <c r="J92" i="1"/>
  <c r="E11" i="5"/>
  <c r="N44" i="1" l="1"/>
  <c r="N14" i="1"/>
  <c r="J66" i="1"/>
  <c r="K66" i="1"/>
  <c r="L66" i="1"/>
  <c r="E66" i="1"/>
  <c r="G66" i="1"/>
  <c r="F66" i="1"/>
  <c r="H66" i="1"/>
  <c r="M66" i="1"/>
  <c r="I66" i="1"/>
  <c r="D1" i="5" l="1"/>
  <c r="E25" i="4" l="1"/>
  <c r="C3" i="4"/>
  <c r="E26" i="4" l="1"/>
  <c r="E27" i="4" s="1"/>
  <c r="E28" i="4" s="1"/>
  <c r="E29" i="4" s="1"/>
  <c r="E30" i="4" s="1"/>
  <c r="E31" i="4" s="1"/>
  <c r="E32" i="4" s="1"/>
  <c r="E33" i="4" s="1"/>
  <c r="E34" i="4" s="1"/>
  <c r="E35" i="4" s="1"/>
  <c r="E36" i="4" s="1"/>
  <c r="E37" i="4" s="1"/>
  <c r="E38" i="4" s="1"/>
  <c r="E39" i="4" s="1"/>
  <c r="E40" i="4" s="1"/>
  <c r="E24" i="4"/>
  <c r="E23" i="4" s="1"/>
  <c r="E22" i="4" s="1"/>
  <c r="E21" i="4" s="1"/>
  <c r="E20" i="4" s="1"/>
  <c r="E19" i="4" s="1"/>
  <c r="E18" i="4" s="1"/>
  <c r="E17" i="4" s="1"/>
  <c r="E16" i="4" s="1"/>
  <c r="E15" i="4" s="1"/>
  <c r="E14" i="4" s="1"/>
  <c r="E13" i="4" s="1"/>
  <c r="E12" i="4" s="1"/>
  <c r="E11" i="4" s="1"/>
  <c r="E10" i="4" s="1"/>
  <c r="E9" i="4" s="1"/>
  <c r="E8" i="4" s="1"/>
  <c r="E7" i="4" s="1"/>
  <c r="E6" i="4" s="1"/>
  <c r="E5" i="4" s="1"/>
  <c r="E41" i="4" l="1"/>
  <c r="E42" i="4" s="1"/>
  <c r="E43" i="4" s="1"/>
  <c r="E44" i="4" s="1"/>
  <c r="E45" i="4" s="1"/>
  <c r="C21" i="2"/>
  <c r="N19" i="1" l="1"/>
  <c r="N49" i="1"/>
  <c r="AK26" i="1" l="1"/>
  <c r="AL26" i="1"/>
  <c r="C20" i="2" l="1"/>
  <c r="E68" i="1" l="1"/>
  <c r="F68" i="1"/>
  <c r="G68" i="1"/>
  <c r="H68" i="1"/>
  <c r="I68" i="1"/>
  <c r="J68" i="1"/>
  <c r="K68" i="1"/>
  <c r="L68" i="1"/>
  <c r="M68" i="1"/>
  <c r="D68" i="1"/>
  <c r="K67" i="1"/>
  <c r="H67" i="1"/>
  <c r="F69" i="1"/>
  <c r="I67" i="1"/>
  <c r="L72" i="1"/>
  <c r="F67" i="1"/>
  <c r="D79" i="1"/>
  <c r="J69" i="1"/>
  <c r="E69" i="1"/>
  <c r="H79" i="1"/>
  <c r="L67" i="1"/>
  <c r="M79" i="1"/>
  <c r="K69" i="1"/>
  <c r="J79" i="1"/>
  <c r="G72" i="1"/>
  <c r="E79" i="1"/>
  <c r="K79" i="1"/>
  <c r="L69" i="1"/>
  <c r="E67" i="1"/>
  <c r="M67" i="1"/>
  <c r="G67" i="1"/>
  <c r="M69" i="1"/>
  <c r="J67" i="1"/>
  <c r="I69" i="1"/>
  <c r="G79" i="1"/>
  <c r="F79" i="1"/>
  <c r="H69" i="1"/>
  <c r="E78" i="1"/>
  <c r="L79" i="1"/>
  <c r="I79" i="1"/>
  <c r="D67" i="1"/>
  <c r="G69" i="1"/>
  <c r="G57" i="1" l="1"/>
  <c r="D57" i="1"/>
  <c r="H57" i="1"/>
  <c r="I57" i="1"/>
  <c r="M57" i="1"/>
  <c r="L57" i="1"/>
  <c r="K57" i="1"/>
  <c r="E57" i="1"/>
  <c r="J57" i="1"/>
  <c r="F57" i="1"/>
  <c r="G27" i="1"/>
  <c r="L27" i="1"/>
  <c r="AI26" i="1"/>
  <c r="AD26" i="1"/>
  <c r="AJ55" i="1"/>
  <c r="L58" i="1"/>
  <c r="AE55" i="1"/>
  <c r="AI55" i="1"/>
  <c r="K58" i="1"/>
  <c r="AB55" i="1"/>
  <c r="F58" i="1"/>
  <c r="G58" i="1"/>
  <c r="AH55" i="1"/>
  <c r="AG55" i="1"/>
  <c r="AF55" i="1"/>
  <c r="AD55" i="1"/>
  <c r="AC55" i="1"/>
  <c r="E28" i="1"/>
  <c r="H58" i="1"/>
  <c r="J58" i="1"/>
  <c r="I58" i="1"/>
  <c r="L112" i="1"/>
  <c r="J72" i="1"/>
  <c r="G78" i="1"/>
  <c r="D112" i="1"/>
  <c r="L78" i="1"/>
  <c r="J112" i="1"/>
  <c r="J78" i="1"/>
  <c r="I72" i="1"/>
  <c r="E112" i="1"/>
  <c r="F78" i="1"/>
  <c r="M78" i="1"/>
  <c r="K72" i="1"/>
  <c r="K78" i="1"/>
  <c r="H112" i="1"/>
  <c r="H78" i="1"/>
  <c r="F112" i="1"/>
  <c r="M72" i="1"/>
  <c r="K112" i="1"/>
  <c r="I112" i="1"/>
  <c r="G112" i="1"/>
  <c r="F72" i="1"/>
  <c r="I78" i="1"/>
  <c r="M112" i="1"/>
  <c r="E72" i="1"/>
  <c r="D72" i="1"/>
  <c r="H72" i="1"/>
  <c r="H27" i="1" l="1"/>
  <c r="D27" i="1"/>
  <c r="E27" i="1"/>
  <c r="F27" i="1"/>
  <c r="M27" i="1"/>
  <c r="K27" i="1"/>
  <c r="I27" i="1"/>
  <c r="J27" i="1"/>
  <c r="F62" i="1"/>
  <c r="E62" i="1"/>
  <c r="M62" i="1"/>
  <c r="D62" i="1"/>
  <c r="AE26" i="1"/>
  <c r="AJ26" i="1"/>
  <c r="AA26" i="1"/>
  <c r="AB26" i="1"/>
  <c r="AF26" i="1"/>
  <c r="AC26" i="1"/>
  <c r="AG26" i="1"/>
  <c r="AH26" i="1"/>
  <c r="J62" i="1"/>
  <c r="L62" i="1"/>
  <c r="H62" i="1"/>
  <c r="I62" i="1"/>
  <c r="K62" i="1"/>
  <c r="G62" i="1"/>
  <c r="AA55" i="1"/>
  <c r="J28" i="1"/>
  <c r="M28" i="1"/>
  <c r="G28" i="1"/>
  <c r="F28" i="1"/>
  <c r="I28" i="1"/>
  <c r="H28" i="1"/>
  <c r="L28" i="1"/>
  <c r="K28" i="1"/>
  <c r="D28" i="1"/>
  <c r="E58" i="1"/>
  <c r="E59" i="1" s="1"/>
  <c r="M58" i="1"/>
  <c r="M59" i="1" s="1"/>
  <c r="J59" i="1"/>
  <c r="D58" i="1"/>
  <c r="BO65" i="1"/>
  <c r="BH65" i="1"/>
  <c r="BO64" i="1"/>
  <c r="BH64" i="1"/>
  <c r="BO63" i="1"/>
  <c r="BH63" i="1"/>
  <c r="BO55" i="1"/>
  <c r="BH55" i="1"/>
  <c r="BO54" i="1"/>
  <c r="BH54" i="1"/>
  <c r="N38" i="1"/>
  <c r="D7" i="5" s="1"/>
  <c r="BM8" i="1"/>
  <c r="BF8" i="1"/>
  <c r="N8" i="1"/>
  <c r="C7" i="5" s="1"/>
  <c r="J63" i="1" l="1"/>
  <c r="M63" i="1"/>
  <c r="E63" i="1"/>
  <c r="E47" i="1"/>
  <c r="J47" i="1"/>
  <c r="M47" i="1"/>
  <c r="F59" i="1"/>
  <c r="I59" i="1"/>
  <c r="H59" i="1"/>
  <c r="G59" i="1"/>
  <c r="K59" i="1"/>
  <c r="L59" i="1"/>
  <c r="N58" i="1"/>
  <c r="C19" i="5"/>
  <c r="D8" i="5"/>
  <c r="E8" i="5" s="1"/>
  <c r="BN19" i="1"/>
  <c r="BI13" i="1"/>
  <c r="BP17" i="1"/>
  <c r="BP16" i="1"/>
  <c r="BI18" i="1"/>
  <c r="BP15" i="1"/>
  <c r="BP13" i="1"/>
  <c r="BI17" i="1"/>
  <c r="BI16" i="1"/>
  <c r="BI15" i="1"/>
  <c r="BP18" i="1"/>
  <c r="BG49" i="1"/>
  <c r="BG19" i="1"/>
  <c r="M50" i="1" l="1"/>
  <c r="J50" i="1"/>
  <c r="E50" i="1"/>
  <c r="K63" i="1"/>
  <c r="I63" i="1"/>
  <c r="H63" i="1"/>
  <c r="G63" i="1"/>
  <c r="L63" i="1"/>
  <c r="F63" i="1"/>
  <c r="F47" i="1"/>
  <c r="G47" i="1"/>
  <c r="K47" i="1"/>
  <c r="H47" i="1"/>
  <c r="I47" i="1"/>
  <c r="L47" i="1"/>
  <c r="D59" i="1"/>
  <c r="D19" i="5"/>
  <c r="E7" i="5"/>
  <c r="K29" i="1"/>
  <c r="M29" i="1"/>
  <c r="L29" i="1"/>
  <c r="I29" i="1"/>
  <c r="J29" i="1"/>
  <c r="H29" i="1"/>
  <c r="E29" i="1"/>
  <c r="N27" i="1"/>
  <c r="G29" i="1"/>
  <c r="N28" i="1"/>
  <c r="F29" i="1"/>
  <c r="D29" i="1"/>
  <c r="BI19" i="1"/>
  <c r="BG55" i="1"/>
  <c r="BI55" i="1" s="1"/>
  <c r="BG54" i="1"/>
  <c r="BI54" i="1" s="1"/>
  <c r="BG63" i="1"/>
  <c r="BI63" i="1" s="1"/>
  <c r="BP19" i="1"/>
  <c r="N57" i="1"/>
  <c r="E51" i="1"/>
  <c r="M51" i="1"/>
  <c r="J51" i="1"/>
  <c r="G50" i="1" l="1"/>
  <c r="G108" i="1" s="1"/>
  <c r="F50" i="1"/>
  <c r="H50" i="1"/>
  <c r="K50" i="1"/>
  <c r="L50" i="1"/>
  <c r="I50" i="1"/>
  <c r="I108" i="1" s="1"/>
  <c r="K33" i="1"/>
  <c r="E33" i="1"/>
  <c r="H33" i="1"/>
  <c r="I33" i="1"/>
  <c r="G33" i="1"/>
  <c r="F33" i="1"/>
  <c r="J33" i="1"/>
  <c r="L33" i="1"/>
  <c r="M33" i="1"/>
  <c r="E108" i="1"/>
  <c r="M108" i="1"/>
  <c r="E19" i="5"/>
  <c r="J54" i="1"/>
  <c r="J108" i="1"/>
  <c r="D47" i="1"/>
  <c r="E54" i="1"/>
  <c r="M54" i="1"/>
  <c r="G17" i="1"/>
  <c r="G20" i="1" s="1"/>
  <c r="K17" i="1"/>
  <c r="K20" i="1" s="1"/>
  <c r="F17" i="1"/>
  <c r="F20" i="1" s="1"/>
  <c r="E17" i="1"/>
  <c r="E20" i="1" s="1"/>
  <c r="H17" i="1"/>
  <c r="H20" i="1" s="1"/>
  <c r="L17" i="1"/>
  <c r="L20" i="1" s="1"/>
  <c r="N59" i="1"/>
  <c r="D14" i="5" s="1"/>
  <c r="M17" i="1"/>
  <c r="M20" i="1" s="1"/>
  <c r="J17" i="1"/>
  <c r="J20" i="1" s="1"/>
  <c r="I17" i="1"/>
  <c r="I20" i="1" s="1"/>
  <c r="D17" i="1"/>
  <c r="N29" i="1"/>
  <c r="BI58" i="1"/>
  <c r="BI59" i="1" s="1"/>
  <c r="BF7" i="1" s="1"/>
  <c r="BG64" i="1"/>
  <c r="G21" i="1"/>
  <c r="H21" i="1"/>
  <c r="L21" i="1"/>
  <c r="K51" i="1"/>
  <c r="L51" i="1"/>
  <c r="F51" i="1"/>
  <c r="H51" i="1"/>
  <c r="J21" i="1"/>
  <c r="E21" i="1"/>
  <c r="I51" i="1"/>
  <c r="G51" i="1"/>
  <c r="F21" i="1"/>
  <c r="M21" i="1"/>
  <c r="K21" i="1"/>
  <c r="I21" i="1"/>
  <c r="F108" i="1" l="1"/>
  <c r="D50" i="1"/>
  <c r="D63" i="1"/>
  <c r="H108" i="1"/>
  <c r="L108" i="1"/>
  <c r="M102" i="1"/>
  <c r="M99" i="1" s="1"/>
  <c r="F102" i="1"/>
  <c r="F99" i="1" s="1"/>
  <c r="I102" i="1"/>
  <c r="I99" i="1" s="1"/>
  <c r="G102" i="1"/>
  <c r="G99" i="1" s="1"/>
  <c r="L102" i="1"/>
  <c r="L99" i="1" s="1"/>
  <c r="K102" i="1"/>
  <c r="K99" i="1" s="1"/>
  <c r="E102" i="1"/>
  <c r="E100" i="1" s="1"/>
  <c r="J102" i="1"/>
  <c r="J99" i="1" s="1"/>
  <c r="H102" i="1"/>
  <c r="H99" i="1" s="1"/>
  <c r="D20" i="1"/>
  <c r="N17" i="1"/>
  <c r="N47" i="1"/>
  <c r="K54" i="1"/>
  <c r="K108" i="1"/>
  <c r="L54" i="1"/>
  <c r="L24" i="1"/>
  <c r="H54" i="1"/>
  <c r="F54" i="1"/>
  <c r="I54" i="1"/>
  <c r="G54" i="1"/>
  <c r="C14" i="5"/>
  <c r="BF15" i="1"/>
  <c r="BH15" i="1" s="1"/>
  <c r="BI64" i="1"/>
  <c r="BG65" i="1"/>
  <c r="BI65" i="1" s="1"/>
  <c r="BF13" i="1"/>
  <c r="BF18" i="1"/>
  <c r="BH18" i="1" s="1"/>
  <c r="D51" i="1"/>
  <c r="D21" i="1"/>
  <c r="N62" i="1" l="1"/>
  <c r="C19" i="2" s="1"/>
  <c r="D33" i="1"/>
  <c r="D54" i="1"/>
  <c r="N54" i="1" s="1"/>
  <c r="M100" i="1"/>
  <c r="M25" i="1" s="1"/>
  <c r="G100" i="1"/>
  <c r="G25" i="1" s="1"/>
  <c r="F100" i="1"/>
  <c r="F25" i="1" s="1"/>
  <c r="L100" i="1"/>
  <c r="L25" i="1" s="1"/>
  <c r="K100" i="1"/>
  <c r="K25" i="1" s="1"/>
  <c r="I100" i="1"/>
  <c r="I25" i="1" s="1"/>
  <c r="J100" i="1"/>
  <c r="J25" i="1" s="1"/>
  <c r="E99" i="1"/>
  <c r="E22" i="1" s="1"/>
  <c r="H100" i="1"/>
  <c r="H25" i="1" s="1"/>
  <c r="N21" i="1"/>
  <c r="D102" i="1"/>
  <c r="N20" i="1"/>
  <c r="N51" i="1"/>
  <c r="D108" i="1"/>
  <c r="N50" i="1"/>
  <c r="E25" i="1"/>
  <c r="M22" i="1"/>
  <c r="K22" i="1"/>
  <c r="J22" i="1"/>
  <c r="F22" i="1"/>
  <c r="I22" i="1"/>
  <c r="H22" i="1"/>
  <c r="L22" i="1"/>
  <c r="G22" i="1"/>
  <c r="F24" i="1"/>
  <c r="K24" i="1"/>
  <c r="D24" i="1"/>
  <c r="G24" i="1"/>
  <c r="H24" i="1"/>
  <c r="E24" i="1"/>
  <c r="I24" i="1"/>
  <c r="J24" i="1"/>
  <c r="M24" i="1"/>
  <c r="BN49" i="1"/>
  <c r="BN55" i="1" s="1"/>
  <c r="BP55" i="1" s="1"/>
  <c r="BI66" i="1"/>
  <c r="BF16" i="1" s="1"/>
  <c r="BH13" i="1"/>
  <c r="E26" i="1" l="1"/>
  <c r="E30" i="1" s="1"/>
  <c r="E31" i="1" s="1"/>
  <c r="L26" i="1"/>
  <c r="L30" i="1" s="1"/>
  <c r="L31" i="1" s="1"/>
  <c r="H26" i="1"/>
  <c r="H30" i="1" s="1"/>
  <c r="H31" i="1" s="1"/>
  <c r="G26" i="1"/>
  <c r="G30" i="1" s="1"/>
  <c r="G31" i="1" s="1"/>
  <c r="I26" i="1"/>
  <c r="I30" i="1" s="1"/>
  <c r="I31" i="1" s="1"/>
  <c r="F26" i="1"/>
  <c r="F30" i="1" s="1"/>
  <c r="F31" i="1" s="1"/>
  <c r="K26" i="1"/>
  <c r="K30" i="1" s="1"/>
  <c r="K31" i="1" s="1"/>
  <c r="J26" i="1"/>
  <c r="J30" i="1" s="1"/>
  <c r="J31" i="1" s="1"/>
  <c r="M26" i="1"/>
  <c r="M30" i="1" s="1"/>
  <c r="M31" i="1" s="1"/>
  <c r="N32" i="1"/>
  <c r="C5" i="2" s="1"/>
  <c r="C4" i="4" s="1"/>
  <c r="N63" i="1"/>
  <c r="D22" i="5"/>
  <c r="N24" i="1"/>
  <c r="D99" i="1"/>
  <c r="D100" i="1"/>
  <c r="D106" i="1"/>
  <c r="D55" i="1" s="1"/>
  <c r="D105" i="1"/>
  <c r="D52" i="1" s="1"/>
  <c r="H106" i="1"/>
  <c r="H55" i="1" s="1"/>
  <c r="H105" i="1"/>
  <c r="H52" i="1" s="1"/>
  <c r="F106" i="1"/>
  <c r="F55" i="1" s="1"/>
  <c r="F105" i="1"/>
  <c r="F52" i="1" s="1"/>
  <c r="M106" i="1"/>
  <c r="M55" i="1" s="1"/>
  <c r="M105" i="1"/>
  <c r="M52" i="1" s="1"/>
  <c r="L106" i="1"/>
  <c r="L55" i="1" s="1"/>
  <c r="L105" i="1"/>
  <c r="L52" i="1" s="1"/>
  <c r="K106" i="1"/>
  <c r="K55" i="1" s="1"/>
  <c r="K105" i="1"/>
  <c r="K52" i="1" s="1"/>
  <c r="BN63" i="1"/>
  <c r="BP63" i="1" s="1"/>
  <c r="BN54" i="1"/>
  <c r="BP54" i="1" s="1"/>
  <c r="BP58" i="1" s="1"/>
  <c r="BP59" i="1" s="1"/>
  <c r="BM15" i="1" s="1"/>
  <c r="BO15" i="1" s="1"/>
  <c r="BF17" i="1"/>
  <c r="BH16" i="1"/>
  <c r="C22" i="2"/>
  <c r="N33" i="1" l="1"/>
  <c r="C22" i="5"/>
  <c r="E22" i="5" s="1"/>
  <c r="L56" i="1"/>
  <c r="L60" i="1" s="1"/>
  <c r="L61" i="1" s="1"/>
  <c r="D56" i="1"/>
  <c r="M56" i="1"/>
  <c r="M60" i="1" s="1"/>
  <c r="M61" i="1" s="1"/>
  <c r="K56" i="1"/>
  <c r="K60" i="1" s="1"/>
  <c r="K61" i="1" s="1"/>
  <c r="H56" i="1"/>
  <c r="H60" i="1" s="1"/>
  <c r="H61" i="1" s="1"/>
  <c r="F56" i="1"/>
  <c r="F60" i="1" s="1"/>
  <c r="F61" i="1" s="1"/>
  <c r="D25" i="1"/>
  <c r="D22" i="1"/>
  <c r="J106" i="1"/>
  <c r="J55" i="1" s="1"/>
  <c r="J105" i="1"/>
  <c r="J52" i="1" s="1"/>
  <c r="I106" i="1"/>
  <c r="I55" i="1" s="1"/>
  <c r="I105" i="1"/>
  <c r="I52" i="1" s="1"/>
  <c r="G106" i="1"/>
  <c r="G55" i="1" s="1"/>
  <c r="G105" i="1"/>
  <c r="G52" i="1" s="1"/>
  <c r="C28" i="2"/>
  <c r="E14" i="5"/>
  <c r="BN64" i="1"/>
  <c r="BP64" i="1" s="1"/>
  <c r="BM7" i="1"/>
  <c r="BM18" i="1" s="1"/>
  <c r="BO18" i="1" s="1"/>
  <c r="BH17" i="1"/>
  <c r="BH19" i="1" s="1"/>
  <c r="BF19" i="1"/>
  <c r="C8" i="2"/>
  <c r="D120" i="1"/>
  <c r="D26" i="1" l="1"/>
  <c r="C14" i="2"/>
  <c r="E27" i="5"/>
  <c r="I56" i="1"/>
  <c r="I60" i="1" s="1"/>
  <c r="I61" i="1" s="1"/>
  <c r="G56" i="1"/>
  <c r="G60" i="1" s="1"/>
  <c r="G61" i="1" s="1"/>
  <c r="J56" i="1"/>
  <c r="J60" i="1" s="1"/>
  <c r="J61" i="1" s="1"/>
  <c r="N25" i="1"/>
  <c r="N22" i="1"/>
  <c r="D60" i="1"/>
  <c r="D61" i="1" s="1"/>
  <c r="D21" i="5"/>
  <c r="D23" i="5" s="1"/>
  <c r="C29" i="2"/>
  <c r="BN65" i="1"/>
  <c r="BP65" i="1" s="1"/>
  <c r="BP66" i="1" s="1"/>
  <c r="BM16" i="1" s="1"/>
  <c r="BO16" i="1" s="1"/>
  <c r="BM13" i="1"/>
  <c r="BO13" i="1" s="1"/>
  <c r="BF20" i="1"/>
  <c r="C21" i="5" l="1"/>
  <c r="C23" i="5" s="1"/>
  <c r="C15" i="2"/>
  <c r="N26" i="1"/>
  <c r="C13" i="5" s="1"/>
  <c r="C15" i="5" s="1"/>
  <c r="D30" i="1"/>
  <c r="D31" i="1" s="1"/>
  <c r="E105" i="1"/>
  <c r="E52" i="1" s="1"/>
  <c r="E106" i="1"/>
  <c r="E55" i="1" s="1"/>
  <c r="N55" i="1" s="1"/>
  <c r="BM17" i="1"/>
  <c r="BO17" i="1" s="1"/>
  <c r="BO19" i="1" s="1"/>
  <c r="E21" i="5" l="1"/>
  <c r="E29" i="5" s="1"/>
  <c r="C24" i="5"/>
  <c r="E56" i="1"/>
  <c r="N52" i="1"/>
  <c r="N30" i="1"/>
  <c r="E23" i="5"/>
  <c r="BM19" i="1"/>
  <c r="BM20" i="1" s="1"/>
  <c r="N56" i="1" l="1"/>
  <c r="D13" i="5" s="1"/>
  <c r="E60" i="1"/>
  <c r="N31" i="1"/>
  <c r="E61" i="1" l="1"/>
  <c r="N61" i="1" s="1"/>
  <c r="N60" i="1"/>
  <c r="D15" i="5"/>
  <c r="D24" i="5" s="1"/>
  <c r="E13" i="5"/>
  <c r="E15" i="5" s="1"/>
  <c r="E26" i="5" l="1"/>
  <c r="E28" i="5" s="1"/>
  <c r="E30" i="5" s="1"/>
  <c r="E24" i="5"/>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<sst xmlns="http://schemas.openxmlformats.org/spreadsheetml/2006/main" count="375" uniqueCount="226">
  <si>
    <t>役員報酬シミュレーション</t>
    <rPh sb="0" eb="2">
      <t>ヤクイン</t>
    </rPh>
    <rPh sb="2" eb="4">
      <t>ホウシュウ</t>
    </rPh>
    <phoneticPr fontId="7"/>
  </si>
  <si>
    <t>当期法人税等の計算</t>
    <rPh sb="0" eb="2">
      <t>トウキ</t>
    </rPh>
    <rPh sb="2" eb="4">
      <t>ホウジン</t>
    </rPh>
    <rPh sb="4" eb="6">
      <t>ゼイトウ</t>
    </rPh>
    <rPh sb="7" eb="9">
      <t>ケイサン</t>
    </rPh>
    <phoneticPr fontId="24"/>
  </si>
  <si>
    <t>当期中間納税</t>
    <rPh sb="0" eb="2">
      <t>トウキ</t>
    </rPh>
    <rPh sb="2" eb="6">
      <t>チュウカンノウゼイ</t>
    </rPh>
    <phoneticPr fontId="20"/>
  </si>
  <si>
    <t>確定納付額</t>
    <rPh sb="0" eb="2">
      <t>カクテイ</t>
    </rPh>
    <rPh sb="2" eb="5">
      <t>ノウフガク</t>
    </rPh>
    <phoneticPr fontId="20"/>
  </si>
  <si>
    <t>来期予定納付額</t>
    <rPh sb="0" eb="2">
      <t>ライキ</t>
    </rPh>
    <rPh sb="2" eb="4">
      <t>ヨテイ</t>
    </rPh>
    <rPh sb="4" eb="7">
      <t>ノウフガク</t>
    </rPh>
    <phoneticPr fontId="20"/>
  </si>
  <si>
    <t>役員名</t>
    <rPh sb="0" eb="2">
      <t>ヤクイン</t>
    </rPh>
    <rPh sb="2" eb="3">
      <t>メイ</t>
    </rPh>
    <phoneticPr fontId="7"/>
  </si>
  <si>
    <t>合計</t>
    <rPh sb="0" eb="2">
      <t>ゴウケイ</t>
    </rPh>
    <phoneticPr fontId="7"/>
  </si>
  <si>
    <t>料率</t>
    <rPh sb="0" eb="2">
      <t>リョウリツ</t>
    </rPh>
    <phoneticPr fontId="24"/>
  </si>
  <si>
    <t>法人所得金額</t>
  </si>
  <si>
    <t>年齢</t>
    <rPh sb="0" eb="2">
      <t>ネンレイ</t>
    </rPh>
    <phoneticPr fontId="7"/>
  </si>
  <si>
    <t>健康保険</t>
    <rPh sb="0" eb="2">
      <t>ケンコウ</t>
    </rPh>
    <rPh sb="2" eb="4">
      <t>ホケン</t>
    </rPh>
    <phoneticPr fontId="7"/>
  </si>
  <si>
    <t>法人税税額控除前</t>
  </si>
  <si>
    <t>介護保険</t>
    <rPh sb="0" eb="2">
      <t>カイゴ</t>
    </rPh>
    <rPh sb="2" eb="4">
      <t>ホケン</t>
    </rPh>
    <phoneticPr fontId="7"/>
  </si>
  <si>
    <t>　税額控除</t>
  </si>
  <si>
    <t>他の給与収入</t>
    <rPh sb="0" eb="1">
      <t>タ</t>
    </rPh>
    <rPh sb="2" eb="6">
      <t>キュウヨシュウニュウ</t>
    </rPh>
    <phoneticPr fontId="24"/>
  </si>
  <si>
    <t>厚生年金</t>
    <rPh sb="0" eb="2">
      <t>コウセイ</t>
    </rPh>
    <rPh sb="2" eb="4">
      <t>ネンキン</t>
    </rPh>
    <phoneticPr fontId="7"/>
  </si>
  <si>
    <t xml:space="preserve">  控除所得税額</t>
  </si>
  <si>
    <t>給与所得金額</t>
    <rPh sb="0" eb="2">
      <t>キュウヨ</t>
    </rPh>
    <rPh sb="2" eb="4">
      <t>ショトク</t>
    </rPh>
    <rPh sb="4" eb="6">
      <t>キンガク</t>
    </rPh>
    <phoneticPr fontId="24"/>
  </si>
  <si>
    <t>子供拠出金</t>
    <rPh sb="0" eb="2">
      <t>コドモ</t>
    </rPh>
    <rPh sb="2" eb="5">
      <t>キョシュツキン</t>
    </rPh>
    <phoneticPr fontId="7"/>
  </si>
  <si>
    <t>法人税</t>
  </si>
  <si>
    <t>他の所得金額</t>
    <rPh sb="0" eb="1">
      <t>タ</t>
    </rPh>
    <rPh sb="2" eb="4">
      <t>ショトク</t>
    </rPh>
    <rPh sb="4" eb="6">
      <t>キンガク</t>
    </rPh>
    <phoneticPr fontId="24"/>
  </si>
  <si>
    <t>地方法人税</t>
  </si>
  <si>
    <t>社会保険料控除額</t>
    <rPh sb="0" eb="2">
      <t>シャカイ</t>
    </rPh>
    <rPh sb="2" eb="5">
      <t>ホケンリョウ</t>
    </rPh>
    <rPh sb="5" eb="8">
      <t>コウジョガク</t>
    </rPh>
    <phoneticPr fontId="24"/>
  </si>
  <si>
    <t>事業税</t>
  </si>
  <si>
    <t>他の所得控除額</t>
    <rPh sb="0" eb="1">
      <t>タ</t>
    </rPh>
    <rPh sb="2" eb="4">
      <t>ショトク</t>
    </rPh>
    <rPh sb="4" eb="7">
      <t>コウジョガク</t>
    </rPh>
    <phoneticPr fontId="24"/>
  </si>
  <si>
    <t>地方法人特別税</t>
  </si>
  <si>
    <t>基礎控除額</t>
    <rPh sb="0" eb="2">
      <t>キソ</t>
    </rPh>
    <rPh sb="2" eb="4">
      <t>コウジョ</t>
    </rPh>
    <rPh sb="4" eb="5">
      <t>ガク</t>
    </rPh>
    <phoneticPr fontId="24"/>
  </si>
  <si>
    <t>法人住民税</t>
    <rPh sb="0" eb="2">
      <t>ホウジン</t>
    </rPh>
    <phoneticPr fontId="7"/>
  </si>
  <si>
    <t>課税所得金額</t>
    <rPh sb="0" eb="2">
      <t>カゼイ</t>
    </rPh>
    <rPh sb="2" eb="4">
      <t>ショトク</t>
    </rPh>
    <rPh sb="4" eb="6">
      <t>キンガク</t>
    </rPh>
    <phoneticPr fontId="24"/>
  </si>
  <si>
    <t>法人税金合計</t>
    <rPh sb="0" eb="2">
      <t>ホウジン</t>
    </rPh>
    <rPh sb="2" eb="4">
      <t>ゼイキン</t>
    </rPh>
    <rPh sb="4" eb="6">
      <t>ゴウケイ</t>
    </rPh>
    <phoneticPr fontId="24"/>
  </si>
  <si>
    <t>所得税</t>
    <rPh sb="0" eb="2">
      <t>ショトク</t>
    </rPh>
    <rPh sb="2" eb="3">
      <t>ゼイ</t>
    </rPh>
    <phoneticPr fontId="24"/>
  </si>
  <si>
    <t>平均税率</t>
    <rPh sb="0" eb="2">
      <t>ヘイキン</t>
    </rPh>
    <rPh sb="2" eb="4">
      <t>ゼイリツ</t>
    </rPh>
    <phoneticPr fontId="24"/>
  </si>
  <si>
    <t>　※千円万円単位の場合でも</t>
    <rPh sb="2" eb="4">
      <t>センエン</t>
    </rPh>
    <rPh sb="4" eb="6">
      <t>マンエン</t>
    </rPh>
    <rPh sb="6" eb="8">
      <t>タンイ</t>
    </rPh>
    <rPh sb="9" eb="11">
      <t>バアイ</t>
    </rPh>
    <phoneticPr fontId="7"/>
  </si>
  <si>
    <t>住民税</t>
    <rPh sb="0" eb="3">
      <t>ジュウミンゼイ</t>
    </rPh>
    <phoneticPr fontId="24"/>
  </si>
  <si>
    <t>中小企業の場合</t>
    <rPh sb="0" eb="4">
      <t>チュウショウキギョウ</t>
    </rPh>
    <rPh sb="5" eb="7">
      <t>バアイ</t>
    </rPh>
    <phoneticPr fontId="20"/>
  </si>
  <si>
    <t>　　法人税の予定納税は円単位で入力してください。</t>
    <phoneticPr fontId="7"/>
  </si>
  <si>
    <t>個人税金合計</t>
    <rPh sb="0" eb="2">
      <t>コジン</t>
    </rPh>
    <rPh sb="2" eb="4">
      <t>ゼイキン</t>
    </rPh>
    <rPh sb="4" eb="6">
      <t>ゴウケイ</t>
    </rPh>
    <phoneticPr fontId="24"/>
  </si>
  <si>
    <t>法人税</t>
    <rPh sb="0" eb="2">
      <t>ホウジン</t>
    </rPh>
    <rPh sb="2" eb="3">
      <t>ゼイ</t>
    </rPh>
    <phoneticPr fontId="20"/>
  </si>
  <si>
    <t>地方法人税</t>
    <rPh sb="0" eb="5">
      <t>チホウホウジンゼイ</t>
    </rPh>
    <phoneticPr fontId="7"/>
  </si>
  <si>
    <t>８００万円以下</t>
    <rPh sb="3" eb="5">
      <t>マンエン</t>
    </rPh>
    <rPh sb="5" eb="7">
      <t>イカ</t>
    </rPh>
    <phoneticPr fontId="24"/>
  </si>
  <si>
    <t>税金＋社会保険料</t>
    <rPh sb="0" eb="2">
      <t>ゼイキン</t>
    </rPh>
    <rPh sb="3" eb="8">
      <t>シャカイホケンリョウ</t>
    </rPh>
    <phoneticPr fontId="24"/>
  </si>
  <si>
    <t>８００万円超</t>
    <rPh sb="3" eb="5">
      <t>マンエン</t>
    </rPh>
    <rPh sb="5" eb="6">
      <t>チョウ</t>
    </rPh>
    <phoneticPr fontId="24"/>
  </si>
  <si>
    <t>※</t>
    <phoneticPr fontId="7"/>
  </si>
  <si>
    <t>手取り額</t>
    <rPh sb="0" eb="2">
      <t>テド</t>
    </rPh>
    <rPh sb="3" eb="4">
      <t>ガク</t>
    </rPh>
    <phoneticPr fontId="24"/>
  </si>
  <si>
    <t>※平成２７年４月１日以後開始事業年度は、23.9％</t>
    <phoneticPr fontId="7"/>
  </si>
  <si>
    <t>会社負担社会保険料</t>
    <rPh sb="0" eb="2">
      <t>カイシャ</t>
    </rPh>
    <rPh sb="2" eb="4">
      <t>フタン</t>
    </rPh>
    <rPh sb="4" eb="6">
      <t>シャカイ</t>
    </rPh>
    <rPh sb="6" eb="8">
      <t>ホケン</t>
    </rPh>
    <rPh sb="8" eb="9">
      <t>リョウ</t>
    </rPh>
    <phoneticPr fontId="7"/>
  </si>
  <si>
    <t>事業税</t>
    <rPh sb="0" eb="3">
      <t>ジギョウゼイ</t>
    </rPh>
    <phoneticPr fontId="24"/>
  </si>
  <si>
    <t>地方法人特別税</t>
    <rPh sb="0" eb="4">
      <t>チホウホウジン</t>
    </rPh>
    <rPh sb="4" eb="7">
      <t>トクベツゼイ</t>
    </rPh>
    <phoneticPr fontId="7"/>
  </si>
  <si>
    <t>社会保険料合計</t>
    <rPh sb="0" eb="5">
      <t>シャカイホケンリョウ</t>
    </rPh>
    <rPh sb="5" eb="7">
      <t>ゴウケイ</t>
    </rPh>
    <phoneticPr fontId="7"/>
  </si>
  <si>
    <t>４００万円以下</t>
    <rPh sb="3" eb="5">
      <t>マンエン</t>
    </rPh>
    <rPh sb="5" eb="7">
      <t>イカ</t>
    </rPh>
    <phoneticPr fontId="24"/>
  </si>
  <si>
    <t>法人住民税</t>
    <rPh sb="0" eb="2">
      <t>ホウジン</t>
    </rPh>
    <rPh sb="2" eb="5">
      <t>ジュウミンゼイ</t>
    </rPh>
    <phoneticPr fontId="20"/>
  </si>
  <si>
    <t>定期同額</t>
    <rPh sb="0" eb="2">
      <t>テイキ</t>
    </rPh>
    <rPh sb="2" eb="4">
      <t>ドウガク</t>
    </rPh>
    <phoneticPr fontId="24"/>
  </si>
  <si>
    <t>都道府県民税</t>
    <rPh sb="0" eb="3">
      <t>トドウフ</t>
    </rPh>
    <rPh sb="3" eb="6">
      <t>ケンミンゼイ</t>
    </rPh>
    <phoneticPr fontId="24"/>
  </si>
  <si>
    <t>事前確定給与1回目</t>
    <rPh sb="0" eb="2">
      <t>ジゼン</t>
    </rPh>
    <rPh sb="2" eb="4">
      <t>カクテイ</t>
    </rPh>
    <rPh sb="4" eb="6">
      <t>キュウヨ</t>
    </rPh>
    <rPh sb="7" eb="9">
      <t>カイメ</t>
    </rPh>
    <phoneticPr fontId="7"/>
  </si>
  <si>
    <t>市町村民税</t>
    <rPh sb="0" eb="5">
      <t>シチョウソンミンゼイ</t>
    </rPh>
    <phoneticPr fontId="24"/>
  </si>
  <si>
    <t>事前確定給与2回目</t>
    <rPh sb="0" eb="2">
      <t>ジゼン</t>
    </rPh>
    <rPh sb="2" eb="4">
      <t>カクテイ</t>
    </rPh>
    <rPh sb="4" eb="6">
      <t>キュウヨ</t>
    </rPh>
    <rPh sb="7" eb="9">
      <t>カイメ</t>
    </rPh>
    <phoneticPr fontId="7"/>
  </si>
  <si>
    <t>均等割</t>
    <rPh sb="0" eb="3">
      <t>キントウワリ</t>
    </rPh>
    <phoneticPr fontId="24"/>
  </si>
  <si>
    <t>事前確定給与3回目</t>
    <rPh sb="0" eb="2">
      <t>ジゼン</t>
    </rPh>
    <rPh sb="2" eb="4">
      <t>カクテイ</t>
    </rPh>
    <rPh sb="4" eb="6">
      <t>キュウヨ</t>
    </rPh>
    <rPh sb="7" eb="9">
      <t>カイメ</t>
    </rPh>
    <phoneticPr fontId="7"/>
  </si>
  <si>
    <t>利子割控除額</t>
    <rPh sb="0" eb="2">
      <t>リシ</t>
    </rPh>
    <rPh sb="2" eb="3">
      <t>ワリ</t>
    </rPh>
    <rPh sb="3" eb="6">
      <t>コウジョガク</t>
    </rPh>
    <phoneticPr fontId="24"/>
  </si>
  <si>
    <t>現状</t>
    <rPh sb="0" eb="2">
      <t>ゲンジョウ</t>
    </rPh>
    <phoneticPr fontId="7"/>
  </si>
  <si>
    <t>法人税等計算</t>
    <rPh sb="0" eb="2">
      <t>ホウジン</t>
    </rPh>
    <rPh sb="2" eb="3">
      <t>ゼイ</t>
    </rPh>
    <rPh sb="3" eb="4">
      <t>トウ</t>
    </rPh>
    <rPh sb="4" eb="6">
      <t>ケイサン</t>
    </rPh>
    <phoneticPr fontId="24"/>
  </si>
  <si>
    <t>(法人所得）</t>
    <rPh sb="1" eb="3">
      <t>ホウジン</t>
    </rPh>
    <rPh sb="3" eb="5">
      <t>ショトク</t>
    </rPh>
    <phoneticPr fontId="24"/>
  </si>
  <si>
    <t>法人税</t>
    <rPh sb="0" eb="3">
      <t>ホウジンゼイ</t>
    </rPh>
    <phoneticPr fontId="24"/>
  </si>
  <si>
    <t>法人税額</t>
    <rPh sb="0" eb="3">
      <t>ホウジンゼイ</t>
    </rPh>
    <rPh sb="3" eb="4">
      <t>ガク</t>
    </rPh>
    <phoneticPr fontId="24"/>
  </si>
  <si>
    <t>事業税計算</t>
    <rPh sb="0" eb="3">
      <t>ジギョウゼイ</t>
    </rPh>
    <rPh sb="3" eb="5">
      <t>ケイサン</t>
    </rPh>
    <phoneticPr fontId="24"/>
  </si>
  <si>
    <t>厚生年金事前確定</t>
    <rPh sb="0" eb="2">
      <t>コウセイ</t>
    </rPh>
    <rPh sb="2" eb="4">
      <t>ネンキン</t>
    </rPh>
    <rPh sb="4" eb="6">
      <t>ジゼン</t>
    </rPh>
    <rPh sb="6" eb="8">
      <t>カクテイ</t>
    </rPh>
    <phoneticPr fontId="7"/>
  </si>
  <si>
    <t>社保事前確定</t>
    <rPh sb="0" eb="2">
      <t>シャホ</t>
    </rPh>
    <rPh sb="2" eb="4">
      <t>ジゼン</t>
    </rPh>
    <rPh sb="4" eb="6">
      <t>カクテイ</t>
    </rPh>
    <phoneticPr fontId="7"/>
  </si>
  <si>
    <t>社保事前確定報酬</t>
    <rPh sb="0" eb="2">
      <t>シャホ</t>
    </rPh>
    <rPh sb="2" eb="4">
      <t>ジゼン</t>
    </rPh>
    <rPh sb="4" eb="6">
      <t>カクテイ</t>
    </rPh>
    <rPh sb="6" eb="8">
      <t>ホウシュウ</t>
    </rPh>
    <phoneticPr fontId="7"/>
  </si>
  <si>
    <t xml:space="preserve">  会社法人税等</t>
  </si>
  <si>
    <t>対税 (%)</t>
  </si>
  <si>
    <t>法 人 税、住民税、事業税</t>
    <rPh sb="6" eb="9">
      <t>ジュウミンゼイ</t>
    </rPh>
    <rPh sb="10" eb="13">
      <t>ジギョウゼイ</t>
    </rPh>
    <phoneticPr fontId="37"/>
  </si>
  <si>
    <t>均等割</t>
    <rPh sb="0" eb="3">
      <t>キントウワリ</t>
    </rPh>
    <phoneticPr fontId="7"/>
  </si>
  <si>
    <t>厚生年金のみ現状</t>
    <rPh sb="0" eb="2">
      <t>コウセイ</t>
    </rPh>
    <rPh sb="2" eb="4">
      <t>ネンキン</t>
    </rPh>
    <rPh sb="6" eb="8">
      <t>ゲンジョウ</t>
    </rPh>
    <phoneticPr fontId="7"/>
  </si>
  <si>
    <t>厚生年金のみ比較</t>
    <rPh sb="0" eb="2">
      <t>コウセイ</t>
    </rPh>
    <rPh sb="2" eb="4">
      <t>ネンキン</t>
    </rPh>
    <rPh sb="6" eb="8">
      <t>ヒカク</t>
    </rPh>
    <phoneticPr fontId="7"/>
  </si>
  <si>
    <t>健康保険料</t>
    <rPh sb="0" eb="2">
      <t>ケンコウ</t>
    </rPh>
    <rPh sb="2" eb="5">
      <t>ホケンリョウ</t>
    </rPh>
    <phoneticPr fontId="7"/>
  </si>
  <si>
    <t>厚生年金保険料</t>
    <rPh sb="0" eb="2">
      <t>コウセイ</t>
    </rPh>
    <rPh sb="2" eb="4">
      <t>ネンキン</t>
    </rPh>
    <rPh sb="4" eb="7">
      <t>ホケンリョウ</t>
    </rPh>
    <phoneticPr fontId="24"/>
  </si>
  <si>
    <t>社会保険料計</t>
    <rPh sb="0" eb="2">
      <t>シャカイ</t>
    </rPh>
    <rPh sb="2" eb="5">
      <t>ホケンリョウ</t>
    </rPh>
    <rPh sb="5" eb="6">
      <t>ケイ</t>
    </rPh>
    <phoneticPr fontId="7"/>
  </si>
  <si>
    <t>法人所得金額</t>
    <rPh sb="0" eb="2">
      <t>ホウジン</t>
    </rPh>
    <phoneticPr fontId="7"/>
  </si>
  <si>
    <t>法人税金合計</t>
    <rPh sb="0" eb="2">
      <t>ホウジン</t>
    </rPh>
    <phoneticPr fontId="7"/>
  </si>
  <si>
    <t>健保・介護保険　標準賞与額上限年間 円単位で入力</t>
    <rPh sb="0" eb="2">
      <t>ケンポ</t>
    </rPh>
    <rPh sb="3" eb="5">
      <t>カイゴ</t>
    </rPh>
    <rPh sb="5" eb="7">
      <t>ホケン</t>
    </rPh>
    <rPh sb="8" eb="13">
      <t>ヒョウジュンショウヨガク</t>
    </rPh>
    <rPh sb="13" eb="15">
      <t>ジョウゲン</t>
    </rPh>
    <rPh sb="15" eb="16">
      <t>ネン</t>
    </rPh>
    <rPh sb="16" eb="17">
      <t>カン</t>
    </rPh>
    <rPh sb="18" eb="19">
      <t>エン</t>
    </rPh>
    <rPh sb="19" eb="21">
      <t>タンイ</t>
    </rPh>
    <rPh sb="22" eb="24">
      <t>ニュウリョク</t>
    </rPh>
    <phoneticPr fontId="7"/>
  </si>
  <si>
    <t>厚生年金　標準賞与額上限月間　円単位で入力</t>
    <rPh sb="0" eb="2">
      <t>コウセイ</t>
    </rPh>
    <rPh sb="2" eb="4">
      <t>ネンキン</t>
    </rPh>
    <rPh sb="5" eb="7">
      <t>ヒョウジュン</t>
    </rPh>
    <rPh sb="7" eb="10">
      <t>ショウヨガク</t>
    </rPh>
    <rPh sb="10" eb="12">
      <t>ジョウゲン</t>
    </rPh>
    <rPh sb="12" eb="13">
      <t>ツキ</t>
    </rPh>
    <rPh sb="13" eb="14">
      <t>カン</t>
    </rPh>
    <rPh sb="15" eb="16">
      <t>エン</t>
    </rPh>
    <rPh sb="16" eb="18">
      <t>タンイ</t>
    </rPh>
    <rPh sb="19" eb="21">
      <t>ニュウリョク</t>
    </rPh>
    <phoneticPr fontId="7"/>
  </si>
  <si>
    <t>繰越欠損金</t>
    <rPh sb="0" eb="5">
      <t>クリコシケッソンキン</t>
    </rPh>
    <phoneticPr fontId="7"/>
  </si>
  <si>
    <t>繰越欠損金</t>
    <rPh sb="0" eb="5">
      <t>クリコシケッソンキン</t>
    </rPh>
    <phoneticPr fontId="37"/>
  </si>
  <si>
    <t>現状の社長役員報酬</t>
    <rPh sb="0" eb="2">
      <t>ゲンジョウ</t>
    </rPh>
    <rPh sb="3" eb="5">
      <t>シャチョウ</t>
    </rPh>
    <rPh sb="5" eb="9">
      <t>ヤクインホウシュウ</t>
    </rPh>
    <phoneticPr fontId="7"/>
  </si>
  <si>
    <t>（シミュレーションのシート）</t>
    <phoneticPr fontId="7"/>
  </si>
  <si>
    <t>現状の法人所得金額</t>
    <rPh sb="0" eb="2">
      <t>ゲンジョウ</t>
    </rPh>
    <rPh sb="3" eb="5">
      <t>ホウジン</t>
    </rPh>
    <rPh sb="5" eb="9">
      <t>ショトクキンガク</t>
    </rPh>
    <phoneticPr fontId="7"/>
  </si>
  <si>
    <t>現状</t>
    <rPh sb="0" eb="2">
      <t>ゲンジョウ</t>
    </rPh>
    <phoneticPr fontId="7"/>
  </si>
  <si>
    <t>社長の役員報酬</t>
    <rPh sb="0" eb="2">
      <t>シャチョウ</t>
    </rPh>
    <rPh sb="3" eb="7">
      <t>ヤクインホウシュウ</t>
    </rPh>
    <phoneticPr fontId="7"/>
  </si>
  <si>
    <t>社長の役員報酬最適化判定シート</t>
    <rPh sb="0" eb="2">
      <t>シャチョウ</t>
    </rPh>
    <rPh sb="3" eb="7">
      <t>ヤクインホウシュウ</t>
    </rPh>
    <rPh sb="7" eb="10">
      <t>サイテキカ</t>
    </rPh>
    <rPh sb="10" eb="12">
      <t>ハンテイ</t>
    </rPh>
    <phoneticPr fontId="7"/>
  </si>
  <si>
    <t>法人・個人合算のキャッシュフローの有利不利の判定です。</t>
    <rPh sb="0" eb="2">
      <t>ホウジン</t>
    </rPh>
    <rPh sb="3" eb="5">
      <t>コジン</t>
    </rPh>
    <rPh sb="5" eb="7">
      <t>ガッサン</t>
    </rPh>
    <rPh sb="17" eb="19">
      <t>ユウリ</t>
    </rPh>
    <rPh sb="19" eb="21">
      <t>フリ</t>
    </rPh>
    <rPh sb="22" eb="24">
      <t>ハンテイ</t>
    </rPh>
    <phoneticPr fontId="7"/>
  </si>
  <si>
    <t>子育て介護</t>
    <rPh sb="0" eb="2">
      <t>コソダ</t>
    </rPh>
    <rPh sb="3" eb="5">
      <t>カ</t>
    </rPh>
    <phoneticPr fontId="7"/>
  </si>
  <si>
    <t>子育て介護世帯※</t>
    <rPh sb="0" eb="2">
      <t>コソダ</t>
    </rPh>
    <rPh sb="3" eb="5">
      <t>カイゴ</t>
    </rPh>
    <rPh sb="5" eb="7">
      <t>セタイ</t>
    </rPh>
    <phoneticPr fontId="7"/>
  </si>
  <si>
    <t>基礎控除</t>
    <rPh sb="0" eb="4">
      <t>キソコウジョ</t>
    </rPh>
    <phoneticPr fontId="7"/>
  </si>
  <si>
    <t>合計所得金額</t>
    <rPh sb="0" eb="6">
      <t>ゴウケイショトクキンガク</t>
    </rPh>
    <phoneticPr fontId="7"/>
  </si>
  <si>
    <t>合計所得金額比較</t>
    <rPh sb="0" eb="6">
      <t>ゴウケイショトクキンガク</t>
    </rPh>
    <rPh sb="6" eb="8">
      <t>ヒカク</t>
    </rPh>
    <phoneticPr fontId="7"/>
  </si>
  <si>
    <t>事前確定届出給与は、ここでは考慮しません。</t>
    <rPh sb="0" eb="2">
      <t>ジゼン</t>
    </rPh>
    <rPh sb="2" eb="4">
      <t>カクテイ</t>
    </rPh>
    <rPh sb="4" eb="6">
      <t>トドケデ</t>
    </rPh>
    <rPh sb="6" eb="8">
      <t>キュウヨ</t>
    </rPh>
    <rPh sb="14" eb="16">
      <t>コウリョ</t>
    </rPh>
    <phoneticPr fontId="7"/>
  </si>
  <si>
    <t>定期同額給与の比較です。</t>
    <rPh sb="0" eb="6">
      <t>テイキドウガクキュウヨ</t>
    </rPh>
    <rPh sb="7" eb="9">
      <t>ヒカク</t>
    </rPh>
    <phoneticPr fontId="7"/>
  </si>
  <si>
    <t>前所得</t>
    <rPh sb="0" eb="1">
      <t>マエ</t>
    </rPh>
    <rPh sb="1" eb="3">
      <t>ショトク</t>
    </rPh>
    <phoneticPr fontId="7"/>
  </si>
  <si>
    <t>配当</t>
    <rPh sb="0" eb="2">
      <t>ハイトウ</t>
    </rPh>
    <phoneticPr fontId="7"/>
  </si>
  <si>
    <t>配当控除所得税</t>
    <rPh sb="0" eb="4">
      <t>ハイトウコウジョ</t>
    </rPh>
    <rPh sb="4" eb="7">
      <t>ショトクゼイ</t>
    </rPh>
    <phoneticPr fontId="7"/>
  </si>
  <si>
    <t>配当控除住民税</t>
    <rPh sb="0" eb="4">
      <t>ハイトウコウジョ</t>
    </rPh>
    <rPh sb="4" eb="7">
      <t>ジュウミンゼイ</t>
    </rPh>
    <phoneticPr fontId="7"/>
  </si>
  <si>
    <t>個人手取り額</t>
    <rPh sb="0" eb="2">
      <t>コジン</t>
    </rPh>
    <rPh sb="2" eb="4">
      <t>テド</t>
    </rPh>
    <rPh sb="5" eb="6">
      <t>ガク</t>
    </rPh>
    <phoneticPr fontId="7"/>
  </si>
  <si>
    <t>　役員報酬</t>
    <rPh sb="1" eb="5">
      <t>ヤクインホウシュウ</t>
    </rPh>
    <phoneticPr fontId="7"/>
  </si>
  <si>
    <t>　法人税等</t>
    <rPh sb="1" eb="5">
      <t>ホウジンゼイトウ</t>
    </rPh>
    <phoneticPr fontId="7"/>
  </si>
  <si>
    <t>　社保会社負担</t>
    <rPh sb="1" eb="3">
      <t>シャホ</t>
    </rPh>
    <rPh sb="3" eb="7">
      <t>カイシャフタン</t>
    </rPh>
    <phoneticPr fontId="7"/>
  </si>
  <si>
    <t>個人手取り額：</t>
    <rPh sb="0" eb="2">
      <t>コジン</t>
    </rPh>
    <rPh sb="2" eb="4">
      <t>テド</t>
    </rPh>
    <rPh sb="5" eb="6">
      <t>ガク</t>
    </rPh>
    <phoneticPr fontId="7"/>
  </si>
  <si>
    <t>法人・個人合算CF</t>
    <rPh sb="0" eb="2">
      <t>ホウジン</t>
    </rPh>
    <rPh sb="3" eb="5">
      <t>コジン</t>
    </rPh>
    <rPh sb="5" eb="7">
      <t>ガッサン</t>
    </rPh>
    <phoneticPr fontId="7"/>
  </si>
  <si>
    <t>差引</t>
    <rPh sb="0" eb="2">
      <t>サシヒキ</t>
    </rPh>
    <phoneticPr fontId="7"/>
  </si>
  <si>
    <t>配当所得</t>
    <rPh sb="0" eb="4">
      <t>ハイトウショトク</t>
    </rPh>
    <phoneticPr fontId="7"/>
  </si>
  <si>
    <t>現状加入状況</t>
    <rPh sb="0" eb="2">
      <t>ゲンジョウ</t>
    </rPh>
    <rPh sb="2" eb="6">
      <t>カニュウジョウキョウ</t>
    </rPh>
    <phoneticPr fontId="7"/>
  </si>
  <si>
    <t>比較加入状況</t>
    <rPh sb="0" eb="2">
      <t>ヒカク</t>
    </rPh>
    <rPh sb="2" eb="6">
      <t>カニュウジョウキョウ</t>
    </rPh>
    <phoneticPr fontId="7"/>
  </si>
  <si>
    <t>社会保険料現状</t>
    <rPh sb="0" eb="2">
      <t>シャカイ</t>
    </rPh>
    <rPh sb="2" eb="5">
      <t>ホケンリョウ</t>
    </rPh>
    <rPh sb="5" eb="7">
      <t>ゲンジョウ</t>
    </rPh>
    <phoneticPr fontId="7"/>
  </si>
  <si>
    <t>社会保険料比較</t>
    <rPh sb="0" eb="2">
      <t>シャカイ</t>
    </rPh>
    <rPh sb="2" eb="5">
      <t>ホケンリョウ</t>
    </rPh>
    <rPh sb="5" eb="7">
      <t>ヒカク</t>
    </rPh>
    <phoneticPr fontId="7"/>
  </si>
  <si>
    <t>●比較</t>
    <rPh sb="1" eb="3">
      <t>ヒカク</t>
    </rPh>
    <phoneticPr fontId="7"/>
  </si>
  <si>
    <t>役員報酬変更</t>
    <rPh sb="0" eb="4">
      <t>ヤクインホウシュウ</t>
    </rPh>
    <rPh sb="4" eb="6">
      <t>ヘンコウ</t>
    </rPh>
    <phoneticPr fontId="7"/>
  </si>
  <si>
    <t>役員報酬・配当シミュレーション</t>
    <rPh sb="0" eb="4">
      <t>ヤクインホウシュウ</t>
    </rPh>
    <rPh sb="5" eb="7">
      <t>ハイトウ</t>
    </rPh>
    <phoneticPr fontId="7"/>
  </si>
  <si>
    <t>PLAN1：</t>
    <phoneticPr fontId="7"/>
  </si>
  <si>
    <t>PLAN2：</t>
    <phoneticPr fontId="7"/>
  </si>
  <si>
    <t>合算CF</t>
    <rPh sb="0" eb="2">
      <t>ガッサン</t>
    </rPh>
    <phoneticPr fontId="7"/>
  </si>
  <si>
    <t>会社名：</t>
    <rPh sb="0" eb="3">
      <t>カイシャメイ</t>
    </rPh>
    <phoneticPr fontId="7"/>
  </si>
  <si>
    <t>●現状</t>
    <rPh sb="1" eb="3">
      <t>ゲンジョウ</t>
    </rPh>
    <phoneticPr fontId="7"/>
  </si>
  <si>
    <t>役員報酬の変更：</t>
    <rPh sb="0" eb="4">
      <t>ヤクインホウシュウ</t>
    </rPh>
    <rPh sb="5" eb="7">
      <t>ヘンコウ</t>
    </rPh>
    <phoneticPr fontId="7"/>
  </si>
  <si>
    <t>料率表のリンク</t>
    <rPh sb="0" eb="2">
      <t>リョウリツ</t>
    </rPh>
    <rPh sb="2" eb="3">
      <t>ヒョウ</t>
    </rPh>
    <phoneticPr fontId="7"/>
  </si>
  <si>
    <t>動画マニュアル</t>
    <rPh sb="0" eb="2">
      <t>ドウガ</t>
    </rPh>
    <phoneticPr fontId="7"/>
  </si>
  <si>
    <t>税額控除</t>
    <rPh sb="0" eb="4">
      <t>ゼイガクコウジョ</t>
    </rPh>
    <phoneticPr fontId="7"/>
  </si>
  <si>
    <t>社会保険報酬D8</t>
    <rPh sb="0" eb="2">
      <t>シャカイ</t>
    </rPh>
    <rPh sb="2" eb="4">
      <t>ホケン</t>
    </rPh>
    <rPh sb="4" eb="6">
      <t>ホウシュウ</t>
    </rPh>
    <phoneticPr fontId="7"/>
  </si>
  <si>
    <t>社会保険報酬比較D30</t>
    <rPh sb="0" eb="2">
      <t>シャカイ</t>
    </rPh>
    <rPh sb="2" eb="4">
      <t>ホケン</t>
    </rPh>
    <rPh sb="4" eb="6">
      <t>ホウシュウ</t>
    </rPh>
    <rPh sb="6" eb="8">
      <t>ヒカク</t>
    </rPh>
    <phoneticPr fontId="7"/>
  </si>
  <si>
    <t>現状</t>
    <rPh sb="0" eb="2">
      <t>ゲンジョウ</t>
    </rPh>
    <phoneticPr fontId="7"/>
  </si>
  <si>
    <t>比較</t>
    <rPh sb="0" eb="2">
      <t>ヒカク</t>
    </rPh>
    <phoneticPr fontId="7"/>
  </si>
  <si>
    <t>事前</t>
    <rPh sb="0" eb="2">
      <t>ジゼン</t>
    </rPh>
    <phoneticPr fontId="7"/>
  </si>
  <si>
    <t>事前確定賞与の社会保険料会社負担分社会保険料計算の不具合修正しました。</t>
    <rPh sb="0" eb="2">
      <t>ジゼン</t>
    </rPh>
    <rPh sb="2" eb="4">
      <t>カクテイ</t>
    </rPh>
    <rPh sb="4" eb="6">
      <t>ショウヨ</t>
    </rPh>
    <rPh sb="7" eb="12">
      <t>シャカイホケンリョウ</t>
    </rPh>
    <rPh sb="12" eb="16">
      <t>カイシャフタン</t>
    </rPh>
    <rPh sb="16" eb="17">
      <t>ブン</t>
    </rPh>
    <rPh sb="17" eb="22">
      <t>シャカイホケンリョウ</t>
    </rPh>
    <rPh sb="22" eb="24">
      <t>ケイサン</t>
    </rPh>
    <rPh sb="25" eb="28">
      <t>フグアイ</t>
    </rPh>
    <rPh sb="28" eb="30">
      <t>シュウセイ</t>
    </rPh>
    <phoneticPr fontId="7"/>
  </si>
  <si>
    <t>均等割</t>
    <rPh sb="0" eb="3">
      <t>キントウワリ</t>
    </rPh>
    <phoneticPr fontId="7"/>
  </si>
  <si>
    <t>繰越欠損金</t>
    <rPh sb="0" eb="5">
      <t>クリコシケッソンキン</t>
    </rPh>
    <phoneticPr fontId="7"/>
  </si>
  <si>
    <t>厚生年金の等級区分を変更しました。R2年９月以降に対応。</t>
    <rPh sb="0" eb="4">
      <t>コウセイネンキン</t>
    </rPh>
    <rPh sb="5" eb="9">
      <t>トウキュウクブン</t>
    </rPh>
    <rPh sb="10" eb="12">
      <t>ヘンコウ</t>
    </rPh>
    <rPh sb="19" eb="20">
      <t>ネン</t>
    </rPh>
    <rPh sb="21" eb="22">
      <t>ガツ</t>
    </rPh>
    <rPh sb="22" eb="24">
      <t>イコウ</t>
    </rPh>
    <rPh sb="25" eb="27">
      <t>タイオウ</t>
    </rPh>
    <phoneticPr fontId="7"/>
  </si>
  <si>
    <t>比較シートE66の計算式を修正しました。</t>
    <rPh sb="0" eb="2">
      <t>ヒカク</t>
    </rPh>
    <rPh sb="9" eb="12">
      <t>ケイサンシキ</t>
    </rPh>
    <rPh sb="13" eb="15">
      <t>シュウセイ</t>
    </rPh>
    <phoneticPr fontId="7"/>
  </si>
  <si>
    <t>法人税率をアップデートしました。</t>
    <rPh sb="0" eb="4">
      <t>ホウジンゼイリツ</t>
    </rPh>
    <phoneticPr fontId="7"/>
  </si>
  <si>
    <t>健康保険任意入力ボタンマクロ修正</t>
    <rPh sb="0" eb="4">
      <t>ケンコウホケン</t>
    </rPh>
    <rPh sb="4" eb="6">
      <t>ニンイ</t>
    </rPh>
    <rPh sb="6" eb="8">
      <t>ニュウリョク</t>
    </rPh>
    <rPh sb="14" eb="16">
      <t>シュウセイ</t>
    </rPh>
    <phoneticPr fontId="7"/>
  </si>
  <si>
    <t>円単位で入力して下さい。黄色の部分に入力してください。</t>
    <rPh sb="0" eb="1">
      <t>エン</t>
    </rPh>
    <rPh sb="1" eb="3">
      <t>タンイ</t>
    </rPh>
    <rPh sb="4" eb="6">
      <t>ニュウリョク</t>
    </rPh>
    <rPh sb="8" eb="9">
      <t>クダ</t>
    </rPh>
    <rPh sb="12" eb="13">
      <t>キ</t>
    </rPh>
    <rPh sb="13" eb="14">
      <t>イロ</t>
    </rPh>
    <rPh sb="15" eb="17">
      <t>ブブン</t>
    </rPh>
    <rPh sb="18" eb="20">
      <t>ニュウリョク</t>
    </rPh>
    <phoneticPr fontId="7"/>
  </si>
  <si>
    <t>配当控除額</t>
    <rPh sb="0" eb="4">
      <t>ハイトウコウジョ</t>
    </rPh>
    <rPh sb="4" eb="5">
      <t>ガク</t>
    </rPh>
    <phoneticPr fontId="7"/>
  </si>
  <si>
    <t>役員報酬支払前法人所得</t>
    <rPh sb="0" eb="4">
      <t>ヤクインホウシュウ</t>
    </rPh>
    <rPh sb="4" eb="6">
      <t>シハラ</t>
    </rPh>
    <rPh sb="6" eb="7">
      <t>マエ</t>
    </rPh>
    <rPh sb="7" eb="11">
      <t>ホウジンショトク</t>
    </rPh>
    <phoneticPr fontId="7"/>
  </si>
  <si>
    <t>他の所得金額</t>
    <rPh sb="0" eb="1">
      <t>タ</t>
    </rPh>
    <rPh sb="2" eb="6">
      <t>ショトクキンガク</t>
    </rPh>
    <phoneticPr fontId="7"/>
  </si>
  <si>
    <t>役員報酬</t>
    <rPh sb="0" eb="4">
      <t>ヤクインホウシュウ</t>
    </rPh>
    <phoneticPr fontId="7"/>
  </si>
  <si>
    <t>事前確定届出給与</t>
    <rPh sb="0" eb="2">
      <t>ジゼン</t>
    </rPh>
    <rPh sb="2" eb="4">
      <t>カクテイ</t>
    </rPh>
    <rPh sb="4" eb="6">
      <t>トドケデ</t>
    </rPh>
    <rPh sb="6" eb="8">
      <t>キュウヨ</t>
    </rPh>
    <phoneticPr fontId="7"/>
  </si>
  <si>
    <t>●現状　法人税計算</t>
    <rPh sb="1" eb="3">
      <t>ゲンジョウ</t>
    </rPh>
    <rPh sb="4" eb="7">
      <t>ホウジンゼイ</t>
    </rPh>
    <rPh sb="7" eb="9">
      <t>ケイサン</t>
    </rPh>
    <phoneticPr fontId="7"/>
  </si>
  <si>
    <t>●役員報酬の変更　法人税計算</t>
    <rPh sb="0" eb="4">
      <t>ヤクインホウシュウ</t>
    </rPh>
    <rPh sb="5" eb="7">
      <t>ヘンコウ</t>
    </rPh>
    <rPh sb="9" eb="12">
      <t>ホウジンゼイ</t>
    </rPh>
    <rPh sb="12" eb="14">
      <t>ケイサン</t>
    </rPh>
    <phoneticPr fontId="7"/>
  </si>
  <si>
    <t>　配当金支払い</t>
    <rPh sb="1" eb="4">
      <t>ハイトウキン</t>
    </rPh>
    <rPh sb="4" eb="6">
      <t>シハラ</t>
    </rPh>
    <phoneticPr fontId="7"/>
  </si>
  <si>
    <t>（法人税のシート）</t>
    <rPh sb="1" eb="4">
      <t>ホウジンゼイ</t>
    </rPh>
    <phoneticPr fontId="7"/>
  </si>
  <si>
    <t>配当金額</t>
  </si>
  <si>
    <t>合算CF</t>
  </si>
  <si>
    <t>役員報酬前法人所得金額</t>
    <rPh sb="0" eb="4">
      <t>ヤクインホウシュウ</t>
    </rPh>
    <rPh sb="4" eb="5">
      <t>マエ</t>
    </rPh>
    <rPh sb="5" eb="9">
      <t>ホウジンショトク</t>
    </rPh>
    <rPh sb="9" eb="11">
      <t>キンガク</t>
    </rPh>
    <phoneticPr fontId="7"/>
  </si>
  <si>
    <t>法人内部留保額：</t>
    <rPh sb="0" eb="2">
      <t>ホウジン</t>
    </rPh>
    <rPh sb="2" eb="6">
      <t>ナイブリュウホ</t>
    </rPh>
    <rPh sb="6" eb="7">
      <t>ガク</t>
    </rPh>
    <phoneticPr fontId="7"/>
  </si>
  <si>
    <t>役員報酬前所得金額</t>
    <rPh sb="0" eb="4">
      <t>ヤクインホウシュウ</t>
    </rPh>
    <rPh sb="4" eb="5">
      <t>マエ</t>
    </rPh>
    <rPh sb="5" eb="7">
      <t>ショトク</t>
    </rPh>
    <rPh sb="7" eb="9">
      <t>キンガク</t>
    </rPh>
    <phoneticPr fontId="7"/>
  </si>
  <si>
    <t>　所得税等</t>
    <rPh sb="1" eb="5">
      <t>ショトクゼイトウ</t>
    </rPh>
    <phoneticPr fontId="7"/>
  </si>
  <si>
    <t>　社会保険料等</t>
    <rPh sb="1" eb="6">
      <t>シャカイホケンリョウ</t>
    </rPh>
    <rPh sb="6" eb="7">
      <t>トウ</t>
    </rPh>
    <phoneticPr fontId="7"/>
  </si>
  <si>
    <t>法人内部留保額</t>
    <rPh sb="0" eb="2">
      <t>ホウジン</t>
    </rPh>
    <rPh sb="2" eb="6">
      <t>ナイブリュウホ</t>
    </rPh>
    <rPh sb="6" eb="7">
      <t>ガク</t>
    </rPh>
    <phoneticPr fontId="7"/>
  </si>
  <si>
    <t>中小企業の法人税合計税率</t>
  </si>
  <si>
    <t>法人所得額</t>
  </si>
  <si>
    <t>合計税率</t>
  </si>
  <si>
    <t>実効税率</t>
  </si>
  <si>
    <t>400万円以下</t>
  </si>
  <si>
    <t>８００万円以下</t>
  </si>
  <si>
    <t>８００万円超</t>
  </si>
  <si>
    <t>※実効税率とは、事業税と特別法人事業税の損金算入を考慮した税率です。</t>
    <rPh sb="1" eb="5">
      <t>ジッコウゼイリツ</t>
    </rPh>
    <rPh sb="8" eb="11">
      <t>ジギョウゼイ</t>
    </rPh>
    <rPh sb="12" eb="14">
      <t>トクベツ</t>
    </rPh>
    <rPh sb="14" eb="19">
      <t>ホウジンジギョウゼイ</t>
    </rPh>
    <rPh sb="20" eb="24">
      <t>ソンキンサンニュウ</t>
    </rPh>
    <rPh sb="25" eb="27">
      <t>コウリョ</t>
    </rPh>
    <rPh sb="29" eb="31">
      <t>ゼイリツ</t>
    </rPh>
    <phoneticPr fontId="7"/>
  </si>
  <si>
    <t>法人'所得金額</t>
    <rPh sb="0" eb="1">
      <t>ホウジン</t>
    </rPh>
    <phoneticPr fontId="7"/>
  </si>
  <si>
    <t>法人税率１</t>
    <rPh sb="0" eb="2">
      <t>ホウジン</t>
    </rPh>
    <rPh sb="2" eb="4">
      <t>ゼイリツ</t>
    </rPh>
    <phoneticPr fontId="7"/>
  </si>
  <si>
    <t>法人税率2</t>
    <rPh sb="0" eb="2">
      <t>ホウジン</t>
    </rPh>
    <rPh sb="2" eb="4">
      <t>ゼイリツ</t>
    </rPh>
    <phoneticPr fontId="7"/>
  </si>
  <si>
    <t>地方法人税率</t>
    <rPh sb="0" eb="2">
      <t>チホウ</t>
    </rPh>
    <rPh sb="2" eb="4">
      <t>ホウジン</t>
    </rPh>
    <rPh sb="4" eb="6">
      <t>ゼイリツ</t>
    </rPh>
    <phoneticPr fontId="7"/>
  </si>
  <si>
    <t>都道府県民税率1</t>
    <rPh sb="0" eb="4">
      <t>トドウフケン</t>
    </rPh>
    <rPh sb="4" eb="5">
      <t>ミン</t>
    </rPh>
    <rPh sb="5" eb="6">
      <t>ゼイ</t>
    </rPh>
    <rPh sb="6" eb="7">
      <t>リツ</t>
    </rPh>
    <phoneticPr fontId="7"/>
  </si>
  <si>
    <t>都道府県民税率2</t>
    <rPh sb="0" eb="4">
      <t>トドウフケン</t>
    </rPh>
    <rPh sb="4" eb="5">
      <t>ミン</t>
    </rPh>
    <rPh sb="5" eb="6">
      <t>ゼイ</t>
    </rPh>
    <rPh sb="6" eb="7">
      <t>リツ</t>
    </rPh>
    <phoneticPr fontId="7"/>
  </si>
  <si>
    <t>市町村民税率</t>
    <rPh sb="0" eb="5">
      <t>シチョウソンミンゼイ</t>
    </rPh>
    <rPh sb="5" eb="6">
      <t>リツ</t>
    </rPh>
    <phoneticPr fontId="7"/>
  </si>
  <si>
    <t>事業税率1</t>
    <rPh sb="0" eb="2">
      <t>ジギョウ</t>
    </rPh>
    <rPh sb="2" eb="4">
      <t>ゼイリツ</t>
    </rPh>
    <phoneticPr fontId="7"/>
  </si>
  <si>
    <t>事業税率2</t>
    <rPh sb="0" eb="2">
      <t>ジギョウ</t>
    </rPh>
    <rPh sb="2" eb="4">
      <t>ゼイリツ</t>
    </rPh>
    <phoneticPr fontId="7"/>
  </si>
  <si>
    <t>事業税率3</t>
    <rPh sb="0" eb="2">
      <t>ジギョウ</t>
    </rPh>
    <rPh sb="2" eb="4">
      <t>ゼイリツ</t>
    </rPh>
    <phoneticPr fontId="7"/>
  </si>
  <si>
    <t>特別法人事業税率</t>
    <rPh sb="0" eb="4">
      <t>トクベツホウジン</t>
    </rPh>
    <rPh sb="4" eb="6">
      <t>ジギョウ</t>
    </rPh>
    <rPh sb="6" eb="8">
      <t>ゼイリツ</t>
    </rPh>
    <phoneticPr fontId="7"/>
  </si>
  <si>
    <t>法人税1600万円以上ですが、ここでは考慮していません</t>
    <rPh sb="0" eb="3">
      <t>ホウジンゼイ</t>
    </rPh>
    <rPh sb="7" eb="9">
      <t>マンエン</t>
    </rPh>
    <rPh sb="9" eb="11">
      <t>イジョウ</t>
    </rPh>
    <rPh sb="19" eb="21">
      <t>コウリョ</t>
    </rPh>
    <phoneticPr fontId="1"/>
  </si>
  <si>
    <t>令和元年１０月１日以降開始事業年度</t>
    <rPh sb="0" eb="1">
      <t>レイ</t>
    </rPh>
    <rPh sb="1" eb="2">
      <t>ワ</t>
    </rPh>
    <rPh sb="2" eb="4">
      <t>ガンネン</t>
    </rPh>
    <rPh sb="6" eb="7">
      <t>ガツ</t>
    </rPh>
    <rPh sb="8" eb="9">
      <t>ニチ</t>
    </rPh>
    <rPh sb="9" eb="11">
      <t>イコウ</t>
    </rPh>
    <rPh sb="11" eb="13">
      <t>カイシ</t>
    </rPh>
    <rPh sb="13" eb="17">
      <t>ジギョウネンド</t>
    </rPh>
    <phoneticPr fontId="1"/>
  </si>
  <si>
    <t>※ここでは実効税率を使っています</t>
    <rPh sb="5" eb="9">
      <t>ジッコウゼイリツ</t>
    </rPh>
    <rPh sb="10" eb="11">
      <t>ツカ</t>
    </rPh>
    <phoneticPr fontId="7"/>
  </si>
  <si>
    <t>配当所得金額の最適化ボタンを追加　円、千円単位に変更</t>
    <rPh sb="0" eb="2">
      <t>ハイトウ</t>
    </rPh>
    <rPh sb="2" eb="6">
      <t>ショトクキンガク</t>
    </rPh>
    <rPh sb="7" eb="10">
      <t>サイテキカ</t>
    </rPh>
    <rPh sb="14" eb="16">
      <t>ツイカ</t>
    </rPh>
    <rPh sb="17" eb="18">
      <t>エン</t>
    </rPh>
    <rPh sb="19" eb="21">
      <t>センエン</t>
    </rPh>
    <rPh sb="21" eb="23">
      <t>タンイ</t>
    </rPh>
    <rPh sb="24" eb="26">
      <t>ヘンコウ</t>
    </rPh>
    <phoneticPr fontId="7"/>
  </si>
  <si>
    <t>所得税の復興特別所得税額が抜けていたのを改善</t>
    <rPh sb="0" eb="3">
      <t>ショトクゼイ</t>
    </rPh>
    <rPh sb="4" eb="6">
      <t>フッコウ</t>
    </rPh>
    <rPh sb="6" eb="8">
      <t>トクベツ</t>
    </rPh>
    <rPh sb="8" eb="11">
      <t>ショトクゼイ</t>
    </rPh>
    <rPh sb="11" eb="12">
      <t>ガク</t>
    </rPh>
    <rPh sb="13" eb="14">
      <t>ヌ</t>
    </rPh>
    <rPh sb="20" eb="22">
      <t>カイゼン</t>
    </rPh>
    <phoneticPr fontId="7"/>
  </si>
  <si>
    <t>負担増減</t>
    <rPh sb="0" eb="2">
      <t>フタン</t>
    </rPh>
    <rPh sb="2" eb="4">
      <t>ゾウゲン</t>
    </rPh>
    <phoneticPr fontId="7"/>
  </si>
  <si>
    <t>所得税等の増減</t>
    <rPh sb="0" eb="3">
      <t>ショトクゼイ</t>
    </rPh>
    <rPh sb="3" eb="4">
      <t>トウ</t>
    </rPh>
    <rPh sb="5" eb="7">
      <t>ゾウゲン</t>
    </rPh>
    <phoneticPr fontId="7"/>
  </si>
  <si>
    <t>社会保険料の増減</t>
    <rPh sb="0" eb="5">
      <t>シャカイホケンリョウ</t>
    </rPh>
    <rPh sb="6" eb="8">
      <t>ゾウゲン</t>
    </rPh>
    <phoneticPr fontId="7"/>
  </si>
  <si>
    <t>法人税増減</t>
    <rPh sb="0" eb="3">
      <t>ホウジンゼイ</t>
    </rPh>
    <rPh sb="3" eb="5">
      <t>ゾウゲン</t>
    </rPh>
    <phoneticPr fontId="7"/>
  </si>
  <si>
    <t>差引負担増減</t>
    <rPh sb="0" eb="2">
      <t>サシヒキ</t>
    </rPh>
    <rPh sb="2" eb="4">
      <t>フタン</t>
    </rPh>
    <rPh sb="4" eb="6">
      <t>ゾウゲン</t>
    </rPh>
    <phoneticPr fontId="7"/>
  </si>
  <si>
    <t>現状事前確定</t>
    <rPh sb="0" eb="2">
      <t>ゲンジョウ</t>
    </rPh>
    <rPh sb="2" eb="4">
      <t>ジゼン</t>
    </rPh>
    <rPh sb="4" eb="6">
      <t>カクテイ</t>
    </rPh>
    <phoneticPr fontId="7"/>
  </si>
  <si>
    <t>事前確定届出給与</t>
    <rPh sb="0" eb="2">
      <t>ジゼン</t>
    </rPh>
    <rPh sb="2" eb="4">
      <t>カクテイ</t>
    </rPh>
    <rPh sb="4" eb="5">
      <t>トド</t>
    </rPh>
    <rPh sb="5" eb="6">
      <t>デ</t>
    </rPh>
    <rPh sb="6" eb="8">
      <t>キュウヨ</t>
    </rPh>
    <phoneticPr fontId="7"/>
  </si>
  <si>
    <t>現状の事前確定給与</t>
    <rPh sb="0" eb="3">
      <t>ゲ</t>
    </rPh>
    <rPh sb="3" eb="9">
      <t>ジゼンカクテイ</t>
    </rPh>
    <phoneticPr fontId="7"/>
  </si>
  <si>
    <t>役員報酬支払前利益ー定期同額給与を限度とする</t>
    <rPh sb="0" eb="4">
      <t>ヤクイン</t>
    </rPh>
    <rPh sb="4" eb="6">
      <t>シハライ</t>
    </rPh>
    <rPh sb="6" eb="7">
      <t>マエ</t>
    </rPh>
    <rPh sb="7" eb="9">
      <t>リエキ</t>
    </rPh>
    <rPh sb="10" eb="16">
      <t>テイキドウ</t>
    </rPh>
    <rPh sb="17" eb="19">
      <t>ゲンド</t>
    </rPh>
    <phoneticPr fontId="7"/>
  </si>
  <si>
    <t>事前確定賞与を現状にも入れました</t>
    <rPh sb="0" eb="2">
      <t>ジゼン</t>
    </rPh>
    <rPh sb="2" eb="4">
      <t>カクテイ</t>
    </rPh>
    <rPh sb="4" eb="6">
      <t>ショウヨ</t>
    </rPh>
    <rPh sb="7" eb="9">
      <t>ゲンジョウ</t>
    </rPh>
    <rPh sb="11" eb="12">
      <t>イ</t>
    </rPh>
    <phoneticPr fontId="7"/>
  </si>
  <si>
    <t>事前確定給与の最適化を追加</t>
    <rPh sb="0" eb="6">
      <t>ジゼ</t>
    </rPh>
    <rPh sb="7" eb="10">
      <t>サイテキカ</t>
    </rPh>
    <rPh sb="11" eb="13">
      <t>ツイカ</t>
    </rPh>
    <phoneticPr fontId="7"/>
  </si>
  <si>
    <t>最適化の数値をシミュレーションに反映</t>
    <rPh sb="0" eb="3">
      <t>サイテキカ</t>
    </rPh>
    <rPh sb="4" eb="6">
      <t>スウチ</t>
    </rPh>
    <rPh sb="16" eb="18">
      <t>ハンエイ</t>
    </rPh>
    <phoneticPr fontId="7"/>
  </si>
  <si>
    <t>☆医師国保、建設国保などに加入している場合</t>
    <rPh sb="1" eb="3">
      <t>イシ</t>
    </rPh>
    <rPh sb="3" eb="5">
      <t>コクホ</t>
    </rPh>
    <rPh sb="6" eb="8">
      <t>ケンセツ</t>
    </rPh>
    <rPh sb="8" eb="10">
      <t>コクホ</t>
    </rPh>
    <rPh sb="13" eb="15">
      <t>カニュウ</t>
    </rPh>
    <rPh sb="19" eb="21">
      <t>バアイ</t>
    </rPh>
    <phoneticPr fontId="7"/>
  </si>
  <si>
    <t>※まず比較側の社長の定期同額給与を引き下げてからクリックしてください。</t>
    <rPh sb="3" eb="5">
      <t>ヒカク</t>
    </rPh>
    <rPh sb="5" eb="6">
      <t>ガワ</t>
    </rPh>
    <rPh sb="7" eb="9">
      <t>シャチョウ</t>
    </rPh>
    <rPh sb="10" eb="12">
      <t>テイキ</t>
    </rPh>
    <rPh sb="12" eb="14">
      <t>ドウガク</t>
    </rPh>
    <rPh sb="14" eb="16">
      <t>キュウヨ</t>
    </rPh>
    <rPh sb="17" eb="18">
      <t>ヒ</t>
    </rPh>
    <rPh sb="19" eb="20">
      <t>サ</t>
    </rPh>
    <phoneticPr fontId="7"/>
  </si>
  <si>
    <t>https://vimeo.com/showcase/9699229</t>
    <phoneticPr fontId="7"/>
  </si>
  <si>
    <t>他の給与収入</t>
    <rPh sb="0" eb="1">
      <t>タ</t>
    </rPh>
    <rPh sb="2" eb="6">
      <t>キュウヨシュウニュウ</t>
    </rPh>
    <phoneticPr fontId="7"/>
  </si>
  <si>
    <t>報告書　他の給与収入の部分を修正</t>
    <rPh sb="0" eb="3">
      <t>ホウコクショ</t>
    </rPh>
    <rPh sb="4" eb="5">
      <t>タ</t>
    </rPh>
    <rPh sb="6" eb="10">
      <t>キュウヨシュウニュウ</t>
    </rPh>
    <rPh sb="11" eb="13">
      <t>ブブン</t>
    </rPh>
    <rPh sb="14" eb="16">
      <t>シュウセイ</t>
    </rPh>
    <phoneticPr fontId="7"/>
  </si>
  <si>
    <t>他の給与収入を</t>
    <rPh sb="0" eb="1">
      <t>タ</t>
    </rPh>
    <rPh sb="2" eb="6">
      <t>キュウヨシュウニュウ</t>
    </rPh>
    <phoneticPr fontId="7"/>
  </si>
  <si>
    <t>他の給与社保合算</t>
    <rPh sb="0" eb="1">
      <t>タ</t>
    </rPh>
    <rPh sb="2" eb="4">
      <t>キュウヨ</t>
    </rPh>
    <rPh sb="4" eb="6">
      <t>シャホ</t>
    </rPh>
    <rPh sb="6" eb="8">
      <t>ガッサン</t>
    </rPh>
    <phoneticPr fontId="7"/>
  </si>
  <si>
    <t>社保対象に合算</t>
    <rPh sb="0" eb="2">
      <t>シャホ</t>
    </rPh>
    <rPh sb="2" eb="4">
      <t>タイショウ</t>
    </rPh>
    <rPh sb="5" eb="7">
      <t>ガッサン</t>
    </rPh>
    <phoneticPr fontId="7"/>
  </si>
  <si>
    <t>厚生年金　標準報酬修正</t>
    <rPh sb="0" eb="4">
      <t>コウセイネンキン</t>
    </rPh>
    <rPh sb="5" eb="9">
      <t>ヒョウジュンホウシュウ</t>
    </rPh>
    <rPh sb="9" eb="11">
      <t>シュウセイ</t>
    </rPh>
    <phoneticPr fontId="7"/>
  </si>
  <si>
    <t>社会保険表をR４に修正　</t>
    <rPh sb="0" eb="4">
      <t>シャカイホケン</t>
    </rPh>
    <rPh sb="4" eb="5">
      <t>ヒョウ</t>
    </rPh>
    <rPh sb="9" eb="11">
      <t>シュウセイ</t>
    </rPh>
    <phoneticPr fontId="7"/>
  </si>
  <si>
    <t>会社負担保険料</t>
    <rPh sb="0" eb="4">
      <t>カイシャフタン</t>
    </rPh>
    <rPh sb="4" eb="7">
      <t>ホケンリョウ</t>
    </rPh>
    <phoneticPr fontId="7"/>
  </si>
  <si>
    <t>子ども子育て拠出金</t>
    <rPh sb="0" eb="1">
      <t>コ</t>
    </rPh>
    <rPh sb="3" eb="5">
      <t>コソダ</t>
    </rPh>
    <rPh sb="6" eb="9">
      <t>キョシュツキン</t>
    </rPh>
    <phoneticPr fontId="7"/>
  </si>
  <si>
    <t>#２箇所目給与は会社負担ないと考える</t>
    <rPh sb="2" eb="5">
      <t>カショメ</t>
    </rPh>
    <rPh sb="5" eb="7">
      <t>キュウヨ</t>
    </rPh>
    <rPh sb="8" eb="12">
      <t>カイシャフタン</t>
    </rPh>
    <rPh sb="15" eb="16">
      <t>カンガ</t>
    </rPh>
    <phoneticPr fontId="7"/>
  </si>
  <si>
    <t>拠出金</t>
    <rPh sb="0" eb="3">
      <t>キョシュツキン</t>
    </rPh>
    <phoneticPr fontId="7"/>
  </si>
  <si>
    <t>定期同額</t>
    <rPh sb="0" eb="2">
      <t>テイキ</t>
    </rPh>
    <rPh sb="2" eb="4">
      <t>ドウガク</t>
    </rPh>
    <phoneticPr fontId="7"/>
  </si>
  <si>
    <t>２箇所目給料</t>
    <rPh sb="1" eb="4">
      <t>カショメ</t>
    </rPh>
    <rPh sb="4" eb="6">
      <t>キュウリョウ</t>
    </rPh>
    <phoneticPr fontId="7"/>
  </si>
  <si>
    <t>２箇所目給料含む</t>
    <rPh sb="1" eb="4">
      <t>カショメ</t>
    </rPh>
    <rPh sb="4" eb="6">
      <t>キュウリョウ</t>
    </rPh>
    <rPh sb="6" eb="7">
      <t>フク</t>
    </rPh>
    <phoneticPr fontId="7"/>
  </si>
  <si>
    <t>ひとり目の役員だけ</t>
    <rPh sb="3" eb="4">
      <t>メ</t>
    </rPh>
    <rPh sb="5" eb="7">
      <t>ヤクイン</t>
    </rPh>
    <phoneticPr fontId="7"/>
  </si>
  <si>
    <t>合算して社保料を</t>
    <rPh sb="0" eb="2">
      <t>ガッサン</t>
    </rPh>
    <rPh sb="4" eb="6">
      <t>シャホ</t>
    </rPh>
    <rPh sb="6" eb="7">
      <t>リョウ</t>
    </rPh>
    <phoneticPr fontId="7"/>
  </si>
  <si>
    <t>計算します。</t>
    <rPh sb="0" eb="2">
      <t>ケイサン</t>
    </rPh>
    <phoneticPr fontId="7"/>
  </si>
  <si>
    <t>会社負担社会保険料　リンク修正</t>
    <rPh sb="0" eb="4">
      <t>カイシャフタン</t>
    </rPh>
    <rPh sb="4" eb="9">
      <t>シャカイホケンリョウ</t>
    </rPh>
    <rPh sb="13" eb="15">
      <t>シュウセイ</t>
    </rPh>
    <phoneticPr fontId="7"/>
  </si>
  <si>
    <t>Excel2019以前に対応、2箇所給与の社会保険料会社負担見直し</t>
    <rPh sb="9" eb="11">
      <t>イゼン</t>
    </rPh>
    <rPh sb="12" eb="14">
      <t>タイオウ</t>
    </rPh>
    <rPh sb="16" eb="18">
      <t>カショ</t>
    </rPh>
    <rPh sb="18" eb="20">
      <t>キュウヨ</t>
    </rPh>
    <rPh sb="21" eb="26">
      <t>シャカイホケンリョウ</t>
    </rPh>
    <rPh sb="26" eb="28">
      <t>カイシャ</t>
    </rPh>
    <rPh sb="28" eb="30">
      <t>フタン</t>
    </rPh>
    <rPh sb="30" eb="32">
      <t>ミナオ</t>
    </rPh>
    <phoneticPr fontId="7"/>
  </si>
  <si>
    <t>1.79の事前確定の社保計算見直し</t>
    <rPh sb="5" eb="7">
      <t>ジゼン</t>
    </rPh>
    <rPh sb="7" eb="9">
      <t>カクテイ</t>
    </rPh>
    <rPh sb="10" eb="12">
      <t>シャホ</t>
    </rPh>
    <rPh sb="12" eb="14">
      <t>ケイサン</t>
    </rPh>
    <rPh sb="14" eb="16">
      <t>ミナオ</t>
    </rPh>
    <phoneticPr fontId="7"/>
  </si>
  <si>
    <t>政管健保加入</t>
    <rPh sb="0" eb="4">
      <t>セイカンケンポ</t>
    </rPh>
    <rPh sb="4" eb="6">
      <t>カニュウ</t>
    </rPh>
    <phoneticPr fontId="7"/>
  </si>
  <si>
    <t>会社負担社会保険料　非加入の場合修正 健保任意加入の場合の会社負担分厚生年金のみ</t>
    <rPh sb="0" eb="4">
      <t>カイシャフタン</t>
    </rPh>
    <rPh sb="4" eb="9">
      <t>シャカイホケンリョウ</t>
    </rPh>
    <rPh sb="10" eb="11">
      <t>ヒ</t>
    </rPh>
    <rPh sb="11" eb="13">
      <t>カニュウ</t>
    </rPh>
    <rPh sb="14" eb="16">
      <t>バアイ</t>
    </rPh>
    <rPh sb="16" eb="18">
      <t>シュウセイ</t>
    </rPh>
    <rPh sb="19" eb="21">
      <t>ケンポ</t>
    </rPh>
    <rPh sb="21" eb="25">
      <t>ニンイカニュウ</t>
    </rPh>
    <rPh sb="26" eb="28">
      <t>バアイ</t>
    </rPh>
    <rPh sb="29" eb="33">
      <t>カイシャフタン</t>
    </rPh>
    <rPh sb="33" eb="34">
      <t>ブン</t>
    </rPh>
    <rPh sb="34" eb="38">
      <t>コウセイネンキン</t>
    </rPh>
    <phoneticPr fontId="7"/>
  </si>
  <si>
    <t>社会保険表をR6に修正　</t>
    <rPh sb="0" eb="4">
      <t>シャカイホケン</t>
    </rPh>
    <rPh sb="4" eb="5">
      <t>ヒョウ</t>
    </rPh>
    <rPh sb="9" eb="11">
      <t>シュウセイ</t>
    </rPh>
    <phoneticPr fontId="7"/>
  </si>
  <si>
    <t>事前確定社保　年齢バグ</t>
    <rPh sb="0" eb="2">
      <t>ジゼン</t>
    </rPh>
    <rPh sb="2" eb="4">
      <t>カクテイ</t>
    </rPh>
    <rPh sb="4" eb="6">
      <t>シャホ</t>
    </rPh>
    <rPh sb="7" eb="9">
      <t>ネンレイ</t>
    </rPh>
    <phoneticPr fontId="7"/>
  </si>
  <si>
    <t>給与所得控除修正</t>
    <rPh sb="0" eb="2">
      <t>キュウヨ</t>
    </rPh>
    <rPh sb="2" eb="6">
      <t>ショトクコウジョ</t>
    </rPh>
    <rPh sb="6" eb="8">
      <t>シュウセイ</t>
    </rPh>
    <phoneticPr fontId="7"/>
  </si>
  <si>
    <t>https://www.kyoukaikenpo.or.jp/g7/cat330/sb3150/r07/r7ryougakuhyou3gatukara/</t>
    <phoneticPr fontId="7"/>
  </si>
  <si>
    <t>確定給付年金掛金</t>
    <rPh sb="0" eb="2">
      <t>カクテイ</t>
    </rPh>
    <rPh sb="2" eb="4">
      <t>キュウフ</t>
    </rPh>
    <rPh sb="4" eb="6">
      <t>ネンキン</t>
    </rPh>
    <rPh sb="6" eb="7">
      <t>カ</t>
    </rPh>
    <rPh sb="7" eb="8">
      <t>キン</t>
    </rPh>
    <phoneticPr fontId="7"/>
  </si>
  <si>
    <t>積立額</t>
    <rPh sb="0" eb="2">
      <t>ツミタテ</t>
    </rPh>
    <rPh sb="2" eb="3">
      <t>ガク</t>
    </rPh>
    <phoneticPr fontId="7"/>
  </si>
  <si>
    <t>役員報酬計画 ver1.89（円、千円単位　事前確定、配当所得シミュレーション強化 DB対応　令和7年改正対応）</t>
    <rPh sb="0" eb="2">
      <t>ヤクイン</t>
    </rPh>
    <rPh sb="2" eb="4">
      <t>ホウシュウ</t>
    </rPh>
    <rPh sb="4" eb="6">
      <t>ケイカク</t>
    </rPh>
    <rPh sb="15" eb="16">
      <t>エン</t>
    </rPh>
    <rPh sb="17" eb="19">
      <t>センエン</t>
    </rPh>
    <rPh sb="19" eb="21">
      <t>タンイ</t>
    </rPh>
    <rPh sb="22" eb="24">
      <t>ジゼン</t>
    </rPh>
    <rPh sb="24" eb="26">
      <t>カクテイ</t>
    </rPh>
    <rPh sb="27" eb="29">
      <t>ハイトウ</t>
    </rPh>
    <rPh sb="29" eb="31">
      <t>ショトク</t>
    </rPh>
    <rPh sb="39" eb="41">
      <t>キョウカ</t>
    </rPh>
    <rPh sb="44" eb="46">
      <t>タイオウ</t>
    </rPh>
    <rPh sb="47" eb="49">
      <t>レイワ</t>
    </rPh>
    <rPh sb="50" eb="51">
      <t>ネン</t>
    </rPh>
    <rPh sb="51" eb="53">
      <t>カイセイ</t>
    </rPh>
    <rPh sb="53" eb="55">
      <t>タイオウ</t>
    </rPh>
    <phoneticPr fontId="7"/>
  </si>
  <si>
    <t>令和7年所得税改正対応、確定給付年金掛け金対応、事前確定届け出給与入力改善</t>
    <rPh sb="0" eb="2">
      <t>レイワ</t>
    </rPh>
    <rPh sb="3" eb="4">
      <t>ネン</t>
    </rPh>
    <rPh sb="4" eb="7">
      <t>ショトクゼイ</t>
    </rPh>
    <rPh sb="7" eb="9">
      <t>カイセイ</t>
    </rPh>
    <rPh sb="9" eb="11">
      <t>タイオウ</t>
    </rPh>
    <rPh sb="12" eb="14">
      <t>カクテイ</t>
    </rPh>
    <rPh sb="14" eb="16">
      <t>キュウフ</t>
    </rPh>
    <rPh sb="16" eb="18">
      <t>ネンキン</t>
    </rPh>
    <rPh sb="18" eb="19">
      <t>カ</t>
    </rPh>
    <rPh sb="20" eb="21">
      <t>キン</t>
    </rPh>
    <rPh sb="21" eb="23">
      <t>タイオウ</t>
    </rPh>
    <rPh sb="24" eb="26">
      <t>ジゼン</t>
    </rPh>
    <rPh sb="26" eb="28">
      <t>カクテイ</t>
    </rPh>
    <rPh sb="28" eb="29">
      <t>トド</t>
    </rPh>
    <rPh sb="30" eb="31">
      <t>デ</t>
    </rPh>
    <rPh sb="31" eb="33">
      <t>キュウヨ</t>
    </rPh>
    <rPh sb="33" eb="35">
      <t>ニュウリョク</t>
    </rPh>
    <rPh sb="35" eb="37">
      <t>カイゼン</t>
    </rPh>
    <phoneticPr fontId="7"/>
  </si>
  <si>
    <t>☆東京都の料率が初期値で入力されていますので適宜変更してください。（令和7年3月以降）</t>
    <rPh sb="1" eb="4">
      <t>トウキョウト</t>
    </rPh>
    <rPh sb="5" eb="7">
      <t>リョウリツ</t>
    </rPh>
    <rPh sb="8" eb="11">
      <t>ショキチ</t>
    </rPh>
    <rPh sb="12" eb="14">
      <t>ニュウリョク</t>
    </rPh>
    <rPh sb="22" eb="24">
      <t>テキギ</t>
    </rPh>
    <rPh sb="24" eb="26">
      <t>ヘンコウ</t>
    </rPh>
    <rPh sb="34" eb="36">
      <t>レイワ</t>
    </rPh>
    <rPh sb="37" eb="38">
      <t>ネン</t>
    </rPh>
    <rPh sb="39" eb="40">
      <t>ガツ</t>
    </rPh>
    <rPh sb="40" eb="42">
      <t>イコウ</t>
    </rPh>
    <phoneticPr fontId="7"/>
  </si>
  <si>
    <t>a</t>
    <phoneticPr fontId="7"/>
  </si>
</sst>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yyyy/mm"/>
    <numFmt numFmtId="177" formatCode="0.0%"/>
    <numFmt numFmtId="178" formatCode="#,##0.0;\-#,##0.0"/>
    <numFmt numFmtId="179" formatCode="0_ ;[Red]\-0\ "/>
    <numFmt numFmtId="180" formatCode="0_);[Red]\(0\)"/>
  </numFmts>
  <fonts count="58">
    <font>
      <sz val="9"/>
      <color theme="1"/>
      <name val="メイリオ"/>
      <family val="2"/>
      <charset val="128"/>
    </font>
    <font>
      <sz val="11"/>
      <name val="Yu Gothic"/>
      <family val="3"/>
      <charset val="128"/>
    </font>
    <font>
      <sz val="10"/>
      <color theme="1"/>
      <name val="メイリオ"/>
      <family val="2"/>
      <charset val="128"/>
    </font>
    <font>
      <sz val="9"/>
      <color rgb="FF000000"/>
      <name val="Meiryo UI"/>
      <family val="3"/>
      <charset val="128"/>
    </font>
    <font>
      <sz val="11"/>
      <color rgb="FFFF0000"/>
      <name val="メイリオ"/>
      <family val="3"/>
      <charset val="128"/>
    </font>
    <font>
      <sz val="9"/>
      <color theme="1"/>
      <name val="メイリオ"/>
      <family val="2"/>
      <charset val="128"/>
    </font>
    <font>
      <sz val="8"/>
      <color theme="1"/>
      <name val="メイリオ"/>
      <family val="3"/>
      <charset val="128"/>
    </font>
    <font>
      <sz val="6"/>
      <name val="メイリオ"/>
      <family val="2"/>
      <charset val="128"/>
    </font>
    <font>
      <b/>
      <sz val="14"/>
      <name val="メイリオ"/>
      <family val="3"/>
      <charset val="128"/>
    </font>
    <font>
      <sz val="14"/>
      <color theme="0"/>
      <name val="メイリオ"/>
      <family val="3"/>
      <charset val="128"/>
    </font>
    <font>
      <sz val="8"/>
      <color theme="0"/>
      <name val="メイリオ"/>
      <family val="3"/>
      <charset val="128"/>
    </font>
    <font>
      <b/>
      <sz val="16"/>
      <color rgb="FF0070C0"/>
      <name val="メイリオ"/>
      <family val="3"/>
      <charset val="128"/>
    </font>
    <font>
      <b/>
      <sz val="16"/>
      <color theme="1"/>
      <name val="メイリオ"/>
      <family val="3"/>
      <charset val="128"/>
    </font>
    <font>
      <b/>
      <sz val="12"/>
      <color rgb="FF0070C0"/>
      <name val="メイリオ"/>
      <family val="3"/>
      <charset val="128"/>
    </font>
    <font>
      <b/>
      <sz val="11"/>
      <name val="メイリオ"/>
      <family val="3"/>
      <charset val="128"/>
    </font>
    <font>
      <b/>
      <sz val="12"/>
      <color theme="1"/>
      <name val="メイリオ"/>
      <family val="3"/>
      <charset val="128"/>
    </font>
    <font>
      <b/>
      <sz val="8"/>
      <color theme="1"/>
      <name val="メイリオ"/>
      <family val="3"/>
      <charset val="128"/>
    </font>
    <font>
      <sz val="12"/>
      <color theme="1"/>
      <name val="メイリオ"/>
      <family val="3"/>
      <charset val="128"/>
    </font>
    <font>
      <sz val="12"/>
      <name val="メイリオ"/>
      <family val="3"/>
      <charset val="128"/>
    </font>
    <font>
      <b/>
      <sz val="12"/>
      <color theme="0"/>
      <name val="メイリオ"/>
      <family val="3"/>
      <charset val="128"/>
    </font>
    <font>
      <sz val="6"/>
      <name val="游ゴシック"/>
      <family val="2"/>
      <charset val="128"/>
      <scheme val="minor"/>
    </font>
    <font>
      <sz val="11"/>
      <color theme="1"/>
      <name val="游ゴシック"/>
      <family val="2"/>
      <charset val="128"/>
      <scheme val="minor"/>
    </font>
    <font>
      <sz val="12"/>
      <color theme="1"/>
      <name val="メイリオ"/>
      <family val="2"/>
      <charset val="128"/>
    </font>
    <font>
      <b/>
      <sz val="9"/>
      <name val="メイリオ"/>
      <family val="3"/>
      <charset val="128"/>
    </font>
    <font>
      <sz val="6"/>
      <name val="ＭＳ Ｐゴシック"/>
      <family val="3"/>
      <charset val="128"/>
    </font>
    <font>
      <b/>
      <sz val="9"/>
      <color theme="1"/>
      <name val="メイリオ"/>
      <family val="3"/>
      <charset val="128"/>
    </font>
    <font>
      <sz val="11"/>
      <name val="ＭＳ Ｐゴシック"/>
      <family val="3"/>
      <charset val="128"/>
    </font>
    <font>
      <sz val="12"/>
      <name val="ＭＳ Ｐゴシック"/>
      <family val="3"/>
      <charset val="128"/>
    </font>
    <font>
      <sz val="9"/>
      <name val="メイリオ"/>
      <family val="3"/>
      <charset val="128"/>
    </font>
    <font>
      <sz val="9"/>
      <color theme="1"/>
      <name val="メイリオ"/>
      <family val="3"/>
      <charset val="128"/>
    </font>
    <font>
      <b/>
      <sz val="9"/>
      <color rgb="FFFF0000"/>
      <name val="メイリオ"/>
      <family val="3"/>
      <charset val="128"/>
    </font>
    <font>
      <b/>
      <sz val="12"/>
      <name val="メイリオ"/>
      <family val="3"/>
      <charset val="128"/>
    </font>
    <font>
      <sz val="8"/>
      <color indexed="8"/>
      <name val="メイリオ"/>
      <family val="3"/>
      <charset val="128"/>
    </font>
    <font>
      <b/>
      <sz val="14"/>
      <color theme="1"/>
      <name val="メイリオ"/>
      <family val="3"/>
      <charset val="128"/>
    </font>
    <font>
      <sz val="14"/>
      <color theme="1"/>
      <name val="メイリオ"/>
      <family val="3"/>
      <charset val="128"/>
    </font>
    <font>
      <sz val="14"/>
      <color indexed="8"/>
      <name val="メイリオ"/>
      <family val="3"/>
      <charset val="128"/>
    </font>
    <font>
      <sz val="14"/>
      <color rgb="FF000000"/>
      <name val="メイリオ"/>
      <family val="3"/>
      <charset val="128"/>
    </font>
    <font>
      <sz val="6"/>
      <name val="ＭＳ 明朝"/>
      <family val="1"/>
      <charset val="128"/>
    </font>
    <font>
      <sz val="10"/>
      <name val="メイリオ"/>
      <family val="3"/>
      <charset val="128"/>
    </font>
    <font>
      <sz val="10"/>
      <color theme="1"/>
      <name val="メイリオ"/>
      <family val="3"/>
      <charset val="128"/>
    </font>
    <font>
      <b/>
      <sz val="10"/>
      <color theme="1"/>
      <name val="メイリオ"/>
      <family val="3"/>
      <charset val="128"/>
    </font>
    <font>
      <b/>
      <sz val="10"/>
      <name val="メイリオ"/>
      <family val="3"/>
      <charset val="128"/>
    </font>
    <font>
      <sz val="9"/>
      <color rgb="FF000000"/>
      <name val="メイリオ"/>
      <family val="3"/>
      <charset val="128"/>
    </font>
    <font>
      <b/>
      <sz val="9"/>
      <color theme="0"/>
      <name val="メイリオ"/>
      <family val="3"/>
      <charset val="128"/>
    </font>
    <font>
      <b/>
      <sz val="11"/>
      <color theme="1"/>
      <name val="メイリオ"/>
      <family val="3"/>
      <charset val="128"/>
    </font>
    <font>
      <sz val="11"/>
      <color theme="1"/>
      <name val="メイリオ"/>
      <family val="3"/>
      <charset val="128"/>
    </font>
    <font>
      <u val="double"/>
      <sz val="12"/>
      <color theme="1"/>
      <name val="メイリオ"/>
      <family val="3"/>
      <charset val="128"/>
    </font>
    <font>
      <b/>
      <i/>
      <sz val="9"/>
      <color theme="1"/>
      <name val="メイリオ"/>
      <family val="3"/>
      <charset val="128"/>
    </font>
    <font>
      <b/>
      <sz val="11"/>
      <color theme="0"/>
      <name val="メイリオ"/>
      <family val="3"/>
      <charset val="128"/>
    </font>
    <font>
      <sz val="10"/>
      <color indexed="8"/>
      <name val="メイリオ"/>
      <family val="3"/>
      <charset val="128"/>
    </font>
    <font>
      <sz val="9"/>
      <color rgb="FFFF0000"/>
      <name val="メイリオ"/>
      <family val="2"/>
      <charset val="128"/>
    </font>
    <font>
      <sz val="9"/>
      <color rgb="FFFF0000"/>
      <name val="メイリオ"/>
      <family val="3"/>
      <charset val="128"/>
    </font>
    <font>
      <u/>
      <sz val="9"/>
      <color theme="10"/>
      <name val="メイリオ"/>
      <family val="2"/>
      <charset val="128"/>
    </font>
    <font>
      <sz val="9"/>
      <color theme="4"/>
      <name val="メイリオ"/>
      <family val="3"/>
      <charset val="128"/>
    </font>
    <font>
      <sz val="11"/>
      <color theme="9"/>
      <name val="メイリオ"/>
      <family val="3"/>
      <charset val="128"/>
    </font>
    <font>
      <b/>
      <sz val="10"/>
      <color theme="0"/>
      <name val="メイリオ"/>
      <family val="3"/>
      <charset val="128"/>
    </font>
    <font>
      <sz val="12"/>
      <color indexed="8"/>
      <name val="メイリオ"/>
      <family val="3"/>
      <charset val="128"/>
    </font>
    <font>
      <sz val="9"/>
      <color rgb="FFFFC000"/>
      <name val="メイリオ"/>
      <family val="2"/>
      <charset val="128"/>
    </font>
  </fonts>
  <fills count="12">
    <fill>
      <patternFill patternType="none"/>
    </fill>
    <fill>
      <patternFill patternType="gray125"/>
    </fill>
    <fill>
      <patternFill patternType="solid">
        <fgColor rgb="FF0070C0"/>
        <bgColor indexed="64"/>
      </patternFill>
    </fill>
    <fill>
      <patternFill patternType="solid">
        <fgColor rgb="FFFFFF00"/>
        <bgColor indexed="64"/>
      </patternFill>
    </fill>
    <fill>
      <patternFill patternType="solid">
        <fgColor theme="9" tint="0.79998168889431442"/>
        <bgColor indexed="64"/>
      </patternFill>
    </fill>
    <fill>
      <patternFill patternType="solid">
        <fgColor rgb="FFE1F0FF"/>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7" tint="0.39997558519241921"/>
        <bgColor indexed="64"/>
      </patternFill>
    </fill>
  </fills>
  <borders count="71">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dotted">
        <color indexed="64"/>
      </left>
      <right style="dotted">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medium">
        <color indexed="64"/>
      </bottom>
      <diagonal/>
    </border>
    <border>
      <left/>
      <right style="medium">
        <color indexed="64"/>
      </right>
      <top/>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dotted">
        <color indexed="64"/>
      </right>
      <top style="thin">
        <color indexed="64"/>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diagonalDown="1">
      <left style="medium">
        <color indexed="64"/>
      </left>
      <right style="thin">
        <color indexed="64"/>
      </right>
      <top style="medium">
        <color indexed="64"/>
      </top>
      <bottom style="medium">
        <color indexed="64"/>
      </bottom>
      <diagonal style="thin">
        <color indexed="64"/>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right style="dotted">
        <color indexed="64"/>
      </right>
      <top style="medium">
        <color indexed="64"/>
      </top>
      <bottom style="thin">
        <color indexed="64"/>
      </bottom>
      <diagonal/>
    </border>
    <border>
      <left style="medium">
        <color indexed="64"/>
      </left>
      <right style="thin">
        <color indexed="64"/>
      </right>
      <top/>
      <bottom style="dotted">
        <color indexed="64"/>
      </bottom>
      <diagonal/>
    </border>
    <border>
      <left style="thin">
        <color indexed="64"/>
      </left>
      <right style="medium">
        <color indexed="64"/>
      </right>
      <top/>
      <bottom style="dotted">
        <color indexed="64"/>
      </bottom>
      <diagonal/>
    </border>
    <border>
      <left style="medium">
        <color indexed="64"/>
      </left>
      <right style="thin">
        <color indexed="64"/>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dotted">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dotted">
        <color indexed="64"/>
      </right>
      <top style="thin">
        <color indexed="64"/>
      </top>
      <bottom style="medium">
        <color indexed="64"/>
      </bottom>
      <diagonal/>
    </border>
    <border>
      <left style="dotted">
        <color indexed="64"/>
      </left>
      <right style="dotted">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dotted">
        <color indexed="64"/>
      </top>
      <bottom/>
      <diagonal/>
    </border>
    <border>
      <left style="thin">
        <color indexed="64"/>
      </left>
      <right/>
      <top style="thin">
        <color indexed="64"/>
      </top>
      <bottom style="thin">
        <color indexed="64"/>
      </bottom>
      <diagonal/>
    </border>
    <border>
      <left style="thin">
        <color indexed="64"/>
      </left>
      <right style="medium">
        <color indexed="64"/>
      </right>
      <top/>
      <bottom/>
      <diagonal/>
    </border>
    <border>
      <left style="medium">
        <color indexed="64"/>
      </left>
      <right/>
      <top/>
      <bottom/>
      <diagonal/>
    </border>
    <border>
      <left/>
      <right style="thin">
        <color theme="4" tint="0.39997558519241921"/>
      </right>
      <top style="thin">
        <color theme="4" tint="0.39997558519241921"/>
      </top>
      <bottom/>
      <diagonal/>
    </border>
    <border>
      <left/>
      <right/>
      <top style="thin">
        <color indexed="64"/>
      </top>
      <bottom style="double">
        <color indexed="64"/>
      </bottom>
      <diagonal/>
    </border>
    <border>
      <left/>
      <right/>
      <top style="thin">
        <color theme="4" tint="0.39997558519241921"/>
      </top>
      <bottom/>
      <diagonal/>
    </border>
    <border>
      <left/>
      <right style="thin">
        <color theme="4" tint="0.39997558519241921"/>
      </right>
      <top/>
      <bottom/>
      <diagonal/>
    </border>
    <border>
      <left/>
      <right/>
      <top style="thin">
        <color theme="4" tint="0.39997558519241921"/>
      </top>
      <bottom style="thin">
        <color theme="4" tint="0.39997558519241921"/>
      </bottom>
      <diagonal/>
    </border>
    <border>
      <left style="thin">
        <color auto="1"/>
      </left>
      <right style="dashed">
        <color auto="1"/>
      </right>
      <top style="thin">
        <color auto="1"/>
      </top>
      <bottom style="dashed">
        <color auto="1"/>
      </bottom>
      <diagonal/>
    </border>
    <border>
      <left style="dashed">
        <color auto="1"/>
      </left>
      <right style="dashed">
        <color auto="1"/>
      </right>
      <top style="thin">
        <color auto="1"/>
      </top>
      <bottom style="dashed">
        <color auto="1"/>
      </bottom>
      <diagonal/>
    </border>
    <border>
      <left style="thin">
        <color auto="1"/>
      </left>
      <right style="dashed">
        <color auto="1"/>
      </right>
      <top style="dashed">
        <color auto="1"/>
      </top>
      <bottom style="dashed">
        <color auto="1"/>
      </bottom>
      <diagonal/>
    </border>
    <border>
      <left style="dashed">
        <color auto="1"/>
      </left>
      <right style="dashed">
        <color auto="1"/>
      </right>
      <top style="dashed">
        <color auto="1"/>
      </top>
      <bottom style="dashed">
        <color auto="1"/>
      </bottom>
      <diagonal/>
    </border>
    <border>
      <left style="thin">
        <color auto="1"/>
      </left>
      <right style="dashed">
        <color auto="1"/>
      </right>
      <top style="dashed">
        <color auto="1"/>
      </top>
      <bottom style="thin">
        <color auto="1"/>
      </bottom>
      <diagonal/>
    </border>
    <border>
      <left style="dashed">
        <color auto="1"/>
      </left>
      <right style="dashed">
        <color auto="1"/>
      </right>
      <top style="dashed">
        <color auto="1"/>
      </top>
      <bottom style="thin">
        <color auto="1"/>
      </bottom>
      <diagonal/>
    </border>
    <border>
      <left style="thin">
        <color indexed="64"/>
      </left>
      <right/>
      <top/>
      <bottom style="dotted">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14">
    <xf numFmtId="0" fontId="0" fillId="0" borderId="0">
      <alignment vertical="center"/>
    </xf>
    <xf numFmtId="38" fontId="5" fillId="0" borderId="0" applyFont="0" applyFill="0" applyBorder="0" applyAlignment="0" applyProtection="0">
      <alignment vertical="center"/>
    </xf>
    <xf numFmtId="9" fontId="5" fillId="0" borderId="0" applyFont="0" applyFill="0" applyBorder="0" applyAlignment="0" applyProtection="0">
      <alignment vertical="center"/>
    </xf>
    <xf numFmtId="0" fontId="2" fillId="0" borderId="0">
      <alignment vertical="center"/>
    </xf>
    <xf numFmtId="38" fontId="21" fillId="0" borderId="0" applyFont="0" applyFill="0" applyBorder="0" applyAlignment="0" applyProtection="0">
      <alignment vertical="center"/>
    </xf>
    <xf numFmtId="0" fontId="21" fillId="0" borderId="0">
      <alignment vertical="center"/>
    </xf>
    <xf numFmtId="38" fontId="22" fillId="0" borderId="0" applyFont="0" applyFill="0" applyBorder="0" applyAlignment="0" applyProtection="0">
      <alignment vertical="center"/>
    </xf>
    <xf numFmtId="9" fontId="22" fillId="0" borderId="0" applyFont="0" applyFill="0" applyBorder="0" applyAlignment="0" applyProtection="0">
      <alignment vertical="center"/>
    </xf>
    <xf numFmtId="38" fontId="26" fillId="0" borderId="0" applyFont="0" applyFill="0" applyBorder="0" applyAlignment="0" applyProtection="0">
      <alignment vertical="center"/>
    </xf>
    <xf numFmtId="9" fontId="26" fillId="0" borderId="0" applyFont="0" applyFill="0" applyBorder="0" applyAlignment="0" applyProtection="0">
      <alignment vertical="center"/>
    </xf>
    <xf numFmtId="9" fontId="21" fillId="0" borderId="0" applyFont="0" applyFill="0" applyBorder="0" applyAlignment="0" applyProtection="0">
      <alignment vertical="center"/>
    </xf>
    <xf numFmtId="9" fontId="2" fillId="0" borderId="0" applyFont="0" applyFill="0" applyBorder="0" applyAlignment="0" applyProtection="0">
      <alignment vertical="center"/>
    </xf>
    <xf numFmtId="0" fontId="52" fillId="0" borderId="0" applyNumberFormat="0" applyFill="0" applyBorder="0" applyAlignment="0" applyProtection="0">
      <alignment vertical="center"/>
    </xf>
    <xf numFmtId="38" fontId="5" fillId="0" borderId="0" applyFont="0" applyFill="0" applyBorder="0" applyAlignment="0" applyProtection="0">
      <alignment vertical="center"/>
    </xf>
  </cellStyleXfs>
  <cellXfs count="315">
    <xf numFmtId="0" fontId="0" fillId="0" borderId="0" xfId="0">
      <alignment vertical="center"/>
    </xf>
    <xf numFmtId="38" fontId="6" fillId="0" borderId="0" xfId="1" applyFont="1" applyAlignment="1">
      <alignment vertical="center" shrinkToFit="1"/>
    </xf>
    <xf numFmtId="38" fontId="6" fillId="0" borderId="0" xfId="1" applyFont="1" applyAlignment="1">
      <alignment shrinkToFit="1"/>
    </xf>
    <xf numFmtId="38" fontId="8" fillId="0" borderId="0" xfId="1" applyFont="1" applyAlignment="1">
      <alignment horizontal="left" vertical="top"/>
    </xf>
    <xf numFmtId="38" fontId="9" fillId="0" borderId="0" xfId="1" applyFont="1" applyAlignment="1">
      <alignment horizontal="center" vertical="center" shrinkToFit="1"/>
    </xf>
    <xf numFmtId="38" fontId="10" fillId="0" borderId="0" xfId="1" applyFont="1" applyAlignment="1">
      <alignment horizontal="center" vertical="center" shrinkToFit="1"/>
    </xf>
    <xf numFmtId="38" fontId="11" fillId="0" borderId="0" xfId="1" applyFont="1" applyAlignment="1">
      <alignment horizontal="center" vertical="top" shrinkToFit="1"/>
    </xf>
    <xf numFmtId="38" fontId="12" fillId="0" borderId="0" xfId="1" applyFont="1" applyAlignment="1">
      <alignment horizontal="center" vertical="top" shrinkToFit="1"/>
    </xf>
    <xf numFmtId="38" fontId="6" fillId="0" borderId="0" xfId="1" applyFont="1" applyAlignment="1">
      <alignment horizontal="center" vertical="center" shrinkToFit="1"/>
    </xf>
    <xf numFmtId="38" fontId="11" fillId="0" borderId="0" xfId="1" applyFont="1" applyAlignment="1">
      <alignment horizontal="right" vertical="top" shrinkToFit="1"/>
    </xf>
    <xf numFmtId="38" fontId="13" fillId="0" borderId="0" xfId="1" applyFont="1" applyAlignment="1">
      <alignment horizontal="center" shrinkToFit="1"/>
    </xf>
    <xf numFmtId="38" fontId="14" fillId="0" borderId="0" xfId="1" applyFont="1" applyAlignment="1">
      <alignment horizontal="center" vertical="center" shrinkToFit="1"/>
    </xf>
    <xf numFmtId="38" fontId="6" fillId="0" borderId="0" xfId="1" applyFont="1" applyAlignment="1" applyProtection="1">
      <alignment vertical="center" shrinkToFit="1"/>
      <protection locked="0"/>
    </xf>
    <xf numFmtId="38" fontId="15" fillId="0" borderId="0" xfId="1" applyFont="1" applyAlignment="1">
      <alignment shrinkToFit="1"/>
    </xf>
    <xf numFmtId="38" fontId="17" fillId="0" borderId="0" xfId="1" applyFont="1" applyAlignment="1">
      <alignment vertical="center" shrinkToFit="1"/>
    </xf>
    <xf numFmtId="38" fontId="17" fillId="0" borderId="0" xfId="1" applyFont="1">
      <alignment vertical="center"/>
    </xf>
    <xf numFmtId="38" fontId="15" fillId="0" borderId="0" xfId="1" applyFont="1" applyAlignment="1">
      <alignment vertical="center" shrinkToFit="1"/>
    </xf>
    <xf numFmtId="38" fontId="15" fillId="0" borderId="0" xfId="1" applyFont="1">
      <alignment vertical="center"/>
    </xf>
    <xf numFmtId="38" fontId="6" fillId="0" borderId="0" xfId="1" applyFont="1">
      <alignment vertical="center"/>
    </xf>
    <xf numFmtId="176" fontId="15" fillId="0" borderId="0" xfId="1" applyNumberFormat="1" applyFont="1" applyAlignment="1">
      <alignment horizontal="center" shrinkToFit="1"/>
    </xf>
    <xf numFmtId="38" fontId="15" fillId="0" borderId="0" xfId="1" applyFont="1" applyAlignment="1">
      <alignment horizontal="centerContinuous" vertical="center" shrinkToFit="1"/>
    </xf>
    <xf numFmtId="38" fontId="17" fillId="0" borderId="0" xfId="1" applyFont="1" applyAlignment="1">
      <alignment horizontal="centerContinuous" vertical="center" shrinkToFit="1"/>
    </xf>
    <xf numFmtId="38" fontId="22" fillId="0" borderId="0" xfId="8" applyFont="1">
      <alignment vertical="center"/>
    </xf>
    <xf numFmtId="38" fontId="28" fillId="0" borderId="24" xfId="4" applyFont="1" applyBorder="1" applyAlignment="1">
      <alignment vertical="center" shrinkToFit="1"/>
    </xf>
    <xf numFmtId="38" fontId="28" fillId="0" borderId="15" xfId="4" applyFont="1" applyBorder="1" applyAlignment="1">
      <alignment vertical="center" shrinkToFit="1"/>
    </xf>
    <xf numFmtId="38" fontId="29" fillId="0" borderId="25" xfId="4" applyFont="1" applyBorder="1" applyAlignment="1">
      <alignment vertical="center" shrinkToFit="1"/>
    </xf>
    <xf numFmtId="38" fontId="17" fillId="0" borderId="23" xfId="1" applyFont="1" applyBorder="1" applyAlignment="1" applyProtection="1">
      <alignment vertical="center" shrinkToFit="1"/>
      <protection locked="0"/>
    </xf>
    <xf numFmtId="38" fontId="28" fillId="0" borderId="26" xfId="4" applyFont="1" applyBorder="1" applyAlignment="1">
      <alignment vertical="center" shrinkToFit="1"/>
    </xf>
    <xf numFmtId="38" fontId="17" fillId="0" borderId="27" xfId="1" applyFont="1" applyBorder="1" applyAlignment="1" applyProtection="1">
      <alignment vertical="center" shrinkToFit="1"/>
      <protection locked="0"/>
    </xf>
    <xf numFmtId="38" fontId="29" fillId="6" borderId="0" xfId="5" applyNumberFormat="1" applyFont="1" applyFill="1" applyAlignment="1">
      <alignment vertical="center" shrinkToFit="1"/>
    </xf>
    <xf numFmtId="38" fontId="17" fillId="0" borderId="28" xfId="1" applyFont="1" applyBorder="1" applyAlignment="1" applyProtection="1">
      <alignment vertical="center" shrinkToFit="1"/>
      <protection locked="0"/>
    </xf>
    <xf numFmtId="38" fontId="28" fillId="6" borderId="15" xfId="4" applyFont="1" applyFill="1" applyBorder="1" applyAlignment="1">
      <alignment vertical="center" shrinkToFit="1"/>
    </xf>
    <xf numFmtId="38" fontId="17" fillId="0" borderId="28" xfId="1" applyFont="1" applyBorder="1" applyAlignment="1">
      <alignment vertical="center" shrinkToFit="1"/>
    </xf>
    <xf numFmtId="38" fontId="29" fillId="0" borderId="26" xfId="4" applyFont="1" applyBorder="1" applyAlignment="1">
      <alignment vertical="center" shrinkToFit="1"/>
    </xf>
    <xf numFmtId="38" fontId="29" fillId="0" borderId="15" xfId="4" applyFont="1" applyBorder="1" applyAlignment="1">
      <alignment vertical="center" shrinkToFit="1"/>
    </xf>
    <xf numFmtId="38" fontId="23" fillId="0" borderId="29" xfId="4" applyFont="1" applyBorder="1" applyAlignment="1">
      <alignment vertical="center" shrinkToFit="1"/>
    </xf>
    <xf numFmtId="38" fontId="23" fillId="0" borderId="21" xfId="4" applyFont="1" applyBorder="1" applyAlignment="1">
      <alignment vertical="center" shrinkToFit="1"/>
    </xf>
    <xf numFmtId="38" fontId="23" fillId="3" borderId="22" xfId="4" applyFont="1" applyFill="1" applyBorder="1" applyAlignment="1">
      <alignment vertical="center" shrinkToFit="1"/>
    </xf>
    <xf numFmtId="38" fontId="15" fillId="5" borderId="28" xfId="1" applyFont="1" applyFill="1" applyBorder="1" applyAlignment="1">
      <alignment vertical="center" shrinkToFit="1"/>
    </xf>
    <xf numFmtId="38" fontId="28" fillId="0" borderId="14" xfId="4" applyFont="1" applyBorder="1" applyAlignment="1">
      <alignment vertical="center" shrinkToFit="1"/>
    </xf>
    <xf numFmtId="10" fontId="28" fillId="0" borderId="30" xfId="10" applyNumberFormat="1" applyFont="1" applyBorder="1" applyAlignment="1">
      <alignment vertical="center" shrinkToFit="1"/>
    </xf>
    <xf numFmtId="38" fontId="30" fillId="0" borderId="16" xfId="4" applyFont="1" applyBorder="1" applyAlignment="1">
      <alignment vertical="center" shrinkToFit="1"/>
    </xf>
    <xf numFmtId="38" fontId="29" fillId="0" borderId="0" xfId="4" applyFont="1" applyAlignment="1">
      <alignment vertical="center" shrinkToFit="1"/>
    </xf>
    <xf numFmtId="38" fontId="28" fillId="0" borderId="0" xfId="4" applyFont="1" applyAlignment="1">
      <alignment vertical="center" shrinkToFit="1"/>
    </xf>
    <xf numFmtId="38" fontId="30" fillId="0" borderId="0" xfId="4" applyFont="1" applyAlignment="1">
      <alignment vertical="center" shrinkToFit="1"/>
    </xf>
    <xf numFmtId="38" fontId="28" fillId="0" borderId="31" xfId="4" applyFont="1" applyBorder="1" applyAlignment="1">
      <alignment vertical="center" shrinkToFit="1"/>
    </xf>
    <xf numFmtId="10" fontId="28" fillId="6" borderId="32" xfId="10" applyNumberFormat="1" applyFont="1" applyFill="1" applyBorder="1" applyAlignment="1" applyProtection="1">
      <alignment vertical="center" shrinkToFit="1"/>
      <protection locked="0"/>
    </xf>
    <xf numFmtId="38" fontId="29" fillId="0" borderId="33" xfId="4" applyFont="1" applyBorder="1" applyAlignment="1">
      <alignment vertical="center" shrinkToFit="1"/>
    </xf>
    <xf numFmtId="177" fontId="29" fillId="6" borderId="30" xfId="11" applyNumberFormat="1" applyFont="1" applyFill="1" applyBorder="1" applyAlignment="1" applyProtection="1">
      <alignment vertical="center" shrinkToFit="1"/>
      <protection locked="0"/>
    </xf>
    <xf numFmtId="38" fontId="28" fillId="0" borderId="18" xfId="4" applyFont="1" applyBorder="1" applyAlignment="1">
      <alignment vertical="center" shrinkToFit="1"/>
    </xf>
    <xf numFmtId="10" fontId="28" fillId="6" borderId="19" xfId="10" applyNumberFormat="1" applyFont="1" applyFill="1" applyBorder="1" applyAlignment="1" applyProtection="1">
      <alignment vertical="center" shrinkToFit="1"/>
      <protection locked="0"/>
    </xf>
    <xf numFmtId="0" fontId="29" fillId="0" borderId="0" xfId="5" applyFont="1" applyAlignment="1">
      <alignment vertical="center" shrinkToFit="1"/>
    </xf>
    <xf numFmtId="38" fontId="15" fillId="4" borderId="28" xfId="1" applyFont="1" applyFill="1" applyBorder="1" applyAlignment="1">
      <alignment vertical="center" shrinkToFit="1"/>
    </xf>
    <xf numFmtId="38" fontId="17" fillId="0" borderId="8" xfId="1" applyFont="1" applyBorder="1" applyAlignment="1">
      <alignment vertical="center" shrinkToFit="1"/>
    </xf>
    <xf numFmtId="38" fontId="15" fillId="0" borderId="0" xfId="1" applyFont="1" applyAlignment="1">
      <alignment horizontal="center" vertical="center" shrinkToFit="1"/>
    </xf>
    <xf numFmtId="38" fontId="28" fillId="0" borderId="17" xfId="4" applyFont="1" applyBorder="1" applyAlignment="1">
      <alignment vertical="center" shrinkToFit="1"/>
    </xf>
    <xf numFmtId="10" fontId="28" fillId="6" borderId="13" xfId="10" applyNumberFormat="1" applyFont="1" applyFill="1" applyBorder="1" applyAlignment="1" applyProtection="1">
      <alignment vertical="center" shrinkToFit="1"/>
      <protection locked="0"/>
    </xf>
    <xf numFmtId="38" fontId="15" fillId="0" borderId="0" xfId="1" applyFont="1" applyAlignment="1">
      <alignment horizontal="center" vertical="center"/>
    </xf>
    <xf numFmtId="38" fontId="28" fillId="0" borderId="34" xfId="4" applyFont="1" applyBorder="1" applyAlignment="1">
      <alignment vertical="center" shrinkToFit="1"/>
    </xf>
    <xf numFmtId="10" fontId="28" fillId="6" borderId="35" xfId="10" applyNumberFormat="1" applyFont="1" applyFill="1" applyBorder="1" applyAlignment="1" applyProtection="1">
      <alignment vertical="center" shrinkToFit="1"/>
      <protection locked="0"/>
    </xf>
    <xf numFmtId="38" fontId="28" fillId="6" borderId="13" xfId="4" applyFont="1" applyFill="1" applyBorder="1" applyAlignment="1" applyProtection="1">
      <alignment vertical="center" shrinkToFit="1"/>
      <protection locked="0"/>
    </xf>
    <xf numFmtId="38" fontId="28" fillId="6" borderId="36" xfId="4" applyFont="1" applyFill="1" applyBorder="1" applyAlignment="1" applyProtection="1">
      <alignment vertical="center" shrinkToFit="1"/>
      <protection locked="0"/>
    </xf>
    <xf numFmtId="38" fontId="25" fillId="0" borderId="0" xfId="4" applyFont="1" applyAlignment="1">
      <alignment horizontal="center" vertical="center" shrinkToFit="1"/>
    </xf>
    <xf numFmtId="38" fontId="29" fillId="0" borderId="10" xfId="4" applyFont="1" applyBorder="1" applyProtection="1">
      <alignment vertical="center"/>
      <protection locked="0" hidden="1"/>
    </xf>
    <xf numFmtId="38" fontId="29" fillId="0" borderId="6" xfId="4" applyFont="1" applyBorder="1" applyProtection="1">
      <alignment vertical="center"/>
      <protection locked="0" hidden="1"/>
    </xf>
    <xf numFmtId="38" fontId="29" fillId="0" borderId="6" xfId="8" applyFont="1" applyBorder="1" applyProtection="1">
      <alignment vertical="center"/>
      <protection locked="0" hidden="1"/>
    </xf>
    <xf numFmtId="38" fontId="29" fillId="0" borderId="5" xfId="4" applyFont="1" applyBorder="1" applyProtection="1">
      <alignment vertical="center"/>
      <protection locked="0" hidden="1"/>
    </xf>
    <xf numFmtId="38" fontId="29" fillId="0" borderId="11" xfId="4" applyFont="1" applyBorder="1" applyProtection="1">
      <alignment vertical="center"/>
      <protection locked="0" hidden="1"/>
    </xf>
    <xf numFmtId="38" fontId="29" fillId="0" borderId="0" xfId="4" applyFont="1" applyProtection="1">
      <alignment vertical="center"/>
      <protection locked="0" hidden="1"/>
    </xf>
    <xf numFmtId="38" fontId="29" fillId="0" borderId="0" xfId="8" applyFont="1" applyProtection="1">
      <alignment vertical="center"/>
      <protection locked="0" hidden="1"/>
    </xf>
    <xf numFmtId="38" fontId="29" fillId="0" borderId="7" xfId="4" applyFont="1" applyBorder="1" applyProtection="1">
      <alignment vertical="center"/>
      <protection locked="0" hidden="1"/>
    </xf>
    <xf numFmtId="10" fontId="29" fillId="0" borderId="0" xfId="10" applyNumberFormat="1" applyFont="1" applyProtection="1">
      <alignment vertical="center"/>
      <protection locked="0" hidden="1"/>
    </xf>
    <xf numFmtId="38" fontId="31" fillId="0" borderId="0" xfId="1" applyFont="1">
      <alignment vertical="center"/>
    </xf>
    <xf numFmtId="38" fontId="19" fillId="0" borderId="0" xfId="1" applyFont="1">
      <alignment vertical="center"/>
    </xf>
    <xf numFmtId="38" fontId="16" fillId="0" borderId="0" xfId="1" applyFont="1">
      <alignment vertical="center"/>
    </xf>
    <xf numFmtId="38" fontId="25" fillId="0" borderId="0" xfId="1" applyFont="1" applyAlignment="1">
      <alignment horizontal="center" vertical="center" shrinkToFit="1"/>
    </xf>
    <xf numFmtId="38" fontId="32" fillId="0" borderId="0" xfId="1" applyFont="1" applyAlignment="1">
      <alignment vertical="center" shrinkToFit="1"/>
    </xf>
    <xf numFmtId="38" fontId="33" fillId="0" borderId="0" xfId="1" applyFont="1" applyAlignment="1">
      <alignment vertical="center" shrinkToFit="1"/>
    </xf>
    <xf numFmtId="176" fontId="15" fillId="0" borderId="0" xfId="1" applyNumberFormat="1" applyFont="1" applyAlignment="1">
      <alignment horizontal="left"/>
    </xf>
    <xf numFmtId="38" fontId="32" fillId="0" borderId="0" xfId="1" applyFont="1" applyAlignment="1">
      <alignment horizontal="left" vertical="center" shrinkToFit="1"/>
    </xf>
    <xf numFmtId="38" fontId="17" fillId="0" borderId="0" xfId="1" applyFont="1" applyAlignment="1">
      <alignment horizontal="center" vertical="center" shrinkToFit="1"/>
    </xf>
    <xf numFmtId="38" fontId="31" fillId="0" borderId="0" xfId="1" applyFont="1" applyAlignment="1">
      <alignment vertical="center" shrinkToFit="1"/>
    </xf>
    <xf numFmtId="38" fontId="17" fillId="0" borderId="0" xfId="1" quotePrefix="1" applyFont="1" applyAlignment="1">
      <alignment horizontal="center" vertical="center" shrinkToFit="1"/>
    </xf>
    <xf numFmtId="38" fontId="15" fillId="0" borderId="0" xfId="1" quotePrefix="1" applyFont="1" applyAlignment="1">
      <alignment horizontal="center" vertical="center" shrinkToFit="1"/>
    </xf>
    <xf numFmtId="38" fontId="33" fillId="0" borderId="0" xfId="1" applyFont="1" applyAlignment="1">
      <alignment horizontal="left" vertical="center"/>
    </xf>
    <xf numFmtId="38" fontId="17" fillId="0" borderId="37" xfId="1" applyFont="1" applyBorder="1" applyAlignment="1" applyProtection="1">
      <alignment horizontal="center" vertical="center" shrinkToFit="1"/>
      <protection locked="0"/>
    </xf>
    <xf numFmtId="38" fontId="15" fillId="5" borderId="32" xfId="1" applyFont="1" applyFill="1" applyBorder="1" applyAlignment="1">
      <alignment horizontal="center" vertical="center" shrinkToFit="1"/>
    </xf>
    <xf numFmtId="38" fontId="15" fillId="0" borderId="13" xfId="1" applyFont="1" applyBorder="1" applyAlignment="1">
      <alignment vertical="center" shrinkToFit="1"/>
    </xf>
    <xf numFmtId="38" fontId="17" fillId="0" borderId="38" xfId="1" applyFont="1" applyBorder="1" applyAlignment="1">
      <alignment vertical="center" shrinkToFit="1"/>
    </xf>
    <xf numFmtId="38" fontId="15" fillId="0" borderId="39" xfId="1" applyFont="1" applyBorder="1" applyAlignment="1">
      <alignment vertical="center" shrinkToFit="1"/>
    </xf>
    <xf numFmtId="38" fontId="17" fillId="0" borderId="40" xfId="1" applyFont="1" applyBorder="1" applyAlignment="1">
      <alignment vertical="center" shrinkToFit="1"/>
    </xf>
    <xf numFmtId="38" fontId="15" fillId="5" borderId="40" xfId="1" applyFont="1" applyFill="1" applyBorder="1" applyAlignment="1">
      <alignment vertical="center" shrinkToFit="1"/>
    </xf>
    <xf numFmtId="38" fontId="15" fillId="4" borderId="40" xfId="1" applyFont="1" applyFill="1" applyBorder="1" applyAlignment="1">
      <alignment vertical="center" shrinkToFit="1"/>
    </xf>
    <xf numFmtId="38" fontId="15" fillId="4" borderId="41" xfId="1" applyFont="1" applyFill="1" applyBorder="1" applyAlignment="1">
      <alignment vertical="center" shrinkToFit="1"/>
    </xf>
    <xf numFmtId="38" fontId="15" fillId="0" borderId="42" xfId="1" applyFont="1" applyBorder="1" applyAlignment="1">
      <alignment vertical="center" shrinkToFit="1"/>
    </xf>
    <xf numFmtId="38" fontId="15" fillId="0" borderId="43" xfId="1" applyFont="1" applyBorder="1" applyAlignment="1">
      <alignment vertical="center" shrinkToFit="1"/>
    </xf>
    <xf numFmtId="38" fontId="15" fillId="0" borderId="44" xfId="1" applyFont="1" applyBorder="1" applyAlignment="1">
      <alignment vertical="center" shrinkToFit="1"/>
    </xf>
    <xf numFmtId="38" fontId="17" fillId="0" borderId="45" xfId="1" applyFont="1" applyBorder="1" applyAlignment="1">
      <alignment vertical="center" shrinkToFit="1"/>
    </xf>
    <xf numFmtId="38" fontId="15" fillId="0" borderId="46" xfId="1" applyFont="1" applyBorder="1" applyAlignment="1">
      <alignment vertical="center" shrinkToFit="1"/>
    </xf>
    <xf numFmtId="38" fontId="17" fillId="0" borderId="31" xfId="1" applyFont="1" applyBorder="1" applyAlignment="1">
      <alignment horizontal="right" vertical="center" shrinkToFit="1"/>
    </xf>
    <xf numFmtId="38" fontId="17" fillId="0" borderId="37" xfId="1" applyFont="1" applyBorder="1" applyAlignment="1">
      <alignment vertical="center" shrinkToFit="1"/>
    </xf>
    <xf numFmtId="38" fontId="17" fillId="0" borderId="17" xfId="1" applyFont="1" applyBorder="1" applyAlignment="1">
      <alignment horizontal="right" vertical="center" shrinkToFit="1"/>
    </xf>
    <xf numFmtId="38" fontId="17" fillId="0" borderId="47" xfId="1" applyFont="1" applyBorder="1" applyAlignment="1">
      <alignment vertical="center" shrinkToFit="1"/>
    </xf>
    <xf numFmtId="38" fontId="17" fillId="0" borderId="26" xfId="1" applyFont="1" applyBorder="1" applyAlignment="1">
      <alignment vertical="center" shrinkToFit="1"/>
    </xf>
    <xf numFmtId="38" fontId="15" fillId="0" borderId="40" xfId="1" applyFont="1" applyBorder="1" applyAlignment="1">
      <alignment vertical="center" shrinkToFit="1"/>
    </xf>
    <xf numFmtId="38" fontId="25" fillId="0" borderId="22" xfId="4" applyFont="1" applyBorder="1" applyAlignment="1">
      <alignment vertical="center" shrinkToFit="1"/>
    </xf>
    <xf numFmtId="38" fontId="35" fillId="0" borderId="0" xfId="1" applyFont="1" applyAlignment="1">
      <alignment vertical="center" shrinkToFit="1"/>
    </xf>
    <xf numFmtId="38" fontId="34" fillId="0" borderId="0" xfId="1" applyFont="1" applyAlignment="1">
      <alignment vertical="center" shrinkToFit="1"/>
    </xf>
    <xf numFmtId="0" fontId="38" fillId="0" borderId="1" xfId="0" applyFont="1" applyBorder="1" applyAlignment="1"/>
    <xf numFmtId="0" fontId="38" fillId="0" borderId="0" xfId="0" applyFont="1" applyAlignment="1"/>
    <xf numFmtId="0" fontId="39" fillId="0" borderId="0" xfId="0" applyFont="1">
      <alignment vertical="center"/>
    </xf>
    <xf numFmtId="0" fontId="38" fillId="0" borderId="11" xfId="0" applyFont="1" applyBorder="1" applyAlignment="1">
      <alignment horizontal="center"/>
    </xf>
    <xf numFmtId="0" fontId="38" fillId="0" borderId="11" xfId="0" applyFont="1" applyBorder="1" applyAlignment="1">
      <alignment horizontal="center" vertical="center"/>
    </xf>
    <xf numFmtId="0" fontId="38" fillId="0" borderId="11" xfId="0" applyFont="1" applyBorder="1" applyAlignment="1">
      <alignment horizontal="center" vertical="center" shrinkToFit="1"/>
    </xf>
    <xf numFmtId="0" fontId="38" fillId="0" borderId="12" xfId="0" applyFont="1" applyBorder="1" applyAlignment="1"/>
    <xf numFmtId="0" fontId="38" fillId="0" borderId="0" xfId="0" quotePrefix="1" applyFont="1" applyAlignment="1"/>
    <xf numFmtId="0" fontId="39" fillId="0" borderId="0" xfId="0" applyFont="1" applyAlignment="1"/>
    <xf numFmtId="0" fontId="38" fillId="7" borderId="12" xfId="0" applyFont="1" applyFill="1" applyBorder="1" applyAlignment="1">
      <alignment horizontal="left"/>
    </xf>
    <xf numFmtId="0" fontId="38" fillId="7" borderId="1" xfId="0" applyFont="1" applyFill="1" applyBorder="1" applyAlignment="1"/>
    <xf numFmtId="0" fontId="38" fillId="7" borderId="12" xfId="0" applyFont="1" applyFill="1" applyBorder="1" applyAlignment="1">
      <alignment horizontal="center"/>
    </xf>
    <xf numFmtId="0" fontId="38" fillId="7" borderId="48" xfId="0" applyFont="1" applyFill="1" applyBorder="1" applyAlignment="1">
      <alignment horizontal="left"/>
    </xf>
    <xf numFmtId="0" fontId="38" fillId="7" borderId="3" xfId="0" applyFont="1" applyFill="1" applyBorder="1" applyAlignment="1"/>
    <xf numFmtId="38" fontId="15" fillId="8" borderId="40" xfId="1" applyFont="1" applyFill="1" applyBorder="1" applyAlignment="1">
      <alignment vertical="center" shrinkToFit="1"/>
    </xf>
    <xf numFmtId="38" fontId="15" fillId="8" borderId="28" xfId="1" applyFont="1" applyFill="1" applyBorder="1" applyAlignment="1">
      <alignment vertical="center" shrinkToFit="1"/>
    </xf>
    <xf numFmtId="38" fontId="15" fillId="8" borderId="41" xfId="1" applyFont="1" applyFill="1" applyBorder="1" applyAlignment="1">
      <alignment vertical="center" shrinkToFit="1"/>
    </xf>
    <xf numFmtId="38" fontId="34" fillId="0" borderId="0" xfId="1" applyFont="1" applyAlignment="1" applyProtection="1">
      <alignment vertical="center" shrinkToFit="1"/>
      <protection locked="0"/>
    </xf>
    <xf numFmtId="10" fontId="28" fillId="6" borderId="49" xfId="10" applyNumberFormat="1" applyFont="1" applyFill="1" applyBorder="1" applyAlignment="1" applyProtection="1">
      <alignment vertical="center" shrinkToFit="1"/>
      <protection locked="0"/>
    </xf>
    <xf numFmtId="177" fontId="29" fillId="6" borderId="0" xfId="11" applyNumberFormat="1" applyFont="1" applyFill="1" applyAlignment="1" applyProtection="1">
      <alignment vertical="center" shrinkToFit="1"/>
      <protection locked="0"/>
    </xf>
    <xf numFmtId="38" fontId="6" fillId="3" borderId="0" xfId="1" applyFont="1" applyFill="1" applyAlignment="1">
      <alignment vertical="center" shrinkToFit="1"/>
    </xf>
    <xf numFmtId="38" fontId="0" fillId="0" borderId="0" xfId="1" applyFont="1" applyAlignment="1">
      <alignment horizontal="center" vertical="center"/>
    </xf>
    <xf numFmtId="0" fontId="25" fillId="0" borderId="0" xfId="0" applyFont="1">
      <alignment vertical="center"/>
    </xf>
    <xf numFmtId="38" fontId="0" fillId="0" borderId="0" xfId="1" applyFont="1" applyFill="1" applyBorder="1" applyAlignment="1">
      <alignment horizontal="right" vertical="center"/>
    </xf>
    <xf numFmtId="38" fontId="25" fillId="0" borderId="0" xfId="0" applyNumberFormat="1" applyFont="1">
      <alignment vertical="center"/>
    </xf>
    <xf numFmtId="37" fontId="25" fillId="0" borderId="0" xfId="0" applyNumberFormat="1" applyFont="1">
      <alignment vertical="center"/>
    </xf>
    <xf numFmtId="0" fontId="44" fillId="0" borderId="0" xfId="0" applyFont="1">
      <alignment vertical="center"/>
    </xf>
    <xf numFmtId="38" fontId="17" fillId="0" borderId="0" xfId="1" applyFont="1" applyAlignment="1">
      <alignment vertical="top" shrinkToFit="1"/>
    </xf>
    <xf numFmtId="38" fontId="17" fillId="0" borderId="0" xfId="1" applyFont="1" applyAlignment="1">
      <alignment vertical="top" wrapText="1"/>
    </xf>
    <xf numFmtId="38" fontId="39" fillId="0" borderId="0" xfId="1" applyFont="1" applyAlignment="1">
      <alignment vertical="center" shrinkToFit="1"/>
    </xf>
    <xf numFmtId="38" fontId="6" fillId="0" borderId="0" xfId="1" applyFont="1" applyAlignment="1">
      <alignment vertical="center"/>
    </xf>
    <xf numFmtId="38" fontId="17" fillId="0" borderId="0" xfId="1" applyFont="1" applyAlignment="1">
      <alignment vertical="center"/>
    </xf>
    <xf numFmtId="38" fontId="45" fillId="0" borderId="0" xfId="1" applyFont="1" applyAlignment="1">
      <alignment vertical="center"/>
    </xf>
    <xf numFmtId="38" fontId="17" fillId="0" borderId="0" xfId="1" applyFont="1" applyAlignment="1">
      <alignment horizontal="center" vertical="center"/>
    </xf>
    <xf numFmtId="38" fontId="46" fillId="0" borderId="0" xfId="1" applyFont="1" applyAlignment="1">
      <alignment vertical="center"/>
    </xf>
    <xf numFmtId="9" fontId="17" fillId="0" borderId="0" xfId="2" applyFont="1" applyAlignment="1">
      <alignment vertical="center"/>
    </xf>
    <xf numFmtId="38" fontId="17" fillId="0" borderId="0" xfId="1" applyFont="1" applyAlignment="1" applyProtection="1">
      <alignment vertical="center" shrinkToFit="1"/>
    </xf>
    <xf numFmtId="38" fontId="45" fillId="0" borderId="0" xfId="1" applyFont="1" applyAlignment="1">
      <alignment vertical="center" shrinkToFit="1"/>
    </xf>
    <xf numFmtId="38" fontId="44" fillId="0" borderId="0" xfId="1" applyFont="1">
      <alignment vertical="center"/>
    </xf>
    <xf numFmtId="38" fontId="45" fillId="0" borderId="0" xfId="1" applyFont="1">
      <alignment vertical="center"/>
    </xf>
    <xf numFmtId="38" fontId="44" fillId="0" borderId="0" xfId="1" applyFont="1" applyAlignment="1">
      <alignment horizontal="center" vertical="center" shrinkToFit="1"/>
    </xf>
    <xf numFmtId="38" fontId="45" fillId="0" borderId="11" xfId="4" applyFont="1" applyBorder="1" applyProtection="1">
      <alignment vertical="center"/>
      <protection locked="0" hidden="1"/>
    </xf>
    <xf numFmtId="38" fontId="45" fillId="0" borderId="0" xfId="4" applyFont="1" applyProtection="1">
      <alignment vertical="center"/>
      <protection locked="0" hidden="1"/>
    </xf>
    <xf numFmtId="10" fontId="45" fillId="0" borderId="0" xfId="10" applyNumberFormat="1" applyFont="1" applyProtection="1">
      <alignment vertical="center"/>
      <protection locked="0" hidden="1"/>
    </xf>
    <xf numFmtId="38" fontId="45" fillId="0" borderId="0" xfId="8" applyFont="1" applyProtection="1">
      <alignment vertical="center"/>
      <protection locked="0" hidden="1"/>
    </xf>
    <xf numFmtId="38" fontId="45" fillId="0" borderId="7" xfId="4" applyFont="1" applyBorder="1" applyProtection="1">
      <alignment vertical="center"/>
      <protection locked="0" hidden="1"/>
    </xf>
    <xf numFmtId="38" fontId="45" fillId="0" borderId="12" xfId="4" applyFont="1" applyBorder="1" applyProtection="1">
      <alignment vertical="center"/>
      <protection locked="0" hidden="1"/>
    </xf>
    <xf numFmtId="38" fontId="45" fillId="0" borderId="1" xfId="4" applyFont="1" applyBorder="1" applyProtection="1">
      <alignment vertical="center"/>
      <protection locked="0" hidden="1"/>
    </xf>
    <xf numFmtId="38" fontId="45" fillId="0" borderId="1" xfId="8" applyFont="1" applyBorder="1" applyProtection="1">
      <alignment vertical="center"/>
      <protection locked="0" hidden="1"/>
    </xf>
    <xf numFmtId="38" fontId="45" fillId="0" borderId="9" xfId="4" applyFont="1" applyBorder="1" applyProtection="1">
      <alignment vertical="center"/>
      <protection locked="0" hidden="1"/>
    </xf>
    <xf numFmtId="38" fontId="45" fillId="0" borderId="0" xfId="1" applyFont="1" applyAlignment="1" applyProtection="1">
      <alignment vertical="center" shrinkToFit="1"/>
      <protection locked="0"/>
    </xf>
    <xf numFmtId="38" fontId="49" fillId="0" borderId="0" xfId="1" applyFont="1" applyAlignment="1">
      <alignment vertical="center" shrinkToFit="1"/>
    </xf>
    <xf numFmtId="38" fontId="17" fillId="0" borderId="23" xfId="1" applyFont="1" applyBorder="1" applyAlignment="1" applyProtection="1">
      <alignment vertical="center" shrinkToFit="1"/>
    </xf>
    <xf numFmtId="38" fontId="34" fillId="0" borderId="0" xfId="1" applyFont="1" applyProtection="1">
      <alignment vertical="center"/>
      <protection locked="0"/>
    </xf>
    <xf numFmtId="38" fontId="45" fillId="0" borderId="0" xfId="1" applyFont="1" applyAlignment="1" applyProtection="1">
      <alignment vertical="center" shrinkToFit="1"/>
    </xf>
    <xf numFmtId="176" fontId="48" fillId="0" borderId="0" xfId="1" applyNumberFormat="1" applyFont="1" applyFill="1" applyBorder="1" applyAlignment="1" applyProtection="1">
      <alignment horizontal="center" shrinkToFit="1"/>
    </xf>
    <xf numFmtId="38" fontId="48" fillId="0" borderId="0" xfId="1" applyFont="1" applyFill="1" applyBorder="1" applyAlignment="1" applyProtection="1">
      <alignment horizontal="center" shrinkToFit="1"/>
    </xf>
    <xf numFmtId="38" fontId="45" fillId="0" borderId="0" xfId="1" applyFont="1" applyFill="1" applyBorder="1" applyAlignment="1" applyProtection="1">
      <alignment vertical="center" shrinkToFit="1"/>
      <protection hidden="1"/>
    </xf>
    <xf numFmtId="38" fontId="15" fillId="11" borderId="40" xfId="1" applyFont="1" applyFill="1" applyBorder="1" applyAlignment="1">
      <alignment vertical="center" shrinkToFit="1"/>
    </xf>
    <xf numFmtId="0" fontId="50" fillId="0" borderId="0" xfId="0" applyFont="1">
      <alignment vertical="center"/>
    </xf>
    <xf numFmtId="0" fontId="51" fillId="0" borderId="0" xfId="0" applyFont="1">
      <alignment vertical="center"/>
    </xf>
    <xf numFmtId="0" fontId="38" fillId="0" borderId="0" xfId="0" applyFont="1" applyAlignment="1">
      <alignment horizontal="left"/>
    </xf>
    <xf numFmtId="0" fontId="38" fillId="0" borderId="0" xfId="0" quotePrefix="1" applyFont="1" applyAlignment="1">
      <alignment horizontal="center"/>
    </xf>
    <xf numFmtId="37" fontId="38" fillId="0" borderId="0" xfId="0" applyNumberFormat="1" applyFont="1" applyAlignment="1"/>
    <xf numFmtId="38" fontId="38" fillId="0" borderId="0" xfId="4" applyFont="1" applyFill="1" applyBorder="1" applyAlignment="1"/>
    <xf numFmtId="0" fontId="38" fillId="0" borderId="0" xfId="0" applyFont="1" applyAlignment="1">
      <alignment horizontal="center" vertical="center"/>
    </xf>
    <xf numFmtId="0" fontId="38" fillId="0" borderId="0" xfId="0" applyFont="1" applyAlignment="1">
      <alignment horizontal="center" vertical="center" shrinkToFit="1"/>
    </xf>
    <xf numFmtId="178" fontId="38" fillId="0" borderId="0" xfId="0" applyNumberFormat="1" applyFont="1" applyAlignment="1"/>
    <xf numFmtId="37" fontId="38" fillId="0" borderId="0" xfId="0" applyNumberFormat="1" applyFont="1" applyAlignment="1">
      <alignment horizontal="right"/>
    </xf>
    <xf numFmtId="37" fontId="41" fillId="0" borderId="0" xfId="0" applyNumberFormat="1" applyFont="1" applyAlignment="1">
      <alignment horizontal="right"/>
    </xf>
    <xf numFmtId="0" fontId="40" fillId="0" borderId="0" xfId="0" applyFont="1">
      <alignment vertical="center"/>
    </xf>
    <xf numFmtId="0" fontId="41" fillId="0" borderId="0" xfId="0" applyFont="1" applyAlignment="1">
      <alignment horizontal="center"/>
    </xf>
    <xf numFmtId="37" fontId="41" fillId="0" borderId="0" xfId="0" applyNumberFormat="1" applyFont="1" applyAlignment="1"/>
    <xf numFmtId="38" fontId="15" fillId="5" borderId="28" xfId="1" applyFont="1" applyFill="1" applyBorder="1" applyAlignment="1" applyProtection="1">
      <alignment vertical="center" shrinkToFit="1"/>
    </xf>
    <xf numFmtId="0" fontId="0" fillId="0" borderId="22" xfId="0" applyBorder="1" applyProtection="1">
      <alignment vertical="center"/>
      <protection locked="0"/>
    </xf>
    <xf numFmtId="0" fontId="0" fillId="0" borderId="48" xfId="0" applyBorder="1" applyProtection="1">
      <alignment vertical="center"/>
      <protection locked="0"/>
    </xf>
    <xf numFmtId="0" fontId="0" fillId="0" borderId="3" xfId="0" applyBorder="1" applyProtection="1">
      <alignment vertical="center"/>
      <protection locked="0"/>
    </xf>
    <xf numFmtId="0" fontId="0" fillId="0" borderId="4" xfId="0" applyBorder="1" applyProtection="1">
      <alignment vertical="center"/>
      <protection locked="0"/>
    </xf>
    <xf numFmtId="0" fontId="52" fillId="0" borderId="0" xfId="12">
      <alignment vertical="center"/>
    </xf>
    <xf numFmtId="0" fontId="2" fillId="0" borderId="0" xfId="0" applyFont="1">
      <alignment vertical="center"/>
    </xf>
    <xf numFmtId="0" fontId="43" fillId="2" borderId="2" xfId="0" applyFont="1" applyFill="1" applyBorder="1">
      <alignment vertical="center"/>
    </xf>
    <xf numFmtId="0" fontId="0" fillId="0" borderId="5" xfId="0" applyBorder="1">
      <alignment vertical="center"/>
    </xf>
    <xf numFmtId="0" fontId="0" fillId="0" borderId="11" xfId="0" applyBorder="1">
      <alignment vertical="center"/>
    </xf>
    <xf numFmtId="0" fontId="0" fillId="0" borderId="7" xfId="0" applyBorder="1">
      <alignment vertical="center"/>
    </xf>
    <xf numFmtId="0" fontId="47" fillId="0" borderId="11" xfId="0" applyFont="1" applyBorder="1" applyAlignment="1">
      <alignment horizontal="right" vertical="center"/>
    </xf>
    <xf numFmtId="38" fontId="28" fillId="0" borderId="0" xfId="4" applyFont="1" applyBorder="1" applyAlignment="1">
      <alignment vertical="center" shrinkToFit="1"/>
    </xf>
    <xf numFmtId="10" fontId="28" fillId="0" borderId="0" xfId="10" applyNumberFormat="1" applyFont="1" applyBorder="1" applyAlignment="1">
      <alignment vertical="center" shrinkToFit="1"/>
    </xf>
    <xf numFmtId="38" fontId="30" fillId="0" borderId="0" xfId="4" applyFont="1" applyBorder="1" applyAlignment="1">
      <alignment vertical="center" shrinkToFit="1"/>
    </xf>
    <xf numFmtId="38" fontId="51" fillId="0" borderId="0" xfId="1" applyFont="1" applyAlignment="1">
      <alignment vertical="center"/>
    </xf>
    <xf numFmtId="38" fontId="53" fillId="0" borderId="0" xfId="1" applyFont="1" applyAlignment="1">
      <alignment vertical="center"/>
    </xf>
    <xf numFmtId="38" fontId="54" fillId="0" borderId="0" xfId="1" applyFont="1" applyAlignment="1">
      <alignment vertical="center"/>
    </xf>
    <xf numFmtId="37" fontId="41" fillId="0" borderId="48" xfId="0" applyNumberFormat="1" applyFont="1" applyBorder="1" applyAlignment="1"/>
    <xf numFmtId="0" fontId="38" fillId="0" borderId="0" xfId="0" applyFont="1" applyAlignment="1">
      <alignment horizontal="center"/>
    </xf>
    <xf numFmtId="37" fontId="38" fillId="0" borderId="11" xfId="0" applyNumberFormat="1" applyFont="1" applyBorder="1">
      <alignment vertical="center"/>
    </xf>
    <xf numFmtId="37" fontId="41" fillId="0" borderId="0" xfId="0" applyNumberFormat="1" applyFont="1">
      <alignment vertical="center"/>
    </xf>
    <xf numFmtId="37" fontId="38" fillId="0" borderId="0" xfId="0" applyNumberFormat="1" applyFont="1">
      <alignment vertical="center"/>
    </xf>
    <xf numFmtId="0" fontId="0" fillId="0" borderId="0" xfId="0" applyProtection="1">
      <alignment vertical="center"/>
      <protection locked="0"/>
    </xf>
    <xf numFmtId="38" fontId="17" fillId="0" borderId="0" xfId="1" applyFont="1" applyAlignment="1">
      <alignment horizontal="right" vertical="center"/>
    </xf>
    <xf numFmtId="0" fontId="39" fillId="2" borderId="0" xfId="0" applyFont="1" applyFill="1">
      <alignment vertical="center"/>
    </xf>
    <xf numFmtId="0" fontId="55" fillId="2" borderId="0" xfId="0" applyFont="1" applyFill="1" applyAlignment="1">
      <alignment horizontal="center" vertical="center"/>
    </xf>
    <xf numFmtId="0" fontId="39" fillId="0" borderId="7" xfId="0" applyFont="1" applyBorder="1">
      <alignment vertical="center"/>
    </xf>
    <xf numFmtId="0" fontId="39" fillId="0" borderId="0" xfId="0" applyFont="1" applyAlignment="1">
      <alignment horizontal="left" vertical="center"/>
    </xf>
    <xf numFmtId="0" fontId="39" fillId="0" borderId="11" xfId="0" applyFont="1" applyBorder="1">
      <alignment vertical="center"/>
    </xf>
    <xf numFmtId="38" fontId="25" fillId="0" borderId="53" xfId="1" applyFont="1" applyBorder="1" applyAlignment="1" applyProtection="1">
      <alignment horizontal="right" vertical="center"/>
      <protection locked="0"/>
    </xf>
    <xf numFmtId="38" fontId="25" fillId="0" borderId="53" xfId="1" applyFont="1" applyBorder="1" applyProtection="1">
      <alignment vertical="center"/>
      <protection locked="0"/>
    </xf>
    <xf numFmtId="38" fontId="25" fillId="0" borderId="53" xfId="1" applyFont="1" applyFill="1" applyBorder="1" applyAlignment="1" applyProtection="1">
      <alignment horizontal="right" vertical="center"/>
      <protection locked="0"/>
    </xf>
    <xf numFmtId="38" fontId="25" fillId="0" borderId="53" xfId="1" applyFont="1" applyFill="1" applyBorder="1" applyProtection="1">
      <alignment vertical="center"/>
      <protection locked="0"/>
    </xf>
    <xf numFmtId="38" fontId="25" fillId="0" borderId="0" xfId="1" applyFont="1" applyFill="1" applyBorder="1" applyProtection="1">
      <alignment vertical="center"/>
      <protection locked="0"/>
    </xf>
    <xf numFmtId="179" fontId="25" fillId="0" borderId="0" xfId="0" applyNumberFormat="1" applyFont="1" applyProtection="1">
      <alignment vertical="center"/>
      <protection locked="0"/>
    </xf>
    <xf numFmtId="38" fontId="25" fillId="10" borderId="53" xfId="1" applyFont="1" applyFill="1" applyBorder="1" applyAlignment="1" applyProtection="1">
      <alignment horizontal="right" vertical="center"/>
      <protection locked="0"/>
    </xf>
    <xf numFmtId="38" fontId="25" fillId="3" borderId="53" xfId="1" applyFont="1" applyFill="1" applyBorder="1" applyAlignment="1" applyProtection="1">
      <alignment horizontal="right" vertical="center"/>
      <protection locked="0"/>
    </xf>
    <xf numFmtId="38" fontId="25" fillId="10" borderId="53" xfId="1" applyFont="1" applyFill="1" applyBorder="1" applyProtection="1">
      <alignment vertical="center"/>
      <protection locked="0"/>
    </xf>
    <xf numFmtId="38" fontId="25" fillId="3" borderId="53" xfId="1" applyFont="1" applyFill="1" applyBorder="1" applyProtection="1">
      <alignment vertical="center"/>
      <protection locked="0"/>
    </xf>
    <xf numFmtId="38" fontId="43" fillId="9" borderId="0" xfId="1" applyFont="1" applyFill="1" applyBorder="1" applyAlignment="1">
      <alignment horizontal="center" vertical="center"/>
    </xf>
    <xf numFmtId="0" fontId="43" fillId="9" borderId="0" xfId="0" applyFont="1" applyFill="1" applyAlignment="1">
      <alignment horizontal="center" vertical="center"/>
    </xf>
    <xf numFmtId="0" fontId="43" fillId="9" borderId="54" xfId="0" applyFont="1" applyFill="1" applyBorder="1" applyAlignment="1">
      <alignment horizontal="center" vertical="center"/>
    </xf>
    <xf numFmtId="38" fontId="43" fillId="9" borderId="0" xfId="0" applyNumberFormat="1" applyFont="1" applyFill="1" applyAlignment="1">
      <alignment horizontal="center" vertical="center"/>
    </xf>
    <xf numFmtId="38" fontId="25" fillId="0" borderId="51" xfId="1" applyFont="1" applyFill="1" applyBorder="1" applyProtection="1">
      <alignment vertical="center"/>
      <protection locked="0"/>
    </xf>
    <xf numFmtId="38" fontId="15" fillId="0" borderId="0" xfId="1" applyFont="1" applyAlignment="1">
      <alignment horizontal="right" vertical="center"/>
    </xf>
    <xf numFmtId="38" fontId="15" fillId="0" borderId="2" xfId="1" applyFont="1" applyBorder="1" applyAlignment="1" applyProtection="1">
      <alignment vertical="center" shrinkToFit="1"/>
      <protection locked="0"/>
    </xf>
    <xf numFmtId="38" fontId="15" fillId="0" borderId="0" xfId="1" applyFont="1" applyAlignment="1">
      <alignment horizontal="right" vertical="center" shrinkToFit="1"/>
    </xf>
    <xf numFmtId="38" fontId="25" fillId="10" borderId="55" xfId="1" applyFont="1" applyFill="1" applyBorder="1" applyProtection="1">
      <alignment vertical="center"/>
      <protection locked="0"/>
    </xf>
    <xf numFmtId="38" fontId="6" fillId="0" borderId="0" xfId="1" applyFont="1" applyAlignment="1" applyProtection="1">
      <alignment vertical="center" shrinkToFit="1"/>
    </xf>
    <xf numFmtId="38" fontId="25" fillId="3" borderId="53" xfId="1" applyFont="1" applyFill="1" applyBorder="1" applyAlignment="1" applyProtection="1">
      <alignment horizontal="right" vertical="center"/>
    </xf>
    <xf numFmtId="38" fontId="45" fillId="0" borderId="0" xfId="13" applyFont="1" applyBorder="1">
      <alignment vertical="center"/>
    </xf>
    <xf numFmtId="38" fontId="45" fillId="0" borderId="0" xfId="13" applyFont="1" applyBorder="1" applyAlignment="1">
      <alignment vertical="center" shrinkToFit="1"/>
    </xf>
    <xf numFmtId="0" fontId="45" fillId="0" borderId="0" xfId="5" applyFont="1" applyAlignment="1">
      <alignment horizontal="center"/>
    </xf>
    <xf numFmtId="38" fontId="17" fillId="0" borderId="2" xfId="13" applyFont="1" applyBorder="1" applyAlignment="1">
      <alignment horizontal="center" vertical="center" shrinkToFit="1"/>
    </xf>
    <xf numFmtId="0" fontId="17" fillId="0" borderId="2" xfId="5" applyFont="1" applyBorder="1" applyAlignment="1">
      <alignment horizontal="center"/>
    </xf>
    <xf numFmtId="38" fontId="45" fillId="0" borderId="2" xfId="13" applyFont="1" applyBorder="1" applyAlignment="1">
      <alignment vertical="center" shrinkToFit="1"/>
    </xf>
    <xf numFmtId="10" fontId="45" fillId="0" borderId="2" xfId="11" applyNumberFormat="1" applyFont="1" applyBorder="1" applyAlignment="1" applyProtection="1">
      <alignment vertical="center" shrinkToFit="1"/>
      <protection locked="0"/>
    </xf>
    <xf numFmtId="10" fontId="45" fillId="0" borderId="2" xfId="9" applyNumberFormat="1" applyFont="1" applyBorder="1" applyAlignment="1" applyProtection="1">
      <alignment vertical="center" shrinkToFit="1"/>
      <protection locked="0"/>
    </xf>
    <xf numFmtId="37" fontId="41" fillId="7" borderId="12" xfId="0" applyNumberFormat="1" applyFont="1" applyFill="1" applyBorder="1" applyAlignment="1"/>
    <xf numFmtId="37" fontId="38" fillId="0" borderId="48" xfId="0" applyNumberFormat="1" applyFont="1" applyBorder="1" applyAlignment="1"/>
    <xf numFmtId="0" fontId="41" fillId="7" borderId="12" xfId="0" applyFont="1" applyFill="1" applyBorder="1" applyAlignment="1">
      <alignment horizontal="center"/>
    </xf>
    <xf numFmtId="0" fontId="41" fillId="0" borderId="48" xfId="0" quotePrefix="1" applyFont="1" applyBorder="1" applyAlignment="1">
      <alignment horizontal="center"/>
    </xf>
    <xf numFmtId="39" fontId="41" fillId="7" borderId="12" xfId="0" applyNumberFormat="1" applyFont="1" applyFill="1" applyBorder="1" applyAlignment="1"/>
    <xf numFmtId="10" fontId="0" fillId="0" borderId="56" xfId="11" applyNumberFormat="1" applyFont="1" applyBorder="1">
      <alignment vertical="center"/>
    </xf>
    <xf numFmtId="10" fontId="0" fillId="0" borderId="57" xfId="11" applyNumberFormat="1" applyFont="1" applyBorder="1">
      <alignment vertical="center"/>
    </xf>
    <xf numFmtId="10" fontId="0" fillId="0" borderId="58" xfId="11" applyNumberFormat="1" applyFont="1" applyBorder="1">
      <alignment vertical="center"/>
    </xf>
    <xf numFmtId="10" fontId="0" fillId="0" borderId="59" xfId="11" applyNumberFormat="1" applyFont="1" applyBorder="1">
      <alignment vertical="center"/>
    </xf>
    <xf numFmtId="10" fontId="0" fillId="0" borderId="60" xfId="11" applyNumberFormat="1" applyFont="1" applyBorder="1">
      <alignment vertical="center"/>
    </xf>
    <xf numFmtId="10" fontId="0" fillId="0" borderId="61" xfId="11" applyNumberFormat="1" applyFont="1" applyBorder="1">
      <alignment vertical="center"/>
    </xf>
    <xf numFmtId="38" fontId="38" fillId="0" borderId="48" xfId="4" applyFont="1" applyBorder="1" applyAlignment="1"/>
    <xf numFmtId="37" fontId="38" fillId="0" borderId="48" xfId="0" applyNumberFormat="1" applyFont="1" applyBorder="1">
      <alignment vertical="center"/>
    </xf>
    <xf numFmtId="0" fontId="25" fillId="0" borderId="3" xfId="0" applyFont="1" applyBorder="1">
      <alignment vertical="center"/>
    </xf>
    <xf numFmtId="0" fontId="25" fillId="0" borderId="52" xfId="0" applyFont="1" applyBorder="1">
      <alignment vertical="center"/>
    </xf>
    <xf numFmtId="0" fontId="0" fillId="0" borderId="12" xfId="0" applyBorder="1">
      <alignment vertical="center"/>
    </xf>
    <xf numFmtId="0" fontId="25" fillId="0" borderId="1" xfId="0" applyFont="1" applyBorder="1">
      <alignment vertical="center"/>
    </xf>
    <xf numFmtId="38" fontId="0" fillId="0" borderId="1" xfId="0" applyNumberFormat="1" applyBorder="1">
      <alignment vertical="center"/>
    </xf>
    <xf numFmtId="37" fontId="0" fillId="0" borderId="1" xfId="0" applyNumberFormat="1" applyBorder="1">
      <alignment vertical="center"/>
    </xf>
    <xf numFmtId="0" fontId="0" fillId="0" borderId="9" xfId="0" applyBorder="1">
      <alignment vertical="center"/>
    </xf>
    <xf numFmtId="38" fontId="15" fillId="0" borderId="62" xfId="1" applyFont="1" applyBorder="1" applyAlignment="1">
      <alignment vertical="center" shrinkToFit="1"/>
    </xf>
    <xf numFmtId="38" fontId="17" fillId="0" borderId="50" xfId="1" applyFont="1" applyBorder="1" applyAlignment="1" applyProtection="1">
      <alignment vertical="center" shrinkToFit="1"/>
    </xf>
    <xf numFmtId="38" fontId="15" fillId="5" borderId="63" xfId="1" applyFont="1" applyFill="1" applyBorder="1" applyAlignment="1">
      <alignment horizontal="center" vertical="center" shrinkToFit="1"/>
    </xf>
    <xf numFmtId="38" fontId="15" fillId="0" borderId="48" xfId="1" applyFont="1" applyBorder="1" applyAlignment="1">
      <alignment vertical="center" shrinkToFit="1"/>
    </xf>
    <xf numFmtId="10" fontId="17" fillId="0" borderId="50" xfId="2" applyNumberFormat="1" applyFont="1" applyBorder="1" applyAlignment="1" applyProtection="1">
      <alignment vertical="center" shrinkToFit="1"/>
    </xf>
    <xf numFmtId="38" fontId="27" fillId="5" borderId="64" xfId="8" applyFont="1" applyFill="1" applyBorder="1" applyAlignment="1">
      <alignment horizontal="center" vertical="center"/>
    </xf>
    <xf numFmtId="10" fontId="18" fillId="0" borderId="65" xfId="9" applyNumberFormat="1" applyFont="1" applyBorder="1" applyProtection="1">
      <alignment vertical="center"/>
      <protection locked="0"/>
    </xf>
    <xf numFmtId="10" fontId="17" fillId="0" borderId="65" xfId="2" applyNumberFormat="1" applyFont="1" applyBorder="1" applyAlignment="1" applyProtection="1">
      <alignment vertical="center" shrinkToFit="1"/>
      <protection locked="0"/>
    </xf>
    <xf numFmtId="38" fontId="17" fillId="0" borderId="65" xfId="1" applyFont="1" applyBorder="1" applyAlignment="1" applyProtection="1">
      <alignment vertical="center" shrinkToFit="1"/>
      <protection locked="0"/>
    </xf>
    <xf numFmtId="38" fontId="17" fillId="0" borderId="66" xfId="1" applyFont="1" applyBorder="1" applyAlignment="1" applyProtection="1">
      <alignment vertical="center" shrinkToFit="1"/>
      <protection locked="0"/>
    </xf>
    <xf numFmtId="180" fontId="48" fillId="0" borderId="0" xfId="1" applyNumberFormat="1" applyFont="1" applyFill="1" applyBorder="1" applyAlignment="1" applyProtection="1">
      <alignment horizontal="center" shrinkToFit="1"/>
    </xf>
    <xf numFmtId="38" fontId="17" fillId="0" borderId="0" xfId="1" applyFont="1" applyAlignment="1" applyProtection="1">
      <alignment vertical="center" shrinkToFit="1"/>
      <protection locked="0"/>
    </xf>
    <xf numFmtId="38" fontId="56" fillId="0" borderId="0" xfId="1" applyFont="1" applyAlignment="1">
      <alignment vertical="center" shrinkToFit="1"/>
    </xf>
    <xf numFmtId="38" fontId="17" fillId="0" borderId="0" xfId="1" applyFont="1" applyFill="1" applyBorder="1" applyAlignment="1" applyProtection="1">
      <alignment vertical="center" shrinkToFit="1"/>
      <protection hidden="1"/>
    </xf>
    <xf numFmtId="38" fontId="43" fillId="9" borderId="68" xfId="1" applyFont="1" applyFill="1" applyBorder="1" applyAlignment="1">
      <alignment horizontal="center" vertical="center"/>
    </xf>
    <xf numFmtId="0" fontId="43" fillId="9" borderId="53" xfId="0" applyFont="1" applyFill="1" applyBorder="1" applyAlignment="1">
      <alignment horizontal="center" vertical="center"/>
    </xf>
    <xf numFmtId="38" fontId="25" fillId="10" borderId="68" xfId="1" applyFont="1" applyFill="1" applyBorder="1" applyAlignment="1">
      <alignment horizontal="right" vertical="center"/>
    </xf>
    <xf numFmtId="38" fontId="25" fillId="10" borderId="53" xfId="1" applyFont="1" applyFill="1" applyBorder="1">
      <alignment vertical="center"/>
    </xf>
    <xf numFmtId="38" fontId="25" fillId="0" borderId="68" xfId="1" applyFont="1" applyBorder="1" applyAlignment="1">
      <alignment horizontal="right" vertical="center"/>
    </xf>
    <xf numFmtId="38" fontId="25" fillId="0" borderId="53" xfId="1" applyFont="1" applyBorder="1">
      <alignment vertical="center"/>
    </xf>
    <xf numFmtId="38" fontId="25" fillId="3" borderId="67" xfId="1" applyFont="1" applyFill="1" applyBorder="1" applyAlignment="1">
      <alignment horizontal="right" vertical="center"/>
    </xf>
    <xf numFmtId="38" fontId="25" fillId="10" borderId="55" xfId="1" applyFont="1" applyFill="1" applyBorder="1">
      <alignment vertical="center"/>
    </xf>
    <xf numFmtId="0" fontId="57" fillId="0" borderId="0" xfId="0" applyFont="1">
      <alignment vertical="center"/>
    </xf>
    <xf numFmtId="38" fontId="2" fillId="0" borderId="0" xfId="1" applyFont="1" applyFill="1">
      <alignment vertical="center"/>
    </xf>
    <xf numFmtId="38" fontId="39" fillId="0" borderId="0" xfId="1" applyFont="1" applyFill="1" applyBorder="1">
      <alignment vertical="center"/>
    </xf>
    <xf numFmtId="0" fontId="30" fillId="0" borderId="0" xfId="0" applyFont="1">
      <alignment vertical="center"/>
    </xf>
    <xf numFmtId="0" fontId="40" fillId="0" borderId="0" xfId="0" applyFont="1" applyAlignment="1"/>
    <xf numFmtId="0" fontId="39" fillId="0" borderId="7" xfId="0" applyFont="1" applyBorder="1" applyAlignment="1"/>
    <xf numFmtId="0" fontId="39" fillId="0" borderId="11" xfId="0" applyFont="1" applyBorder="1" applyAlignment="1"/>
    <xf numFmtId="0" fontId="52" fillId="0" borderId="0" xfId="12" applyProtection="1">
      <alignment vertical="center"/>
      <protection locked="0"/>
    </xf>
    <xf numFmtId="38" fontId="6" fillId="0" borderId="2" xfId="1" applyFont="1" applyBorder="1" applyAlignment="1">
      <alignment vertical="center" shrinkToFit="1"/>
    </xf>
    <xf numFmtId="38" fontId="29" fillId="0" borderId="0" xfId="1" applyFont="1" applyAlignment="1">
      <alignment vertical="center" shrinkToFit="1"/>
    </xf>
    <xf numFmtId="38" fontId="56" fillId="0" borderId="0" xfId="1" applyFont="1" applyAlignment="1" applyProtection="1">
      <alignment vertical="center" shrinkToFit="1"/>
      <protection locked="0"/>
    </xf>
    <xf numFmtId="38" fontId="15" fillId="0" borderId="0" xfId="1" applyFont="1" applyBorder="1" applyAlignment="1">
      <alignment vertical="center" shrinkToFit="1"/>
    </xf>
    <xf numFmtId="38" fontId="17" fillId="0" borderId="0" xfId="1" applyFont="1" applyBorder="1" applyAlignment="1">
      <alignment vertical="center" shrinkToFit="1"/>
    </xf>
    <xf numFmtId="38" fontId="28" fillId="0" borderId="69" xfId="4" applyFont="1" applyBorder="1" applyAlignment="1">
      <alignment vertical="center" shrinkToFit="1"/>
    </xf>
    <xf numFmtId="10" fontId="28" fillId="6" borderId="70" xfId="10" applyNumberFormat="1" applyFont="1" applyFill="1" applyBorder="1" applyAlignment="1" applyProtection="1">
      <alignment vertical="center" shrinkToFit="1"/>
      <protection locked="0"/>
    </xf>
    <xf numFmtId="38" fontId="17" fillId="5" borderId="28" xfId="1" applyFont="1" applyFill="1" applyBorder="1" applyAlignment="1" applyProtection="1">
      <alignment vertical="center" shrinkToFit="1"/>
      <protection locked="0"/>
    </xf>
    <xf numFmtId="37" fontId="39" fillId="0" borderId="0" xfId="0" applyNumberFormat="1" applyFont="1" applyAlignment="1">
      <alignment vertical="center" shrinkToFit="1"/>
    </xf>
    <xf numFmtId="38" fontId="39" fillId="0" borderId="0" xfId="0" applyNumberFormat="1" applyFont="1" applyAlignment="1">
      <alignment vertical="center" shrinkToFit="1"/>
    </xf>
    <xf numFmtId="37" fontId="40" fillId="0" borderId="52" xfId="0" applyNumberFormat="1" applyFont="1" applyBorder="1" applyAlignment="1">
      <alignment vertical="center" shrinkToFit="1"/>
    </xf>
    <xf numFmtId="38" fontId="40" fillId="0" borderId="0" xfId="1" applyFont="1" applyAlignment="1">
      <alignment vertical="center" shrinkToFit="1"/>
    </xf>
    <xf numFmtId="37" fontId="40" fillId="0" borderId="52" xfId="0" applyNumberFormat="1" applyFont="1" applyBorder="1" applyAlignment="1">
      <alignment shrinkToFit="1"/>
    </xf>
    <xf numFmtId="38" fontId="40" fillId="0" borderId="52" xfId="1" applyFont="1" applyBorder="1" applyAlignment="1" applyProtection="1">
      <alignment shrinkToFit="1"/>
    </xf>
    <xf numFmtId="0" fontId="0" fillId="0" borderId="0" xfId="0" applyAlignment="1">
      <alignment vertical="center" shrinkToFit="1"/>
    </xf>
    <xf numFmtId="38" fontId="25" fillId="0" borderId="0" xfId="1" applyFont="1" applyBorder="1" applyAlignment="1" applyProtection="1">
      <alignment vertical="center" shrinkToFit="1"/>
    </xf>
    <xf numFmtId="38" fontId="0" fillId="0" borderId="3" xfId="0" applyNumberFormat="1" applyBorder="1" applyAlignment="1">
      <alignment vertical="center" shrinkToFit="1"/>
    </xf>
    <xf numFmtId="38" fontId="25" fillId="0" borderId="3" xfId="1" applyFont="1" applyBorder="1" applyAlignment="1" applyProtection="1">
      <alignment vertical="center" shrinkToFit="1"/>
    </xf>
    <xf numFmtId="38" fontId="25" fillId="0" borderId="3" xfId="0" applyNumberFormat="1" applyFont="1" applyBorder="1" applyAlignment="1">
      <alignment vertical="center" shrinkToFit="1"/>
    </xf>
    <xf numFmtId="37" fontId="0" fillId="0" borderId="52" xfId="0" applyNumberFormat="1" applyBorder="1" applyAlignment="1">
      <alignment vertical="center" shrinkToFit="1"/>
    </xf>
    <xf numFmtId="38" fontId="25" fillId="0" borderId="52" xfId="1" applyFont="1" applyBorder="1" applyAlignment="1" applyProtection="1">
      <alignment vertical="center" shrinkToFit="1"/>
    </xf>
    <xf numFmtId="38" fontId="23" fillId="0" borderId="20" xfId="4" applyFont="1" applyBorder="1" applyAlignment="1">
      <alignment vertical="center" shrinkToFit="1"/>
    </xf>
    <xf numFmtId="38" fontId="23" fillId="0" borderId="21" xfId="4" applyFont="1" applyBorder="1" applyAlignment="1">
      <alignment vertical="center" shrinkToFit="1"/>
    </xf>
    <xf numFmtId="0" fontId="38" fillId="0" borderId="0" xfId="0" applyFont="1" applyAlignment="1">
      <alignment horizontal="center"/>
    </xf>
    <xf numFmtId="38" fontId="15" fillId="8" borderId="28" xfId="1" applyFont="1" applyFill="1" applyBorder="1" applyAlignment="1" applyProtection="1">
      <alignment vertical="center" shrinkToFit="1"/>
    </xf>
  </cellXfs>
  <cellStyles count="14">
    <cellStyle name="パーセント" xfId="2" builtinId="5"/>
    <cellStyle name="パーセント 2" xfId="9" xr:uid="{00000000-0005-0000-0000-000001000000}"/>
    <cellStyle name="パーセント 3" xfId="11" xr:uid="{00000000-0005-0000-0000-000002000000}"/>
    <cellStyle name="パーセント 5" xfId="10" xr:uid="{00000000-0005-0000-0000-000003000000}"/>
    <cellStyle name="パーセント 8 2" xfId="7" xr:uid="{00000000-0005-0000-0000-000004000000}"/>
    <cellStyle name="ハイパーリンク" xfId="12" builtinId="8"/>
    <cellStyle name="桁区切り" xfId="1" builtinId="6"/>
    <cellStyle name="桁区切り 2" xfId="13" xr:uid="{980E1F8B-131A-4AEF-84DF-E68DF0BAAE8E}"/>
    <cellStyle name="桁区切り 2 5" xfId="8" xr:uid="{00000000-0005-0000-0000-000006000000}"/>
    <cellStyle name="桁区切り 3" xfId="4" xr:uid="{00000000-0005-0000-0000-000007000000}"/>
    <cellStyle name="桁区切り 7 2" xfId="6" xr:uid="{00000000-0005-0000-0000-000008000000}"/>
    <cellStyle name="標準" xfId="0" builtinId="0"/>
    <cellStyle name="標準 108" xfId="3" xr:uid="{00000000-0005-0000-0000-00000A000000}"/>
    <cellStyle name="標準 20 2" xfId="5" xr:uid="{00000000-0005-0000-0000-00000B000000}"/>
  </cellStyles>
  <dxfs count="30">
    <dxf>
      <fill>
        <patternFill>
          <bgColor rgb="FFFFFFE0"/>
        </patternFill>
      </fill>
    </dxf>
    <dxf>
      <fill>
        <patternFill>
          <bgColor rgb="FFFFFFE0"/>
        </patternFill>
      </fill>
    </dxf>
    <dxf>
      <numFmt numFmtId="181" formatCode="#,##0,;[Red]\-#,##0,"/>
    </dxf>
    <dxf>
      <numFmt numFmtId="181" formatCode="#,##0,;[Red]\-#,##0,"/>
    </dxf>
    <dxf>
      <fill>
        <patternFill>
          <bgColor rgb="FFFFFFDC"/>
        </patternFill>
      </fill>
    </dxf>
    <dxf>
      <fill>
        <patternFill>
          <bgColor rgb="FFFFFFE0"/>
        </patternFill>
      </fill>
    </dxf>
    <dxf>
      <fill>
        <patternFill>
          <bgColor rgb="FFFFFFE0"/>
        </patternFill>
      </fill>
    </dxf>
    <dxf>
      <fill>
        <patternFill>
          <bgColor rgb="FFFFE6FF"/>
        </patternFill>
      </fill>
    </dxf>
    <dxf>
      <fill>
        <patternFill>
          <bgColor rgb="FFFFFFE0"/>
        </patternFill>
      </fill>
    </dxf>
    <dxf>
      <numFmt numFmtId="181" formatCode="#,##0,;[Red]\-#,##0,"/>
    </dxf>
    <dxf>
      <numFmt numFmtId="181" formatCode="#,##0,;[Red]\-#,##0,"/>
    </dxf>
    <dxf>
      <numFmt numFmtId="181" formatCode="#,##0,;[Red]\-#,##0,"/>
    </dxf>
    <dxf>
      <numFmt numFmtId="181" formatCode="#,##0,;[Red]\-#,##0,"/>
    </dxf>
    <dxf>
      <fill>
        <patternFill>
          <bgColor rgb="FFFFFFE0"/>
        </patternFill>
      </fill>
    </dxf>
    <dxf>
      <fill>
        <patternFill>
          <bgColor rgb="FFFFFFDC"/>
        </patternFill>
      </fill>
    </dxf>
    <dxf>
      <fill>
        <patternFill>
          <bgColor rgb="FFFFFFDC"/>
        </patternFill>
      </fill>
    </dxf>
    <dxf>
      <font>
        <b/>
        <i val="0"/>
        <strike val="0"/>
        <condense val="0"/>
        <extend val="0"/>
        <outline val="0"/>
        <shadow val="0"/>
        <u val="none"/>
        <vertAlign val="baseline"/>
        <sz val="9"/>
        <color theme="1"/>
        <name val="メイリオ"/>
        <family val="3"/>
        <charset val="128"/>
        <scheme val="none"/>
      </font>
      <fill>
        <patternFill patternType="none">
          <fgColor indexed="64"/>
          <bgColor auto="1"/>
        </patternFill>
      </fill>
      <protection locked="0" hidden="0"/>
    </dxf>
    <dxf>
      <font>
        <b/>
        <i val="0"/>
        <strike val="0"/>
        <condense val="0"/>
        <extend val="0"/>
        <outline val="0"/>
        <shadow val="0"/>
        <u val="none"/>
        <vertAlign val="baseline"/>
        <sz val="9"/>
        <color theme="1"/>
        <name val="メイリオ"/>
        <family val="3"/>
        <charset val="128"/>
        <scheme val="none"/>
      </font>
      <numFmt numFmtId="6" formatCode="#,##0;[Red]\-#,##0"/>
      <fill>
        <patternFill patternType="solid">
          <fgColor theme="4" tint="0.79998168889431442"/>
          <bgColor theme="4" tint="0.79998168889431442"/>
        </patternFill>
      </fill>
      <alignment horizontal="right" vertical="center" textRotation="0" wrapText="0" indent="0" justifyLastLine="0" shrinkToFit="0" readingOrder="0"/>
      <border diagonalUp="0" diagonalDown="0" outline="0">
        <left/>
        <right/>
        <top style="thin">
          <color theme="4" tint="0.39997558519241921"/>
        </top>
        <bottom/>
      </border>
      <protection locked="0" hidden="0"/>
    </dxf>
    <dxf>
      <border outline="0">
        <left style="thin">
          <color theme="4" tint="0.39997558519241921"/>
        </left>
        <top style="thin">
          <color theme="4" tint="0.39997558519241921"/>
        </top>
      </border>
    </dxf>
    <dxf>
      <font>
        <b/>
        <i val="0"/>
        <strike val="0"/>
        <condense val="0"/>
        <extend val="0"/>
        <outline val="0"/>
        <shadow val="0"/>
        <u val="none"/>
        <vertAlign val="baseline"/>
        <sz val="9"/>
        <color theme="1"/>
        <name val="メイリオ"/>
        <family val="3"/>
        <charset val="128"/>
        <scheme val="none"/>
      </font>
      <numFmt numFmtId="6" formatCode="#,##0;[Red]\-#,##0"/>
      <alignment horizontal="right" vertical="center" textRotation="0" wrapText="0" indent="0" justifyLastLine="0" shrinkToFit="0" readingOrder="0"/>
      <border diagonalUp="0" diagonalDown="0">
        <left/>
        <right/>
        <top style="thin">
          <color theme="4" tint="0.39997558519241921"/>
        </top>
        <bottom/>
        <vertical/>
        <horizontal/>
      </border>
      <protection locked="0" hidden="0"/>
    </dxf>
    <dxf>
      <border outline="0">
        <left style="thin">
          <color theme="4" tint="0.39997558519241921"/>
        </left>
        <right style="thin">
          <color theme="4" tint="0.39997558519241921"/>
        </right>
        <top style="thin">
          <color theme="4" tint="0.39997558519241921"/>
        </top>
      </border>
    </dxf>
    <dxf>
      <numFmt numFmtId="181" formatCode="#,##0,;[Red]\-#,##0,"/>
    </dxf>
    <dxf>
      <fill>
        <patternFill>
          <bgColor rgb="FFFFC000"/>
        </patternFill>
      </fill>
    </dxf>
    <dxf>
      <numFmt numFmtId="181" formatCode="#,##0,;[Red]\-#,##0,"/>
    </dxf>
    <dxf>
      <numFmt numFmtId="181" formatCode="#,##0,;[Red]\-#,##0,"/>
    </dxf>
    <dxf>
      <fill>
        <patternFill>
          <bgColor theme="7"/>
        </patternFill>
      </fill>
    </dxf>
    <dxf>
      <numFmt numFmtId="181" formatCode="#,##0,;[Red]\-#,##0,"/>
    </dxf>
    <dxf>
      <fill>
        <patternFill>
          <bgColor rgb="FFFFC000"/>
        </patternFill>
      </fill>
    </dxf>
    <dxf>
      <numFmt numFmtId="181" formatCode="#,##0,;[Red]\-#,##0,"/>
    </dxf>
    <dxf>
      <numFmt numFmtId="181" formatCode="#,##0,;[Red]\-#,##0,"/>
    </dxf>
  </dxfs>
  <tableStyles count="0" defaultTableStyle="TableStyleMedium2" defaultPivotStyle="PivotStyleLight16"/>
  <colors>
    <mruColors>
      <color rgb="FF00FFFF"/>
      <color rgb="FFFFCC00"/>
      <color rgb="FFFF9900"/>
      <color rgb="FFFFC000"/>
      <color rgb="FFFFFFCC"/>
      <color rgb="FFFFFFDC"/>
      <color rgb="FFFF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2.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1.xml"/><Relationship Id="rId1" Type="http://schemas.openxmlformats.org/officeDocument/2006/relationships/chartsheet" Target="chartsheets/sheet1.xml"/><Relationship Id="rId6" Type="http://schemas.openxmlformats.org/officeDocument/2006/relationships/worksheet" Target="worksheets/sheet5.xml"/><Relationship Id="rId11" Type="http://schemas.openxmlformats.org/officeDocument/2006/relationships/sheetMetadata" Target="metadata.xml"/><Relationship Id="rId5" Type="http://schemas.openxmlformats.org/officeDocument/2006/relationships/worksheet" Target="worksheets/sheet4.xml"/><Relationship Id="rId10" Type="http://schemas.openxmlformats.org/officeDocument/2006/relationships/sharedStrings" Target="sharedStrings.xml"/><Relationship Id="rId4" Type="http://schemas.openxmlformats.org/officeDocument/2006/relationships/worksheet" Target="worksheets/sheet3.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tx>
            <c:strRef>
              <c:f>シミュレーション!$D$36</c:f>
              <c:strCache>
                <c:ptCount val="1"/>
                <c:pt idx="0">
                  <c:v>a</c:v>
                </c:pt>
              </c:strCache>
            </c:strRef>
          </c:tx>
          <c:spPr>
            <a:solidFill>
              <a:schemeClr val="accent1"/>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シミュレーション!$D$37:$D$63</c:f>
              <c:numCache>
                <c:formatCode>#,##0_);[Red]\(#,##0\)</c:formatCode>
                <c:ptCount val="27"/>
                <c:pt idx="0">
                  <c:v>62</c:v>
                </c:pt>
                <c:pt idx="1">
                  <c:v>15000000</c:v>
                </c:pt>
                <c:pt idx="7">
                  <c:v>12900000</c:v>
                </c:pt>
                <c:pt idx="10">
                  <c:v>1590000.0093877316</c:v>
                </c:pt>
                <c:pt idx="11">
                  <c:v>1500000</c:v>
                </c:pt>
                <c:pt idx="12">
                  <c:v>580000</c:v>
                </c:pt>
                <c:pt idx="13">
                  <c:v>9229000</c:v>
                </c:pt>
                <c:pt idx="14">
                  <c:v>1541270.97</c:v>
                </c:pt>
                <c:pt idx="15">
                  <c:v>0</c:v>
                </c:pt>
                <c:pt idx="17">
                  <c:v>922900</c:v>
                </c:pt>
                <c:pt idx="18">
                  <c:v>0</c:v>
                </c:pt>
                <c:pt idx="19">
                  <c:v>2464100</c:v>
                </c:pt>
                <c:pt idx="20">
                  <c:v>876300.01589655876</c:v>
                </c:pt>
                <c:pt idx="21">
                  <c:v>713699.99349117279</c:v>
                </c:pt>
                <c:pt idx="22">
                  <c:v>1590000.0093877316</c:v>
                </c:pt>
                <c:pt idx="23">
                  <c:v>4054100.0093877316</c:v>
                </c:pt>
                <c:pt idx="24">
                  <c:v>10945899.990612268</c:v>
                </c:pt>
                <c:pt idx="25">
                  <c:v>1618080.0093877316</c:v>
                </c:pt>
                <c:pt idx="26">
                  <c:v>3208080.0187754631</c:v>
                </c:pt>
              </c:numCache>
            </c:numRef>
          </c:val>
          <c:extLst>
            <c:ext xmlns:c16="http://schemas.microsoft.com/office/drawing/2014/chart" uri="{C3380CC4-5D6E-409C-BE32-E72D297353CC}">
              <c16:uniqueId val="{00000000-E925-41DD-8B6A-9B72B4422238}"/>
            </c:ext>
          </c:extLst>
        </c:ser>
        <c:ser>
          <c:idx val="1"/>
          <c:order val="1"/>
          <c:tx>
            <c:strRef>
              <c:f>シミュレーション!$E$36</c:f>
              <c:strCache>
                <c:ptCount val="1"/>
                <c:pt idx="0">
                  <c:v>0</c:v>
                </c:pt>
              </c:strCache>
            </c:strRef>
          </c:tx>
          <c:spPr>
            <a:solidFill>
              <a:schemeClr val="accent2"/>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シミュレーション!$E$37:$E$63</c:f>
              <c:numCache>
                <c:formatCode>#,##0_);[Red]\(#,##0\)</c:formatCode>
                <c:ptCount val="27"/>
                <c:pt idx="0">
                  <c:v>0</c:v>
                </c:pt>
                <c:pt idx="7">
                  <c:v>0</c:v>
                </c:pt>
                <c:pt idx="10">
                  <c:v>0</c:v>
                </c:pt>
                <c:pt idx="12">
                  <c:v>950000</c:v>
                </c:pt>
                <c:pt idx="13">
                  <c:v>0</c:v>
                </c:pt>
                <c:pt idx="14">
                  <c:v>0</c:v>
                </c:pt>
                <c:pt idx="15">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1-E925-41DD-8B6A-9B72B4422238}"/>
            </c:ext>
          </c:extLst>
        </c:ser>
        <c:ser>
          <c:idx val="2"/>
          <c:order val="2"/>
          <c:tx>
            <c:strRef>
              <c:f>シミュレーション!$F$36</c:f>
              <c:strCache>
                <c:ptCount val="1"/>
                <c:pt idx="0">
                  <c:v>0</c:v>
                </c:pt>
              </c:strCache>
            </c:strRef>
          </c:tx>
          <c:spPr>
            <a:solidFill>
              <a:schemeClr val="accent3"/>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シミュレーション!$F$37:$F$63</c:f>
              <c:numCache>
                <c:formatCode>#,##0_);[Red]\(#,##0\)</c:formatCode>
                <c:ptCount val="27"/>
                <c:pt idx="0">
                  <c:v>0</c:v>
                </c:pt>
                <c:pt idx="7">
                  <c:v>0</c:v>
                </c:pt>
                <c:pt idx="10">
                  <c:v>0</c:v>
                </c:pt>
                <c:pt idx="12">
                  <c:v>950000</c:v>
                </c:pt>
                <c:pt idx="13">
                  <c:v>0</c:v>
                </c:pt>
                <c:pt idx="14">
                  <c:v>0</c:v>
                </c:pt>
                <c:pt idx="15">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2-E925-41DD-8B6A-9B72B4422238}"/>
            </c:ext>
          </c:extLst>
        </c:ser>
        <c:ser>
          <c:idx val="3"/>
          <c:order val="3"/>
          <c:tx>
            <c:strRef>
              <c:f>シミュレーション!$G$36</c:f>
              <c:strCache>
                <c:ptCount val="1"/>
                <c:pt idx="0">
                  <c:v>0</c:v>
                </c:pt>
              </c:strCache>
            </c:strRef>
          </c:tx>
          <c:spPr>
            <a:solidFill>
              <a:schemeClr val="accent4"/>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シミュレーション!$G$37:$G$63</c:f>
              <c:numCache>
                <c:formatCode>#,##0_);[Red]\(#,##0\)</c:formatCode>
                <c:ptCount val="27"/>
                <c:pt idx="0">
                  <c:v>0</c:v>
                </c:pt>
                <c:pt idx="7">
                  <c:v>0</c:v>
                </c:pt>
                <c:pt idx="10">
                  <c:v>0</c:v>
                </c:pt>
                <c:pt idx="12">
                  <c:v>950000</c:v>
                </c:pt>
                <c:pt idx="13">
                  <c:v>0</c:v>
                </c:pt>
                <c:pt idx="14">
                  <c:v>0</c:v>
                </c:pt>
                <c:pt idx="15">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3-E925-41DD-8B6A-9B72B4422238}"/>
            </c:ext>
          </c:extLst>
        </c:ser>
        <c:ser>
          <c:idx val="4"/>
          <c:order val="4"/>
          <c:tx>
            <c:strRef>
              <c:f>シミュレーション!$H$36</c:f>
              <c:strCache>
                <c:ptCount val="1"/>
                <c:pt idx="0">
                  <c:v>0</c:v>
                </c:pt>
              </c:strCache>
            </c:strRef>
          </c:tx>
          <c:spPr>
            <a:solidFill>
              <a:schemeClr val="accent5"/>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シミュレーション!$H$37:$H$63</c:f>
              <c:numCache>
                <c:formatCode>#,##0_);[Red]\(#,##0\)</c:formatCode>
                <c:ptCount val="27"/>
                <c:pt idx="0">
                  <c:v>0</c:v>
                </c:pt>
                <c:pt idx="7">
                  <c:v>0</c:v>
                </c:pt>
                <c:pt idx="10">
                  <c:v>0</c:v>
                </c:pt>
                <c:pt idx="12">
                  <c:v>950000</c:v>
                </c:pt>
                <c:pt idx="13">
                  <c:v>0</c:v>
                </c:pt>
                <c:pt idx="14">
                  <c:v>0</c:v>
                </c:pt>
                <c:pt idx="15">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4-E925-41DD-8B6A-9B72B4422238}"/>
            </c:ext>
          </c:extLst>
        </c:ser>
        <c:ser>
          <c:idx val="5"/>
          <c:order val="5"/>
          <c:tx>
            <c:strRef>
              <c:f>シミュレーション!$I$36</c:f>
              <c:strCache>
                <c:ptCount val="1"/>
                <c:pt idx="0">
                  <c:v>0</c:v>
                </c:pt>
              </c:strCache>
            </c:strRef>
          </c:tx>
          <c:spPr>
            <a:solidFill>
              <a:schemeClr val="accent6"/>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シミュレーション!$I$37:$I$63</c:f>
              <c:numCache>
                <c:formatCode>#,##0_);[Red]\(#,##0\)</c:formatCode>
                <c:ptCount val="27"/>
                <c:pt idx="0">
                  <c:v>0</c:v>
                </c:pt>
                <c:pt idx="7">
                  <c:v>0</c:v>
                </c:pt>
                <c:pt idx="10">
                  <c:v>0</c:v>
                </c:pt>
                <c:pt idx="12">
                  <c:v>950000</c:v>
                </c:pt>
                <c:pt idx="13">
                  <c:v>0</c:v>
                </c:pt>
                <c:pt idx="14">
                  <c:v>0</c:v>
                </c:pt>
                <c:pt idx="15">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5-E925-41DD-8B6A-9B72B4422238}"/>
            </c:ext>
          </c:extLst>
        </c:ser>
        <c:ser>
          <c:idx val="6"/>
          <c:order val="6"/>
          <c:tx>
            <c:strRef>
              <c:f>シミュレーション!$J$36</c:f>
              <c:strCache>
                <c:ptCount val="1"/>
                <c:pt idx="0">
                  <c:v>0</c:v>
                </c:pt>
              </c:strCache>
            </c:strRef>
          </c:tx>
          <c:spPr>
            <a:solidFill>
              <a:schemeClr val="accent1">
                <a:lumMod val="60000"/>
              </a:schemeClr>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シミュレーション!$J$37:$J$63</c:f>
              <c:numCache>
                <c:formatCode>#,##0_);[Red]\(#,##0\)</c:formatCode>
                <c:ptCount val="27"/>
                <c:pt idx="0">
                  <c:v>0</c:v>
                </c:pt>
                <c:pt idx="7">
                  <c:v>0</c:v>
                </c:pt>
                <c:pt idx="10">
                  <c:v>0</c:v>
                </c:pt>
                <c:pt idx="12">
                  <c:v>950000</c:v>
                </c:pt>
                <c:pt idx="13">
                  <c:v>0</c:v>
                </c:pt>
                <c:pt idx="14">
                  <c:v>0</c:v>
                </c:pt>
                <c:pt idx="15">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6-E925-41DD-8B6A-9B72B4422238}"/>
            </c:ext>
          </c:extLst>
        </c:ser>
        <c:ser>
          <c:idx val="7"/>
          <c:order val="7"/>
          <c:tx>
            <c:strRef>
              <c:f>シミュレーション!$K$36</c:f>
              <c:strCache>
                <c:ptCount val="1"/>
                <c:pt idx="0">
                  <c:v>0</c:v>
                </c:pt>
              </c:strCache>
            </c:strRef>
          </c:tx>
          <c:spPr>
            <a:solidFill>
              <a:schemeClr val="accent2">
                <a:lumMod val="60000"/>
              </a:schemeClr>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シミュレーション!$K$37:$K$63</c:f>
              <c:numCache>
                <c:formatCode>#,##0_);[Red]\(#,##0\)</c:formatCode>
                <c:ptCount val="27"/>
                <c:pt idx="0">
                  <c:v>0</c:v>
                </c:pt>
                <c:pt idx="7">
                  <c:v>0</c:v>
                </c:pt>
                <c:pt idx="10">
                  <c:v>0</c:v>
                </c:pt>
                <c:pt idx="12">
                  <c:v>950000</c:v>
                </c:pt>
                <c:pt idx="13">
                  <c:v>0</c:v>
                </c:pt>
                <c:pt idx="14">
                  <c:v>0</c:v>
                </c:pt>
                <c:pt idx="15">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7-E925-41DD-8B6A-9B72B4422238}"/>
            </c:ext>
          </c:extLst>
        </c:ser>
        <c:ser>
          <c:idx val="8"/>
          <c:order val="8"/>
          <c:tx>
            <c:strRef>
              <c:f>シミュレーション!$L$36</c:f>
              <c:strCache>
                <c:ptCount val="1"/>
                <c:pt idx="0">
                  <c:v>0</c:v>
                </c:pt>
              </c:strCache>
            </c:strRef>
          </c:tx>
          <c:spPr>
            <a:solidFill>
              <a:schemeClr val="accent3">
                <a:lumMod val="60000"/>
              </a:schemeClr>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シミュレーション!$L$37:$L$63</c:f>
              <c:numCache>
                <c:formatCode>#,##0_);[Red]\(#,##0\)</c:formatCode>
                <c:ptCount val="27"/>
                <c:pt idx="0">
                  <c:v>0</c:v>
                </c:pt>
                <c:pt idx="7">
                  <c:v>0</c:v>
                </c:pt>
                <c:pt idx="10">
                  <c:v>0</c:v>
                </c:pt>
                <c:pt idx="12">
                  <c:v>950000</c:v>
                </c:pt>
                <c:pt idx="13">
                  <c:v>0</c:v>
                </c:pt>
                <c:pt idx="14">
                  <c:v>0</c:v>
                </c:pt>
                <c:pt idx="15">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8-E925-41DD-8B6A-9B72B4422238}"/>
            </c:ext>
          </c:extLst>
        </c:ser>
        <c:ser>
          <c:idx val="9"/>
          <c:order val="9"/>
          <c:tx>
            <c:strRef>
              <c:f>シミュレーション!$M$36</c:f>
              <c:strCache>
                <c:ptCount val="1"/>
                <c:pt idx="0">
                  <c:v>0</c:v>
                </c:pt>
              </c:strCache>
            </c:strRef>
          </c:tx>
          <c:spPr>
            <a:solidFill>
              <a:schemeClr val="accent4">
                <a:lumMod val="60000"/>
              </a:schemeClr>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シミュレーション!$M$37:$M$63</c:f>
              <c:numCache>
                <c:formatCode>#,##0_);[Red]\(#,##0\)</c:formatCode>
                <c:ptCount val="27"/>
                <c:pt idx="0">
                  <c:v>0</c:v>
                </c:pt>
                <c:pt idx="7">
                  <c:v>0</c:v>
                </c:pt>
                <c:pt idx="10">
                  <c:v>0</c:v>
                </c:pt>
                <c:pt idx="12">
                  <c:v>950000</c:v>
                </c:pt>
                <c:pt idx="13">
                  <c:v>0</c:v>
                </c:pt>
                <c:pt idx="14">
                  <c:v>0</c:v>
                </c:pt>
                <c:pt idx="15">
                  <c:v>0</c:v>
                </c:pt>
                <c:pt idx="17">
                  <c:v>0</c:v>
                </c:pt>
                <c:pt idx="18">
                  <c:v>0</c:v>
                </c:pt>
                <c:pt idx="19">
                  <c:v>0</c:v>
                </c:pt>
                <c:pt idx="20">
                  <c:v>0</c:v>
                </c:pt>
                <c:pt idx="21">
                  <c:v>0</c:v>
                </c:pt>
                <c:pt idx="22">
                  <c:v>0</c:v>
                </c:pt>
                <c:pt idx="23">
                  <c:v>0</c:v>
                </c:pt>
                <c:pt idx="24">
                  <c:v>0</c:v>
                </c:pt>
                <c:pt idx="25">
                  <c:v>0</c:v>
                </c:pt>
                <c:pt idx="26">
                  <c:v>0</c:v>
                </c:pt>
              </c:numCache>
            </c:numRef>
          </c:val>
          <c:extLst>
            <c:ext xmlns:c16="http://schemas.microsoft.com/office/drawing/2014/chart" uri="{C3380CC4-5D6E-409C-BE32-E72D297353CC}">
              <c16:uniqueId val="{00000009-E925-41DD-8B6A-9B72B4422238}"/>
            </c:ext>
          </c:extLst>
        </c:ser>
        <c:ser>
          <c:idx val="10"/>
          <c:order val="10"/>
          <c:tx>
            <c:strRef>
              <c:f>シミュレーション!$N$36</c:f>
              <c:strCache>
                <c:ptCount val="1"/>
                <c:pt idx="0">
                  <c:v>合計</c:v>
                </c:pt>
              </c:strCache>
            </c:strRef>
          </c:tx>
          <c:spPr>
            <a:solidFill>
              <a:schemeClr val="accent5">
                <a:lumMod val="60000"/>
              </a:schemeClr>
            </a:solidFill>
            <a:ln>
              <a:noFill/>
            </a:ln>
            <a:effectLst/>
          </c:spPr>
          <c:invertIfNegative val="0"/>
          <c:cat>
            <c:strRef>
              <c:f>シミュレーション!$B$36:$C$61</c:f>
              <c:strCache>
                <c:ptCount val="26"/>
                <c:pt idx="0">
                  <c:v>役員名</c:v>
                </c:pt>
                <c:pt idx="1">
                  <c:v>年齢</c:v>
                </c:pt>
                <c:pt idx="2">
                  <c:v>定期同額</c:v>
                </c:pt>
                <c:pt idx="3">
                  <c:v>事前確定給与1回目</c:v>
                </c:pt>
                <c:pt idx="4">
                  <c:v>事前確定給与2回目</c:v>
                </c:pt>
                <c:pt idx="5">
                  <c:v>事前確定給与3回目</c:v>
                </c:pt>
                <c:pt idx="6">
                  <c:v>他の給与収入</c:v>
                </c:pt>
                <c:pt idx="7">
                  <c:v>確定給付年金掛金</c:v>
                </c:pt>
                <c:pt idx="8">
                  <c:v>給与所得金額</c:v>
                </c:pt>
                <c:pt idx="9">
                  <c:v>配当所得</c:v>
                </c:pt>
                <c:pt idx="10">
                  <c:v>他の所得金額</c:v>
                </c:pt>
                <c:pt idx="11">
                  <c:v>社会保険料控除額</c:v>
                </c:pt>
                <c:pt idx="12">
                  <c:v>他の所得控除額</c:v>
                </c:pt>
                <c:pt idx="13">
                  <c:v>基礎控除額</c:v>
                </c:pt>
                <c:pt idx="14">
                  <c:v>課税所得金額</c:v>
                </c:pt>
                <c:pt idx="15">
                  <c:v>所得税</c:v>
                </c:pt>
                <c:pt idx="16">
                  <c:v>配当控除額</c:v>
                </c:pt>
                <c:pt idx="17">
                  <c:v>税額控除</c:v>
                </c:pt>
                <c:pt idx="18">
                  <c:v>住民税</c:v>
                </c:pt>
                <c:pt idx="19">
                  <c:v>配当控除額</c:v>
                </c:pt>
                <c:pt idx="20">
                  <c:v>個人税金合計</c:v>
                </c:pt>
                <c:pt idx="21">
                  <c:v>健康保険料</c:v>
                </c:pt>
                <c:pt idx="22">
                  <c:v>厚生年金保険料</c:v>
                </c:pt>
                <c:pt idx="23">
                  <c:v>社会保険料計</c:v>
                </c:pt>
                <c:pt idx="24">
                  <c:v>税金＋社会保険料</c:v>
                </c:pt>
                <c:pt idx="25">
                  <c:v>手取り額</c:v>
                </c:pt>
              </c:strCache>
            </c:strRef>
          </c:cat>
          <c:val>
            <c:numRef>
              <c:f>シミュレーション!$N$37:$N$63</c:f>
              <c:numCache>
                <c:formatCode>#,##0_);[Red]\(#,##0\)</c:formatCode>
                <c:ptCount val="27"/>
                <c:pt idx="1">
                  <c:v>15000000</c:v>
                </c:pt>
                <c:pt idx="2">
                  <c:v>0</c:v>
                </c:pt>
                <c:pt idx="3">
                  <c:v>0</c:v>
                </c:pt>
                <c:pt idx="4">
                  <c:v>0</c:v>
                </c:pt>
                <c:pt idx="5">
                  <c:v>0</c:v>
                </c:pt>
                <c:pt idx="6">
                  <c:v>0</c:v>
                </c:pt>
                <c:pt idx="7">
                  <c:v>12900000</c:v>
                </c:pt>
                <c:pt idx="8">
                  <c:v>0</c:v>
                </c:pt>
                <c:pt idx="9">
                  <c:v>0</c:v>
                </c:pt>
                <c:pt idx="10">
                  <c:v>1590000.0093877316</c:v>
                </c:pt>
                <c:pt idx="11">
                  <c:v>1500000</c:v>
                </c:pt>
                <c:pt idx="12">
                  <c:v>9130000</c:v>
                </c:pt>
                <c:pt idx="13">
                  <c:v>9229000</c:v>
                </c:pt>
                <c:pt idx="14">
                  <c:v>1541270.97</c:v>
                </c:pt>
                <c:pt idx="15">
                  <c:v>0</c:v>
                </c:pt>
                <c:pt idx="16">
                  <c:v>0</c:v>
                </c:pt>
                <c:pt idx="17">
                  <c:v>922900</c:v>
                </c:pt>
                <c:pt idx="18">
                  <c:v>0</c:v>
                </c:pt>
                <c:pt idx="19">
                  <c:v>2464100</c:v>
                </c:pt>
                <c:pt idx="20">
                  <c:v>876300.01589655876</c:v>
                </c:pt>
                <c:pt idx="21">
                  <c:v>713699.99349117279</c:v>
                </c:pt>
                <c:pt idx="22">
                  <c:v>1590000.0093877316</c:v>
                </c:pt>
                <c:pt idx="23">
                  <c:v>4054100.0093877316</c:v>
                </c:pt>
                <c:pt idx="24">
                  <c:v>10945899.990612268</c:v>
                </c:pt>
                <c:pt idx="25">
                  <c:v>1618080.0093877316</c:v>
                </c:pt>
                <c:pt idx="26">
                  <c:v>3208080.0187754631</c:v>
                </c:pt>
              </c:numCache>
            </c:numRef>
          </c:val>
          <c:extLst>
            <c:ext xmlns:c16="http://schemas.microsoft.com/office/drawing/2014/chart" uri="{C3380CC4-5D6E-409C-BE32-E72D297353CC}">
              <c16:uniqueId val="{0000000A-E925-41DD-8B6A-9B72B4422238}"/>
            </c:ext>
          </c:extLst>
        </c:ser>
        <c:dLbls>
          <c:showLegendKey val="0"/>
          <c:showVal val="0"/>
          <c:showCatName val="0"/>
          <c:showSerName val="0"/>
          <c:showPercent val="0"/>
          <c:showBubbleSize val="0"/>
        </c:dLbls>
        <c:gapWidth val="219"/>
        <c:overlap val="-27"/>
        <c:axId val="645820448"/>
        <c:axId val="645812904"/>
      </c:barChart>
      <c:catAx>
        <c:axId val="645820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45812904"/>
        <c:crosses val="autoZero"/>
        <c:auto val="1"/>
        <c:lblAlgn val="ctr"/>
        <c:lblOffset val="100"/>
        <c:noMultiLvlLbl val="0"/>
      </c:catAx>
      <c:valAx>
        <c:axId val="645812904"/>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45820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F7E6A82-875D-4D82-82A2-25F2D09D086C}">
  <sheetPr codeName="グラフ1"/>
  <sheetViews>
    <sheetView zoomScale="120" workbookViewId="0" zoomToFit="1"/>
  </sheetViews>
  <sheetProtection content="1" objects="1"/>
  <pageMargins left="0.7" right="0.7" top="0.75" bottom="0.75" header="0.3" footer="0.3"/>
  <drawing r:id="rId1"/>
</chartsheet>
</file>

<file path=xl/ctrlProps/ctrlProp1.xml><?xml version="1.0" encoding="utf-8"?>
<formControlPr xmlns="http://schemas.microsoft.com/office/spreadsheetml/2009/9/main" objectType="CheckBox" checked="Checked" fmlaLink="$D$71" lockText="1" noThreeD="1"/>
</file>

<file path=xl/ctrlProps/ctrlProp2.xml><?xml version="1.0" encoding="utf-8"?>
<formControlPr xmlns="http://schemas.microsoft.com/office/spreadsheetml/2009/9/main" objectType="CheckBox" checked="Checked" fmlaLink="F71" lockText="1" noThreeD="1"/>
</file>

<file path=xl/ctrlProps/ctrlProp3.xml><?xml version="1.0" encoding="utf-8"?>
<formControlPr xmlns="http://schemas.microsoft.com/office/spreadsheetml/2009/9/main" objectType="CheckBox" checked="Checked" fmlaLink="G71" lockText="1" noThreeD="1"/>
</file>

<file path=xl/ctrlProps/ctrlProp4.xml><?xml version="1.0" encoding="utf-8"?>
<formControlPr xmlns="http://schemas.microsoft.com/office/spreadsheetml/2009/9/main" objectType="CheckBox" checked="Checked" fmlaLink="H71" lockText="1" noThreeD="1"/>
</file>

<file path=xl/ctrlProps/ctrlProp5.xml><?xml version="1.0" encoding="utf-8"?>
<formControlPr xmlns="http://schemas.microsoft.com/office/spreadsheetml/2009/9/main" objectType="CheckBox" checked="Checked" fmlaLink="I71" lockText="1" noThreeD="1"/>
</file>

<file path=xl/ctrlProps/ctrlProp6.xml><?xml version="1.0" encoding="utf-8"?>
<formControlPr xmlns="http://schemas.microsoft.com/office/spreadsheetml/2009/9/main" objectType="CheckBox" checked="Checked" fmlaLink="J71" lockText="1" noThreeD="1"/>
</file>

<file path=xl/ctrlProps/ctrlProp7.xml><?xml version="1.0" encoding="utf-8"?>
<formControlPr xmlns="http://schemas.microsoft.com/office/spreadsheetml/2009/9/main" objectType="CheckBox" checked="Checked" fmlaLink="K71" lockText="1" noThreeD="1"/>
</file>

<file path=xl/ctrlProps/ctrlProp8.xml><?xml version="1.0" encoding="utf-8"?>
<formControlPr xmlns="http://schemas.microsoft.com/office/spreadsheetml/2009/9/main" objectType="CheckBox" checked="Checked" fmlaLink="L71" lockText="1" noThreeD="1"/>
</file>

<file path=xl/ctrlProps/ctrlProp9.xml><?xml version="1.0" encoding="utf-8"?>
<formControlPr xmlns="http://schemas.microsoft.com/office/spreadsheetml/2009/9/main" objectType="CheckBox" checked="Checked" fmlaLink="M71"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D$81" lockText="1" noThreeD="1"/>
</file>

<file path=xl/ctrlProps/ctrlProp16.xml><?xml version="1.0" encoding="utf-8"?>
<formControlPr xmlns="http://schemas.microsoft.com/office/spreadsheetml/2009/9/main" objectType="CheckBox" checked="Checked" fmlaLink="$E$81" lockText="1" noThreeD="1"/>
</file>

<file path=xl/ctrlProps/ctrlProp17.xml><?xml version="1.0" encoding="utf-8"?>
<formControlPr xmlns="http://schemas.microsoft.com/office/spreadsheetml/2009/9/main" objectType="CheckBox" checked="Checked" fmlaLink="F81" lockText="1" noThreeD="1"/>
</file>

<file path=xl/ctrlProps/ctrlProp18.xml><?xml version="1.0" encoding="utf-8"?>
<formControlPr xmlns="http://schemas.microsoft.com/office/spreadsheetml/2009/9/main" objectType="CheckBox" checked="Checked" fmlaLink="G81" lockText="1" noThreeD="1"/>
</file>

<file path=xl/ctrlProps/ctrlProp19.xml><?xml version="1.0" encoding="utf-8"?>
<formControlPr xmlns="http://schemas.microsoft.com/office/spreadsheetml/2009/9/main" objectType="CheckBox" checked="Checked" fmlaLink="H81" lockText="1" noThreeD="1"/>
</file>

<file path=xl/ctrlProps/ctrlProp20.xml><?xml version="1.0" encoding="utf-8"?>
<formControlPr xmlns="http://schemas.microsoft.com/office/spreadsheetml/2009/9/main" objectType="CheckBox" checked="Checked" fmlaLink="I81" lockText="1" noThreeD="1"/>
</file>

<file path=xl/ctrlProps/ctrlProp21.xml><?xml version="1.0" encoding="utf-8"?>
<formControlPr xmlns="http://schemas.microsoft.com/office/spreadsheetml/2009/9/main" objectType="CheckBox" checked="Checked" fmlaLink="J81" lockText="1" noThreeD="1"/>
</file>

<file path=xl/ctrlProps/ctrlProp22.xml><?xml version="1.0" encoding="utf-8"?>
<formControlPr xmlns="http://schemas.microsoft.com/office/spreadsheetml/2009/9/main" objectType="CheckBox" checked="Checked" fmlaLink="K81" lockText="1" noThreeD="1"/>
</file>

<file path=xl/ctrlProps/ctrlProp23.xml><?xml version="1.0" encoding="utf-8"?>
<formControlPr xmlns="http://schemas.microsoft.com/office/spreadsheetml/2009/9/main" objectType="CheckBox" checked="Checked" fmlaLink="L81" lockText="1" noThreeD="1"/>
</file>

<file path=xl/ctrlProps/ctrlProp24.xml><?xml version="1.0" encoding="utf-8"?>
<formControlPr xmlns="http://schemas.microsoft.com/office/spreadsheetml/2009/9/main" objectType="CheckBox" checked="Checked" fmlaLink="M81" lockText="1" noThreeD="1"/>
</file>

<file path=xl/ctrlProps/ctrlProp25.xml><?xml version="1.0" encoding="utf-8"?>
<formControlPr xmlns="http://schemas.microsoft.com/office/spreadsheetml/2009/9/main" objectType="CheckBox" checked="Checked" fmlaLink="$D$84" lockText="1" noThreeD="1"/>
</file>

<file path=xl/ctrlProps/ctrlProp26.xml><?xml version="1.0" encoding="utf-8"?>
<formControlPr xmlns="http://schemas.microsoft.com/office/spreadsheetml/2009/9/main" objectType="CheckBox" checked="Checked" fmlaLink="$E$84" lockText="1" noThreeD="1"/>
</file>

<file path=xl/ctrlProps/ctrlProp27.xml><?xml version="1.0" encoding="utf-8"?>
<formControlPr xmlns="http://schemas.microsoft.com/office/spreadsheetml/2009/9/main" objectType="CheckBox" checked="Checked" fmlaLink="$F$84" lockText="1" noThreeD="1"/>
</file>

<file path=xl/ctrlProps/ctrlProp28.xml><?xml version="1.0" encoding="utf-8"?>
<formControlPr xmlns="http://schemas.microsoft.com/office/spreadsheetml/2009/9/main" objectType="CheckBox" checked="Checked" fmlaLink="$G$84" lockText="1" noThreeD="1"/>
</file>

<file path=xl/ctrlProps/ctrlProp29.xml><?xml version="1.0" encoding="utf-8"?>
<formControlPr xmlns="http://schemas.microsoft.com/office/spreadsheetml/2009/9/main" objectType="CheckBox" checked="Checked" fmlaLink="$H$84" lockText="1" noThreeD="1"/>
</file>

<file path=xl/ctrlProps/ctrlProp30.xml><?xml version="1.0" encoding="utf-8"?>
<formControlPr xmlns="http://schemas.microsoft.com/office/spreadsheetml/2009/9/main" objectType="CheckBox" checked="Checked" fmlaLink="$I$84" lockText="1" noThreeD="1"/>
</file>

<file path=xl/ctrlProps/ctrlProp31.xml><?xml version="1.0" encoding="utf-8"?>
<formControlPr xmlns="http://schemas.microsoft.com/office/spreadsheetml/2009/9/main" objectType="CheckBox" checked="Checked" fmlaLink="$J$84" lockText="1" noThreeD="1"/>
</file>

<file path=xl/ctrlProps/ctrlProp32.xml><?xml version="1.0" encoding="utf-8"?>
<formControlPr xmlns="http://schemas.microsoft.com/office/spreadsheetml/2009/9/main" objectType="CheckBox" checked="Checked" fmlaLink="$K$84" lockText="1" noThreeD="1"/>
</file>

<file path=xl/ctrlProps/ctrlProp33.xml><?xml version="1.0" encoding="utf-8"?>
<formControlPr xmlns="http://schemas.microsoft.com/office/spreadsheetml/2009/9/main" objectType="CheckBox" checked="Checked" fmlaLink="$L$84" lockText="1" noThreeD="1"/>
</file>

<file path=xl/ctrlProps/ctrlProp34.xml><?xml version="1.0" encoding="utf-8"?>
<formControlPr xmlns="http://schemas.microsoft.com/office/spreadsheetml/2009/9/main" objectType="CheckBox" checked="Checked" fmlaLink="$M$84"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Radio" checked="Checked" firstButton="1" fmlaLink="$AT$1" lockText="1" noThreeD="1"/>
</file>

<file path=xl/ctrlProps/ctrlProp39.xml><?xml version="1.0" encoding="utf-8"?>
<formControlPr xmlns="http://schemas.microsoft.com/office/spreadsheetml/2009/9/main" objectType="Radio" lockText="1"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CheckBox" fmlaLink="D77" lockText="1" noThreeD="1"/>
</file>

<file path=xl/ctrlProps/ctrlProp42.xml><?xml version="1.0" encoding="utf-8"?>
<formControlPr xmlns="http://schemas.microsoft.com/office/spreadsheetml/2009/9/main" objectType="CheckBox" checked="Checked" fmlaLink="$E$71" lockText="1" noThreeD="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Radio" checked="Checked" firstButton="1" fmlaLink="$AS$1" lockText="1" noThreeD="1"/>
</file>

<file path=xl/ctrlProps/ctrlProp46.xml><?xml version="1.0" encoding="utf-8"?>
<formControlPr xmlns="http://schemas.microsoft.com/office/spreadsheetml/2009/9/main" objectType="Radio" lockText="1" noThreeD="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Radio" checked="Checked" firstButton="1" fmlaLink="$AT$1" lockText="1" noThreeD="1"/>
</file>

<file path=xl/ctrlProps/ctrlProp52.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absoluteAnchor>
    <xdr:pos x="0" y="0"/>
    <xdr:ext cx="9302750" cy="6080125"/>
    <xdr:graphicFrame macro="">
      <xdr:nvGraphicFramePr>
        <xdr:cNvPr id="2" name="グラフ 1">
          <a:extLst>
            <a:ext uri="{FF2B5EF4-FFF2-40B4-BE49-F238E27FC236}">
              <a16:creationId xmlns:a16="http://schemas.microsoft.com/office/drawing/2014/main" id="{00000000-0008-0000-0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xdr:from>
      <xdr:col>1</xdr:col>
      <xdr:colOff>364672</xdr:colOff>
      <xdr:row>15</xdr:row>
      <xdr:rowOff>163284</xdr:rowOff>
    </xdr:from>
    <xdr:to>
      <xdr:col>2</xdr:col>
      <xdr:colOff>5366657</xdr:colOff>
      <xdr:row>25</xdr:row>
      <xdr:rowOff>136070</xdr:rowOff>
    </xdr:to>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017815" y="2977241"/>
          <a:ext cx="5655128" cy="176892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900"/>
            <a:t>免 責 事 項</a:t>
          </a:r>
        </a:p>
        <a:p>
          <a:r>
            <a:rPr kumimoji="1" lang="ja-JP" altLang="en-US" sz="900"/>
            <a:t>本ソフトウェアは、入力された情報に基づいて、概算シミュレーションを行うツールであり、</a:t>
          </a:r>
        </a:p>
        <a:p>
          <a:r>
            <a:rPr kumimoji="1" lang="ja-JP" altLang="en-US" sz="900"/>
            <a:t>税額計算、社会保険料計算等の正確性・完全性を保証するものではありません。</a:t>
          </a:r>
        </a:p>
        <a:p>
          <a:endParaRPr kumimoji="1" lang="ja-JP" altLang="en-US" sz="900"/>
        </a:p>
        <a:p>
          <a:r>
            <a:rPr kumimoji="1" lang="ja-JP" altLang="en-US" sz="900"/>
            <a:t>本ソフトウエアを利用される場合は、法令または公的機関による情報等をご参照のうえ、ご自身の判断と責任のもとにご利用ください。</a:t>
          </a:r>
        </a:p>
        <a:p>
          <a:endParaRPr kumimoji="1" lang="ja-JP" altLang="en-US" sz="900"/>
        </a:p>
        <a:p>
          <a:r>
            <a:rPr kumimoji="1" lang="ja-JP" altLang="en-US" sz="900"/>
            <a:t>また、本ソフトウエアを利用されることにより、利用者および第三者が被る直接的および間接的な損害について、弊社は一切の責任を負いません。</a:t>
          </a:r>
        </a:p>
        <a:p>
          <a:endParaRPr kumimoji="1" lang="ja-JP" alt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107950</xdr:colOff>
          <xdr:row>1</xdr:row>
          <xdr:rowOff>0</xdr:rowOff>
        </xdr:from>
        <xdr:to>
          <xdr:col>4</xdr:col>
          <xdr:colOff>133350</xdr:colOff>
          <xdr:row>1</xdr:row>
          <xdr:rowOff>19050</xdr:rowOff>
        </xdr:to>
        <xdr:sp macro="" textlink="">
          <xdr:nvSpPr>
            <xdr:cNvPr id="1077" name="CheckBox2" hidden="1">
              <a:extLst>
                <a:ext uri="{63B3BB69-23CF-44E3-9099-C40C66FF867C}">
                  <a14:compatExt spid="_x0000_s1077"/>
                </a:ext>
                <a:ext uri="{FF2B5EF4-FFF2-40B4-BE49-F238E27FC236}">
                  <a16:creationId xmlns:a16="http://schemas.microsoft.com/office/drawing/2014/main" id="{00000000-0008-0000-02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260350</xdr:colOff>
          <xdr:row>1</xdr:row>
          <xdr:rowOff>0</xdr:rowOff>
        </xdr:from>
        <xdr:to>
          <xdr:col>6</xdr:col>
          <xdr:colOff>285750</xdr:colOff>
          <xdr:row>1</xdr:row>
          <xdr:rowOff>19050</xdr:rowOff>
        </xdr:to>
        <xdr:sp macro="" textlink="">
          <xdr:nvSpPr>
            <xdr:cNvPr id="1078" name="CheckBox4" hidden="1">
              <a:extLst>
                <a:ext uri="{63B3BB69-23CF-44E3-9099-C40C66FF867C}">
                  <a14:compatExt spid="_x0000_s1078"/>
                </a:ext>
                <a:ext uri="{FF2B5EF4-FFF2-40B4-BE49-F238E27FC236}">
                  <a16:creationId xmlns:a16="http://schemas.microsoft.com/office/drawing/2014/main" id="{00000000-0008-0000-0200-00003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10</xdr:col>
      <xdr:colOff>0</xdr:colOff>
      <xdr:row>0</xdr:row>
      <xdr:rowOff>145260</xdr:rowOff>
    </xdr:from>
    <xdr:to>
      <xdr:col>10</xdr:col>
      <xdr:colOff>333375</xdr:colOff>
      <xdr:row>0</xdr:row>
      <xdr:rowOff>497685</xdr:rowOff>
    </xdr:to>
    <xdr:sp macro="" textlink="">
      <xdr:nvSpPr>
        <xdr:cNvPr id="84" name="テキスト ボックス 83">
          <a:extLst>
            <a:ext uri="{FF2B5EF4-FFF2-40B4-BE49-F238E27FC236}">
              <a16:creationId xmlns:a16="http://schemas.microsoft.com/office/drawing/2014/main" id="{00000000-0008-0000-0200-000054000000}"/>
            </a:ext>
          </a:extLst>
        </xdr:cNvPr>
        <xdr:cNvSpPr txBox="1"/>
      </xdr:nvSpPr>
      <xdr:spPr>
        <a:xfrm>
          <a:off x="7010400" y="145260"/>
          <a:ext cx="33337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kumimoji="1" lang="ja-JP" altLang="en-US" sz="1400" b="1">
            <a:solidFill>
              <a:srgbClr val="0070C0"/>
            </a:solidFill>
            <a:latin typeface="メイリオ" panose="020B0604030504040204" pitchFamily="50" charset="-128"/>
            <a:ea typeface="メイリオ" panose="020B0604030504040204" pitchFamily="50" charset="-128"/>
          </a:endParaRPr>
        </a:p>
      </xdr:txBody>
    </xdr:sp>
    <xdr:clientData/>
  </xdr:twoCellAnchor>
  <mc:AlternateContent xmlns:mc="http://schemas.openxmlformats.org/markup-compatibility/2006">
    <mc:Choice xmlns:a14="http://schemas.microsoft.com/office/drawing/2010/main" Requires="a14">
      <xdr:twoCellAnchor editAs="absolute">
        <xdr:from>
          <xdr:col>3</xdr:col>
          <xdr:colOff>187326</xdr:colOff>
          <xdr:row>3</xdr:row>
          <xdr:rowOff>190500</xdr:rowOff>
        </xdr:from>
        <xdr:to>
          <xdr:col>3</xdr:col>
          <xdr:colOff>533400</xdr:colOff>
          <xdr:row>5</xdr:row>
          <xdr:rowOff>73026</xdr:rowOff>
        </xdr:to>
        <xdr:sp macro="" textlink="">
          <xdr:nvSpPr>
            <xdr:cNvPr id="1102" name="チェック 2490" hidden="1">
              <a:extLst>
                <a:ext uri="{63B3BB69-23CF-44E3-9099-C40C66FF867C}">
                  <a14:compatExt spid="_x0000_s1102"/>
                </a:ext>
                <a:ext uri="{FF2B5EF4-FFF2-40B4-BE49-F238E27FC236}">
                  <a16:creationId xmlns:a16="http://schemas.microsoft.com/office/drawing/2014/main" id="{00000000-0008-0000-02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133350</xdr:colOff>
          <xdr:row>3</xdr:row>
          <xdr:rowOff>190500</xdr:rowOff>
        </xdr:from>
        <xdr:to>
          <xdr:col>4</xdr:col>
          <xdr:colOff>514350</xdr:colOff>
          <xdr:row>5</xdr:row>
          <xdr:rowOff>73026</xdr:rowOff>
        </xdr:to>
        <xdr:sp macro="" textlink="">
          <xdr:nvSpPr>
            <xdr:cNvPr id="1103" name="チェック 2491" hidden="1">
              <a:extLst>
                <a:ext uri="{63B3BB69-23CF-44E3-9099-C40C66FF867C}">
                  <a14:compatExt spid="_x0000_s1103"/>
                </a:ext>
                <a:ext uri="{FF2B5EF4-FFF2-40B4-BE49-F238E27FC236}">
                  <a16:creationId xmlns:a16="http://schemas.microsoft.com/office/drawing/2014/main" id="{00000000-0008-0000-02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187326</xdr:colOff>
          <xdr:row>3</xdr:row>
          <xdr:rowOff>190500</xdr:rowOff>
        </xdr:from>
        <xdr:to>
          <xdr:col>5</xdr:col>
          <xdr:colOff>568326</xdr:colOff>
          <xdr:row>5</xdr:row>
          <xdr:rowOff>73026</xdr:rowOff>
        </xdr:to>
        <xdr:sp macro="" textlink="">
          <xdr:nvSpPr>
            <xdr:cNvPr id="1104" name="チェック 2492" hidden="1">
              <a:extLst>
                <a:ext uri="{63B3BB69-23CF-44E3-9099-C40C66FF867C}">
                  <a14:compatExt spid="_x0000_s1104"/>
                </a:ext>
                <a:ext uri="{FF2B5EF4-FFF2-40B4-BE49-F238E27FC236}">
                  <a16:creationId xmlns:a16="http://schemas.microsoft.com/office/drawing/2014/main" id="{00000000-0008-0000-02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3</xdr:row>
          <xdr:rowOff>187326</xdr:rowOff>
        </xdr:from>
        <xdr:to>
          <xdr:col>6</xdr:col>
          <xdr:colOff>568326</xdr:colOff>
          <xdr:row>5</xdr:row>
          <xdr:rowOff>57150</xdr:rowOff>
        </xdr:to>
        <xdr:sp macro="" textlink="">
          <xdr:nvSpPr>
            <xdr:cNvPr id="1105" name="チェック 2493" hidden="1">
              <a:extLst>
                <a:ext uri="{63B3BB69-23CF-44E3-9099-C40C66FF867C}">
                  <a14:compatExt spid="_x0000_s1105"/>
                </a:ext>
                <a:ext uri="{FF2B5EF4-FFF2-40B4-BE49-F238E27FC236}">
                  <a16:creationId xmlns:a16="http://schemas.microsoft.com/office/drawing/2014/main" id="{00000000-0008-0000-02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111126</xdr:colOff>
          <xdr:row>3</xdr:row>
          <xdr:rowOff>187326</xdr:rowOff>
        </xdr:from>
        <xdr:to>
          <xdr:col>7</xdr:col>
          <xdr:colOff>476250</xdr:colOff>
          <xdr:row>5</xdr:row>
          <xdr:rowOff>57150</xdr:rowOff>
        </xdr:to>
        <xdr:sp macro="" textlink="">
          <xdr:nvSpPr>
            <xdr:cNvPr id="1106" name="チェック 2494" hidden="1">
              <a:extLst>
                <a:ext uri="{63B3BB69-23CF-44E3-9099-C40C66FF867C}">
                  <a14:compatExt spid="_x0000_s1106"/>
                </a:ext>
                <a:ext uri="{FF2B5EF4-FFF2-40B4-BE49-F238E27FC236}">
                  <a16:creationId xmlns:a16="http://schemas.microsoft.com/office/drawing/2014/main" id="{00000000-0008-0000-02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228600</xdr:colOff>
          <xdr:row>3</xdr:row>
          <xdr:rowOff>187326</xdr:rowOff>
        </xdr:from>
        <xdr:to>
          <xdr:col>8</xdr:col>
          <xdr:colOff>590550</xdr:colOff>
          <xdr:row>5</xdr:row>
          <xdr:rowOff>57150</xdr:rowOff>
        </xdr:to>
        <xdr:sp macro="" textlink="">
          <xdr:nvSpPr>
            <xdr:cNvPr id="1107" name="チェック 2495" hidden="1">
              <a:extLst>
                <a:ext uri="{63B3BB69-23CF-44E3-9099-C40C66FF867C}">
                  <a14:compatExt spid="_x0000_s1107"/>
                </a:ext>
                <a:ext uri="{FF2B5EF4-FFF2-40B4-BE49-F238E27FC236}">
                  <a16:creationId xmlns:a16="http://schemas.microsoft.com/office/drawing/2014/main" id="{00000000-0008-0000-02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209550</xdr:colOff>
          <xdr:row>3</xdr:row>
          <xdr:rowOff>187326</xdr:rowOff>
        </xdr:from>
        <xdr:to>
          <xdr:col>9</xdr:col>
          <xdr:colOff>568326</xdr:colOff>
          <xdr:row>5</xdr:row>
          <xdr:rowOff>57150</xdr:rowOff>
        </xdr:to>
        <xdr:sp macro="" textlink="">
          <xdr:nvSpPr>
            <xdr:cNvPr id="1108" name="チェック 2496" hidden="1">
              <a:extLst>
                <a:ext uri="{63B3BB69-23CF-44E3-9099-C40C66FF867C}">
                  <a14:compatExt spid="_x0000_s1108"/>
                </a:ext>
                <a:ext uri="{FF2B5EF4-FFF2-40B4-BE49-F238E27FC236}">
                  <a16:creationId xmlns:a16="http://schemas.microsoft.com/office/drawing/2014/main" id="{00000000-0008-0000-02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111126</xdr:colOff>
          <xdr:row>3</xdr:row>
          <xdr:rowOff>187326</xdr:rowOff>
        </xdr:from>
        <xdr:to>
          <xdr:col>10</xdr:col>
          <xdr:colOff>476250</xdr:colOff>
          <xdr:row>5</xdr:row>
          <xdr:rowOff>57150</xdr:rowOff>
        </xdr:to>
        <xdr:sp macro="" textlink="">
          <xdr:nvSpPr>
            <xdr:cNvPr id="1109" name="チェック 2497" hidden="1">
              <a:extLst>
                <a:ext uri="{63B3BB69-23CF-44E3-9099-C40C66FF867C}">
                  <a14:compatExt spid="_x0000_s1109"/>
                </a:ext>
                <a:ext uri="{FF2B5EF4-FFF2-40B4-BE49-F238E27FC236}">
                  <a16:creationId xmlns:a16="http://schemas.microsoft.com/office/drawing/2014/main" id="{00000000-0008-0000-02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209550</xdr:colOff>
          <xdr:row>3</xdr:row>
          <xdr:rowOff>187326</xdr:rowOff>
        </xdr:from>
        <xdr:to>
          <xdr:col>11</xdr:col>
          <xdr:colOff>590550</xdr:colOff>
          <xdr:row>5</xdr:row>
          <xdr:rowOff>57150</xdr:rowOff>
        </xdr:to>
        <xdr:sp macro="" textlink="">
          <xdr:nvSpPr>
            <xdr:cNvPr id="1110" name="チェック 2498" hidden="1">
              <a:extLst>
                <a:ext uri="{63B3BB69-23CF-44E3-9099-C40C66FF867C}">
                  <a14:compatExt spid="_x0000_s1110"/>
                </a:ext>
                <a:ext uri="{FF2B5EF4-FFF2-40B4-BE49-F238E27FC236}">
                  <a16:creationId xmlns:a16="http://schemas.microsoft.com/office/drawing/2014/main" id="{00000000-0008-0000-02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73026</xdr:colOff>
          <xdr:row>3</xdr:row>
          <xdr:rowOff>187326</xdr:rowOff>
        </xdr:from>
        <xdr:to>
          <xdr:col>12</xdr:col>
          <xdr:colOff>454026</xdr:colOff>
          <xdr:row>5</xdr:row>
          <xdr:rowOff>57150</xdr:rowOff>
        </xdr:to>
        <xdr:sp macro="" textlink="">
          <xdr:nvSpPr>
            <xdr:cNvPr id="1111" name="チェック 2499" hidden="1">
              <a:extLst>
                <a:ext uri="{63B3BB69-23CF-44E3-9099-C40C66FF867C}">
                  <a14:compatExt spid="_x0000_s1111"/>
                </a:ext>
                <a:ext uri="{FF2B5EF4-FFF2-40B4-BE49-F238E27FC236}">
                  <a16:creationId xmlns:a16="http://schemas.microsoft.com/office/drawing/2014/main" id="{00000000-0008-0000-02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xdr:twoCellAnchor>
    <xdr:from>
      <xdr:col>4</xdr:col>
      <xdr:colOff>715592</xdr:colOff>
      <xdr:row>2</xdr:row>
      <xdr:rowOff>96707</xdr:rowOff>
    </xdr:from>
    <xdr:to>
      <xdr:col>13</xdr:col>
      <xdr:colOff>54429</xdr:colOff>
      <xdr:row>3</xdr:row>
      <xdr:rowOff>186613</xdr:rowOff>
    </xdr:to>
    <xdr:sp macro="" textlink="">
      <xdr:nvSpPr>
        <xdr:cNvPr id="99" name="テキスト ボックス 98">
          <a:extLst>
            <a:ext uri="{FF2B5EF4-FFF2-40B4-BE49-F238E27FC236}">
              <a16:creationId xmlns:a16="http://schemas.microsoft.com/office/drawing/2014/main" id="{00000000-0008-0000-0200-000063000000}"/>
            </a:ext>
          </a:extLst>
        </xdr:cNvPr>
        <xdr:cNvSpPr txBox="1"/>
      </xdr:nvSpPr>
      <xdr:spPr>
        <a:xfrm>
          <a:off x="4471163" y="804278"/>
          <a:ext cx="7456470" cy="3387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latin typeface="メイリオ" panose="020B0604030504040204" pitchFamily="50" charset="-128"/>
              <a:ea typeface="メイリオ" panose="020B0604030504040204" pitchFamily="50" charset="-128"/>
            </a:rPr>
            <a:t>※</a:t>
          </a:r>
          <a:r>
            <a:rPr kumimoji="1" lang="ja-JP" altLang="en-US" sz="1000">
              <a:latin typeface="メイリオ" panose="020B0604030504040204" pitchFamily="50" charset="-128"/>
              <a:ea typeface="メイリオ" panose="020B0604030504040204" pitchFamily="50" charset="-128"/>
            </a:rPr>
            <a:t>社会保険厚生年金未加入の場合はチェックを外して下さい。その場合国保、国民年金は他の所得控除に入力してください。</a:t>
          </a:r>
          <a:endParaRPr kumimoji="1" lang="en-US" altLang="ja-JP" sz="1000">
            <a:latin typeface="メイリオ" panose="020B0604030504040204" pitchFamily="50" charset="-128"/>
            <a:ea typeface="メイリオ" panose="020B0604030504040204" pitchFamily="50" charset="-128"/>
          </a:endParaRPr>
        </a:p>
        <a:p>
          <a:endParaRPr kumimoji="1" lang="ja-JP" altLang="en-US" sz="1000">
            <a:latin typeface="メイリオ" panose="020B0604030504040204" pitchFamily="50" charset="-128"/>
            <a:ea typeface="メイリオ" panose="020B0604030504040204" pitchFamily="50" charset="-128"/>
          </a:endParaRPr>
        </a:p>
      </xdr:txBody>
    </xdr:sp>
    <xdr:clientData fPrintsWithSheet="0"/>
  </xdr:twoCellAnchor>
  <mc:AlternateContent xmlns:mc="http://schemas.openxmlformats.org/markup-compatibility/2006">
    <mc:Choice xmlns:a14="http://schemas.microsoft.com/office/drawing/2010/main" Requires="a14">
      <xdr:twoCellAnchor>
        <xdr:from>
          <xdr:col>0</xdr:col>
          <xdr:colOff>57150</xdr:colOff>
          <xdr:row>35</xdr:row>
          <xdr:rowOff>19050</xdr:rowOff>
        </xdr:from>
        <xdr:to>
          <xdr:col>1</xdr:col>
          <xdr:colOff>742950</xdr:colOff>
          <xdr:row>36</xdr:row>
          <xdr:rowOff>146050</xdr:rowOff>
        </xdr:to>
        <xdr:sp macro="" textlink="">
          <xdr:nvSpPr>
            <xdr:cNvPr id="1115" name="ボタン 2503" hidden="1">
              <a:extLst>
                <a:ext uri="{63B3BB69-23CF-44E3-9099-C40C66FF867C}">
                  <a14:compatExt spid="_x0000_s1115"/>
                </a:ext>
                <a:ext uri="{FF2B5EF4-FFF2-40B4-BE49-F238E27FC236}">
                  <a16:creationId xmlns:a16="http://schemas.microsoft.com/office/drawing/2014/main" id="{00000000-0008-0000-0200-00005B040000}"/>
                </a:ext>
              </a:extLst>
            </xdr:cNvPr>
            <xdr:cNvSpPr/>
          </xdr:nvSpPr>
          <xdr:spPr bwMode="auto">
            <a:xfrm>
              <a:off x="0" y="0"/>
              <a:ext cx="0" cy="0"/>
            </a:xfrm>
            <a:prstGeom prst="rect">
              <a:avLst/>
            </a:prstGeom>
            <a:noFill/>
            <a:ln w="9525">
              <a:miter lim="800000"/>
              <a:headEnd/>
              <a:tailEnd/>
            </a:ln>
          </xdr:spPr>
          <xdr:txBody>
            <a:bodyPr vertOverflow="clip" wrap="square" lIns="45720" tIns="59436" rIns="45720" bIns="59436" anchor="ctr" upright="1"/>
            <a:lstStyle/>
            <a:p>
              <a:pPr algn="ctr" rtl="0">
                <a:defRPr sz="1000"/>
              </a:pPr>
              <a:r>
                <a:rPr lang="ja-JP" altLang="en-US" sz="1100" b="0" i="0" u="none" strike="noStrike" baseline="0">
                  <a:solidFill>
                    <a:srgbClr val="FF0000"/>
                  </a:solidFill>
                  <a:latin typeface="メイリオ"/>
                  <a:ea typeface="メイリオ"/>
                </a:rPr>
                <a:t>現状から転記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438150</xdr:colOff>
          <xdr:row>0</xdr:row>
          <xdr:rowOff>247650</xdr:rowOff>
        </xdr:from>
        <xdr:to>
          <xdr:col>15</xdr:col>
          <xdr:colOff>285750</xdr:colOff>
          <xdr:row>1</xdr:row>
          <xdr:rowOff>73026</xdr:rowOff>
        </xdr:to>
        <xdr:sp macro="" textlink="">
          <xdr:nvSpPr>
            <xdr:cNvPr id="1116" name="ボタン 92" hidden="1">
              <a:extLst>
                <a:ext uri="{63B3BB69-23CF-44E3-9099-C40C66FF867C}">
                  <a14:compatExt spid="_x0000_s1116"/>
                </a:ext>
                <a:ext uri="{FF2B5EF4-FFF2-40B4-BE49-F238E27FC236}">
                  <a16:creationId xmlns:a16="http://schemas.microsoft.com/office/drawing/2014/main" id="{00000000-0008-0000-0200-00005C040000}"/>
                </a:ext>
              </a:extLst>
            </xdr:cNvPr>
            <xdr:cNvSpPr/>
          </xdr:nvSpPr>
          <xdr:spPr bwMode="auto">
            <a:xfrm>
              <a:off x="0" y="0"/>
              <a:ext cx="0" cy="0"/>
            </a:xfrm>
            <a:prstGeom prst="rect">
              <a:avLst/>
            </a:prstGeom>
            <a:noFill/>
            <a:ln w="9525">
              <a:miter lim="800000"/>
              <a:headEnd/>
              <a:tailEnd/>
            </a:ln>
          </xdr:spPr>
          <xdr:txBody>
            <a:bodyPr vertOverflow="clip" wrap="square" lIns="54864" tIns="73152" rIns="54864" bIns="73152" anchor="ctr" upright="1"/>
            <a:lstStyle/>
            <a:p>
              <a:pPr algn="ctr" rtl="0">
                <a:defRPr sz="1000"/>
              </a:pPr>
              <a:r>
                <a:rPr lang="ja-JP" altLang="en-US" sz="1400" b="0" i="0" u="none" strike="noStrike" baseline="0">
                  <a:solidFill>
                    <a:srgbClr val="000000"/>
                  </a:solidFill>
                  <a:latin typeface="メイリオ"/>
                  <a:ea typeface="メイリオ"/>
                </a:rPr>
                <a:t>印　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152400</xdr:colOff>
          <xdr:row>26</xdr:row>
          <xdr:rowOff>19050</xdr:rowOff>
        </xdr:from>
        <xdr:to>
          <xdr:col>15</xdr:col>
          <xdr:colOff>111126</xdr:colOff>
          <xdr:row>27</xdr:row>
          <xdr:rowOff>76200</xdr:rowOff>
        </xdr:to>
        <xdr:sp macro="" textlink="">
          <xdr:nvSpPr>
            <xdr:cNvPr id="1119" name="Button 95" hidden="1">
              <a:extLst>
                <a:ext uri="{63B3BB69-23CF-44E3-9099-C40C66FF867C}">
                  <a14:compatExt spid="_x0000_s1119"/>
                </a:ext>
                <a:ext uri="{FF2B5EF4-FFF2-40B4-BE49-F238E27FC236}">
                  <a16:creationId xmlns:a16="http://schemas.microsoft.com/office/drawing/2014/main" id="{00000000-0008-0000-0200-00005F0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健康保険料任意入力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14</xdr:col>
          <xdr:colOff>152400</xdr:colOff>
          <xdr:row>27</xdr:row>
          <xdr:rowOff>114300</xdr:rowOff>
        </xdr:from>
        <xdr:to>
          <xdr:col>15</xdr:col>
          <xdr:colOff>111126</xdr:colOff>
          <xdr:row>28</xdr:row>
          <xdr:rowOff>152400</xdr:rowOff>
        </xdr:to>
        <xdr:sp macro="" textlink="">
          <xdr:nvSpPr>
            <xdr:cNvPr id="1120" name="Button 96" hidden="1">
              <a:extLst>
                <a:ext uri="{63B3BB69-23CF-44E3-9099-C40C66FF867C}">
                  <a14:compatExt spid="_x0000_s1120"/>
                </a:ext>
                <a:ext uri="{FF2B5EF4-FFF2-40B4-BE49-F238E27FC236}">
                  <a16:creationId xmlns:a16="http://schemas.microsoft.com/office/drawing/2014/main" id="{00000000-0008-0000-0200-0000600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政管健保</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666750</xdr:colOff>
          <xdr:row>0</xdr:row>
          <xdr:rowOff>247650</xdr:rowOff>
        </xdr:from>
        <xdr:to>
          <xdr:col>14</xdr:col>
          <xdr:colOff>301626</xdr:colOff>
          <xdr:row>1</xdr:row>
          <xdr:rowOff>73026</xdr:rowOff>
        </xdr:to>
        <xdr:sp macro="" textlink="">
          <xdr:nvSpPr>
            <xdr:cNvPr id="1121" name="Button 97" hidden="1">
              <a:extLst>
                <a:ext uri="{63B3BB69-23CF-44E3-9099-C40C66FF867C}">
                  <a14:compatExt spid="_x0000_s1121"/>
                </a:ext>
                <a:ext uri="{FF2B5EF4-FFF2-40B4-BE49-F238E27FC236}">
                  <a16:creationId xmlns:a16="http://schemas.microsoft.com/office/drawing/2014/main" id="{00000000-0008-0000-0200-0000610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画面更新　valueになる場合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34</xdr:row>
          <xdr:rowOff>400050</xdr:rowOff>
        </xdr:from>
        <xdr:to>
          <xdr:col>3</xdr:col>
          <xdr:colOff>609600</xdr:colOff>
          <xdr:row>36</xdr:row>
          <xdr:rowOff>34926</xdr:rowOff>
        </xdr:to>
        <xdr:sp macro="" textlink="">
          <xdr:nvSpPr>
            <xdr:cNvPr id="1122" name="チェック 2490" hidden="1">
              <a:extLst>
                <a:ext uri="{63B3BB69-23CF-44E3-9099-C40C66FF867C}">
                  <a14:compatExt spid="_x0000_s1122"/>
                </a:ext>
                <a:ext uri="{FF2B5EF4-FFF2-40B4-BE49-F238E27FC236}">
                  <a16:creationId xmlns:a16="http://schemas.microsoft.com/office/drawing/2014/main" id="{00000000-0008-0000-02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34</xdr:row>
          <xdr:rowOff>400050</xdr:rowOff>
        </xdr:from>
        <xdr:to>
          <xdr:col>4</xdr:col>
          <xdr:colOff>568326</xdr:colOff>
          <xdr:row>36</xdr:row>
          <xdr:rowOff>34926</xdr:rowOff>
        </xdr:to>
        <xdr:sp macro="" textlink="">
          <xdr:nvSpPr>
            <xdr:cNvPr id="1123" name="チェック 2491" hidden="1">
              <a:extLst>
                <a:ext uri="{63B3BB69-23CF-44E3-9099-C40C66FF867C}">
                  <a14:compatExt spid="_x0000_s1123"/>
                </a:ext>
                <a:ext uri="{FF2B5EF4-FFF2-40B4-BE49-F238E27FC236}">
                  <a16:creationId xmlns:a16="http://schemas.microsoft.com/office/drawing/2014/main" id="{00000000-0008-0000-02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222250</xdr:colOff>
          <xdr:row>34</xdr:row>
          <xdr:rowOff>400050</xdr:rowOff>
        </xdr:from>
        <xdr:to>
          <xdr:col>5</xdr:col>
          <xdr:colOff>609600</xdr:colOff>
          <xdr:row>36</xdr:row>
          <xdr:rowOff>34926</xdr:rowOff>
        </xdr:to>
        <xdr:sp macro="" textlink="">
          <xdr:nvSpPr>
            <xdr:cNvPr id="1124" name="チェック 2492" hidden="1">
              <a:extLst>
                <a:ext uri="{63B3BB69-23CF-44E3-9099-C40C66FF867C}">
                  <a14:compatExt spid="_x0000_s1124"/>
                </a:ext>
                <a:ext uri="{FF2B5EF4-FFF2-40B4-BE49-F238E27FC236}">
                  <a16:creationId xmlns:a16="http://schemas.microsoft.com/office/drawing/2014/main" id="{00000000-0008-0000-02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146050</xdr:colOff>
          <xdr:row>34</xdr:row>
          <xdr:rowOff>400050</xdr:rowOff>
        </xdr:from>
        <xdr:to>
          <xdr:col>6</xdr:col>
          <xdr:colOff>492126</xdr:colOff>
          <xdr:row>36</xdr:row>
          <xdr:rowOff>34926</xdr:rowOff>
        </xdr:to>
        <xdr:sp macro="" textlink="">
          <xdr:nvSpPr>
            <xdr:cNvPr id="1125" name="チェック 2493" hidden="1">
              <a:extLst>
                <a:ext uri="{63B3BB69-23CF-44E3-9099-C40C66FF867C}">
                  <a14:compatExt spid="_x0000_s1125"/>
                </a:ext>
                <a:ext uri="{FF2B5EF4-FFF2-40B4-BE49-F238E27FC236}">
                  <a16:creationId xmlns:a16="http://schemas.microsoft.com/office/drawing/2014/main" id="{00000000-0008-0000-02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107950</xdr:colOff>
          <xdr:row>34</xdr:row>
          <xdr:rowOff>412750</xdr:rowOff>
        </xdr:from>
        <xdr:to>
          <xdr:col>7</xdr:col>
          <xdr:colOff>454026</xdr:colOff>
          <xdr:row>36</xdr:row>
          <xdr:rowOff>19050</xdr:rowOff>
        </xdr:to>
        <xdr:sp macro="" textlink="">
          <xdr:nvSpPr>
            <xdr:cNvPr id="1126" name="チェック 2494" hidden="1">
              <a:extLst>
                <a:ext uri="{63B3BB69-23CF-44E3-9099-C40C66FF867C}">
                  <a14:compatExt spid="_x0000_s1126"/>
                </a:ext>
                <a:ext uri="{FF2B5EF4-FFF2-40B4-BE49-F238E27FC236}">
                  <a16:creationId xmlns:a16="http://schemas.microsoft.com/office/drawing/2014/main" id="{00000000-0008-0000-02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34</xdr:row>
          <xdr:rowOff>412750</xdr:rowOff>
        </xdr:from>
        <xdr:to>
          <xdr:col>8</xdr:col>
          <xdr:colOff>530226</xdr:colOff>
          <xdr:row>36</xdr:row>
          <xdr:rowOff>19050</xdr:rowOff>
        </xdr:to>
        <xdr:sp macro="" textlink="">
          <xdr:nvSpPr>
            <xdr:cNvPr id="1127" name="チェック 2495" hidden="1">
              <a:extLst>
                <a:ext uri="{63B3BB69-23CF-44E3-9099-C40C66FF867C}">
                  <a14:compatExt spid="_x0000_s1127"/>
                </a:ext>
                <a:ext uri="{FF2B5EF4-FFF2-40B4-BE49-F238E27FC236}">
                  <a16:creationId xmlns:a16="http://schemas.microsoft.com/office/drawing/2014/main" id="{00000000-0008-0000-02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146050</xdr:colOff>
          <xdr:row>34</xdr:row>
          <xdr:rowOff>412750</xdr:rowOff>
        </xdr:from>
        <xdr:to>
          <xdr:col>9</xdr:col>
          <xdr:colOff>492126</xdr:colOff>
          <xdr:row>36</xdr:row>
          <xdr:rowOff>19050</xdr:rowOff>
        </xdr:to>
        <xdr:sp macro="" textlink="">
          <xdr:nvSpPr>
            <xdr:cNvPr id="1128" name="チェック 2496" hidden="1">
              <a:extLst>
                <a:ext uri="{63B3BB69-23CF-44E3-9099-C40C66FF867C}">
                  <a14:compatExt spid="_x0000_s1128"/>
                </a:ext>
                <a:ext uri="{FF2B5EF4-FFF2-40B4-BE49-F238E27FC236}">
                  <a16:creationId xmlns:a16="http://schemas.microsoft.com/office/drawing/2014/main" id="{00000000-0008-0000-02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34</xdr:row>
          <xdr:rowOff>412750</xdr:rowOff>
        </xdr:from>
        <xdr:to>
          <xdr:col>10</xdr:col>
          <xdr:colOff>415926</xdr:colOff>
          <xdr:row>36</xdr:row>
          <xdr:rowOff>19050</xdr:rowOff>
        </xdr:to>
        <xdr:sp macro="" textlink="">
          <xdr:nvSpPr>
            <xdr:cNvPr id="1129" name="チェック 2497" hidden="1">
              <a:extLst>
                <a:ext uri="{63B3BB69-23CF-44E3-9099-C40C66FF867C}">
                  <a14:compatExt spid="_x0000_s1129"/>
                </a:ext>
                <a:ext uri="{FF2B5EF4-FFF2-40B4-BE49-F238E27FC236}">
                  <a16:creationId xmlns:a16="http://schemas.microsoft.com/office/drawing/2014/main" id="{00000000-0008-0000-02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146050</xdr:colOff>
          <xdr:row>34</xdr:row>
          <xdr:rowOff>412750</xdr:rowOff>
        </xdr:from>
        <xdr:to>
          <xdr:col>11</xdr:col>
          <xdr:colOff>530226</xdr:colOff>
          <xdr:row>36</xdr:row>
          <xdr:rowOff>19050</xdr:rowOff>
        </xdr:to>
        <xdr:sp macro="" textlink="">
          <xdr:nvSpPr>
            <xdr:cNvPr id="1130" name="チェック 2498" hidden="1">
              <a:extLst>
                <a:ext uri="{63B3BB69-23CF-44E3-9099-C40C66FF867C}">
                  <a14:compatExt spid="_x0000_s1130"/>
                </a:ext>
                <a:ext uri="{FF2B5EF4-FFF2-40B4-BE49-F238E27FC236}">
                  <a16:creationId xmlns:a16="http://schemas.microsoft.com/office/drawing/2014/main" id="{00000000-0008-0000-02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31750</xdr:colOff>
          <xdr:row>34</xdr:row>
          <xdr:rowOff>412750</xdr:rowOff>
        </xdr:from>
        <xdr:to>
          <xdr:col>12</xdr:col>
          <xdr:colOff>381000</xdr:colOff>
          <xdr:row>36</xdr:row>
          <xdr:rowOff>19050</xdr:rowOff>
        </xdr:to>
        <xdr:sp macro="" textlink="">
          <xdr:nvSpPr>
            <xdr:cNvPr id="1131" name="チェック 2499" hidden="1">
              <a:extLst>
                <a:ext uri="{63B3BB69-23CF-44E3-9099-C40C66FF867C}">
                  <a14:compatExt spid="_x0000_s1131"/>
                </a:ext>
                <a:ext uri="{FF2B5EF4-FFF2-40B4-BE49-F238E27FC236}">
                  <a16:creationId xmlns:a16="http://schemas.microsoft.com/office/drawing/2014/main" id="{00000000-0008-0000-02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加入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33</xdr:row>
          <xdr:rowOff>31750</xdr:rowOff>
        </xdr:from>
        <xdr:to>
          <xdr:col>3</xdr:col>
          <xdr:colOff>857250</xdr:colOff>
          <xdr:row>33</xdr:row>
          <xdr:rowOff>377826</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107950</xdr:colOff>
          <xdr:row>33</xdr:row>
          <xdr:rowOff>57150</xdr:rowOff>
        </xdr:from>
        <xdr:to>
          <xdr:col>4</xdr:col>
          <xdr:colOff>876300</xdr:colOff>
          <xdr:row>33</xdr:row>
          <xdr:rowOff>400050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02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107950</xdr:colOff>
          <xdr:row>33</xdr:row>
          <xdr:rowOff>57150</xdr:rowOff>
        </xdr:from>
        <xdr:to>
          <xdr:col>5</xdr:col>
          <xdr:colOff>876300</xdr:colOff>
          <xdr:row>33</xdr:row>
          <xdr:rowOff>400050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02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33</xdr:row>
          <xdr:rowOff>69850</xdr:rowOff>
        </xdr:from>
        <xdr:to>
          <xdr:col>6</xdr:col>
          <xdr:colOff>796926</xdr:colOff>
          <xdr:row>33</xdr:row>
          <xdr:rowOff>415926</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02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33</xdr:row>
          <xdr:rowOff>69850</xdr:rowOff>
        </xdr:from>
        <xdr:to>
          <xdr:col>7</xdr:col>
          <xdr:colOff>758826</xdr:colOff>
          <xdr:row>33</xdr:row>
          <xdr:rowOff>415926</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2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33</xdr:row>
          <xdr:rowOff>69850</xdr:rowOff>
        </xdr:from>
        <xdr:to>
          <xdr:col>8</xdr:col>
          <xdr:colOff>835026</xdr:colOff>
          <xdr:row>33</xdr:row>
          <xdr:rowOff>419100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02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107950</xdr:colOff>
          <xdr:row>33</xdr:row>
          <xdr:rowOff>76200</xdr:rowOff>
        </xdr:from>
        <xdr:to>
          <xdr:col>9</xdr:col>
          <xdr:colOff>876300</xdr:colOff>
          <xdr:row>33</xdr:row>
          <xdr:rowOff>438150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02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33</xdr:row>
          <xdr:rowOff>57150</xdr:rowOff>
        </xdr:from>
        <xdr:to>
          <xdr:col>10</xdr:col>
          <xdr:colOff>781050</xdr:colOff>
          <xdr:row>33</xdr:row>
          <xdr:rowOff>454026</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2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57150</xdr:colOff>
          <xdr:row>33</xdr:row>
          <xdr:rowOff>69850</xdr:rowOff>
        </xdr:from>
        <xdr:to>
          <xdr:col>11</xdr:col>
          <xdr:colOff>835026</xdr:colOff>
          <xdr:row>33</xdr:row>
          <xdr:rowOff>419100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2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69850</xdr:colOff>
          <xdr:row>33</xdr:row>
          <xdr:rowOff>69850</xdr:rowOff>
        </xdr:from>
        <xdr:to>
          <xdr:col>12</xdr:col>
          <xdr:colOff>838200</xdr:colOff>
          <xdr:row>33</xdr:row>
          <xdr:rowOff>415926</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2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子育て等</a:t>
              </a:r>
            </a:p>
          </xdr:txBody>
        </xdr:sp>
        <xdr:clientData/>
      </xdr:twoCellAnchor>
    </mc:Choice>
    <mc:Fallback/>
  </mc:AlternateContent>
  <xdr:twoCellAnchor editAs="absolute">
    <xdr:from>
      <xdr:col>14</xdr:col>
      <xdr:colOff>225638</xdr:colOff>
      <xdr:row>29</xdr:row>
      <xdr:rowOff>116938</xdr:rowOff>
    </xdr:from>
    <xdr:to>
      <xdr:col>16</xdr:col>
      <xdr:colOff>1979541</xdr:colOff>
      <xdr:row>33</xdr:row>
      <xdr:rowOff>211898</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3101849" y="6904655"/>
          <a:ext cx="4322589" cy="11924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a:t>
          </a:r>
          <a:r>
            <a:rPr kumimoji="1" lang="ja-JP" altLang="en-US" sz="1100"/>
            <a:t>子育て介護世帯</a:t>
          </a:r>
          <a:endParaRPr kumimoji="1" lang="en-US" altLang="ja-JP" sz="1100"/>
        </a:p>
        <a:p>
          <a:r>
            <a:rPr kumimoji="1" lang="ja-JP" altLang="en-US" sz="1100"/>
            <a:t>アその者が特別障害者に該当する場合</a:t>
          </a:r>
        </a:p>
        <a:p>
          <a:r>
            <a:rPr kumimoji="1" lang="ja-JP" altLang="en-US" sz="1100"/>
            <a:t>イ</a:t>
          </a:r>
          <a:r>
            <a:rPr kumimoji="1" lang="en-US" altLang="ja-JP" sz="1100"/>
            <a:t>23</a:t>
          </a:r>
          <a:r>
            <a:rPr kumimoji="1" lang="ja-JP" altLang="en-US" sz="1100"/>
            <a:t>歳未満の扶養親族を有する場合</a:t>
          </a:r>
        </a:p>
        <a:p>
          <a:r>
            <a:rPr kumimoji="1" lang="ja-JP" altLang="en-US" sz="1100"/>
            <a:t>ウ特別障害者である同一生計配偶者、扶養親族を有する場合</a:t>
          </a:r>
        </a:p>
      </xdr:txBody>
    </xdr:sp>
    <xdr:clientData/>
  </xdr:twoCellAnchor>
  <mc:AlternateContent xmlns:mc="http://schemas.openxmlformats.org/markup-compatibility/2006">
    <mc:Choice xmlns:a14="http://schemas.microsoft.com/office/drawing/2010/main" Requires="a14">
      <xdr:twoCellAnchor>
        <xdr:from>
          <xdr:col>2</xdr:col>
          <xdr:colOff>107950</xdr:colOff>
          <xdr:row>129</xdr:row>
          <xdr:rowOff>184150</xdr:rowOff>
        </xdr:from>
        <xdr:to>
          <xdr:col>3</xdr:col>
          <xdr:colOff>374650</xdr:colOff>
          <xdr:row>131</xdr:row>
          <xdr:rowOff>152400</xdr:rowOff>
        </xdr:to>
        <xdr:sp macro="" textlink="">
          <xdr:nvSpPr>
            <xdr:cNvPr id="1181" name="Button 157" hidden="1">
              <a:extLst>
                <a:ext uri="{63B3BB69-23CF-44E3-9099-C40C66FF867C}">
                  <a14:compatExt spid="_x0000_s1181"/>
                </a:ext>
                <a:ext uri="{FF2B5EF4-FFF2-40B4-BE49-F238E27FC236}">
                  <a16:creationId xmlns:a16="http://schemas.microsoft.com/office/drawing/2014/main" id="{00000000-0008-0000-0200-00009D0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全シート保護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869950</xdr:colOff>
          <xdr:row>129</xdr:row>
          <xdr:rowOff>184150</xdr:rowOff>
        </xdr:from>
        <xdr:to>
          <xdr:col>5</xdr:col>
          <xdr:colOff>603250</xdr:colOff>
          <xdr:row>131</xdr:row>
          <xdr:rowOff>152400</xdr:rowOff>
        </xdr:to>
        <xdr:sp macro="" textlink="">
          <xdr:nvSpPr>
            <xdr:cNvPr id="1182" name="Button 158" hidden="1">
              <a:extLst>
                <a:ext uri="{63B3BB69-23CF-44E3-9099-C40C66FF867C}">
                  <a14:compatExt spid="_x0000_s1182"/>
                </a:ext>
                <a:ext uri="{FF2B5EF4-FFF2-40B4-BE49-F238E27FC236}">
                  <a16:creationId xmlns:a16="http://schemas.microsoft.com/office/drawing/2014/main" id="{00000000-0008-0000-0200-00009E0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全シート保護解除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835026</xdr:colOff>
          <xdr:row>0</xdr:row>
          <xdr:rowOff>247650</xdr:rowOff>
        </xdr:from>
        <xdr:to>
          <xdr:col>12</xdr:col>
          <xdr:colOff>514350</xdr:colOff>
          <xdr:row>1</xdr:row>
          <xdr:rowOff>73026</xdr:rowOff>
        </xdr:to>
        <xdr:sp macro="" textlink="">
          <xdr:nvSpPr>
            <xdr:cNvPr id="1183" name="ボタン 92" hidden="1">
              <a:extLst>
                <a:ext uri="{63B3BB69-23CF-44E3-9099-C40C66FF867C}">
                  <a14:compatExt spid="_x0000_s1183"/>
                </a:ext>
                <a:ext uri="{FF2B5EF4-FFF2-40B4-BE49-F238E27FC236}">
                  <a16:creationId xmlns:a16="http://schemas.microsoft.com/office/drawing/2014/main" id="{00000000-0008-0000-0200-00009F040000}"/>
                </a:ext>
              </a:extLst>
            </xdr:cNvPr>
            <xdr:cNvSpPr/>
          </xdr:nvSpPr>
          <xdr:spPr bwMode="auto">
            <a:xfrm>
              <a:off x="0" y="0"/>
              <a:ext cx="0" cy="0"/>
            </a:xfrm>
            <a:prstGeom prst="rect">
              <a:avLst/>
            </a:prstGeom>
            <a:noFill/>
            <a:ln w="9525">
              <a:miter lim="800000"/>
              <a:headEnd/>
              <a:tailEnd/>
            </a:ln>
          </xdr:spPr>
          <xdr:txBody>
            <a:bodyPr vertOverflow="clip" wrap="square" lIns="54864" tIns="73152" rIns="54864" bIns="73152" anchor="ctr" upright="1"/>
            <a:lstStyle/>
            <a:p>
              <a:pPr algn="ctr" rtl="0">
                <a:defRPr sz="1000"/>
              </a:pPr>
              <a:r>
                <a:rPr lang="ja-JP" altLang="en-US" sz="1400" b="0" i="0" u="none" strike="noStrike" baseline="0">
                  <a:solidFill>
                    <a:srgbClr val="000000"/>
                  </a:solidFill>
                  <a:latin typeface="メイリオ"/>
                  <a:ea typeface="メイリオ"/>
                </a:rPr>
                <a:t>データ削除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184150</xdr:colOff>
          <xdr:row>0</xdr:row>
          <xdr:rowOff>184150</xdr:rowOff>
        </xdr:from>
        <xdr:to>
          <xdr:col>8</xdr:col>
          <xdr:colOff>609600</xdr:colOff>
          <xdr:row>1</xdr:row>
          <xdr:rowOff>0</xdr:rowOff>
        </xdr:to>
        <xdr:sp macro="" textlink="">
          <xdr:nvSpPr>
            <xdr:cNvPr id="1185" name="Option Button 161" hidden="1">
              <a:extLst>
                <a:ext uri="{63B3BB69-23CF-44E3-9099-C40C66FF867C}">
                  <a14:compatExt spid="_x0000_s1185"/>
                </a:ext>
                <a:ext uri="{FF2B5EF4-FFF2-40B4-BE49-F238E27FC236}">
                  <a16:creationId xmlns:a16="http://schemas.microsoft.com/office/drawing/2014/main" id="{00000000-0008-0000-02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円単位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184150</xdr:colOff>
          <xdr:row>0</xdr:row>
          <xdr:rowOff>412750</xdr:rowOff>
        </xdr:from>
        <xdr:to>
          <xdr:col>9</xdr:col>
          <xdr:colOff>149226</xdr:colOff>
          <xdr:row>1</xdr:row>
          <xdr:rowOff>209550</xdr:rowOff>
        </xdr:to>
        <xdr:sp macro="" textlink="">
          <xdr:nvSpPr>
            <xdr:cNvPr id="1186" name="Option Button 162" hidden="1">
              <a:extLst>
                <a:ext uri="{63B3BB69-23CF-44E3-9099-C40C66FF867C}">
                  <a14:compatExt spid="_x0000_s1186"/>
                </a:ext>
                <a:ext uri="{FF2B5EF4-FFF2-40B4-BE49-F238E27FC236}">
                  <a16:creationId xmlns:a16="http://schemas.microsoft.com/office/drawing/2014/main" id="{00000000-0008-0000-02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千円単位</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187326</xdr:colOff>
          <xdr:row>0</xdr:row>
          <xdr:rowOff>247650</xdr:rowOff>
        </xdr:from>
        <xdr:to>
          <xdr:col>10</xdr:col>
          <xdr:colOff>704850</xdr:colOff>
          <xdr:row>1</xdr:row>
          <xdr:rowOff>73026</xdr:rowOff>
        </xdr:to>
        <xdr:sp macro="" textlink="">
          <xdr:nvSpPr>
            <xdr:cNvPr id="1187" name="Button 163" hidden="1">
              <a:extLst>
                <a:ext uri="{63B3BB69-23CF-44E3-9099-C40C66FF867C}">
                  <a14:compatExt spid="_x0000_s1187"/>
                </a:ext>
                <a:ext uri="{FF2B5EF4-FFF2-40B4-BE49-F238E27FC236}">
                  <a16:creationId xmlns:a16="http://schemas.microsoft.com/office/drawing/2014/main" id="{00000000-0008-0000-0200-0000A30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名前を付けて保存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11</xdr:row>
          <xdr:rowOff>95250</xdr:rowOff>
        </xdr:from>
        <xdr:to>
          <xdr:col>2</xdr:col>
          <xdr:colOff>73026</xdr:colOff>
          <xdr:row>12</xdr:row>
          <xdr:rowOff>0</xdr:rowOff>
        </xdr:to>
        <xdr:sp macro="" textlink="">
          <xdr:nvSpPr>
            <xdr:cNvPr id="1201" name="Check Box 177" hidden="1">
              <a:extLst>
                <a:ext uri="{63B3BB69-23CF-44E3-9099-C40C66FF867C}">
                  <a14:compatExt spid="_x0000_s1201"/>
                </a:ext>
                <a:ext uri="{FF2B5EF4-FFF2-40B4-BE49-F238E27FC236}">
                  <a16:creationId xmlns:a16="http://schemas.microsoft.com/office/drawing/2014/main" id="{00000000-0008-0000-0200-0000B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37</xdr:row>
          <xdr:rowOff>31750</xdr:rowOff>
        </xdr:from>
        <xdr:to>
          <xdr:col>1</xdr:col>
          <xdr:colOff>742950</xdr:colOff>
          <xdr:row>39</xdr:row>
          <xdr:rowOff>133350</xdr:rowOff>
        </xdr:to>
        <xdr:sp macro="" textlink="">
          <xdr:nvSpPr>
            <xdr:cNvPr id="1202" name="Button 178" hidden="1">
              <a:extLst>
                <a:ext uri="{63B3BB69-23CF-44E3-9099-C40C66FF867C}">
                  <a14:compatExt spid="_x0000_s1202"/>
                </a:ext>
                <a:ext uri="{FF2B5EF4-FFF2-40B4-BE49-F238E27FC236}">
                  <a16:creationId xmlns:a16="http://schemas.microsoft.com/office/drawing/2014/main" id="{00000000-0008-0000-0200-0000B20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現状定期同額との差額を事前確定に入力</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260350</xdr:rowOff>
        </xdr:from>
        <xdr:to>
          <xdr:col>5</xdr:col>
          <xdr:colOff>1098550</xdr:colOff>
          <xdr:row>2</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社長の役員報酬最適化試算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412750</xdr:colOff>
          <xdr:row>0</xdr:row>
          <xdr:rowOff>184150</xdr:rowOff>
        </xdr:from>
        <xdr:to>
          <xdr:col>3</xdr:col>
          <xdr:colOff>831850</xdr:colOff>
          <xdr:row>0</xdr:row>
          <xdr:rowOff>438150</xdr:rowOff>
        </xdr:to>
        <xdr:sp macro="" textlink="">
          <xdr:nvSpPr>
            <xdr:cNvPr id="5124" name="Option 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円単位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412750</xdr:colOff>
          <xdr:row>0</xdr:row>
          <xdr:rowOff>412750</xdr:rowOff>
        </xdr:from>
        <xdr:to>
          <xdr:col>3</xdr:col>
          <xdr:colOff>1212850</xdr:colOff>
          <xdr:row>0</xdr:row>
          <xdr:rowOff>647700</xdr:rowOff>
        </xdr:to>
        <xdr:sp macro="" textlink="">
          <xdr:nvSpPr>
            <xdr:cNvPr id="5125" name="Option 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千円単位</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450850</xdr:colOff>
          <xdr:row>0</xdr:row>
          <xdr:rowOff>266700</xdr:rowOff>
        </xdr:from>
        <xdr:to>
          <xdr:col>10</xdr:col>
          <xdr:colOff>603250</xdr:colOff>
          <xdr:row>2</xdr:row>
          <xdr:rowOff>76200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配当金最適化試算</a:t>
              </a:r>
            </a:p>
            <a:p>
              <a:pPr algn="ctr" rtl="0">
                <a:defRPr sz="1000"/>
              </a:pPr>
              <a:r>
                <a:rPr lang="ja-JP" altLang="en-US" sz="900" b="0" i="0" u="none" strike="noStrike" baseline="0">
                  <a:solidFill>
                    <a:srgbClr val="000000"/>
                  </a:solidFill>
                  <a:latin typeface="メイリオ"/>
                  <a:ea typeface="メイリオ"/>
                </a:rPr>
                <a:t>定期同額給与減額</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260350</xdr:colOff>
          <xdr:row>0</xdr:row>
          <xdr:rowOff>298450</xdr:rowOff>
        </xdr:from>
        <xdr:to>
          <xdr:col>13</xdr:col>
          <xdr:colOff>647700</xdr:colOff>
          <xdr:row>2</xdr:row>
          <xdr:rowOff>69850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事前確定届け出給与試算</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527050</xdr:colOff>
          <xdr:row>0</xdr:row>
          <xdr:rowOff>31750</xdr:rowOff>
        </xdr:from>
        <xdr:to>
          <xdr:col>8</xdr:col>
          <xdr:colOff>381000</xdr:colOff>
          <xdr:row>0</xdr:row>
          <xdr:rowOff>374650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ja-JP" altLang="en-US" sz="900" b="0" i="0" u="none" strike="noStrike" baseline="0">
                  <a:solidFill>
                    <a:srgbClr val="000000"/>
                  </a:solidFill>
                  <a:latin typeface="メイリオ"/>
                  <a:ea typeface="メイリオ"/>
                </a:rPr>
                <a:t>PLAN１をPLAN2に転記して保存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107950</xdr:colOff>
          <xdr:row>0</xdr:row>
          <xdr:rowOff>107950</xdr:rowOff>
        </xdr:from>
        <xdr:to>
          <xdr:col>14</xdr:col>
          <xdr:colOff>336550</xdr:colOff>
          <xdr:row>0</xdr:row>
          <xdr:rowOff>419100</xdr:rowOff>
        </xdr:to>
        <xdr:sp macro="" textlink="">
          <xdr:nvSpPr>
            <xdr:cNvPr id="6146" name="ボタン 9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54864" tIns="73152" rIns="54864" bIns="73152" anchor="ctr" upright="1"/>
            <a:lstStyle/>
            <a:p>
              <a:pPr algn="ctr" rtl="0">
                <a:defRPr sz="1000"/>
              </a:pPr>
              <a:r>
                <a:rPr lang="ja-JP" altLang="en-US" sz="1400" b="0" i="0" u="none" strike="noStrike" baseline="0">
                  <a:solidFill>
                    <a:srgbClr val="000000"/>
                  </a:solidFill>
                  <a:latin typeface="メイリオ"/>
                  <a:ea typeface="メイリオ"/>
                </a:rPr>
                <a:t>印　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374650</xdr:colOff>
          <xdr:row>0</xdr:row>
          <xdr:rowOff>31750</xdr:rowOff>
        </xdr:from>
        <xdr:to>
          <xdr:col>4</xdr:col>
          <xdr:colOff>800100</xdr:colOff>
          <xdr:row>0</xdr:row>
          <xdr:rowOff>374650</xdr:rowOff>
        </xdr:to>
        <xdr:sp macro="" textlink="">
          <xdr:nvSpPr>
            <xdr:cNvPr id="6147" name="Option Button 3"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円単位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374650</xdr:colOff>
          <xdr:row>0</xdr:row>
          <xdr:rowOff>304800</xdr:rowOff>
        </xdr:from>
        <xdr:to>
          <xdr:col>5</xdr:col>
          <xdr:colOff>260350</xdr:colOff>
          <xdr:row>0</xdr:row>
          <xdr:rowOff>552450</xdr:rowOff>
        </xdr:to>
        <xdr:sp macro="" textlink="">
          <xdr:nvSpPr>
            <xdr:cNvPr id="6148" name="Option Button 4"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ja-JP" altLang="en-US" sz="900" b="0" i="0" u="none" strike="noStrike" baseline="0">
                  <a:solidFill>
                    <a:srgbClr val="000000"/>
                  </a:solidFill>
                  <a:latin typeface="Meiryo UI"/>
                  <a:ea typeface="Meiryo UI"/>
                </a:rPr>
                <a:t>千円単位</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Dropbox\&#39015;&#21839;&#20808;&#27770;&#31639;&#30003;&#21578;&#12487;&#12540;&#12479;\02&#12469;&#12531;&#12463;&#12481;&#12517;&#12450;&#12522;\30&#24180;2&#26376;&#27770;&#31639;\kaneguru1.076\&#12469;&#12531;&#12463;kaneguru1.07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メニュー"/>
      <sheetName val="前期実績"/>
      <sheetName val="会計シート前期"/>
      <sheetName val="事業計画"/>
      <sheetName val="売上仕入計画"/>
      <sheetName val="当期予算"/>
      <sheetName val="計画表紙"/>
      <sheetName val="当期計画印刷"/>
      <sheetName val="当期計画印刷2"/>
      <sheetName val="着眼点"/>
      <sheetName val="当期シミュレーション"/>
      <sheetName val="会計シート当期"/>
      <sheetName val="当期実績"/>
      <sheetName val="予実管理"/>
      <sheetName val="当期確認用"/>
      <sheetName val="表紙"/>
      <sheetName val="損益実績"/>
      <sheetName val="前期損益印刷"/>
      <sheetName val="報告書"/>
      <sheetName val="前期対比"/>
      <sheetName val="予算対比"/>
      <sheetName val="予実管理印刷"/>
      <sheetName val="報告書2"/>
      <sheetName val="まとめ２"/>
      <sheetName val="経営グラフ"/>
      <sheetName val="対比表"/>
      <sheetName val="報告書3"/>
      <sheetName val="予実管理印刷2"/>
      <sheetName val="予定納税"/>
      <sheetName val="節税チェックリスト"/>
      <sheetName val="税金計算"/>
      <sheetName val="税金計算yj"/>
      <sheetName val="返済計画"/>
      <sheetName val="新規借入"/>
      <sheetName val="長期シミュレーション"/>
      <sheetName val="長期BS"/>
      <sheetName val="PF"/>
      <sheetName val="長期確認用"/>
      <sheetName val="長期まとめ"/>
      <sheetName val="減価償却"/>
      <sheetName val="lookup"/>
      <sheetName val="hensai"/>
      <sheetName val="risoku"/>
      <sheetName val="設定"/>
      <sheetName val="サンクkaneguru1.076"/>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sheetData sheetId="29" refreshError="1"/>
      <sheetData sheetId="30">
        <row r="73">
          <cell r="Q73">
            <v>10000</v>
          </cell>
        </row>
      </sheetData>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ow r="3">
          <cell r="E3">
            <v>2</v>
          </cell>
          <cell r="F3">
            <v>0.5</v>
          </cell>
          <cell r="G3">
            <v>1</v>
          </cell>
        </row>
        <row r="4">
          <cell r="E4">
            <v>3</v>
          </cell>
          <cell r="F4">
            <v>0.33400000000000002</v>
          </cell>
          <cell r="G4">
            <v>0.66700000000000004</v>
          </cell>
          <cell r="H4">
            <v>1</v>
          </cell>
          <cell r="I4">
            <v>0.11089</v>
          </cell>
        </row>
        <row r="5">
          <cell r="E5">
            <v>4</v>
          </cell>
          <cell r="F5">
            <v>0.25</v>
          </cell>
          <cell r="G5">
            <v>0.5</v>
          </cell>
          <cell r="H5">
            <v>1</v>
          </cell>
          <cell r="I5">
            <v>0.12499</v>
          </cell>
        </row>
        <row r="6">
          <cell r="E6">
            <v>5</v>
          </cell>
          <cell r="F6">
            <v>0.2</v>
          </cell>
          <cell r="G6">
            <v>0.4</v>
          </cell>
          <cell r="H6">
            <v>0.5</v>
          </cell>
          <cell r="I6">
            <v>0.108</v>
          </cell>
        </row>
        <row r="7">
          <cell r="E7">
            <v>6</v>
          </cell>
          <cell r="F7">
            <v>0.16700000000000001</v>
          </cell>
          <cell r="G7">
            <v>0.33300000000000002</v>
          </cell>
          <cell r="H7">
            <v>0.33400000000000002</v>
          </cell>
          <cell r="I7">
            <v>9.9110000000000004E-2</v>
          </cell>
        </row>
        <row r="8">
          <cell r="E8">
            <v>7</v>
          </cell>
          <cell r="F8">
            <v>0.14299999999999999</v>
          </cell>
          <cell r="G8">
            <v>0.28599999999999998</v>
          </cell>
          <cell r="H8">
            <v>0.33400000000000002</v>
          </cell>
          <cell r="I8">
            <v>8.6800000000000002E-2</v>
          </cell>
        </row>
        <row r="9">
          <cell r="E9">
            <v>8</v>
          </cell>
          <cell r="F9">
            <v>0.125</v>
          </cell>
          <cell r="G9">
            <v>0.25</v>
          </cell>
          <cell r="H9">
            <v>0.33400000000000002</v>
          </cell>
          <cell r="I9">
            <v>7.9089999999999994E-2</v>
          </cell>
        </row>
        <row r="10">
          <cell r="E10">
            <v>9</v>
          </cell>
          <cell r="F10">
            <v>0.112</v>
          </cell>
          <cell r="G10">
            <v>0.222</v>
          </cell>
          <cell r="H10">
            <v>0.25</v>
          </cell>
          <cell r="I10">
            <v>7.1260000000000004E-2</v>
          </cell>
        </row>
        <row r="11">
          <cell r="E11">
            <v>10</v>
          </cell>
          <cell r="F11">
            <v>0.1</v>
          </cell>
          <cell r="G11">
            <v>0.2</v>
          </cell>
          <cell r="H11">
            <v>0.25</v>
          </cell>
          <cell r="I11">
            <v>6.5519999999999995E-2</v>
          </cell>
        </row>
        <row r="12">
          <cell r="E12">
            <v>11</v>
          </cell>
          <cell r="F12">
            <v>9.0999999999999998E-2</v>
          </cell>
          <cell r="G12">
            <v>0.182</v>
          </cell>
          <cell r="H12">
            <v>0.2</v>
          </cell>
          <cell r="I12">
            <v>5.9920000000000001E-2</v>
          </cell>
        </row>
        <row r="13">
          <cell r="E13">
            <v>12</v>
          </cell>
          <cell r="F13">
            <v>8.4000000000000005E-2</v>
          </cell>
          <cell r="G13">
            <v>0.16700000000000001</v>
          </cell>
          <cell r="H13">
            <v>0.2</v>
          </cell>
          <cell r="I13">
            <v>5.5660000000000001E-2</v>
          </cell>
        </row>
        <row r="14">
          <cell r="E14">
            <v>13</v>
          </cell>
          <cell r="F14">
            <v>7.6999999999999999E-2</v>
          </cell>
          <cell r="G14">
            <v>0.154</v>
          </cell>
          <cell r="H14">
            <v>0.16700000000000001</v>
          </cell>
          <cell r="I14">
            <v>5.1799999999999999E-2</v>
          </cell>
        </row>
        <row r="15">
          <cell r="E15">
            <v>14</v>
          </cell>
          <cell r="F15">
            <v>7.1999999999999995E-2</v>
          </cell>
          <cell r="G15">
            <v>0.14299999999999999</v>
          </cell>
          <cell r="H15">
            <v>0.16700000000000001</v>
          </cell>
          <cell r="I15">
            <v>4.854E-2</v>
          </cell>
        </row>
        <row r="16">
          <cell r="E16">
            <v>15</v>
          </cell>
          <cell r="F16">
            <v>6.7000000000000004E-2</v>
          </cell>
          <cell r="G16">
            <v>0.13300000000000001</v>
          </cell>
          <cell r="H16">
            <v>0.14299999999999999</v>
          </cell>
          <cell r="I16">
            <v>4.5650000000000003E-2</v>
          </cell>
        </row>
        <row r="17">
          <cell r="E17">
            <v>16</v>
          </cell>
          <cell r="F17">
            <v>6.3E-2</v>
          </cell>
          <cell r="G17">
            <v>0.125</v>
          </cell>
          <cell r="H17">
            <v>0.14299999999999999</v>
          </cell>
          <cell r="I17">
            <v>4.2939999999999999E-2</v>
          </cell>
        </row>
        <row r="18">
          <cell r="E18">
            <v>17</v>
          </cell>
          <cell r="F18">
            <v>5.8999999999999997E-2</v>
          </cell>
          <cell r="G18">
            <v>0.11799999999999999</v>
          </cell>
          <cell r="H18">
            <v>0.125</v>
          </cell>
          <cell r="I18">
            <v>4.0379999999999999E-2</v>
          </cell>
        </row>
        <row r="19">
          <cell r="E19">
            <v>18</v>
          </cell>
          <cell r="F19">
            <v>5.6000000000000001E-2</v>
          </cell>
          <cell r="G19">
            <v>0.111</v>
          </cell>
          <cell r="H19">
            <v>0.112</v>
          </cell>
          <cell r="I19">
            <v>3.884E-2</v>
          </cell>
        </row>
        <row r="20">
          <cell r="E20">
            <v>19</v>
          </cell>
          <cell r="F20">
            <v>5.2999999999999999E-2</v>
          </cell>
          <cell r="G20">
            <v>0.105</v>
          </cell>
          <cell r="H20">
            <v>0.112</v>
          </cell>
          <cell r="I20">
            <v>3.6929999999999998E-2</v>
          </cell>
        </row>
        <row r="21">
          <cell r="E21">
            <v>20</v>
          </cell>
          <cell r="F21">
            <v>0.05</v>
          </cell>
          <cell r="G21">
            <v>0.1</v>
          </cell>
          <cell r="H21">
            <v>0.112</v>
          </cell>
          <cell r="I21">
            <v>3.4860000000000002E-2</v>
          </cell>
        </row>
        <row r="22">
          <cell r="E22">
            <v>21</v>
          </cell>
          <cell r="F22">
            <v>4.8000000000000001E-2</v>
          </cell>
          <cell r="G22">
            <v>9.5000000000000001E-2</v>
          </cell>
          <cell r="H22">
            <v>0.1</v>
          </cell>
          <cell r="I22">
            <v>3.3349999999999998E-2</v>
          </cell>
        </row>
        <row r="23">
          <cell r="E23">
            <v>22</v>
          </cell>
          <cell r="F23">
            <v>4.5999999999999999E-2</v>
          </cell>
          <cell r="G23">
            <v>9.0999999999999998E-2</v>
          </cell>
          <cell r="H23">
            <v>0.1</v>
          </cell>
          <cell r="I23">
            <v>3.1820000000000001E-2</v>
          </cell>
        </row>
        <row r="24">
          <cell r="E24">
            <v>23</v>
          </cell>
          <cell r="F24">
            <v>4.3999999999999997E-2</v>
          </cell>
          <cell r="G24">
            <v>8.6999999999999994E-2</v>
          </cell>
          <cell r="H24">
            <v>9.0999999999999998E-2</v>
          </cell>
          <cell r="I24">
            <v>3.0519999999999999E-2</v>
          </cell>
        </row>
        <row r="25">
          <cell r="E25">
            <v>24</v>
          </cell>
          <cell r="F25">
            <v>4.2000000000000003E-2</v>
          </cell>
          <cell r="G25">
            <v>8.3000000000000004E-2</v>
          </cell>
          <cell r="H25">
            <v>8.4000000000000005E-2</v>
          </cell>
          <cell r="I25">
            <v>2.9690000000000001E-2</v>
          </cell>
        </row>
        <row r="26">
          <cell r="E26">
            <v>25</v>
          </cell>
          <cell r="F26">
            <v>0.04</v>
          </cell>
          <cell r="G26">
            <v>0.08</v>
          </cell>
          <cell r="H26">
            <v>8.4000000000000005E-2</v>
          </cell>
          <cell r="I26">
            <v>2.8410000000000001E-2</v>
          </cell>
        </row>
        <row r="27">
          <cell r="E27">
            <v>26</v>
          </cell>
          <cell r="F27">
            <v>3.9E-2</v>
          </cell>
          <cell r="G27">
            <v>7.6999999999999999E-2</v>
          </cell>
          <cell r="H27">
            <v>8.4000000000000005E-2</v>
          </cell>
          <cell r="I27">
            <v>2.716E-2</v>
          </cell>
        </row>
        <row r="28">
          <cell r="E28">
            <v>27</v>
          </cell>
          <cell r="F28">
            <v>3.7999999999999999E-2</v>
          </cell>
          <cell r="G28">
            <v>7.3999999999999996E-2</v>
          </cell>
          <cell r="H28">
            <v>7.6999999999999999E-2</v>
          </cell>
          <cell r="I28">
            <v>2.6239999999999999E-2</v>
          </cell>
        </row>
        <row r="29">
          <cell r="E29">
            <v>28</v>
          </cell>
          <cell r="F29">
            <v>3.5999999999999997E-2</v>
          </cell>
          <cell r="G29">
            <v>7.0999999999999994E-2</v>
          </cell>
          <cell r="H29">
            <v>7.1999999999999995E-2</v>
          </cell>
          <cell r="I29">
            <v>2.5680000000000001E-2</v>
          </cell>
        </row>
        <row r="30">
          <cell r="E30">
            <v>29</v>
          </cell>
          <cell r="F30">
            <v>3.5000000000000003E-2</v>
          </cell>
          <cell r="G30">
            <v>6.9000000000000006E-2</v>
          </cell>
          <cell r="H30">
            <v>7.1999999999999995E-2</v>
          </cell>
          <cell r="I30">
            <v>2.4629999999999999E-2</v>
          </cell>
        </row>
        <row r="31">
          <cell r="E31">
            <v>30</v>
          </cell>
          <cell r="F31">
            <v>3.4000000000000002E-2</v>
          </cell>
          <cell r="G31">
            <v>6.7000000000000004E-2</v>
          </cell>
          <cell r="H31">
            <v>7.1999999999999995E-2</v>
          </cell>
          <cell r="I31">
            <v>2.366E-2</v>
          </cell>
        </row>
        <row r="32">
          <cell r="E32">
            <v>31</v>
          </cell>
          <cell r="F32">
            <v>3.3000000000000002E-2</v>
          </cell>
          <cell r="G32">
            <v>6.5000000000000002E-2</v>
          </cell>
          <cell r="H32">
            <v>6.7000000000000004E-2</v>
          </cell>
          <cell r="I32">
            <v>2.2859999999999998E-2</v>
          </cell>
        </row>
        <row r="33">
          <cell r="E33">
            <v>32</v>
          </cell>
          <cell r="F33">
            <v>3.2000000000000001E-2</v>
          </cell>
          <cell r="G33">
            <v>6.3E-2</v>
          </cell>
          <cell r="H33">
            <v>6.7000000000000004E-2</v>
          </cell>
          <cell r="I33">
            <v>2.2159999999999999E-2</v>
          </cell>
        </row>
        <row r="34">
          <cell r="E34">
            <v>33</v>
          </cell>
          <cell r="F34">
            <v>3.1E-2</v>
          </cell>
          <cell r="G34">
            <v>6.0999999999999999E-2</v>
          </cell>
          <cell r="H34">
            <v>6.3E-2</v>
          </cell>
          <cell r="I34">
            <v>2.1610000000000001E-2</v>
          </cell>
        </row>
        <row r="35">
          <cell r="E35">
            <v>34</v>
          </cell>
          <cell r="F35">
            <v>0.03</v>
          </cell>
          <cell r="G35">
            <v>5.8999999999999997E-2</v>
          </cell>
          <cell r="H35">
            <v>6.3E-2</v>
          </cell>
          <cell r="I35">
            <v>2.0969999999999999E-2</v>
          </cell>
        </row>
        <row r="36">
          <cell r="E36">
            <v>35</v>
          </cell>
          <cell r="F36">
            <v>2.9000000000000001E-2</v>
          </cell>
          <cell r="G36">
            <v>5.7000000000000002E-2</v>
          </cell>
          <cell r="H36">
            <v>5.8999999999999997E-2</v>
          </cell>
          <cell r="I36">
            <v>2.051E-2</v>
          </cell>
        </row>
        <row r="37">
          <cell r="E37">
            <v>36</v>
          </cell>
          <cell r="F37">
            <v>2.8000000000000001E-2</v>
          </cell>
          <cell r="G37">
            <v>5.6000000000000001E-2</v>
          </cell>
          <cell r="H37">
            <v>5.8999999999999997E-2</v>
          </cell>
          <cell r="I37">
            <v>1.9740000000000001E-2</v>
          </cell>
        </row>
        <row r="38">
          <cell r="E38">
            <v>37</v>
          </cell>
          <cell r="F38">
            <v>2.8000000000000001E-2</v>
          </cell>
          <cell r="G38">
            <v>5.3999999999999999E-2</v>
          </cell>
          <cell r="H38">
            <v>5.6000000000000001E-2</v>
          </cell>
          <cell r="I38">
            <v>1.95E-2</v>
          </cell>
        </row>
        <row r="39">
          <cell r="E39">
            <v>38</v>
          </cell>
          <cell r="F39">
            <v>2.7E-2</v>
          </cell>
          <cell r="G39">
            <v>5.2999999999999999E-2</v>
          </cell>
          <cell r="H39">
            <v>5.6000000000000001E-2</v>
          </cell>
          <cell r="I39">
            <v>1.882E-2</v>
          </cell>
        </row>
        <row r="40">
          <cell r="E40">
            <v>39</v>
          </cell>
          <cell r="F40">
            <v>2.5999999999999999E-2</v>
          </cell>
          <cell r="G40">
            <v>5.0999999999999997E-2</v>
          </cell>
          <cell r="H40">
            <v>5.2999999999999999E-2</v>
          </cell>
          <cell r="I40">
            <v>1.8599999999999998E-2</v>
          </cell>
        </row>
        <row r="41">
          <cell r="E41">
            <v>40</v>
          </cell>
          <cell r="F41">
            <v>2.5000000000000001E-2</v>
          </cell>
          <cell r="G41">
            <v>0.05</v>
          </cell>
          <cell r="H41">
            <v>5.2999999999999999E-2</v>
          </cell>
          <cell r="I41">
            <v>1.7909999999999999E-2</v>
          </cell>
        </row>
        <row r="42">
          <cell r="E42">
            <v>41</v>
          </cell>
          <cell r="F42">
            <v>2.5000000000000001E-2</v>
          </cell>
          <cell r="G42">
            <v>4.9000000000000002E-2</v>
          </cell>
          <cell r="H42">
            <v>0.05</v>
          </cell>
          <cell r="I42">
            <v>1.7409999999999998E-2</v>
          </cell>
        </row>
        <row r="43">
          <cell r="E43">
            <v>42</v>
          </cell>
          <cell r="F43">
            <v>2.4E-2</v>
          </cell>
          <cell r="G43">
            <v>4.8000000000000001E-2</v>
          </cell>
          <cell r="H43">
            <v>0.05</v>
          </cell>
          <cell r="I43">
            <v>1.694E-2</v>
          </cell>
        </row>
        <row r="44">
          <cell r="E44">
            <v>43</v>
          </cell>
          <cell r="F44">
            <v>2.4E-2</v>
          </cell>
          <cell r="G44">
            <v>4.7E-2</v>
          </cell>
          <cell r="H44">
            <v>4.8000000000000001E-2</v>
          </cell>
          <cell r="I44">
            <v>1.6639999999999999E-2</v>
          </cell>
        </row>
        <row r="45">
          <cell r="E45">
            <v>44</v>
          </cell>
          <cell r="F45">
            <v>2.3E-2</v>
          </cell>
          <cell r="G45">
            <v>4.4999999999999998E-2</v>
          </cell>
          <cell r="H45">
            <v>4.5999999999999999E-2</v>
          </cell>
          <cell r="I45">
            <v>1.6639999999999999E-2</v>
          </cell>
        </row>
        <row r="46">
          <cell r="E46">
            <v>45</v>
          </cell>
          <cell r="F46">
            <v>2.3E-2</v>
          </cell>
          <cell r="G46">
            <v>4.3999999999999997E-2</v>
          </cell>
          <cell r="H46">
            <v>4.5999999999999999E-2</v>
          </cell>
          <cell r="I46">
            <v>1.634E-2</v>
          </cell>
        </row>
        <row r="47">
          <cell r="E47">
            <v>46</v>
          </cell>
          <cell r="F47">
            <v>2.1999999999999999E-2</v>
          </cell>
          <cell r="G47">
            <v>4.2999999999999997E-2</v>
          </cell>
          <cell r="H47">
            <v>4.3999999999999997E-2</v>
          </cell>
          <cell r="I47">
            <v>1.601E-2</v>
          </cell>
        </row>
        <row r="48">
          <cell r="E48">
            <v>47</v>
          </cell>
          <cell r="F48">
            <v>2.1999999999999999E-2</v>
          </cell>
          <cell r="G48">
            <v>4.2999999999999997E-2</v>
          </cell>
          <cell r="H48">
            <v>4.3999999999999997E-2</v>
          </cell>
          <cell r="I48">
            <v>1.532E-2</v>
          </cell>
        </row>
        <row r="49">
          <cell r="E49">
            <v>48</v>
          </cell>
          <cell r="F49">
            <v>2.1000000000000001E-2</v>
          </cell>
          <cell r="G49">
            <v>4.2000000000000003E-2</v>
          </cell>
          <cell r="H49">
            <v>4.3999999999999997E-2</v>
          </cell>
          <cell r="I49">
            <v>1.499E-2</v>
          </cell>
        </row>
        <row r="50">
          <cell r="E50">
            <v>49</v>
          </cell>
          <cell r="F50">
            <v>2.1000000000000001E-2</v>
          </cell>
          <cell r="G50">
            <v>4.1000000000000002E-2</v>
          </cell>
          <cell r="H50">
            <v>4.2000000000000003E-2</v>
          </cell>
          <cell r="I50">
            <v>1.4749999999999999E-2</v>
          </cell>
        </row>
        <row r="51">
          <cell r="E51">
            <v>50</v>
          </cell>
          <cell r="F51">
            <v>0.02</v>
          </cell>
          <cell r="G51">
            <v>0.04</v>
          </cell>
          <cell r="H51">
            <v>4.2000000000000003E-2</v>
          </cell>
          <cell r="I51">
            <v>1.44E-2</v>
          </cell>
        </row>
      </sheetData>
      <sheetData sheetId="41" refreshError="1"/>
      <sheetData sheetId="42" refreshError="1"/>
      <sheetData sheetId="43" refreshError="1"/>
      <sheetData sheetId="4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3CB4489-F7B0-4324-9C4F-DCD763E6E300}" name="テーブル4" displayName="テーブル4" ref="E4:F45" totalsRowShown="0" tableBorderDxfId="20">
  <autoFilter ref="E4:F45" xr:uid="{63CB4489-F7B0-4324-9C4F-DCD763E6E300}">
    <filterColumn colId="0" hiddenButton="1"/>
    <filterColumn colId="1" hiddenButton="1"/>
  </autoFilter>
  <tableColumns count="2">
    <tableColumn id="1" xr3:uid="{BD8D09F2-3435-43CB-99F2-3FC5BB4723E7}" name="社長の役員報酬" dataDxfId="19" dataCellStyle="桁区切り">
      <calculatedColumnFormula>IF(E4-500000&lt;=0,0,E4-500000)</calculatedColumnFormula>
    </tableColumn>
    <tableColumn id="2" xr3:uid="{60A04959-F537-48F9-9D6E-4E1594B3BAB4}" name="合算CF"/>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1C75A08-E45F-4BCE-90F4-E2F9B7C24346}" name="テーブル5" displayName="テーブル5" ref="J4:K45" totalsRowShown="0" tableBorderDxfId="18">
  <autoFilter ref="J4:K45" xr:uid="{21C75A08-E45F-4BCE-90F4-E2F9B7C24346}">
    <filterColumn colId="0" hiddenButton="1"/>
    <filterColumn colId="1" hiddenButton="1"/>
  </autoFilter>
  <tableColumns count="2">
    <tableColumn id="1" xr3:uid="{99C67E9F-2700-429B-BBAC-D81FF21584DE}" name="配当金額" dataDxfId="17" dataCellStyle="桁区切り"/>
    <tableColumn id="2" xr3:uid="{6779900B-21B0-4340-8282-E3DA7E965CE7}" name="合算CF" dataDxfId="16" dataCellStyle="桁区切り"/>
  </tableColumns>
  <tableStyleInfo name="TableStyleMedium2" showFirstColumn="0" showLastColumn="0" showRowStripes="1" showColumnStripes="0"/>
</table>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vimeo.com/showcase/9699229" TargetMode="Externa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xml"/><Relationship Id="rId18" Type="http://schemas.openxmlformats.org/officeDocument/2006/relationships/ctrlProp" Target="../ctrlProps/ctrlProp10.xml"/><Relationship Id="rId26" Type="http://schemas.openxmlformats.org/officeDocument/2006/relationships/ctrlProp" Target="../ctrlProps/ctrlProp18.xml"/><Relationship Id="rId39" Type="http://schemas.openxmlformats.org/officeDocument/2006/relationships/ctrlProp" Target="../ctrlProps/ctrlProp31.xml"/><Relationship Id="rId21" Type="http://schemas.openxmlformats.org/officeDocument/2006/relationships/ctrlProp" Target="../ctrlProps/ctrlProp13.xml"/><Relationship Id="rId34" Type="http://schemas.openxmlformats.org/officeDocument/2006/relationships/ctrlProp" Target="../ctrlProps/ctrlProp26.xml"/><Relationship Id="rId42" Type="http://schemas.openxmlformats.org/officeDocument/2006/relationships/ctrlProp" Target="../ctrlProps/ctrlProp34.xml"/><Relationship Id="rId47" Type="http://schemas.openxmlformats.org/officeDocument/2006/relationships/ctrlProp" Target="../ctrlProps/ctrlProp39.xml"/><Relationship Id="rId50" Type="http://schemas.openxmlformats.org/officeDocument/2006/relationships/ctrlProp" Target="../ctrlProps/ctrlProp42.xml"/><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ctrlProp" Target="../ctrlProps/ctrlProp8.xml"/><Relationship Id="rId29" Type="http://schemas.openxmlformats.org/officeDocument/2006/relationships/ctrlProp" Target="../ctrlProps/ctrlProp21.xml"/><Relationship Id="rId11" Type="http://schemas.openxmlformats.org/officeDocument/2006/relationships/ctrlProp" Target="../ctrlProps/ctrlProp3.xml"/><Relationship Id="rId24" Type="http://schemas.openxmlformats.org/officeDocument/2006/relationships/ctrlProp" Target="../ctrlProps/ctrlProp16.xml"/><Relationship Id="rId32" Type="http://schemas.openxmlformats.org/officeDocument/2006/relationships/ctrlProp" Target="../ctrlProps/ctrlProp24.xml"/><Relationship Id="rId37" Type="http://schemas.openxmlformats.org/officeDocument/2006/relationships/ctrlProp" Target="../ctrlProps/ctrlProp29.xml"/><Relationship Id="rId40" Type="http://schemas.openxmlformats.org/officeDocument/2006/relationships/ctrlProp" Target="../ctrlProps/ctrlProp32.xml"/><Relationship Id="rId45" Type="http://schemas.openxmlformats.org/officeDocument/2006/relationships/ctrlProp" Target="../ctrlProps/ctrlProp37.xml"/><Relationship Id="rId5" Type="http://schemas.openxmlformats.org/officeDocument/2006/relationships/control" Target="../activeX/activeX1.xml"/><Relationship Id="rId15" Type="http://schemas.openxmlformats.org/officeDocument/2006/relationships/ctrlProp" Target="../ctrlProps/ctrlProp7.xml"/><Relationship Id="rId23" Type="http://schemas.openxmlformats.org/officeDocument/2006/relationships/ctrlProp" Target="../ctrlProps/ctrlProp15.xml"/><Relationship Id="rId28" Type="http://schemas.openxmlformats.org/officeDocument/2006/relationships/ctrlProp" Target="../ctrlProps/ctrlProp20.xml"/><Relationship Id="rId36" Type="http://schemas.openxmlformats.org/officeDocument/2006/relationships/ctrlProp" Target="../ctrlProps/ctrlProp28.xml"/><Relationship Id="rId49" Type="http://schemas.openxmlformats.org/officeDocument/2006/relationships/ctrlProp" Target="../ctrlProps/ctrlProp41.xml"/><Relationship Id="rId10" Type="http://schemas.openxmlformats.org/officeDocument/2006/relationships/ctrlProp" Target="../ctrlProps/ctrlProp2.xml"/><Relationship Id="rId19" Type="http://schemas.openxmlformats.org/officeDocument/2006/relationships/ctrlProp" Target="../ctrlProps/ctrlProp11.xml"/><Relationship Id="rId31" Type="http://schemas.openxmlformats.org/officeDocument/2006/relationships/ctrlProp" Target="../ctrlProps/ctrlProp23.xml"/><Relationship Id="rId44" Type="http://schemas.openxmlformats.org/officeDocument/2006/relationships/ctrlProp" Target="../ctrlProps/ctrlProp36.xml"/><Relationship Id="rId4" Type="http://schemas.openxmlformats.org/officeDocument/2006/relationships/vmlDrawing" Target="../drawings/vmlDrawing1.vml"/><Relationship Id="rId9" Type="http://schemas.openxmlformats.org/officeDocument/2006/relationships/ctrlProp" Target="../ctrlProps/ctrlProp1.xml"/><Relationship Id="rId14" Type="http://schemas.openxmlformats.org/officeDocument/2006/relationships/ctrlProp" Target="../ctrlProps/ctrlProp6.xml"/><Relationship Id="rId22" Type="http://schemas.openxmlformats.org/officeDocument/2006/relationships/ctrlProp" Target="../ctrlProps/ctrlProp14.xml"/><Relationship Id="rId27" Type="http://schemas.openxmlformats.org/officeDocument/2006/relationships/ctrlProp" Target="../ctrlProps/ctrlProp19.xml"/><Relationship Id="rId30" Type="http://schemas.openxmlformats.org/officeDocument/2006/relationships/ctrlProp" Target="../ctrlProps/ctrlProp22.xml"/><Relationship Id="rId35" Type="http://schemas.openxmlformats.org/officeDocument/2006/relationships/ctrlProp" Target="../ctrlProps/ctrlProp27.xml"/><Relationship Id="rId43" Type="http://schemas.openxmlformats.org/officeDocument/2006/relationships/ctrlProp" Target="../ctrlProps/ctrlProp35.xml"/><Relationship Id="rId48" Type="http://schemas.openxmlformats.org/officeDocument/2006/relationships/ctrlProp" Target="../ctrlProps/ctrlProp40.xml"/><Relationship Id="rId8" Type="http://schemas.openxmlformats.org/officeDocument/2006/relationships/image" Target="../media/image2.emf"/><Relationship Id="rId51" Type="http://schemas.openxmlformats.org/officeDocument/2006/relationships/ctrlProp" Target="../ctrlProps/ctrlProp43.xml"/><Relationship Id="rId3" Type="http://schemas.openxmlformats.org/officeDocument/2006/relationships/drawing" Target="../drawings/drawing3.xml"/><Relationship Id="rId12" Type="http://schemas.openxmlformats.org/officeDocument/2006/relationships/ctrlProp" Target="../ctrlProps/ctrlProp4.xml"/><Relationship Id="rId17" Type="http://schemas.openxmlformats.org/officeDocument/2006/relationships/ctrlProp" Target="../ctrlProps/ctrlProp9.xml"/><Relationship Id="rId25" Type="http://schemas.openxmlformats.org/officeDocument/2006/relationships/ctrlProp" Target="../ctrlProps/ctrlProp17.xml"/><Relationship Id="rId33" Type="http://schemas.openxmlformats.org/officeDocument/2006/relationships/ctrlProp" Target="../ctrlProps/ctrlProp25.xml"/><Relationship Id="rId38" Type="http://schemas.openxmlformats.org/officeDocument/2006/relationships/ctrlProp" Target="../ctrlProps/ctrlProp30.xml"/><Relationship Id="rId46" Type="http://schemas.openxmlformats.org/officeDocument/2006/relationships/ctrlProp" Target="../ctrlProps/ctrlProp38.xml"/><Relationship Id="rId20" Type="http://schemas.openxmlformats.org/officeDocument/2006/relationships/ctrlProp" Target="../ctrlProps/ctrlProp12.xml"/><Relationship Id="rId41" Type="http://schemas.openxmlformats.org/officeDocument/2006/relationships/ctrlProp" Target="../ctrlProps/ctrlProp33.xml"/><Relationship Id="rId1" Type="http://schemas.openxmlformats.org/officeDocument/2006/relationships/hyperlink" Target="https://www.kyoukaikenpo.or.jp/g7/cat330/sb3150/r07/r7ryougakuhyou3gatukara/" TargetMode="External"/><Relationship Id="rId6" Type="http://schemas.openxmlformats.org/officeDocument/2006/relationships/image" Target="../media/image1.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ctrlProp" Target="../ctrlProps/ctrlProp44.xml"/><Relationship Id="rId7" Type="http://schemas.openxmlformats.org/officeDocument/2006/relationships/ctrlProp" Target="../ctrlProps/ctrlProp48.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 Id="rId9"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52.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D11E3-A3FF-4AE0-9C3F-C3727B9CCC17}">
  <sheetPr codeName="Sheet4"/>
  <dimension ref="B2:C48"/>
  <sheetViews>
    <sheetView showGridLines="0" showRowColHeaders="0" workbookViewId="0">
      <selection activeCell="C11" sqref="C11"/>
    </sheetView>
  </sheetViews>
  <sheetFormatPr defaultRowHeight="14.5"/>
  <cols>
    <col min="3" max="3" width="76.7265625" customWidth="1"/>
  </cols>
  <sheetData>
    <row r="2" spans="2:3" ht="22.5">
      <c r="B2" s="3" t="s">
        <v>222</v>
      </c>
    </row>
    <row r="3" spans="2:3" ht="15" thickBot="1"/>
    <row r="4" spans="2:3" ht="15" thickBot="1">
      <c r="B4" s="130" t="s">
        <v>119</v>
      </c>
      <c r="C4" s="182"/>
    </row>
    <row r="8" spans="2:3">
      <c r="C8" s="130"/>
    </row>
    <row r="9" spans="2:3">
      <c r="C9" s="186"/>
    </row>
    <row r="11" spans="2:3">
      <c r="C11" s="130" t="s">
        <v>123</v>
      </c>
    </row>
    <row r="12" spans="2:3">
      <c r="C12" s="186"/>
    </row>
    <row r="13" spans="2:3">
      <c r="C13" s="186" t="s">
        <v>193</v>
      </c>
    </row>
    <row r="28" spans="2:3">
      <c r="B28">
        <v>1.55</v>
      </c>
      <c r="C28" t="s">
        <v>130</v>
      </c>
    </row>
    <row r="29" spans="2:3">
      <c r="B29">
        <v>1.57</v>
      </c>
      <c r="C29" t="s">
        <v>133</v>
      </c>
    </row>
    <row r="30" spans="2:3">
      <c r="C30" t="s">
        <v>134</v>
      </c>
    </row>
    <row r="31" spans="2:3">
      <c r="C31" t="s">
        <v>135</v>
      </c>
    </row>
    <row r="32" spans="2:3">
      <c r="B32">
        <v>1.58</v>
      </c>
      <c r="C32" t="s">
        <v>136</v>
      </c>
    </row>
    <row r="33" spans="2:3">
      <c r="B33">
        <v>1.6</v>
      </c>
      <c r="C33" t="s">
        <v>177</v>
      </c>
    </row>
    <row r="34" spans="2:3">
      <c r="B34">
        <v>1.61</v>
      </c>
      <c r="C34" t="s">
        <v>178</v>
      </c>
    </row>
    <row r="35" spans="2:3">
      <c r="B35">
        <v>1.7</v>
      </c>
      <c r="C35" t="s">
        <v>188</v>
      </c>
    </row>
    <row r="36" spans="2:3">
      <c r="C36" t="s">
        <v>189</v>
      </c>
    </row>
    <row r="37" spans="2:3">
      <c r="C37" t="s">
        <v>190</v>
      </c>
    </row>
    <row r="38" spans="2:3">
      <c r="B38">
        <v>1.72</v>
      </c>
      <c r="C38" t="s">
        <v>195</v>
      </c>
    </row>
    <row r="39" spans="2:3">
      <c r="B39">
        <v>1.76</v>
      </c>
      <c r="C39" t="s">
        <v>199</v>
      </c>
    </row>
    <row r="40" spans="2:3">
      <c r="B40">
        <v>1.77</v>
      </c>
      <c r="C40" t="s">
        <v>200</v>
      </c>
    </row>
    <row r="41" spans="2:3">
      <c r="B41">
        <v>1.78</v>
      </c>
      <c r="C41" t="s">
        <v>211</v>
      </c>
    </row>
    <row r="42" spans="2:3">
      <c r="B42">
        <v>1.79</v>
      </c>
      <c r="C42" t="s">
        <v>212</v>
      </c>
    </row>
    <row r="43" spans="2:3">
      <c r="B43">
        <v>1.81</v>
      </c>
      <c r="C43" t="s">
        <v>213</v>
      </c>
    </row>
    <row r="44" spans="2:3">
      <c r="B44">
        <v>1.83</v>
      </c>
      <c r="C44" t="s">
        <v>215</v>
      </c>
    </row>
    <row r="45" spans="2:3">
      <c r="B45">
        <v>1.84</v>
      </c>
      <c r="C45" t="s">
        <v>216</v>
      </c>
    </row>
    <row r="46" spans="2:3">
      <c r="B46">
        <v>1.85</v>
      </c>
      <c r="C46" t="s">
        <v>217</v>
      </c>
    </row>
    <row r="47" spans="2:3">
      <c r="B47">
        <v>1.86</v>
      </c>
      <c r="C47" t="s">
        <v>218</v>
      </c>
    </row>
    <row r="48" spans="2:3">
      <c r="B48">
        <v>1.89</v>
      </c>
      <c r="C48" t="s">
        <v>223</v>
      </c>
    </row>
  </sheetData>
  <phoneticPr fontId="7"/>
  <conditionalFormatting sqref="A1:XFD3 A5:XFD1048576 A4:B4 D4:XFD4">
    <cfRule type="expression" dxfId="15" priority="2">
      <formula>CELL("protect", A1)=0</formula>
    </cfRule>
  </conditionalFormatting>
  <conditionalFormatting sqref="C4">
    <cfRule type="expression" dxfId="14" priority="1">
      <formula>CELL("protect", C4)=0</formula>
    </cfRule>
  </conditionalFormatting>
  <hyperlinks>
    <hyperlink ref="C13" r:id="rId1" xr:uid="{3F188CAE-0524-434E-BCA5-528AA04FB59C}"/>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3">
    <tabColor rgb="FFFFCCCC"/>
    <pageSetUpPr fitToPage="1"/>
  </sheetPr>
  <dimension ref="A1:BR142"/>
  <sheetViews>
    <sheetView showGridLines="0" showZeros="0" topLeftCell="A44" zoomScale="70" zoomScaleNormal="70" workbookViewId="0">
      <selection activeCell="D39" sqref="D39"/>
    </sheetView>
  </sheetViews>
  <sheetFormatPr defaultColWidth="9.26953125" defaultRowHeight="13"/>
  <cols>
    <col min="1" max="1" width="10.26953125" style="1" customWidth="1"/>
    <col min="2" max="2" width="11.7265625" style="1" customWidth="1"/>
    <col min="3" max="3" width="19.26953125" style="1" customWidth="1"/>
    <col min="4" max="4" width="13.7265625" style="1" customWidth="1"/>
    <col min="5" max="14" width="12.7265625" style="1" customWidth="1"/>
    <col min="15" max="15" width="22.26953125" style="1" customWidth="1"/>
    <col min="16" max="16" width="14" style="1" customWidth="1"/>
    <col min="17" max="17" width="72.7265625" style="1" customWidth="1"/>
    <col min="18" max="18" width="10.7265625" style="1" customWidth="1"/>
    <col min="19" max="19" width="12.26953125" style="1" customWidth="1"/>
    <col min="20" max="20" width="12.7265625" style="1" customWidth="1"/>
    <col min="21" max="21" width="14" style="1" customWidth="1"/>
    <col min="22" max="24" width="11.26953125" style="1" bestFit="1" customWidth="1"/>
    <col min="25" max="32" width="11.26953125" style="1" customWidth="1"/>
    <col min="33" max="36" width="9.26953125" style="1" customWidth="1"/>
    <col min="37" max="56" width="9.26953125" style="1"/>
    <col min="57" max="58" width="0" style="1" hidden="1" customWidth="1"/>
    <col min="59" max="59" width="9.7265625" style="1" hidden="1" customWidth="1"/>
    <col min="60" max="70" width="0" style="1" hidden="1" customWidth="1"/>
    <col min="71" max="16384" width="9.26953125" style="1"/>
  </cols>
  <sheetData>
    <row r="1" spans="1:68" ht="36" customHeight="1">
      <c r="A1" s="230"/>
      <c r="C1" s="2"/>
      <c r="D1" s="3"/>
      <c r="E1" s="4"/>
      <c r="F1" s="5"/>
      <c r="G1" s="6"/>
      <c r="H1" s="7"/>
      <c r="I1" s="6"/>
      <c r="J1" s="7"/>
      <c r="K1" s="6"/>
      <c r="L1" s="8"/>
      <c r="M1" s="6"/>
      <c r="N1" s="9"/>
      <c r="O1" s="7"/>
      <c r="P1" s="10"/>
      <c r="Q1" s="11"/>
      <c r="R1" s="13"/>
      <c r="AT1" s="12">
        <v>1</v>
      </c>
      <c r="AX1" s="1">
        <v>2</v>
      </c>
    </row>
    <row r="2" spans="1:68" ht="19">
      <c r="A2" s="14"/>
      <c r="B2" s="14"/>
      <c r="C2" s="14"/>
      <c r="D2" s="78" t="s">
        <v>137</v>
      </c>
      <c r="E2" s="19"/>
      <c r="F2" s="19"/>
      <c r="G2" s="19"/>
      <c r="H2" s="19"/>
      <c r="I2" s="19"/>
      <c r="J2" s="19"/>
      <c r="K2" s="19"/>
      <c r="L2" s="19"/>
      <c r="M2" s="19"/>
      <c r="N2" s="19"/>
      <c r="O2" s="19"/>
      <c r="P2" s="19"/>
      <c r="Q2" s="19"/>
      <c r="R2" s="14"/>
      <c r="S2" s="14"/>
      <c r="T2" s="14"/>
      <c r="U2" s="14"/>
      <c r="V2" s="14"/>
      <c r="W2" s="14"/>
      <c r="X2" s="14"/>
      <c r="Y2" s="14"/>
      <c r="Z2" s="14"/>
    </row>
    <row r="3" spans="1:68" ht="19">
      <c r="A3" s="14"/>
      <c r="B3" s="14"/>
      <c r="C3" s="14"/>
      <c r="D3" s="14"/>
      <c r="E3" s="14"/>
      <c r="F3" s="14"/>
      <c r="G3" s="14"/>
      <c r="H3" s="14"/>
      <c r="I3" s="14"/>
      <c r="J3" s="14"/>
      <c r="K3" s="14"/>
      <c r="L3" s="14"/>
      <c r="M3" s="14"/>
      <c r="N3" s="205"/>
      <c r="O3" s="226" t="s">
        <v>139</v>
      </c>
      <c r="P3" s="227">
        <v>30000000</v>
      </c>
      <c r="Q3" s="14"/>
      <c r="R3" s="14"/>
      <c r="S3" s="14"/>
      <c r="T3" s="14"/>
      <c r="U3" s="14"/>
      <c r="V3" s="14"/>
      <c r="W3" s="14"/>
      <c r="X3" s="14"/>
      <c r="Y3" s="14"/>
      <c r="Z3" s="14"/>
    </row>
    <row r="4" spans="1:68" ht="16.399999999999999" customHeight="1" thickBot="1">
      <c r="A4" s="14"/>
      <c r="B4" s="14"/>
      <c r="C4" s="84" t="s">
        <v>0</v>
      </c>
      <c r="D4" s="14"/>
      <c r="E4" s="14"/>
      <c r="F4" s="77"/>
      <c r="G4" s="14"/>
      <c r="H4" s="14"/>
      <c r="I4" s="14"/>
      <c r="J4" s="14"/>
      <c r="K4" s="14"/>
      <c r="L4" s="14"/>
      <c r="N4" s="14"/>
      <c r="O4" s="228" t="s">
        <v>131</v>
      </c>
      <c r="P4" s="227">
        <v>70000</v>
      </c>
      <c r="Q4" s="14"/>
      <c r="R4" s="14"/>
      <c r="S4" s="14"/>
      <c r="T4" s="14"/>
      <c r="U4" s="14"/>
      <c r="V4" s="14"/>
      <c r="W4" s="14"/>
      <c r="X4" s="14"/>
      <c r="Y4" s="14"/>
      <c r="Z4" s="14"/>
    </row>
    <row r="5" spans="1:68" ht="16.399999999999999" customHeight="1" thickBot="1">
      <c r="A5" s="16"/>
      <c r="B5" s="14"/>
      <c r="C5" s="14"/>
      <c r="D5" s="14"/>
      <c r="E5" s="14"/>
      <c r="F5" s="14"/>
      <c r="G5" s="14"/>
      <c r="H5" s="14"/>
      <c r="I5" s="14"/>
      <c r="J5" s="14"/>
      <c r="K5" s="14"/>
      <c r="L5" s="14"/>
      <c r="M5" s="14"/>
      <c r="N5" s="77"/>
      <c r="O5" s="228" t="s">
        <v>132</v>
      </c>
      <c r="P5" s="227">
        <v>0</v>
      </c>
      <c r="Q5" s="14"/>
      <c r="R5" s="14"/>
      <c r="S5" s="14"/>
      <c r="T5" s="14"/>
      <c r="U5" s="14"/>
      <c r="V5" s="14"/>
      <c r="W5" s="14"/>
      <c r="X5" s="14"/>
      <c r="Y5" s="14"/>
      <c r="Z5" s="14"/>
      <c r="BE5" s="311" t="s">
        <v>1</v>
      </c>
      <c r="BF5" s="312"/>
      <c r="BG5" s="105" t="s">
        <v>2</v>
      </c>
      <c r="BH5" s="105" t="s">
        <v>3</v>
      </c>
      <c r="BI5" s="105" t="s">
        <v>4</v>
      </c>
      <c r="BL5" s="311" t="s">
        <v>1</v>
      </c>
      <c r="BM5" s="312"/>
      <c r="BN5" s="105" t="s">
        <v>2</v>
      </c>
      <c r="BO5" s="105" t="s">
        <v>3</v>
      </c>
      <c r="BP5" s="105" t="s">
        <v>4</v>
      </c>
    </row>
    <row r="6" spans="1:68" ht="18" customHeight="1">
      <c r="A6" s="16"/>
      <c r="B6" s="16" t="s">
        <v>120</v>
      </c>
      <c r="C6" s="99" t="s">
        <v>5</v>
      </c>
      <c r="D6" s="85" t="s">
        <v>225</v>
      </c>
      <c r="E6" s="85"/>
      <c r="F6" s="85"/>
      <c r="G6" s="85"/>
      <c r="H6" s="85"/>
      <c r="I6" s="85"/>
      <c r="J6" s="85"/>
      <c r="K6" s="85"/>
      <c r="L6" s="85"/>
      <c r="M6" s="85"/>
      <c r="N6" s="262" t="s">
        <v>6</v>
      </c>
      <c r="O6" s="265" t="s">
        <v>7</v>
      </c>
      <c r="P6" s="22"/>
      <c r="Q6" s="14"/>
      <c r="R6" s="14"/>
      <c r="S6" s="14"/>
      <c r="T6" s="14"/>
      <c r="U6" s="14"/>
      <c r="V6" s="14"/>
      <c r="W6" s="14"/>
      <c r="X6" s="14"/>
      <c r="Y6" s="14"/>
      <c r="Z6" s="14"/>
      <c r="BE6" s="23" t="s">
        <v>8</v>
      </c>
      <c r="BF6" s="24">
        <v>0</v>
      </c>
      <c r="BG6" s="25"/>
      <c r="BH6" s="25"/>
      <c r="BI6" s="25"/>
      <c r="BL6" s="23" t="s">
        <v>8</v>
      </c>
      <c r="BM6" s="24">
        <v>0</v>
      </c>
      <c r="BN6" s="25"/>
      <c r="BO6" s="25"/>
      <c r="BP6" s="25"/>
    </row>
    <row r="7" spans="1:68" ht="18" customHeight="1">
      <c r="A7" s="14"/>
      <c r="B7" s="14"/>
      <c r="C7" s="101" t="s">
        <v>9</v>
      </c>
      <c r="D7" s="26">
        <v>62</v>
      </c>
      <c r="E7" s="26"/>
      <c r="F7" s="26"/>
      <c r="G7" s="26"/>
      <c r="H7" s="26"/>
      <c r="I7" s="26"/>
      <c r="J7" s="26"/>
      <c r="K7" s="26"/>
      <c r="L7" s="26"/>
      <c r="M7" s="26"/>
      <c r="N7" s="263"/>
      <c r="O7" s="266">
        <v>9.9099999999999994E-2</v>
      </c>
      <c r="P7" s="22" t="s">
        <v>10</v>
      </c>
      <c r="Q7" s="289" t="s">
        <v>219</v>
      </c>
      <c r="R7" s="139" t="s">
        <v>122</v>
      </c>
      <c r="S7" s="14"/>
      <c r="T7" s="14"/>
      <c r="U7" s="14"/>
      <c r="V7" s="14"/>
      <c r="W7" s="14"/>
      <c r="X7" s="14"/>
      <c r="Y7" s="14"/>
      <c r="Z7" s="14"/>
      <c r="AA7" s="1" t="s">
        <v>202</v>
      </c>
      <c r="BE7" s="27" t="s">
        <v>11</v>
      </c>
      <c r="BF7" s="24">
        <f>IF(BI59&lt;0,0,BI59)</f>
        <v>0</v>
      </c>
      <c r="BG7" s="25"/>
      <c r="BH7" s="25"/>
      <c r="BI7" s="25"/>
      <c r="BL7" s="27" t="s">
        <v>11</v>
      </c>
      <c r="BM7" s="24">
        <f>IF(BP59&lt;0,0,BP59)</f>
        <v>0</v>
      </c>
      <c r="BN7" s="25"/>
      <c r="BO7" s="25"/>
      <c r="BP7" s="25"/>
    </row>
    <row r="8" spans="1:68" ht="18" customHeight="1">
      <c r="A8" s="14"/>
      <c r="B8" s="14"/>
      <c r="C8" s="88" t="s">
        <v>51</v>
      </c>
      <c r="D8" s="28">
        <v>12000000</v>
      </c>
      <c r="E8" s="28"/>
      <c r="F8" s="28"/>
      <c r="G8" s="28"/>
      <c r="H8" s="28"/>
      <c r="I8" s="28"/>
      <c r="J8" s="28"/>
      <c r="K8" s="28"/>
      <c r="L8" s="28"/>
      <c r="M8" s="28"/>
      <c r="N8" s="260">
        <f>SUM(D8:M8)</f>
        <v>12000000</v>
      </c>
      <c r="O8" s="266">
        <v>1.5900000000000001E-2</v>
      </c>
      <c r="P8" s="22" t="s">
        <v>12</v>
      </c>
      <c r="Q8" s="14" t="s">
        <v>224</v>
      </c>
      <c r="R8" s="14"/>
      <c r="S8" s="14"/>
      <c r="T8" s="14"/>
      <c r="U8" s="14"/>
      <c r="V8" s="14"/>
      <c r="W8" s="14"/>
      <c r="X8" s="14"/>
      <c r="Y8" s="14"/>
      <c r="Z8" s="14"/>
      <c r="AA8" s="290">
        <f>IF(D8/12&gt;=635000,650000*12,D8)</f>
        <v>7800000</v>
      </c>
      <c r="AB8" s="290">
        <f t="shared" ref="AB8:AJ8" si="0">IF(E8/12&gt;=635000,650000*12,E8)</f>
        <v>0</v>
      </c>
      <c r="AC8" s="290">
        <f t="shared" si="0"/>
        <v>0</v>
      </c>
      <c r="AD8" s="290">
        <f t="shared" si="0"/>
        <v>0</v>
      </c>
      <c r="AE8" s="290">
        <f t="shared" si="0"/>
        <v>0</v>
      </c>
      <c r="AF8" s="290">
        <f t="shared" si="0"/>
        <v>0</v>
      </c>
      <c r="AG8" s="290">
        <f t="shared" si="0"/>
        <v>0</v>
      </c>
      <c r="AH8" s="290">
        <f t="shared" si="0"/>
        <v>0</v>
      </c>
      <c r="AI8" s="290">
        <f t="shared" si="0"/>
        <v>0</v>
      </c>
      <c r="AJ8" s="290">
        <f t="shared" si="0"/>
        <v>0</v>
      </c>
      <c r="BE8" s="27" t="s">
        <v>13</v>
      </c>
      <c r="BF8" s="29">
        <f>シミュレーション!BD167</f>
        <v>0</v>
      </c>
      <c r="BG8" s="25"/>
      <c r="BH8" s="25"/>
      <c r="BI8" s="25"/>
      <c r="BL8" s="27" t="s">
        <v>13</v>
      </c>
      <c r="BM8" s="29">
        <f>シミュレーション!BK167</f>
        <v>0</v>
      </c>
      <c r="BN8" s="25"/>
      <c r="BO8" s="25"/>
      <c r="BP8" s="25"/>
    </row>
    <row r="9" spans="1:68" ht="18" customHeight="1">
      <c r="A9" s="14"/>
      <c r="B9" s="14"/>
      <c r="C9" s="102" t="s">
        <v>53</v>
      </c>
      <c r="D9" s="28"/>
      <c r="E9" s="28"/>
      <c r="F9" s="28"/>
      <c r="G9" s="28"/>
      <c r="H9" s="28"/>
      <c r="I9" s="28"/>
      <c r="J9" s="28"/>
      <c r="K9" s="28"/>
      <c r="L9" s="28"/>
      <c r="M9" s="28"/>
      <c r="N9" s="260">
        <f t="shared" ref="N9:N13" si="1">SUM(D9:M9)</f>
        <v>0</v>
      </c>
      <c r="O9" s="266">
        <v>0.183</v>
      </c>
      <c r="P9" s="22" t="s">
        <v>15</v>
      </c>
      <c r="Q9" s="14"/>
      <c r="R9" s="14"/>
      <c r="S9" s="14"/>
      <c r="T9" s="14"/>
      <c r="U9" s="14"/>
      <c r="V9" s="14"/>
      <c r="W9" s="14"/>
      <c r="X9" s="14"/>
      <c r="Y9" s="14"/>
      <c r="Z9" s="14"/>
      <c r="AA9" s="290">
        <f>IF(D9&gt;1500000,1500000,INT(D9/1000)*1000)</f>
        <v>0</v>
      </c>
      <c r="AB9" s="290">
        <f t="shared" ref="AB9:AJ11" si="2">IF(E9&gt;1500000,1500000,INT(E9/1000)*1000)</f>
        <v>0</v>
      </c>
      <c r="AC9" s="290">
        <f t="shared" si="2"/>
        <v>0</v>
      </c>
      <c r="AD9" s="290">
        <f t="shared" si="2"/>
        <v>0</v>
      </c>
      <c r="AE9" s="290">
        <f t="shared" si="2"/>
        <v>0</v>
      </c>
      <c r="AF9" s="290">
        <f t="shared" si="2"/>
        <v>0</v>
      </c>
      <c r="AG9" s="290">
        <f t="shared" si="2"/>
        <v>0</v>
      </c>
      <c r="AH9" s="290">
        <f t="shared" si="2"/>
        <v>0</v>
      </c>
      <c r="AI9" s="290">
        <f t="shared" si="2"/>
        <v>0</v>
      </c>
      <c r="AJ9" s="290">
        <f t="shared" si="2"/>
        <v>0</v>
      </c>
      <c r="BE9" s="27"/>
      <c r="BF9" s="29"/>
      <c r="BG9" s="25"/>
      <c r="BH9" s="25"/>
      <c r="BI9" s="25"/>
      <c r="BL9" s="27"/>
      <c r="BM9" s="29"/>
      <c r="BN9" s="25"/>
      <c r="BO9" s="25"/>
      <c r="BP9" s="25"/>
    </row>
    <row r="10" spans="1:68" ht="18" customHeight="1">
      <c r="A10" s="14"/>
      <c r="B10" s="14"/>
      <c r="C10" s="103" t="s">
        <v>55</v>
      </c>
      <c r="D10" s="28"/>
      <c r="E10" s="28"/>
      <c r="F10" s="28"/>
      <c r="G10" s="28"/>
      <c r="H10" s="28"/>
      <c r="I10" s="28"/>
      <c r="J10" s="28"/>
      <c r="K10" s="28"/>
      <c r="L10" s="28"/>
      <c r="M10" s="28"/>
      <c r="N10" s="260">
        <f t="shared" si="1"/>
        <v>0</v>
      </c>
      <c r="O10" s="267">
        <v>3.5999999999999999E-3</v>
      </c>
      <c r="P10" s="15" t="s">
        <v>18</v>
      </c>
      <c r="Q10" s="14"/>
      <c r="R10" s="14"/>
      <c r="S10" s="14"/>
      <c r="T10" s="14"/>
      <c r="U10" s="14"/>
      <c r="V10" s="14"/>
      <c r="W10" s="14"/>
      <c r="X10" s="14"/>
      <c r="Y10" s="14"/>
      <c r="Z10" s="14"/>
      <c r="AA10" s="290">
        <f t="shared" ref="AA10:AA11" si="3">IF(D10&gt;1500000,1500000,INT(D10/1000)*1000)</f>
        <v>0</v>
      </c>
      <c r="AB10" s="290">
        <f t="shared" si="2"/>
        <v>0</v>
      </c>
      <c r="AC10" s="290">
        <f t="shared" si="2"/>
        <v>0</v>
      </c>
      <c r="AD10" s="290">
        <f t="shared" si="2"/>
        <v>0</v>
      </c>
      <c r="AE10" s="290">
        <f t="shared" si="2"/>
        <v>0</v>
      </c>
      <c r="AF10" s="290">
        <f t="shared" si="2"/>
        <v>0</v>
      </c>
      <c r="AG10" s="290">
        <f t="shared" si="2"/>
        <v>0</v>
      </c>
      <c r="AH10" s="290">
        <f t="shared" si="2"/>
        <v>0</v>
      </c>
      <c r="AI10" s="290">
        <f t="shared" si="2"/>
        <v>0</v>
      </c>
      <c r="AJ10" s="290">
        <f t="shared" si="2"/>
        <v>0</v>
      </c>
      <c r="BE10" s="27"/>
      <c r="BF10" s="29"/>
      <c r="BG10" s="25"/>
      <c r="BH10" s="25"/>
      <c r="BI10" s="25"/>
      <c r="BL10" s="27"/>
      <c r="BM10" s="29"/>
      <c r="BN10" s="25"/>
      <c r="BO10" s="25"/>
      <c r="BP10" s="25"/>
    </row>
    <row r="11" spans="1:68" ht="18" customHeight="1">
      <c r="A11" s="14"/>
      <c r="B11" s="14"/>
      <c r="C11" s="88" t="s">
        <v>57</v>
      </c>
      <c r="D11" s="28"/>
      <c r="E11" s="28"/>
      <c r="F11" s="28"/>
      <c r="G11" s="28"/>
      <c r="H11" s="28"/>
      <c r="I11" s="28"/>
      <c r="J11" s="28"/>
      <c r="K11" s="28"/>
      <c r="L11" s="28"/>
      <c r="M11" s="28"/>
      <c r="N11" s="260">
        <f t="shared" si="1"/>
        <v>0</v>
      </c>
      <c r="O11" s="268">
        <v>5730000</v>
      </c>
      <c r="P11" s="15" t="s">
        <v>79</v>
      </c>
      <c r="Q11" s="14"/>
      <c r="R11" s="14"/>
      <c r="S11" s="14"/>
      <c r="T11" s="14"/>
      <c r="U11" s="14"/>
      <c r="V11" s="14"/>
      <c r="W11" s="14"/>
      <c r="X11" s="14"/>
      <c r="Y11" s="14"/>
      <c r="Z11" s="14"/>
      <c r="AA11" s="290">
        <f t="shared" si="3"/>
        <v>0</v>
      </c>
      <c r="AB11" s="290">
        <f t="shared" si="2"/>
        <v>0</v>
      </c>
      <c r="AC11" s="290">
        <f t="shared" si="2"/>
        <v>0</v>
      </c>
      <c r="AD11" s="290">
        <f t="shared" si="2"/>
        <v>0</v>
      </c>
      <c r="AE11" s="290">
        <f t="shared" si="2"/>
        <v>0</v>
      </c>
      <c r="AF11" s="290">
        <f t="shared" si="2"/>
        <v>0</v>
      </c>
      <c r="AG11" s="290">
        <f t="shared" si="2"/>
        <v>0</v>
      </c>
      <c r="AH11" s="290">
        <f t="shared" si="2"/>
        <v>0</v>
      </c>
      <c r="AI11" s="290">
        <f t="shared" si="2"/>
        <v>0</v>
      </c>
      <c r="AJ11" s="290">
        <f t="shared" si="2"/>
        <v>0</v>
      </c>
      <c r="BE11" s="27"/>
      <c r="BF11" s="29"/>
      <c r="BG11" s="25"/>
      <c r="BH11" s="25"/>
      <c r="BI11" s="25"/>
      <c r="BL11" s="27"/>
      <c r="BM11" s="29"/>
      <c r="BN11" s="25"/>
      <c r="BO11" s="25"/>
      <c r="BP11" s="25"/>
    </row>
    <row r="12" spans="1:68" ht="18" customHeight="1" thickBot="1">
      <c r="A12" s="139" t="s">
        <v>196</v>
      </c>
      <c r="B12" s="139"/>
      <c r="C12" s="90" t="s">
        <v>14</v>
      </c>
      <c r="D12" s="30"/>
      <c r="E12" s="30"/>
      <c r="F12" s="30"/>
      <c r="G12" s="30"/>
      <c r="H12" s="30"/>
      <c r="I12" s="30"/>
      <c r="J12" s="30"/>
      <c r="K12" s="30"/>
      <c r="L12" s="30"/>
      <c r="M12" s="30"/>
      <c r="N12" s="260">
        <f t="shared" si="1"/>
        <v>0</v>
      </c>
      <c r="O12" s="269">
        <v>1500000</v>
      </c>
      <c r="P12" s="15" t="s">
        <v>80</v>
      </c>
      <c r="Q12" s="14"/>
      <c r="R12" s="14"/>
      <c r="S12" s="14"/>
      <c r="T12" s="14"/>
      <c r="U12" s="14"/>
      <c r="V12" s="14"/>
      <c r="W12" s="14"/>
      <c r="X12" s="14"/>
      <c r="Y12" s="14"/>
      <c r="Z12" s="14" t="s">
        <v>6</v>
      </c>
      <c r="AA12" s="290">
        <f>SUM(AA8:AA11)</f>
        <v>7800000</v>
      </c>
      <c r="AB12" s="290">
        <f t="shared" ref="AB12:AJ12" si="4">SUM(AB8:AB11)</f>
        <v>0</v>
      </c>
      <c r="AC12" s="290">
        <f t="shared" si="4"/>
        <v>0</v>
      </c>
      <c r="AD12" s="290">
        <f t="shared" si="4"/>
        <v>0</v>
      </c>
      <c r="AE12" s="290">
        <f t="shared" si="4"/>
        <v>0</v>
      </c>
      <c r="AF12" s="290">
        <f t="shared" si="4"/>
        <v>0</v>
      </c>
      <c r="AG12" s="290">
        <f t="shared" si="4"/>
        <v>0</v>
      </c>
      <c r="AH12" s="290">
        <f t="shared" si="4"/>
        <v>0</v>
      </c>
      <c r="AI12" s="290">
        <f t="shared" si="4"/>
        <v>0</v>
      </c>
      <c r="AJ12" s="290">
        <f t="shared" si="4"/>
        <v>0</v>
      </c>
      <c r="BE12" s="27" t="s">
        <v>16</v>
      </c>
      <c r="BF12" s="31"/>
      <c r="BG12" s="25"/>
      <c r="BH12" s="25"/>
      <c r="BI12" s="25"/>
      <c r="BL12" s="27" t="s">
        <v>16</v>
      </c>
      <c r="BM12" s="31"/>
      <c r="BN12" s="25"/>
      <c r="BO12" s="25"/>
      <c r="BP12" s="25"/>
    </row>
    <row r="13" spans="1:68" ht="18" customHeight="1">
      <c r="A13" s="139" t="s">
        <v>198</v>
      </c>
      <c r="B13" s="139"/>
      <c r="C13" s="90" t="s">
        <v>220</v>
      </c>
      <c r="D13" s="30"/>
      <c r="E13" s="30"/>
      <c r="F13" s="30"/>
      <c r="G13" s="30"/>
      <c r="H13" s="30"/>
      <c r="I13" s="30"/>
      <c r="J13" s="30"/>
      <c r="K13" s="30"/>
      <c r="L13" s="30"/>
      <c r="M13" s="30"/>
      <c r="N13" s="260">
        <f t="shared" si="1"/>
        <v>0</v>
      </c>
      <c r="O13" s="264"/>
      <c r="P13" s="15"/>
      <c r="Q13" s="14"/>
      <c r="R13" s="14"/>
      <c r="S13" s="14"/>
      <c r="T13" s="14"/>
      <c r="U13" s="14"/>
      <c r="V13" s="14"/>
      <c r="W13" s="14"/>
      <c r="X13" s="14"/>
      <c r="Y13" s="14"/>
      <c r="Z13" s="14" t="s">
        <v>204</v>
      </c>
      <c r="AA13" s="290">
        <f>AA12*$O$10</f>
        <v>28080</v>
      </c>
      <c r="AB13" s="290">
        <f t="shared" ref="AB13:AJ13" si="5">AB12*$O$10</f>
        <v>0</v>
      </c>
      <c r="AC13" s="290">
        <f t="shared" si="5"/>
        <v>0</v>
      </c>
      <c r="AD13" s="290">
        <f t="shared" si="5"/>
        <v>0</v>
      </c>
      <c r="AE13" s="290">
        <f t="shared" si="5"/>
        <v>0</v>
      </c>
      <c r="AF13" s="290">
        <f t="shared" si="5"/>
        <v>0</v>
      </c>
      <c r="AG13" s="290">
        <f t="shared" si="5"/>
        <v>0</v>
      </c>
      <c r="AH13" s="290">
        <f t="shared" si="5"/>
        <v>0</v>
      </c>
      <c r="AI13" s="290">
        <f t="shared" si="5"/>
        <v>0</v>
      </c>
      <c r="AJ13" s="290">
        <f t="shared" si="5"/>
        <v>0</v>
      </c>
      <c r="BE13" s="33" t="s">
        <v>19</v>
      </c>
      <c r="BF13" s="34">
        <f>INT((BF7-BF8-BF12)/100)*100</f>
        <v>0</v>
      </c>
      <c r="BG13" s="25">
        <v>0</v>
      </c>
      <c r="BH13" s="25">
        <f>BF13-BG13</f>
        <v>0</v>
      </c>
      <c r="BI13" s="25" t="e">
        <f>IF(#REF!&gt;=200000,INT(ROUNDDOWN(BF13/12,2)*6/100)*100,0)</f>
        <v>#REF!</v>
      </c>
      <c r="BL13" s="33" t="s">
        <v>19</v>
      </c>
      <c r="BM13" s="34">
        <f>INT((BM7-BM8-BM12)/100)*100</f>
        <v>0</v>
      </c>
      <c r="BN13" s="25">
        <v>0</v>
      </c>
      <c r="BO13" s="25">
        <f>BM13-BN13</f>
        <v>0</v>
      </c>
      <c r="BP13" s="25" t="e">
        <f>IF(#REF!&gt;=200000,INT(ROUNDDOWN(BM13/12,2)*6/100)*100,0)</f>
        <v>#REF!</v>
      </c>
    </row>
    <row r="14" spans="1:68" ht="18" customHeight="1">
      <c r="A14" s="139" t="s">
        <v>208</v>
      </c>
      <c r="B14" s="14"/>
      <c r="C14" s="90" t="s">
        <v>17</v>
      </c>
      <c r="D14" s="32" cm="1">
        <f t="array" aca="1" ref="D14" ca="1">IF(D84=FALSE,koujyogoTS(D8+D9+D10+D11+D12-D13),Koujyogo_ch(D8+D9+D10+D11+D12-D13))</f>
        <v>9900000</v>
      </c>
      <c r="E14" s="32" cm="1">
        <f t="array" aca="1" ref="E14" ca="1">IF(E84=FALSE,koujyogoTS(E8+E9+E10+E11+E12),Koujyogo_ch(E8+E9+E10+E11+E12))</f>
        <v>0</v>
      </c>
      <c r="F14" s="32" cm="1">
        <f t="array" aca="1" ref="F14" ca="1">IF(F84=FALSE,koujyogoTS(F8+F9+F10+F11+F12),Koujyogo_ch(F8+F9+F10+F11+F12))</f>
        <v>0</v>
      </c>
      <c r="G14" s="32" cm="1">
        <f t="array" aca="1" ref="G14" ca="1">IF(G84=FALSE,koujyogoTS(G8+G9+G10+G11+G12),Koujyogo_ch(G8+G9+G10+G11+G12))</f>
        <v>0</v>
      </c>
      <c r="H14" s="32" cm="1">
        <f t="array" aca="1" ref="H14" ca="1">IF(H84=FALSE,koujyogoTS(H8+H9+H10+H11+H12),Koujyogo_ch(H8+H9+H10+H11+H12))</f>
        <v>0</v>
      </c>
      <c r="I14" s="32" cm="1">
        <f t="array" aca="1" ref="I14" ca="1">IF(I84=FALSE,koujyogoTS(I8+I9+I10+I11+I12),Koujyogo_ch(I8+I9+I10+I11+I12))</f>
        <v>0</v>
      </c>
      <c r="J14" s="32" cm="1">
        <f t="array" aca="1" ref="J14" ca="1">IF(J84=FALSE,koujyogoTS(J8+J9+J10+J11+J12),Koujyogo_ch(J8+J9+J10+J11+J12))</f>
        <v>0</v>
      </c>
      <c r="K14" s="32" cm="1">
        <f t="array" aca="1" ref="K14" ca="1">IF(K84=FALSE,koujyogoTS(K8+K9+K10+K11+K12),Koujyogo_ch(K8+K9+K10+K11+K12))</f>
        <v>0</v>
      </c>
      <c r="L14" s="32" cm="1">
        <f t="array" aca="1" ref="L14" ca="1">IF(L84=FALSE,koujyogoTS(L8+L9+L10+L11+L12),Koujyogo_ch(L8+L9+L10+L11+L12))</f>
        <v>0</v>
      </c>
      <c r="M14" s="32" cm="1">
        <f t="array" aca="1" ref="M14" ca="1">IF(M84=FALSE,koujyogoTS(M8+M9+M10+M11+M12),Koujyogo_ch(M8+M9+M10+M11+M12))</f>
        <v>0</v>
      </c>
      <c r="N14" s="260">
        <f t="shared" ref="N14:N26" ca="1" si="6">SUM(D14:M14)</f>
        <v>9900000</v>
      </c>
      <c r="O14" s="261"/>
      <c r="P14" s="15"/>
      <c r="Q14" s="14"/>
      <c r="R14" s="14"/>
      <c r="S14" s="14"/>
      <c r="T14" s="14"/>
      <c r="U14" s="14"/>
      <c r="V14" s="14"/>
      <c r="W14" s="14"/>
      <c r="X14" s="14"/>
      <c r="Y14" s="14"/>
      <c r="Z14" s="14"/>
      <c r="AA14" s="138" t="s">
        <v>203</v>
      </c>
      <c r="BE14" s="33"/>
      <c r="BF14" s="34"/>
      <c r="BG14" s="25"/>
      <c r="BH14" s="25"/>
      <c r="BI14" s="25"/>
      <c r="BL14" s="33"/>
      <c r="BM14" s="34"/>
      <c r="BN14" s="25"/>
      <c r="BO14" s="25"/>
      <c r="BP14" s="25"/>
    </row>
    <row r="15" spans="1:68" ht="18" customHeight="1">
      <c r="A15" s="139" t="s">
        <v>209</v>
      </c>
      <c r="B15" s="14"/>
      <c r="C15" s="166" t="s">
        <v>108</v>
      </c>
      <c r="D15" s="30"/>
      <c r="E15" s="30"/>
      <c r="F15" s="30"/>
      <c r="G15" s="30"/>
      <c r="H15" s="30"/>
      <c r="I15" s="30"/>
      <c r="J15" s="30"/>
      <c r="K15" s="30"/>
      <c r="L15" s="30"/>
      <c r="M15" s="30"/>
      <c r="N15" s="260">
        <f t="shared" si="6"/>
        <v>0</v>
      </c>
      <c r="O15" s="261"/>
      <c r="P15" s="15"/>
      <c r="Q15" s="14"/>
      <c r="R15" s="14"/>
      <c r="S15" s="14"/>
      <c r="T15" s="14"/>
      <c r="U15" s="14"/>
      <c r="V15" s="14"/>
      <c r="W15" s="14"/>
      <c r="X15" s="14"/>
      <c r="Y15" s="14"/>
      <c r="Z15" s="14"/>
      <c r="BE15" s="27" t="s">
        <v>21</v>
      </c>
      <c r="BF15" s="24">
        <f>INT(BI59*BI27/100)*100</f>
        <v>0</v>
      </c>
      <c r="BG15" s="25">
        <v>0</v>
      </c>
      <c r="BH15" s="25">
        <f>BF15-BG15</f>
        <v>0</v>
      </c>
      <c r="BI15" s="25" t="e">
        <f>IF(#REF!&gt;=200000,INT(ROUNDDOWN(BF15/12,2)*6/100)*100,0)</f>
        <v>#REF!</v>
      </c>
      <c r="BL15" s="27" t="s">
        <v>21</v>
      </c>
      <c r="BM15" s="24">
        <f>INT(BP59*BP27/100)*100</f>
        <v>0</v>
      </c>
      <c r="BN15" s="25">
        <v>0</v>
      </c>
      <c r="BO15" s="25">
        <f>BM15-BN15</f>
        <v>0</v>
      </c>
      <c r="BP15" s="25" t="e">
        <f>IF(#REF!&gt;=200000,INT(ROUNDDOWN(BM15/12,2)*6/100)*100,0)</f>
        <v>#REF!</v>
      </c>
    </row>
    <row r="16" spans="1:68" ht="18" customHeight="1">
      <c r="A16" s="139" t="s">
        <v>210</v>
      </c>
      <c r="B16" s="139"/>
      <c r="C16" s="90" t="s">
        <v>20</v>
      </c>
      <c r="D16" s="30"/>
      <c r="E16" s="30"/>
      <c r="F16" s="30"/>
      <c r="G16" s="30"/>
      <c r="H16" s="30"/>
      <c r="I16" s="30"/>
      <c r="J16" s="30"/>
      <c r="K16" s="30"/>
      <c r="L16" s="30"/>
      <c r="M16" s="30"/>
      <c r="N16" s="260">
        <f t="shared" si="6"/>
        <v>0</v>
      </c>
      <c r="O16" s="261"/>
      <c r="P16" s="15"/>
      <c r="Q16" s="14"/>
      <c r="R16" s="14"/>
      <c r="S16" s="14"/>
      <c r="T16" s="14"/>
      <c r="U16" s="14"/>
      <c r="V16" s="14"/>
      <c r="W16" s="14"/>
      <c r="X16" s="14"/>
      <c r="Y16" s="14"/>
      <c r="Z16" s="14"/>
      <c r="BE16" s="27" t="s">
        <v>23</v>
      </c>
      <c r="BF16" s="24">
        <f>BI66</f>
        <v>0</v>
      </c>
      <c r="BG16" s="25">
        <v>0</v>
      </c>
      <c r="BH16" s="25">
        <f>BF16-BG16</f>
        <v>0</v>
      </c>
      <c r="BI16" s="25" t="e">
        <f>IF(#REF!&gt;=200000,INT(ROUNDDOWN(BF16/12,2)*6/100)*100,0)</f>
        <v>#REF!</v>
      </c>
      <c r="BL16" s="27" t="s">
        <v>23</v>
      </c>
      <c r="BM16" s="24">
        <f>BP66</f>
        <v>0</v>
      </c>
      <c r="BN16" s="25">
        <v>0</v>
      </c>
      <c r="BO16" s="25">
        <f>BM16-BN16</f>
        <v>0</v>
      </c>
      <c r="BP16" s="25" t="e">
        <f>IF(#REF!&gt;=200000,INT(ROUNDDOWN(BM16/12,2)*6/100)*100,0)</f>
        <v>#REF!</v>
      </c>
    </row>
    <row r="17" spans="1:68" ht="18" customHeight="1">
      <c r="A17" s="139"/>
      <c r="B17" s="139"/>
      <c r="C17" s="90" t="s">
        <v>22</v>
      </c>
      <c r="D17" s="32">
        <f t="shared" ref="D17:M17" ca="1" si="7">D29</f>
        <v>1389900.0057578087</v>
      </c>
      <c r="E17" s="32">
        <f t="shared" ca="1" si="7"/>
        <v>0</v>
      </c>
      <c r="F17" s="32">
        <f t="shared" ca="1" si="7"/>
        <v>0</v>
      </c>
      <c r="G17" s="32">
        <f t="shared" ca="1" si="7"/>
        <v>0</v>
      </c>
      <c r="H17" s="32">
        <f t="shared" ca="1" si="7"/>
        <v>0</v>
      </c>
      <c r="I17" s="32">
        <f t="shared" ca="1" si="7"/>
        <v>0</v>
      </c>
      <c r="J17" s="32">
        <f t="shared" ca="1" si="7"/>
        <v>0</v>
      </c>
      <c r="K17" s="32">
        <f t="shared" ca="1" si="7"/>
        <v>0</v>
      </c>
      <c r="L17" s="32">
        <f t="shared" ca="1" si="7"/>
        <v>0</v>
      </c>
      <c r="M17" s="32">
        <f t="shared" ca="1" si="7"/>
        <v>0</v>
      </c>
      <c r="N17" s="89">
        <f t="shared" ca="1" si="6"/>
        <v>1389900.0057578087</v>
      </c>
      <c r="O17" s="14"/>
      <c r="P17" s="14"/>
      <c r="Q17" s="14"/>
      <c r="R17" s="14"/>
      <c r="S17" s="14"/>
      <c r="T17" s="14"/>
      <c r="U17" s="14"/>
      <c r="V17" s="14"/>
      <c r="W17" s="14"/>
      <c r="X17" s="14"/>
      <c r="Y17" s="14"/>
      <c r="Z17" s="14"/>
      <c r="BE17" s="27" t="s">
        <v>25</v>
      </c>
      <c r="BF17" s="24">
        <f>INT(BF16*BI32/100)*100</f>
        <v>0</v>
      </c>
      <c r="BG17" s="25">
        <v>0</v>
      </c>
      <c r="BH17" s="25">
        <f>BF17-BG17</f>
        <v>0</v>
      </c>
      <c r="BI17" s="25" t="e">
        <f>IF(#REF!&gt;=200000,INT(ROUNDDOWN(BF17/12,2)*6/100)*100,0)</f>
        <v>#REF!</v>
      </c>
      <c r="BL17" s="27" t="s">
        <v>25</v>
      </c>
      <c r="BM17" s="24">
        <f>INT(BM16*BP32/100)*100</f>
        <v>0</v>
      </c>
      <c r="BN17" s="25">
        <v>0</v>
      </c>
      <c r="BO17" s="25">
        <f>BM17-BN17</f>
        <v>0</v>
      </c>
      <c r="BP17" s="25" t="e">
        <f>IF(#REF!&gt;=200000,INT(ROUNDDOWN(BM17/12,2)*6/100)*100,0)</f>
        <v>#REF!</v>
      </c>
    </row>
    <row r="18" spans="1:68" ht="18" customHeight="1" thickBot="1">
      <c r="A18" s="139"/>
      <c r="B18" s="139"/>
      <c r="C18" s="90" t="s">
        <v>24</v>
      </c>
      <c r="D18" s="30">
        <v>1500000</v>
      </c>
      <c r="E18" s="30"/>
      <c r="F18" s="30"/>
      <c r="G18" s="30"/>
      <c r="H18" s="30"/>
      <c r="I18" s="30"/>
      <c r="J18" s="30"/>
      <c r="K18" s="30"/>
      <c r="L18" s="30"/>
      <c r="M18" s="30"/>
      <c r="N18" s="89">
        <f t="shared" si="6"/>
        <v>1500000</v>
      </c>
      <c r="O18" s="15"/>
      <c r="P18" s="14"/>
      <c r="Q18" s="14"/>
      <c r="R18" s="14"/>
      <c r="S18" s="14"/>
      <c r="T18" s="14"/>
      <c r="U18" s="14"/>
      <c r="V18" s="14"/>
      <c r="W18" s="14"/>
      <c r="X18" s="14"/>
      <c r="Y18" s="14"/>
      <c r="Z18" s="14"/>
      <c r="BE18" s="27" t="s">
        <v>27</v>
      </c>
      <c r="BF18" s="24">
        <f>INT(INT((BF7-BF8)/1000)*1000*BF38/100)*100+INT(INT(((BF7-BF8)/1000)*1000*BF37-BF40)/100)*100+BF39</f>
        <v>70000</v>
      </c>
      <c r="BG18" s="25">
        <v>0</v>
      </c>
      <c r="BH18" s="25">
        <f>BF18-BG18</f>
        <v>70000</v>
      </c>
      <c r="BI18" s="25" t="e">
        <f>IF(#REF!&gt;=200000,INT(ROUNDDOWN(BF18/12,2)*6/100)*100,0)</f>
        <v>#REF!</v>
      </c>
      <c r="BL18" s="27" t="s">
        <v>27</v>
      </c>
      <c r="BM18" s="24">
        <f>INT(INT((BM7-BM8)/1000)*1000*BM38/100)*100+INT(INT(((BM7-BM8)/1000)*1000*BM37-BM40)/100)*100+BM39</f>
        <v>70000</v>
      </c>
      <c r="BN18" s="25">
        <v>0</v>
      </c>
      <c r="BO18" s="25">
        <f>BM18-BN18</f>
        <v>70000</v>
      </c>
      <c r="BP18" s="25" t="e">
        <f>IF(#REF!&gt;=200000,INT(ROUNDDOWN(BM18/12,2)*6/100)*100,0)</f>
        <v>#REF!</v>
      </c>
    </row>
    <row r="19" spans="1:68" ht="18" customHeight="1" thickBot="1">
      <c r="A19" s="139"/>
      <c r="B19" s="139"/>
      <c r="C19" s="90" t="s">
        <v>26</v>
      </c>
      <c r="D19" s="32">
        <f ca="1">VLOOKUP(D86,$C$87:$D$95,2)</f>
        <v>580000</v>
      </c>
      <c r="E19" s="32">
        <f t="shared" ref="E19:M19" ca="1" si="8">VLOOKUP(E86,$C$87:$D$95,2)</f>
        <v>950000</v>
      </c>
      <c r="F19" s="32">
        <f t="shared" ca="1" si="8"/>
        <v>950000</v>
      </c>
      <c r="G19" s="32">
        <f t="shared" ca="1" si="8"/>
        <v>950000</v>
      </c>
      <c r="H19" s="32">
        <f t="shared" ca="1" si="8"/>
        <v>950000</v>
      </c>
      <c r="I19" s="32">
        <f t="shared" ca="1" si="8"/>
        <v>950000</v>
      </c>
      <c r="J19" s="32">
        <f t="shared" ca="1" si="8"/>
        <v>950000</v>
      </c>
      <c r="K19" s="32">
        <f t="shared" ca="1" si="8"/>
        <v>950000</v>
      </c>
      <c r="L19" s="32">
        <f t="shared" ca="1" si="8"/>
        <v>950000</v>
      </c>
      <c r="M19" s="32">
        <f t="shared" ca="1" si="8"/>
        <v>950000</v>
      </c>
      <c r="N19" s="89">
        <f t="shared" ca="1" si="6"/>
        <v>9130000</v>
      </c>
      <c r="O19" s="17"/>
      <c r="P19" s="15"/>
      <c r="Q19" s="14"/>
      <c r="R19" s="14"/>
      <c r="S19" s="14"/>
      <c r="T19" s="14"/>
      <c r="U19" s="14"/>
      <c r="V19" s="14"/>
      <c r="W19" s="14"/>
      <c r="X19" s="14"/>
      <c r="Y19" s="14"/>
      <c r="Z19" s="14"/>
      <c r="BE19" s="35" t="s">
        <v>29</v>
      </c>
      <c r="BF19" s="36">
        <f>SUM(BF13:BF18)</f>
        <v>70000</v>
      </c>
      <c r="BG19" s="36">
        <f>SUM(BG13:BG18)</f>
        <v>0</v>
      </c>
      <c r="BH19" s="37">
        <f>SUM(BH13:BH18)</f>
        <v>70000</v>
      </c>
      <c r="BI19" s="37" t="e">
        <f>SUM(BI13:BI18)</f>
        <v>#REF!</v>
      </c>
      <c r="BL19" s="35" t="s">
        <v>29</v>
      </c>
      <c r="BM19" s="36">
        <f>SUM(BM13:BM18)</f>
        <v>70000</v>
      </c>
      <c r="BN19" s="36">
        <f>SUM(BN13:BN18)</f>
        <v>0</v>
      </c>
      <c r="BO19" s="37">
        <f>SUM(BO13:BO18)</f>
        <v>70000</v>
      </c>
      <c r="BP19" s="37" t="e">
        <f>SUM(BP13:BP18)</f>
        <v>#REF!</v>
      </c>
    </row>
    <row r="20" spans="1:68" ht="18" customHeight="1" thickBot="1">
      <c r="A20" s="139"/>
      <c r="B20" s="139"/>
      <c r="C20" s="90" t="s">
        <v>28</v>
      </c>
      <c r="D20" s="32">
        <f ca="1">INT((IF((D14+D15+D16-SUM(D17:D19))&gt;0,(D14+D15+D16-SUM(D17:D19)),0))/1000)*1000</f>
        <v>6430000</v>
      </c>
      <c r="E20" s="32">
        <f t="shared" ref="E20:M20" ca="1" si="9">INT((IF((E14+E15+E16-SUM(E17:E19))&gt;0,(E14+E15+E16-SUM(E17:E19)),0))/1000)*1000</f>
        <v>0</v>
      </c>
      <c r="F20" s="32">
        <f t="shared" ca="1" si="9"/>
        <v>0</v>
      </c>
      <c r="G20" s="32">
        <f t="shared" ca="1" si="9"/>
        <v>0</v>
      </c>
      <c r="H20" s="32">
        <f t="shared" ca="1" si="9"/>
        <v>0</v>
      </c>
      <c r="I20" s="32">
        <f t="shared" ca="1" si="9"/>
        <v>0</v>
      </c>
      <c r="J20" s="32">
        <f t="shared" ca="1" si="9"/>
        <v>0</v>
      </c>
      <c r="K20" s="32">
        <f t="shared" ca="1" si="9"/>
        <v>0</v>
      </c>
      <c r="L20" s="32">
        <f t="shared" ca="1" si="9"/>
        <v>0</v>
      </c>
      <c r="M20" s="32">
        <f t="shared" ca="1" si="9"/>
        <v>0</v>
      </c>
      <c r="N20" s="89">
        <f t="shared" ca="1" si="6"/>
        <v>6430000</v>
      </c>
      <c r="O20" s="14"/>
      <c r="P20" s="14"/>
      <c r="Q20" s="14"/>
      <c r="R20" s="14"/>
      <c r="S20" s="14"/>
      <c r="T20" s="14"/>
      <c r="U20" s="14"/>
      <c r="V20" s="14"/>
      <c r="W20" s="14"/>
      <c r="X20" s="14"/>
      <c r="Y20" s="14"/>
      <c r="Z20" s="14"/>
      <c r="BE20" s="39" t="s">
        <v>31</v>
      </c>
      <c r="BF20" s="40" t="str">
        <f>IF(ISERROR(BF19/BF6),"",BF19/BF6)</f>
        <v/>
      </c>
      <c r="BG20" s="41" t="s">
        <v>32</v>
      </c>
      <c r="BH20" s="42"/>
      <c r="BI20" s="42"/>
      <c r="BL20" s="39" t="s">
        <v>31</v>
      </c>
      <c r="BM20" s="40" t="str">
        <f>IF(ISERROR(BM19/BM6),"",BM19/BM6)</f>
        <v/>
      </c>
      <c r="BN20" s="41" t="s">
        <v>32</v>
      </c>
      <c r="BO20" s="42"/>
      <c r="BP20" s="42"/>
    </row>
    <row r="21" spans="1:68" ht="18" customHeight="1">
      <c r="A21" s="139"/>
      <c r="B21" s="139"/>
      <c r="C21" s="91" t="s">
        <v>30</v>
      </c>
      <c r="D21" s="38">
        <f ca="1">incometaxTS(D20)*1.021</f>
        <v>876528.49999999988</v>
      </c>
      <c r="E21" s="38">
        <f t="shared" ref="E21:M21" ca="1" si="10">incometaxTS(E20)*1.021</f>
        <v>0</v>
      </c>
      <c r="F21" s="38">
        <f t="shared" ca="1" si="10"/>
        <v>0</v>
      </c>
      <c r="G21" s="38">
        <f t="shared" ca="1" si="10"/>
        <v>0</v>
      </c>
      <c r="H21" s="38">
        <f t="shared" ca="1" si="10"/>
        <v>0</v>
      </c>
      <c r="I21" s="38">
        <f t="shared" ca="1" si="10"/>
        <v>0</v>
      </c>
      <c r="J21" s="38">
        <f t="shared" ca="1" si="10"/>
        <v>0</v>
      </c>
      <c r="K21" s="38">
        <f t="shared" ca="1" si="10"/>
        <v>0</v>
      </c>
      <c r="L21" s="38">
        <f t="shared" ca="1" si="10"/>
        <v>0</v>
      </c>
      <c r="M21" s="38">
        <f t="shared" ca="1" si="10"/>
        <v>0</v>
      </c>
      <c r="N21" s="89">
        <f t="shared" ca="1" si="6"/>
        <v>876528.49999999988</v>
      </c>
      <c r="O21" s="14"/>
      <c r="P21" s="14"/>
      <c r="Q21" s="14"/>
      <c r="R21" s="14"/>
      <c r="S21" s="14"/>
      <c r="T21" s="14"/>
      <c r="U21" s="14"/>
      <c r="V21" s="14"/>
      <c r="W21" s="14"/>
      <c r="X21" s="14"/>
      <c r="Y21" s="14"/>
      <c r="Z21" s="14"/>
      <c r="BE21" s="193"/>
      <c r="BF21" s="194"/>
      <c r="BG21" s="195"/>
      <c r="BH21" s="42"/>
      <c r="BI21" s="42"/>
      <c r="BL21" s="193"/>
      <c r="BM21" s="194"/>
      <c r="BN21" s="195"/>
      <c r="BO21" s="42"/>
      <c r="BP21" s="42"/>
    </row>
    <row r="22" spans="1:68" ht="18" customHeight="1">
      <c r="A22" s="139"/>
      <c r="B22" s="139"/>
      <c r="C22" s="91" t="s">
        <v>138</v>
      </c>
      <c r="D22" s="38">
        <f t="shared" ref="D22:M22" ca="1" si="11">D99</f>
        <v>0</v>
      </c>
      <c r="E22" s="38">
        <f t="shared" ca="1" si="11"/>
        <v>0</v>
      </c>
      <c r="F22" s="38">
        <f t="shared" ca="1" si="11"/>
        <v>0</v>
      </c>
      <c r="G22" s="38">
        <f t="shared" ca="1" si="11"/>
        <v>0</v>
      </c>
      <c r="H22" s="38">
        <f t="shared" ca="1" si="11"/>
        <v>0</v>
      </c>
      <c r="I22" s="38">
        <f t="shared" ca="1" si="11"/>
        <v>0</v>
      </c>
      <c r="J22" s="38">
        <f t="shared" ca="1" si="11"/>
        <v>0</v>
      </c>
      <c r="K22" s="38">
        <f t="shared" ca="1" si="11"/>
        <v>0</v>
      </c>
      <c r="L22" s="38">
        <f t="shared" ca="1" si="11"/>
        <v>0</v>
      </c>
      <c r="M22" s="38">
        <f t="shared" ca="1" si="11"/>
        <v>0</v>
      </c>
      <c r="N22" s="89">
        <f t="shared" ca="1" si="6"/>
        <v>0</v>
      </c>
      <c r="O22" s="17"/>
      <c r="P22" s="16"/>
      <c r="Q22" s="14"/>
      <c r="R22" s="14"/>
      <c r="S22" s="14"/>
      <c r="T22" s="14"/>
      <c r="U22" s="14"/>
      <c r="V22" s="14"/>
      <c r="W22" s="14"/>
      <c r="X22" s="14"/>
      <c r="Y22" s="14"/>
      <c r="Z22" s="14"/>
      <c r="BE22" s="193"/>
      <c r="BF22" s="194"/>
      <c r="BG22" s="195"/>
      <c r="BH22" s="42"/>
      <c r="BI22" s="42"/>
      <c r="BL22" s="193"/>
      <c r="BM22" s="194"/>
      <c r="BN22" s="195"/>
      <c r="BO22" s="42"/>
      <c r="BP22" s="42"/>
    </row>
    <row r="23" spans="1:68" ht="18" customHeight="1">
      <c r="A23" s="139"/>
      <c r="B23" s="139"/>
      <c r="C23" s="91" t="s">
        <v>124</v>
      </c>
      <c r="D23" s="297"/>
      <c r="E23" s="297"/>
      <c r="F23" s="297"/>
      <c r="G23" s="297"/>
      <c r="H23" s="297"/>
      <c r="I23" s="297"/>
      <c r="J23" s="297"/>
      <c r="K23" s="297"/>
      <c r="L23" s="297"/>
      <c r="M23" s="297"/>
      <c r="N23" s="89">
        <f t="shared" si="6"/>
        <v>0</v>
      </c>
      <c r="O23" s="14"/>
      <c r="P23" s="14"/>
      <c r="Q23" s="14"/>
      <c r="R23" s="14"/>
      <c r="S23" s="14"/>
      <c r="T23" s="14"/>
      <c r="U23" s="14"/>
      <c r="V23" s="14"/>
      <c r="W23" s="14"/>
      <c r="X23" s="14"/>
      <c r="Y23" s="14"/>
      <c r="Z23" s="14"/>
      <c r="BE23" s="43" t="s">
        <v>34</v>
      </c>
      <c r="BF23" s="43"/>
      <c r="BG23" s="44" t="s">
        <v>35</v>
      </c>
      <c r="BH23" s="42"/>
      <c r="BI23" s="42"/>
      <c r="BL23" s="43" t="s">
        <v>34</v>
      </c>
      <c r="BM23" s="43"/>
      <c r="BN23" s="44" t="s">
        <v>35</v>
      </c>
      <c r="BO23" s="42"/>
      <c r="BP23" s="42"/>
    </row>
    <row r="24" spans="1:68" ht="18" customHeight="1">
      <c r="A24" s="139"/>
      <c r="B24" s="139"/>
      <c r="C24" s="91" t="s">
        <v>33</v>
      </c>
      <c r="D24" s="181">
        <f t="shared" ref="D24:M24" ca="1" si="12">D20*0.1</f>
        <v>643000</v>
      </c>
      <c r="E24" s="181">
        <f t="shared" ca="1" si="12"/>
        <v>0</v>
      </c>
      <c r="F24" s="181">
        <f t="shared" ca="1" si="12"/>
        <v>0</v>
      </c>
      <c r="G24" s="181">
        <f t="shared" ca="1" si="12"/>
        <v>0</v>
      </c>
      <c r="H24" s="181">
        <f t="shared" ca="1" si="12"/>
        <v>0</v>
      </c>
      <c r="I24" s="181">
        <f t="shared" ca="1" si="12"/>
        <v>0</v>
      </c>
      <c r="J24" s="181">
        <f t="shared" ca="1" si="12"/>
        <v>0</v>
      </c>
      <c r="K24" s="181">
        <f t="shared" ca="1" si="12"/>
        <v>0</v>
      </c>
      <c r="L24" s="181">
        <f t="shared" ca="1" si="12"/>
        <v>0</v>
      </c>
      <c r="M24" s="181">
        <f t="shared" ca="1" si="12"/>
        <v>0</v>
      </c>
      <c r="N24" s="89">
        <f t="shared" ca="1" si="6"/>
        <v>643000</v>
      </c>
      <c r="O24" s="14"/>
      <c r="P24" s="14"/>
      <c r="Q24" s="14"/>
      <c r="R24" s="14"/>
      <c r="S24" s="14"/>
      <c r="T24" s="14"/>
      <c r="U24" s="14"/>
      <c r="V24" s="14"/>
      <c r="W24" s="14"/>
      <c r="X24" s="14"/>
      <c r="Y24" s="14"/>
      <c r="Z24" s="14"/>
      <c r="BE24" s="43"/>
      <c r="BF24" s="43"/>
      <c r="BG24" s="44"/>
      <c r="BH24" s="42"/>
      <c r="BI24" s="42"/>
      <c r="BL24" s="43"/>
      <c r="BM24" s="43"/>
      <c r="BN24" s="44"/>
      <c r="BO24" s="42"/>
      <c r="BP24" s="42"/>
    </row>
    <row r="25" spans="1:68" ht="18" customHeight="1">
      <c r="A25" s="139"/>
      <c r="B25" s="139"/>
      <c r="C25" s="91" t="s">
        <v>138</v>
      </c>
      <c r="D25" s="38">
        <f t="shared" ref="D25:M25" ca="1" si="13">D100</f>
        <v>0</v>
      </c>
      <c r="E25" s="38">
        <f t="shared" ca="1" si="13"/>
        <v>0</v>
      </c>
      <c r="F25" s="38">
        <f t="shared" ca="1" si="13"/>
        <v>0</v>
      </c>
      <c r="G25" s="38">
        <f t="shared" ca="1" si="13"/>
        <v>0</v>
      </c>
      <c r="H25" s="38">
        <f t="shared" ca="1" si="13"/>
        <v>0</v>
      </c>
      <c r="I25" s="38">
        <f t="shared" ca="1" si="13"/>
        <v>0</v>
      </c>
      <c r="J25" s="38">
        <f t="shared" ca="1" si="13"/>
        <v>0</v>
      </c>
      <c r="K25" s="38">
        <f t="shared" ca="1" si="13"/>
        <v>0</v>
      </c>
      <c r="L25" s="38">
        <f t="shared" ca="1" si="13"/>
        <v>0</v>
      </c>
      <c r="M25" s="38">
        <f t="shared" ca="1" si="13"/>
        <v>0</v>
      </c>
      <c r="N25" s="89">
        <f t="shared" ca="1" si="6"/>
        <v>0</v>
      </c>
      <c r="O25" s="16"/>
      <c r="P25" s="16"/>
      <c r="Q25" s="16"/>
      <c r="R25" s="14"/>
      <c r="S25" s="14"/>
      <c r="T25" s="14"/>
      <c r="U25" s="14"/>
      <c r="V25" s="14"/>
      <c r="W25" s="14"/>
      <c r="X25" s="14"/>
      <c r="Y25" s="14"/>
      <c r="Z25" s="14"/>
      <c r="AA25" s="1">
        <v>1</v>
      </c>
      <c r="AB25" s="1">
        <v>2</v>
      </c>
      <c r="AC25" s="1">
        <v>3</v>
      </c>
      <c r="AD25" s="1">
        <v>4</v>
      </c>
      <c r="AE25" s="1">
        <v>5</v>
      </c>
      <c r="AF25" s="1">
        <v>6</v>
      </c>
      <c r="AG25" s="1">
        <v>7</v>
      </c>
      <c r="AH25" s="1">
        <v>8</v>
      </c>
      <c r="AI25" s="1">
        <v>9</v>
      </c>
      <c r="AJ25" s="1">
        <v>10</v>
      </c>
      <c r="BE25" s="42" t="s">
        <v>37</v>
      </c>
      <c r="BF25" s="42"/>
      <c r="BG25" s="42"/>
      <c r="BH25" s="42" t="s">
        <v>38</v>
      </c>
      <c r="BI25" s="42"/>
      <c r="BL25" s="42" t="s">
        <v>37</v>
      </c>
      <c r="BM25" s="42"/>
      <c r="BN25" s="42"/>
      <c r="BO25" s="42" t="s">
        <v>38</v>
      </c>
      <c r="BP25" s="42"/>
    </row>
    <row r="26" spans="1:68" ht="18" customHeight="1" thickBot="1">
      <c r="A26" s="139"/>
      <c r="B26" s="139"/>
      <c r="C26" s="91" t="s">
        <v>36</v>
      </c>
      <c r="D26" s="181">
        <f ca="1">IF((D21-D22-D23)&gt;0,INT((D21-D22-D23)/100)*100,0)+IF((D24-D25)&gt;0,(D24-D25),0)</f>
        <v>1519500</v>
      </c>
      <c r="E26" s="181">
        <f t="shared" ref="E26:M26" ca="1" si="14">IF((E21-E22-E23)&gt;0,INT((E21-E22-E23)/100)*100,0)+IF((E24-E25)&gt;0,(E24-E25),0)</f>
        <v>0</v>
      </c>
      <c r="F26" s="181">
        <f t="shared" ca="1" si="14"/>
        <v>0</v>
      </c>
      <c r="G26" s="181">
        <f t="shared" ca="1" si="14"/>
        <v>0</v>
      </c>
      <c r="H26" s="181">
        <f t="shared" ca="1" si="14"/>
        <v>0</v>
      </c>
      <c r="I26" s="181">
        <f t="shared" ca="1" si="14"/>
        <v>0</v>
      </c>
      <c r="J26" s="181">
        <f t="shared" ca="1" si="14"/>
        <v>0</v>
      </c>
      <c r="K26" s="181">
        <f t="shared" ca="1" si="14"/>
        <v>0</v>
      </c>
      <c r="L26" s="181">
        <f t="shared" ca="1" si="14"/>
        <v>0</v>
      </c>
      <c r="M26" s="181">
        <f t="shared" ca="1" si="14"/>
        <v>0</v>
      </c>
      <c r="N26" s="89">
        <f t="shared" ca="1" si="6"/>
        <v>1519500</v>
      </c>
      <c r="O26" s="17" t="s">
        <v>191</v>
      </c>
      <c r="P26" s="16"/>
      <c r="Q26" s="16" cm="1">
        <f t="array" aca="1" ref="Q26" ca="1">CELL("protect",E27)</f>
        <v>1</v>
      </c>
      <c r="R26" s="14"/>
      <c r="S26" s="14"/>
      <c r="T26" s="14"/>
      <c r="U26" s="14"/>
      <c r="V26" s="14"/>
      <c r="W26" s="14"/>
      <c r="X26" s="14"/>
      <c r="Y26" s="14"/>
      <c r="Z26" s="14"/>
      <c r="AA26" s="128">
        <f t="shared" ref="AA26:AJ26" ca="1" si="15">IF(D71=TRUE,D72+D75,0)</f>
        <v>676200.01226663589</v>
      </c>
      <c r="AB26" s="128">
        <f t="shared" ca="1" si="15"/>
        <v>0</v>
      </c>
      <c r="AC26" s="128">
        <f t="shared" ca="1" si="15"/>
        <v>0</v>
      </c>
      <c r="AD26" s="128">
        <f t="shared" ca="1" si="15"/>
        <v>0</v>
      </c>
      <c r="AE26" s="128">
        <f t="shared" ca="1" si="15"/>
        <v>0</v>
      </c>
      <c r="AF26" s="128">
        <f t="shared" ca="1" si="15"/>
        <v>0</v>
      </c>
      <c r="AG26" s="128">
        <f t="shared" ca="1" si="15"/>
        <v>0</v>
      </c>
      <c r="AH26" s="128">
        <f t="shared" ca="1" si="15"/>
        <v>0</v>
      </c>
      <c r="AI26" s="128">
        <f t="shared" ca="1" si="15"/>
        <v>0</v>
      </c>
      <c r="AJ26" s="128">
        <f t="shared" ca="1" si="15"/>
        <v>0</v>
      </c>
      <c r="AK26" s="1">
        <f>N72</f>
        <v>0</v>
      </c>
      <c r="AL26" s="1">
        <f>O70</f>
        <v>0</v>
      </c>
      <c r="BE26" s="42"/>
      <c r="BF26" s="42"/>
      <c r="BG26" s="42"/>
      <c r="BH26" s="42"/>
      <c r="BI26" s="42"/>
      <c r="BL26" s="42"/>
      <c r="BM26" s="42"/>
      <c r="BN26" s="42"/>
      <c r="BO26" s="42"/>
      <c r="BP26" s="42"/>
    </row>
    <row r="27" spans="1:68" ht="18" customHeight="1" thickBot="1">
      <c r="A27" s="139"/>
      <c r="B27" s="139"/>
      <c r="C27" s="122" t="s">
        <v>74</v>
      </c>
      <c r="D27" s="314">
        <f ca="1">IF(D71=TRUE,D72+D75,0)</f>
        <v>676200.01226663589</v>
      </c>
      <c r="E27" s="314">
        <f ca="1">IF(E71=TRUE,E72+E75,0)</f>
        <v>0</v>
      </c>
      <c r="F27" s="314">
        <f ca="1">IF(F71=TRUE,F72+F75,0)</f>
        <v>0</v>
      </c>
      <c r="G27" s="314">
        <f ca="1">IF(G71=TRUE,G72+G75,0)</f>
        <v>0</v>
      </c>
      <c r="H27" s="314">
        <f ca="1">IF(H71=TRUE,H72+H75,0)</f>
        <v>0</v>
      </c>
      <c r="I27" s="314">
        <f ca="1">IF(I71=TRUE,I72+I75,0)</f>
        <v>0</v>
      </c>
      <c r="J27" s="314">
        <f ca="1">IF(J71=TRUE,J72+J75,0)</f>
        <v>0</v>
      </c>
      <c r="K27" s="314">
        <f ca="1">IF(K71=TRUE,K72+K75,0)</f>
        <v>0</v>
      </c>
      <c r="L27" s="314">
        <f ca="1">IF(L71=TRUE,L72+L75,0)</f>
        <v>0</v>
      </c>
      <c r="M27" s="314">
        <f ca="1">IF(M71=TRUE,M72+M75,0)</f>
        <v>0</v>
      </c>
      <c r="N27" s="124">
        <f t="shared" ref="N27:N32" ca="1" si="16">SUM(D27:M27)</f>
        <v>676200.01226663589</v>
      </c>
      <c r="O27" s="14"/>
      <c r="P27" s="14"/>
      <c r="Q27" s="14"/>
      <c r="R27" s="14"/>
      <c r="S27" s="14"/>
      <c r="T27" s="14"/>
      <c r="U27" s="14"/>
      <c r="V27" s="14"/>
      <c r="W27" s="14"/>
      <c r="X27" s="14"/>
      <c r="Y27" s="14"/>
      <c r="Z27" s="14"/>
      <c r="BE27" s="45" t="s">
        <v>39</v>
      </c>
      <c r="BF27" s="46">
        <v>0.15</v>
      </c>
      <c r="BG27" s="42"/>
      <c r="BH27" s="47"/>
      <c r="BI27" s="48">
        <v>4.3999999999999997E-2</v>
      </c>
      <c r="BL27" s="45" t="s">
        <v>39</v>
      </c>
      <c r="BM27" s="46">
        <v>0.15</v>
      </c>
      <c r="BN27" s="42"/>
      <c r="BO27" s="47"/>
      <c r="BP27" s="48">
        <v>4.3999999999999997E-2</v>
      </c>
    </row>
    <row r="28" spans="1:68" ht="18" customHeight="1">
      <c r="A28" s="139"/>
      <c r="B28" s="139"/>
      <c r="C28" s="122" t="s">
        <v>75</v>
      </c>
      <c r="D28" s="123">
        <f t="shared" ref="D28:M28" ca="1" si="17">IF(D71=TRUE,D78+D74,0)</f>
        <v>713699.99349117279</v>
      </c>
      <c r="E28" s="123">
        <f t="shared" ca="1" si="17"/>
        <v>0</v>
      </c>
      <c r="F28" s="123">
        <f t="shared" ca="1" si="17"/>
        <v>0</v>
      </c>
      <c r="G28" s="123">
        <f t="shared" ca="1" si="17"/>
        <v>0</v>
      </c>
      <c r="H28" s="123">
        <f t="shared" ca="1" si="17"/>
        <v>0</v>
      </c>
      <c r="I28" s="123">
        <f t="shared" ca="1" si="17"/>
        <v>0</v>
      </c>
      <c r="J28" s="123">
        <f t="shared" ca="1" si="17"/>
        <v>0</v>
      </c>
      <c r="K28" s="123">
        <f t="shared" ca="1" si="17"/>
        <v>0</v>
      </c>
      <c r="L28" s="123">
        <f t="shared" ca="1" si="17"/>
        <v>0</v>
      </c>
      <c r="M28" s="123">
        <f t="shared" ca="1" si="17"/>
        <v>0</v>
      </c>
      <c r="N28" s="124">
        <f t="shared" ca="1" si="16"/>
        <v>713699.99349117279</v>
      </c>
      <c r="O28" s="14"/>
      <c r="P28" s="14"/>
      <c r="Q28" s="14"/>
      <c r="R28" s="14"/>
      <c r="S28" s="14"/>
      <c r="T28" s="14"/>
      <c r="U28" s="14"/>
      <c r="V28" s="14"/>
      <c r="W28" s="14"/>
      <c r="X28" s="14"/>
      <c r="Y28" s="14"/>
      <c r="Z28" s="14"/>
      <c r="BE28" s="27"/>
      <c r="BF28" s="126"/>
      <c r="BG28" s="42"/>
      <c r="BH28" s="42"/>
      <c r="BI28" s="127"/>
      <c r="BL28" s="27"/>
      <c r="BM28" s="126"/>
      <c r="BN28" s="42"/>
      <c r="BO28" s="42"/>
      <c r="BP28" s="127"/>
    </row>
    <row r="29" spans="1:68" ht="18" customHeight="1" thickBot="1">
      <c r="A29" s="139"/>
      <c r="B29" s="139"/>
      <c r="C29" s="122" t="s">
        <v>76</v>
      </c>
      <c r="D29" s="123">
        <f ca="1">D27+D28</f>
        <v>1389900.0057578087</v>
      </c>
      <c r="E29" s="123">
        <f t="shared" ref="E29:M29" ca="1" si="18">E27+E28</f>
        <v>0</v>
      </c>
      <c r="F29" s="123">
        <f t="shared" ca="1" si="18"/>
        <v>0</v>
      </c>
      <c r="G29" s="123">
        <f t="shared" ca="1" si="18"/>
        <v>0</v>
      </c>
      <c r="H29" s="123">
        <f t="shared" ca="1" si="18"/>
        <v>0</v>
      </c>
      <c r="I29" s="123">
        <f t="shared" ca="1" si="18"/>
        <v>0</v>
      </c>
      <c r="J29" s="123">
        <f t="shared" ca="1" si="18"/>
        <v>0</v>
      </c>
      <c r="K29" s="123">
        <f t="shared" ca="1" si="18"/>
        <v>0</v>
      </c>
      <c r="L29" s="123">
        <f t="shared" ca="1" si="18"/>
        <v>0</v>
      </c>
      <c r="M29" s="123">
        <f t="shared" ca="1" si="18"/>
        <v>0</v>
      </c>
      <c r="N29" s="124">
        <f t="shared" ca="1" si="16"/>
        <v>1389900.0057578087</v>
      </c>
      <c r="O29" s="14"/>
      <c r="P29" s="14"/>
      <c r="Q29" s="14"/>
      <c r="R29" s="14"/>
      <c r="S29" s="15"/>
      <c r="T29" s="14"/>
      <c r="U29" s="14"/>
      <c r="V29" s="14"/>
      <c r="W29" s="14"/>
      <c r="X29" s="14"/>
      <c r="Y29" s="14"/>
      <c r="Z29" s="14"/>
      <c r="BE29" s="49" t="s">
        <v>41</v>
      </c>
      <c r="BF29" s="50">
        <v>0.23899999999999999</v>
      </c>
      <c r="BG29" s="51" t="s">
        <v>42</v>
      </c>
      <c r="BH29" s="42"/>
      <c r="BI29" s="42"/>
      <c r="BL29" s="49" t="s">
        <v>41</v>
      </c>
      <c r="BM29" s="50">
        <v>0.23899999999999999</v>
      </c>
      <c r="BN29" s="51" t="s">
        <v>42</v>
      </c>
      <c r="BO29" s="42"/>
      <c r="BP29" s="42"/>
    </row>
    <row r="30" spans="1:68" ht="18" customHeight="1">
      <c r="A30" s="139"/>
      <c r="B30" s="139"/>
      <c r="C30" s="122" t="s">
        <v>40</v>
      </c>
      <c r="D30" s="123">
        <f ca="1">D26+D29</f>
        <v>2909400.0057578087</v>
      </c>
      <c r="E30" s="123">
        <f t="shared" ref="E30:M30" ca="1" si="19">E26+E29</f>
        <v>0</v>
      </c>
      <c r="F30" s="123">
        <f t="shared" ca="1" si="19"/>
        <v>0</v>
      </c>
      <c r="G30" s="123">
        <f t="shared" ca="1" si="19"/>
        <v>0</v>
      </c>
      <c r="H30" s="123">
        <f t="shared" ca="1" si="19"/>
        <v>0</v>
      </c>
      <c r="I30" s="123">
        <f t="shared" ca="1" si="19"/>
        <v>0</v>
      </c>
      <c r="J30" s="123">
        <f t="shared" ca="1" si="19"/>
        <v>0</v>
      </c>
      <c r="K30" s="123">
        <f t="shared" ca="1" si="19"/>
        <v>0</v>
      </c>
      <c r="L30" s="123">
        <f t="shared" ca="1" si="19"/>
        <v>0</v>
      </c>
      <c r="M30" s="123">
        <f t="shared" ca="1" si="19"/>
        <v>0</v>
      </c>
      <c r="N30" s="124">
        <f t="shared" ca="1" si="16"/>
        <v>2909400.0057578087</v>
      </c>
      <c r="O30" s="14"/>
      <c r="P30" s="14"/>
      <c r="Q30" s="14"/>
      <c r="R30" s="14"/>
      <c r="S30" s="14"/>
      <c r="T30" s="14"/>
      <c r="U30" s="14"/>
      <c r="V30" s="14"/>
      <c r="W30" s="14"/>
      <c r="X30" s="14"/>
      <c r="Y30" s="14"/>
      <c r="Z30" s="14"/>
      <c r="BE30" s="42"/>
      <c r="BF30" s="42" t="s">
        <v>44</v>
      </c>
      <c r="BG30" s="42"/>
      <c r="BH30" s="42"/>
      <c r="BI30" s="42"/>
      <c r="BL30" s="42"/>
      <c r="BM30" s="42" t="s">
        <v>44</v>
      </c>
      <c r="BN30" s="42"/>
      <c r="BO30" s="42"/>
      <c r="BP30" s="42"/>
    </row>
    <row r="31" spans="1:68" ht="18" customHeight="1" thickBot="1">
      <c r="A31" s="139"/>
      <c r="B31" s="139"/>
      <c r="C31" s="92" t="s">
        <v>43</v>
      </c>
      <c r="D31" s="52">
        <f ca="1">SUM(D8:D12)-D13+D15+D16-D30</f>
        <v>9090599.9942421913</v>
      </c>
      <c r="E31" s="52">
        <f t="shared" ref="E31:M31" ca="1" si="20">SUM(E8:E12)-E13+E15+E16-E30</f>
        <v>0</v>
      </c>
      <c r="F31" s="52">
        <f t="shared" ca="1" si="20"/>
        <v>0</v>
      </c>
      <c r="G31" s="52">
        <f t="shared" ca="1" si="20"/>
        <v>0</v>
      </c>
      <c r="H31" s="52">
        <f t="shared" ca="1" si="20"/>
        <v>0</v>
      </c>
      <c r="I31" s="52">
        <f t="shared" ca="1" si="20"/>
        <v>0</v>
      </c>
      <c r="J31" s="52">
        <f t="shared" ca="1" si="20"/>
        <v>0</v>
      </c>
      <c r="K31" s="52">
        <f t="shared" ca="1" si="20"/>
        <v>0</v>
      </c>
      <c r="L31" s="52">
        <f t="shared" ca="1" si="20"/>
        <v>0</v>
      </c>
      <c r="M31" s="52">
        <f t="shared" ca="1" si="20"/>
        <v>0</v>
      </c>
      <c r="N31" s="93">
        <f t="shared" ca="1" si="16"/>
        <v>9090599.9942421913</v>
      </c>
      <c r="O31" s="14"/>
      <c r="P31" s="14"/>
      <c r="Q31" s="14"/>
      <c r="R31" s="14"/>
      <c r="S31" s="14"/>
      <c r="T31" s="14"/>
      <c r="U31" s="14"/>
      <c r="V31" s="14"/>
      <c r="W31" s="14"/>
      <c r="X31" s="14"/>
      <c r="Y31" s="14"/>
      <c r="Z31" s="14"/>
      <c r="BE31" s="42" t="s">
        <v>46</v>
      </c>
      <c r="BF31" s="42"/>
      <c r="BG31" s="42"/>
      <c r="BH31" s="42" t="s">
        <v>47</v>
      </c>
      <c r="BI31" s="42"/>
      <c r="BL31" s="42" t="s">
        <v>46</v>
      </c>
      <c r="BM31" s="42"/>
      <c r="BN31" s="42"/>
      <c r="BO31" s="42" t="s">
        <v>47</v>
      </c>
      <c r="BP31" s="42"/>
    </row>
    <row r="32" spans="1:68" ht="18" customHeight="1" thickBot="1">
      <c r="A32" s="139"/>
      <c r="B32" s="139"/>
      <c r="C32" s="94" t="s">
        <v>45</v>
      </c>
      <c r="D32" s="53">
        <f t="shared" ref="D32:M32" ca="1" si="21">IF(D71=TRUE,D111,0)</f>
        <v>1417980.0057578087</v>
      </c>
      <c r="E32" s="53">
        <f t="shared" ca="1" si="21"/>
        <v>0</v>
      </c>
      <c r="F32" s="53">
        <f t="shared" ca="1" si="21"/>
        <v>0</v>
      </c>
      <c r="G32" s="53">
        <f t="shared" ca="1" si="21"/>
        <v>0</v>
      </c>
      <c r="H32" s="53">
        <f t="shared" ca="1" si="21"/>
        <v>0</v>
      </c>
      <c r="I32" s="53">
        <f t="shared" ca="1" si="21"/>
        <v>0</v>
      </c>
      <c r="J32" s="53">
        <f t="shared" ca="1" si="21"/>
        <v>0</v>
      </c>
      <c r="K32" s="53">
        <f t="shared" ca="1" si="21"/>
        <v>0</v>
      </c>
      <c r="L32" s="53">
        <f t="shared" ca="1" si="21"/>
        <v>0</v>
      </c>
      <c r="M32" s="53">
        <f t="shared" ca="1" si="21"/>
        <v>0</v>
      </c>
      <c r="N32" s="95">
        <f t="shared" ca="1" si="16"/>
        <v>1417980.0057578087</v>
      </c>
      <c r="O32" s="14"/>
      <c r="P32" s="14"/>
      <c r="Q32" s="14"/>
      <c r="R32" s="14"/>
      <c r="S32" s="14"/>
      <c r="T32" s="14"/>
      <c r="U32" s="14"/>
      <c r="V32" s="14"/>
      <c r="W32" s="14"/>
      <c r="X32" s="14"/>
      <c r="Y32" s="14"/>
      <c r="Z32" s="14"/>
      <c r="BE32" s="45" t="s">
        <v>49</v>
      </c>
      <c r="BF32" s="46">
        <v>3.4000000000000002E-2</v>
      </c>
      <c r="BG32" s="42"/>
      <c r="BH32" s="47"/>
      <c r="BI32" s="48">
        <v>0.432</v>
      </c>
      <c r="BL32" s="45" t="s">
        <v>49</v>
      </c>
      <c r="BM32" s="46">
        <v>3.4000000000000002E-2</v>
      </c>
      <c r="BN32" s="42"/>
      <c r="BO32" s="47"/>
      <c r="BP32" s="48">
        <v>0.432</v>
      </c>
    </row>
    <row r="33" spans="1:70" ht="34.4" customHeight="1" thickBot="1">
      <c r="A33" s="14"/>
      <c r="B33" s="14"/>
      <c r="C33" s="96" t="s">
        <v>48</v>
      </c>
      <c r="D33" s="97">
        <f ca="1">D29+D32</f>
        <v>2807880.0115156174</v>
      </c>
      <c r="E33" s="97">
        <f t="shared" ref="E33:M33" ca="1" si="22">E29+E32</f>
        <v>0</v>
      </c>
      <c r="F33" s="97">
        <f t="shared" ca="1" si="22"/>
        <v>0</v>
      </c>
      <c r="G33" s="97">
        <f t="shared" ca="1" si="22"/>
        <v>0</v>
      </c>
      <c r="H33" s="97">
        <f t="shared" ca="1" si="22"/>
        <v>0</v>
      </c>
      <c r="I33" s="97">
        <f t="shared" ca="1" si="22"/>
        <v>0</v>
      </c>
      <c r="J33" s="97">
        <f t="shared" ca="1" si="22"/>
        <v>0</v>
      </c>
      <c r="K33" s="97">
        <f t="shared" ca="1" si="22"/>
        <v>0</v>
      </c>
      <c r="L33" s="97">
        <f t="shared" ca="1" si="22"/>
        <v>0</v>
      </c>
      <c r="M33" s="97">
        <f t="shared" ca="1" si="22"/>
        <v>0</v>
      </c>
      <c r="N33" s="98">
        <f ca="1">N29+N32</f>
        <v>2807880.0115156174</v>
      </c>
      <c r="O33" s="136"/>
      <c r="P33" s="135"/>
      <c r="Q33" s="54"/>
      <c r="R33" s="14"/>
      <c r="S33" s="14"/>
      <c r="T33" s="14"/>
      <c r="U33" s="14"/>
      <c r="V33" s="54"/>
      <c r="W33" s="14"/>
      <c r="X33" s="14"/>
      <c r="Y33" s="14"/>
      <c r="Z33" s="14"/>
      <c r="BE33" s="55" t="s">
        <v>39</v>
      </c>
      <c r="BF33" s="56">
        <v>5.0999999999999997E-2</v>
      </c>
      <c r="BG33" s="42"/>
      <c r="BH33" s="42"/>
      <c r="BI33" s="42"/>
      <c r="BL33" s="55" t="s">
        <v>39</v>
      </c>
      <c r="BM33" s="56">
        <v>5.0999999999999997E-2</v>
      </c>
      <c r="BN33" s="42"/>
      <c r="BO33" s="42"/>
      <c r="BP33" s="42"/>
    </row>
    <row r="34" spans="1:70" ht="54" customHeight="1">
      <c r="A34" s="14"/>
      <c r="B34" s="14"/>
      <c r="C34" s="293"/>
      <c r="D34" s="294"/>
      <c r="E34" s="294"/>
      <c r="F34" s="294"/>
      <c r="G34" s="294"/>
      <c r="H34" s="294"/>
      <c r="I34" s="294"/>
      <c r="J34" s="294"/>
      <c r="K34" s="294"/>
      <c r="L34" s="294"/>
      <c r="M34" s="294"/>
      <c r="N34" s="293"/>
      <c r="O34" s="136"/>
      <c r="P34" s="135"/>
      <c r="Q34" s="54"/>
      <c r="R34" s="14"/>
      <c r="S34" s="14"/>
      <c r="T34" s="14"/>
      <c r="U34" s="14"/>
      <c r="V34" s="54"/>
      <c r="W34" s="14"/>
      <c r="X34" s="14"/>
      <c r="Y34" s="14"/>
      <c r="Z34" s="14"/>
      <c r="BE34" s="295"/>
      <c r="BF34" s="296"/>
      <c r="BG34" s="42"/>
      <c r="BH34" s="42"/>
      <c r="BI34" s="42"/>
      <c r="BL34" s="295"/>
      <c r="BM34" s="296"/>
      <c r="BN34" s="42"/>
      <c r="BO34" s="42"/>
      <c r="BP34" s="42"/>
    </row>
    <row r="35" spans="1:70" ht="18" customHeight="1" thickBot="1">
      <c r="A35" s="16"/>
      <c r="B35" s="16" t="s">
        <v>113</v>
      </c>
      <c r="C35" s="135" t="s">
        <v>91</v>
      </c>
      <c r="D35" s="14"/>
      <c r="E35" s="14"/>
      <c r="F35" s="14"/>
      <c r="G35" s="14"/>
      <c r="H35" s="14"/>
      <c r="I35" s="14"/>
      <c r="J35" s="14"/>
      <c r="K35" s="14"/>
      <c r="L35" s="14"/>
      <c r="M35" s="14"/>
      <c r="N35" s="14"/>
      <c r="O35" s="20"/>
      <c r="P35" s="21"/>
      <c r="Q35" s="54"/>
      <c r="R35" s="14"/>
      <c r="S35" s="14"/>
      <c r="T35" s="14"/>
      <c r="U35" s="14"/>
      <c r="V35" s="16"/>
      <c r="W35" s="20"/>
      <c r="X35" s="21"/>
      <c r="Y35" s="14"/>
      <c r="Z35" s="14"/>
      <c r="BE35" s="49" t="s">
        <v>41</v>
      </c>
      <c r="BF35" s="50">
        <v>6.7000000000000004E-2</v>
      </c>
      <c r="BG35" s="42"/>
      <c r="BH35" s="42"/>
      <c r="BI35" s="42"/>
      <c r="BL35" s="49" t="s">
        <v>41</v>
      </c>
      <c r="BM35" s="50">
        <v>6.7000000000000004E-2</v>
      </c>
      <c r="BN35" s="42"/>
      <c r="BO35" s="42"/>
      <c r="BP35" s="42"/>
    </row>
    <row r="36" spans="1:70" ht="18" customHeight="1" thickBot="1">
      <c r="A36" s="14"/>
      <c r="B36" s="14"/>
      <c r="C36" s="99" t="s">
        <v>5</v>
      </c>
      <c r="D36" s="100" t="str">
        <f t="shared" ref="D36:M36" si="23">D6</f>
        <v>a</v>
      </c>
      <c r="E36" s="100">
        <f t="shared" si="23"/>
        <v>0</v>
      </c>
      <c r="F36" s="100">
        <f t="shared" si="23"/>
        <v>0</v>
      </c>
      <c r="G36" s="100">
        <f t="shared" si="23"/>
        <v>0</v>
      </c>
      <c r="H36" s="100">
        <f t="shared" si="23"/>
        <v>0</v>
      </c>
      <c r="I36" s="100">
        <f t="shared" si="23"/>
        <v>0</v>
      </c>
      <c r="J36" s="100">
        <f t="shared" si="23"/>
        <v>0</v>
      </c>
      <c r="K36" s="100">
        <f t="shared" si="23"/>
        <v>0</v>
      </c>
      <c r="L36" s="100">
        <f t="shared" si="23"/>
        <v>0</v>
      </c>
      <c r="M36" s="100">
        <f t="shared" si="23"/>
        <v>0</v>
      </c>
      <c r="N36" s="86" t="s">
        <v>6</v>
      </c>
      <c r="O36" s="14"/>
      <c r="P36" s="14"/>
      <c r="Q36" s="80"/>
      <c r="R36" s="14"/>
      <c r="S36" s="14"/>
      <c r="T36" s="14"/>
      <c r="U36" s="14"/>
      <c r="V36" s="14"/>
      <c r="W36" s="14"/>
      <c r="X36" s="14"/>
      <c r="Y36" s="14"/>
      <c r="Z36" s="14"/>
      <c r="AA36" s="1" t="s">
        <v>202</v>
      </c>
      <c r="BE36" s="42" t="s">
        <v>50</v>
      </c>
      <c r="BF36" s="42"/>
      <c r="BG36" s="42"/>
      <c r="BH36" s="42"/>
      <c r="BI36" s="42"/>
      <c r="BL36" s="42" t="s">
        <v>50</v>
      </c>
      <c r="BM36" s="42"/>
      <c r="BN36" s="42"/>
      <c r="BO36" s="42"/>
      <c r="BP36" s="42"/>
    </row>
    <row r="37" spans="1:70" ht="18" customHeight="1">
      <c r="A37" s="14"/>
      <c r="B37" s="14"/>
      <c r="C37" s="101" t="s">
        <v>9</v>
      </c>
      <c r="D37" s="160">
        <f t="shared" ref="D37:M37" si="24">D7</f>
        <v>62</v>
      </c>
      <c r="E37" s="160">
        <f t="shared" si="24"/>
        <v>0</v>
      </c>
      <c r="F37" s="160">
        <f t="shared" si="24"/>
        <v>0</v>
      </c>
      <c r="G37" s="160">
        <f t="shared" si="24"/>
        <v>0</v>
      </c>
      <c r="H37" s="160">
        <f t="shared" si="24"/>
        <v>0</v>
      </c>
      <c r="I37" s="160">
        <f t="shared" si="24"/>
        <v>0</v>
      </c>
      <c r="J37" s="160">
        <f t="shared" si="24"/>
        <v>0</v>
      </c>
      <c r="K37" s="160">
        <f t="shared" si="24"/>
        <v>0</v>
      </c>
      <c r="L37" s="160">
        <f t="shared" si="24"/>
        <v>0</v>
      </c>
      <c r="M37" s="160">
        <f t="shared" si="24"/>
        <v>0</v>
      </c>
      <c r="N37" s="87"/>
      <c r="O37" s="17"/>
      <c r="P37" s="15"/>
      <c r="Q37" s="54"/>
      <c r="R37" s="14"/>
      <c r="S37" s="14"/>
      <c r="T37" s="16"/>
      <c r="U37" s="16"/>
      <c r="V37" s="14"/>
      <c r="W37" s="14"/>
      <c r="X37" s="14"/>
      <c r="Y37" s="14"/>
      <c r="Z37" s="14"/>
      <c r="AA37" s="290">
        <f t="shared" ref="AA37:AJ37" si="25">IF(D38/12&gt;=635000,650000*12,D38)</f>
        <v>7800000</v>
      </c>
      <c r="AB37" s="290">
        <f t="shared" si="25"/>
        <v>0</v>
      </c>
      <c r="AC37" s="290">
        <f t="shared" si="25"/>
        <v>0</v>
      </c>
      <c r="AD37" s="290">
        <f t="shared" si="25"/>
        <v>0</v>
      </c>
      <c r="AE37" s="290">
        <f t="shared" si="25"/>
        <v>0</v>
      </c>
      <c r="AF37" s="290">
        <f t="shared" si="25"/>
        <v>0</v>
      </c>
      <c r="AG37" s="290">
        <f t="shared" si="25"/>
        <v>0</v>
      </c>
      <c r="AH37" s="290">
        <f t="shared" si="25"/>
        <v>0</v>
      </c>
      <c r="AI37" s="290">
        <f t="shared" si="25"/>
        <v>0</v>
      </c>
      <c r="AJ37" s="290">
        <f t="shared" si="25"/>
        <v>0</v>
      </c>
      <c r="BE37" s="45" t="s">
        <v>52</v>
      </c>
      <c r="BF37" s="46">
        <v>3.2000000000000001E-2</v>
      </c>
      <c r="BG37" s="42"/>
      <c r="BH37" s="42"/>
      <c r="BI37" s="42"/>
      <c r="BL37" s="45" t="s">
        <v>52</v>
      </c>
      <c r="BM37" s="46">
        <v>3.2000000000000001E-2</v>
      </c>
      <c r="BN37" s="42"/>
      <c r="BO37" s="42"/>
      <c r="BP37" s="42"/>
    </row>
    <row r="38" spans="1:70" ht="18" customHeight="1">
      <c r="A38" s="14"/>
      <c r="B38" s="14"/>
      <c r="C38" s="88" t="s">
        <v>51</v>
      </c>
      <c r="D38" s="28">
        <v>15000000</v>
      </c>
      <c r="E38" s="28"/>
      <c r="F38" s="28"/>
      <c r="G38" s="28"/>
      <c r="H38" s="28"/>
      <c r="I38" s="28"/>
      <c r="J38" s="28"/>
      <c r="K38" s="28"/>
      <c r="L38" s="28"/>
      <c r="M38" s="28"/>
      <c r="N38" s="89">
        <f>SUM(D38:M38)</f>
        <v>15000000</v>
      </c>
      <c r="O38" s="17"/>
      <c r="P38" s="15"/>
      <c r="Q38" s="57"/>
      <c r="R38" s="14"/>
      <c r="S38" s="16"/>
      <c r="T38" s="16"/>
      <c r="U38" s="16"/>
      <c r="V38" s="14"/>
      <c r="W38" s="14"/>
      <c r="X38" s="14"/>
      <c r="Y38" s="14"/>
      <c r="Z38" s="14"/>
      <c r="AA38" s="290">
        <f t="shared" ref="AA38:AJ40" si="26">IF(D39&gt;1500000,1500000,INT(D39/1000)*1000)</f>
        <v>0</v>
      </c>
      <c r="AB38" s="290">
        <f t="shared" si="26"/>
        <v>0</v>
      </c>
      <c r="AC38" s="290">
        <f t="shared" si="26"/>
        <v>0</v>
      </c>
      <c r="AD38" s="290">
        <f t="shared" si="26"/>
        <v>0</v>
      </c>
      <c r="AE38" s="290">
        <f t="shared" si="26"/>
        <v>0</v>
      </c>
      <c r="AF38" s="290">
        <f t="shared" si="26"/>
        <v>0</v>
      </c>
      <c r="AG38" s="290">
        <f t="shared" si="26"/>
        <v>0</v>
      </c>
      <c r="AH38" s="290">
        <f t="shared" si="26"/>
        <v>0</v>
      </c>
      <c r="AI38" s="290">
        <f t="shared" si="26"/>
        <v>0</v>
      </c>
      <c r="AJ38" s="290">
        <f t="shared" si="26"/>
        <v>0</v>
      </c>
      <c r="BE38" s="58" t="s">
        <v>54</v>
      </c>
      <c r="BF38" s="59">
        <v>9.7000000000000003E-2</v>
      </c>
      <c r="BG38" s="42"/>
      <c r="BH38" s="42"/>
      <c r="BI38" s="42"/>
      <c r="BL38" s="58" t="s">
        <v>54</v>
      </c>
      <c r="BM38" s="59">
        <v>9.7000000000000003E-2</v>
      </c>
      <c r="BN38" s="42"/>
      <c r="BO38" s="42"/>
      <c r="BP38" s="42"/>
    </row>
    <row r="39" spans="1:70" ht="18" customHeight="1">
      <c r="A39" s="14"/>
      <c r="B39" s="14"/>
      <c r="C39" s="102" t="s">
        <v>53</v>
      </c>
      <c r="D39" s="28"/>
      <c r="E39" s="28"/>
      <c r="F39" s="28"/>
      <c r="G39" s="28"/>
      <c r="H39" s="28"/>
      <c r="I39" s="28"/>
      <c r="J39" s="28"/>
      <c r="K39" s="28"/>
      <c r="L39" s="28"/>
      <c r="M39" s="28"/>
      <c r="N39" s="89">
        <f t="shared" ref="N39:N56" si="27">SUM(D39:M39)</f>
        <v>0</v>
      </c>
      <c r="O39" s="16"/>
      <c r="P39" s="16"/>
      <c r="Q39" s="54"/>
      <c r="R39" s="14"/>
      <c r="S39" s="14"/>
      <c r="T39" s="14"/>
      <c r="U39" s="14"/>
      <c r="V39" s="14"/>
      <c r="W39" s="14"/>
      <c r="X39" s="14"/>
      <c r="Y39" s="14"/>
      <c r="Z39" s="14"/>
      <c r="AA39" s="290">
        <f t="shared" si="26"/>
        <v>0</v>
      </c>
      <c r="AB39" s="290">
        <f t="shared" si="26"/>
        <v>0</v>
      </c>
      <c r="AC39" s="290">
        <f t="shared" si="26"/>
        <v>0</v>
      </c>
      <c r="AD39" s="290">
        <f t="shared" si="26"/>
        <v>0</v>
      </c>
      <c r="AE39" s="290">
        <f t="shared" si="26"/>
        <v>0</v>
      </c>
      <c r="AF39" s="290">
        <f t="shared" si="26"/>
        <v>0</v>
      </c>
      <c r="AG39" s="290">
        <f t="shared" si="26"/>
        <v>0</v>
      </c>
      <c r="AH39" s="290">
        <f t="shared" si="26"/>
        <v>0</v>
      </c>
      <c r="AI39" s="290">
        <f t="shared" si="26"/>
        <v>0</v>
      </c>
      <c r="AJ39" s="290">
        <f t="shared" si="26"/>
        <v>0</v>
      </c>
      <c r="BE39" s="55" t="s">
        <v>56</v>
      </c>
      <c r="BF39" s="60">
        <v>70000</v>
      </c>
      <c r="BG39" s="42"/>
      <c r="BH39" s="51"/>
      <c r="BI39" s="42"/>
      <c r="BL39" s="55" t="s">
        <v>56</v>
      </c>
      <c r="BM39" s="60">
        <v>70000</v>
      </c>
      <c r="BN39" s="42"/>
      <c r="BO39" s="51"/>
      <c r="BP39" s="42"/>
    </row>
    <row r="40" spans="1:70" ht="18" customHeight="1" thickBot="1">
      <c r="A40" s="14"/>
      <c r="B40" s="14"/>
      <c r="C40" s="103" t="s">
        <v>55</v>
      </c>
      <c r="D40" s="28"/>
      <c r="E40" s="28"/>
      <c r="F40" s="28"/>
      <c r="G40" s="28"/>
      <c r="H40" s="28"/>
      <c r="I40" s="28"/>
      <c r="J40" s="28"/>
      <c r="K40" s="28"/>
      <c r="L40" s="28"/>
      <c r="M40" s="28"/>
      <c r="N40" s="89">
        <f t="shared" si="27"/>
        <v>0</v>
      </c>
      <c r="O40" s="16"/>
      <c r="P40" s="16"/>
      <c r="Q40" s="54"/>
      <c r="R40" s="14"/>
      <c r="S40" s="14"/>
      <c r="T40" s="14"/>
      <c r="U40" s="14"/>
      <c r="V40" s="14"/>
      <c r="W40" s="14"/>
      <c r="X40" s="14"/>
      <c r="Y40" s="14"/>
      <c r="Z40" s="14"/>
      <c r="AA40" s="290">
        <f t="shared" si="26"/>
        <v>0</v>
      </c>
      <c r="AB40" s="290">
        <f t="shared" si="26"/>
        <v>0</v>
      </c>
      <c r="AC40" s="290">
        <f t="shared" si="26"/>
        <v>0</v>
      </c>
      <c r="AD40" s="290">
        <f t="shared" si="26"/>
        <v>0</v>
      </c>
      <c r="AE40" s="290">
        <f t="shared" si="26"/>
        <v>0</v>
      </c>
      <c r="AF40" s="290">
        <f t="shared" si="26"/>
        <v>0</v>
      </c>
      <c r="AG40" s="290">
        <f t="shared" si="26"/>
        <v>0</v>
      </c>
      <c r="AH40" s="290">
        <f t="shared" si="26"/>
        <v>0</v>
      </c>
      <c r="AI40" s="290">
        <f t="shared" si="26"/>
        <v>0</v>
      </c>
      <c r="AJ40" s="290">
        <f t="shared" si="26"/>
        <v>0</v>
      </c>
      <c r="BE40" s="39" t="s">
        <v>58</v>
      </c>
      <c r="BF40" s="61">
        <v>0</v>
      </c>
      <c r="BG40" s="62"/>
      <c r="BH40" s="51"/>
      <c r="BI40" s="42"/>
      <c r="BL40" s="39" t="s">
        <v>58</v>
      </c>
      <c r="BM40" s="61">
        <v>0</v>
      </c>
      <c r="BN40" s="62"/>
      <c r="BO40" s="51"/>
      <c r="BP40" s="42"/>
    </row>
    <row r="41" spans="1:70" ht="18" customHeight="1">
      <c r="A41" s="14"/>
      <c r="B41" s="14"/>
      <c r="C41" s="88" t="s">
        <v>57</v>
      </c>
      <c r="D41" s="28"/>
      <c r="E41" s="28"/>
      <c r="F41" s="28"/>
      <c r="G41" s="28"/>
      <c r="H41" s="28"/>
      <c r="I41" s="28"/>
      <c r="J41" s="28"/>
      <c r="K41" s="28"/>
      <c r="L41" s="28"/>
      <c r="M41" s="28"/>
      <c r="N41" s="89">
        <f t="shared" si="27"/>
        <v>0</v>
      </c>
      <c r="O41" s="14"/>
      <c r="P41" s="14"/>
      <c r="Q41" s="80"/>
      <c r="R41" s="14"/>
      <c r="S41" s="14"/>
      <c r="T41" s="14"/>
      <c r="U41" s="14"/>
      <c r="V41" s="14"/>
      <c r="W41" s="14"/>
      <c r="X41" s="14"/>
      <c r="Y41" s="14"/>
      <c r="Z41" s="14" t="s">
        <v>6</v>
      </c>
      <c r="AA41" s="290">
        <f>SUM(AA37:AA40)</f>
        <v>7800000</v>
      </c>
      <c r="AB41" s="290">
        <f t="shared" ref="AB41:AJ41" si="28">SUM(AB37:AB40)</f>
        <v>0</v>
      </c>
      <c r="AC41" s="290">
        <f t="shared" si="28"/>
        <v>0</v>
      </c>
      <c r="AD41" s="290">
        <f t="shared" si="28"/>
        <v>0</v>
      </c>
      <c r="AE41" s="290">
        <f t="shared" si="28"/>
        <v>0</v>
      </c>
      <c r="AF41" s="290">
        <f t="shared" si="28"/>
        <v>0</v>
      </c>
      <c r="AG41" s="290">
        <f t="shared" si="28"/>
        <v>0</v>
      </c>
      <c r="AH41" s="290">
        <f t="shared" si="28"/>
        <v>0</v>
      </c>
      <c r="AI41" s="290">
        <f t="shared" si="28"/>
        <v>0</v>
      </c>
      <c r="AJ41" s="290">
        <f t="shared" si="28"/>
        <v>0</v>
      </c>
    </row>
    <row r="42" spans="1:70" ht="18" customHeight="1">
      <c r="A42" s="14"/>
      <c r="B42" s="14"/>
      <c r="C42" s="90" t="s">
        <v>14</v>
      </c>
      <c r="D42" s="28"/>
      <c r="E42" s="28"/>
      <c r="F42" s="28"/>
      <c r="G42" s="28"/>
      <c r="H42" s="28"/>
      <c r="I42" s="28"/>
      <c r="J42" s="28"/>
      <c r="K42" s="28"/>
      <c r="L42" s="28"/>
      <c r="M42" s="28"/>
      <c r="N42" s="89">
        <f t="shared" si="27"/>
        <v>0</v>
      </c>
      <c r="O42" s="14"/>
      <c r="P42" s="14"/>
      <c r="Q42" s="54"/>
      <c r="R42" s="14"/>
      <c r="S42" s="14"/>
      <c r="T42" s="54"/>
      <c r="U42" s="54"/>
      <c r="V42" s="14"/>
      <c r="W42" s="14"/>
      <c r="X42" s="14"/>
      <c r="Y42" s="14"/>
      <c r="Z42" s="14" t="s">
        <v>204</v>
      </c>
      <c r="AA42" s="290">
        <f>AA41*$O$10</f>
        <v>28080</v>
      </c>
      <c r="AB42" s="290">
        <f t="shared" ref="AB42:AJ42" si="29">AB41*$O$10</f>
        <v>0</v>
      </c>
      <c r="AC42" s="290">
        <f t="shared" si="29"/>
        <v>0</v>
      </c>
      <c r="AD42" s="290">
        <f t="shared" si="29"/>
        <v>0</v>
      </c>
      <c r="AE42" s="290">
        <f t="shared" si="29"/>
        <v>0</v>
      </c>
      <c r="AF42" s="290">
        <f t="shared" si="29"/>
        <v>0</v>
      </c>
      <c r="AG42" s="290">
        <f t="shared" si="29"/>
        <v>0</v>
      </c>
      <c r="AH42" s="290">
        <f t="shared" si="29"/>
        <v>0</v>
      </c>
      <c r="AI42" s="290">
        <f t="shared" si="29"/>
        <v>0</v>
      </c>
      <c r="AJ42" s="290">
        <f t="shared" si="29"/>
        <v>0</v>
      </c>
    </row>
    <row r="43" spans="1:70" ht="18" customHeight="1">
      <c r="A43" s="14"/>
      <c r="B43" s="14"/>
      <c r="C43" s="90" t="s">
        <v>220</v>
      </c>
      <c r="D43" s="28"/>
      <c r="E43" s="28"/>
      <c r="F43" s="28"/>
      <c r="G43" s="28"/>
      <c r="H43" s="28"/>
      <c r="I43" s="28"/>
      <c r="J43" s="28"/>
      <c r="K43" s="28"/>
      <c r="L43" s="28"/>
      <c r="M43" s="28"/>
      <c r="N43" s="89">
        <f t="shared" si="27"/>
        <v>0</v>
      </c>
      <c r="O43" s="14"/>
      <c r="P43" s="14"/>
      <c r="Q43" s="54"/>
      <c r="R43" s="14"/>
      <c r="S43" s="14"/>
      <c r="T43" s="54"/>
      <c r="U43" s="54"/>
      <c r="V43" s="14"/>
      <c r="W43" s="14"/>
      <c r="X43" s="14"/>
      <c r="Y43" s="14"/>
      <c r="Z43" s="14"/>
      <c r="AA43" s="138" t="s">
        <v>203</v>
      </c>
    </row>
    <row r="44" spans="1:70" ht="18" customHeight="1">
      <c r="A44" s="14"/>
      <c r="B44" s="14"/>
      <c r="C44" s="90" t="s">
        <v>17</v>
      </c>
      <c r="D44" s="32" cm="1">
        <f t="array" aca="1" ref="D44" ca="1">IF(D84=FALSE,koujyogoTS((D38+D39+D40+D41+D42-D43)),Koujyogo_ch((D38+D39+D40+D41+D42-D43)))</f>
        <v>12900000</v>
      </c>
      <c r="E44" s="32" cm="1">
        <f t="array" aca="1" ref="E44" ca="1">IF(E84=FALSE,koujyogoTS((E38+E39+E40+E41+E42)),Koujyogo_ch((E38+E39+E40+E41+E42)))</f>
        <v>0</v>
      </c>
      <c r="F44" s="32" cm="1">
        <f t="array" aca="1" ref="F44" ca="1">IF(F84=FALSE,koujyogoTS((F38+F39+F40+F41+F42)),Koujyogo_ch((F38+F39+F40+F41+F42)))</f>
        <v>0</v>
      </c>
      <c r="G44" s="32" cm="1">
        <f t="array" aca="1" ref="G44" ca="1">IF(G84=FALSE,koujyogoTS((G38+G39+G40+G41+G42)),Koujyogo_ch((G38+G39+G40+G41+G42)))</f>
        <v>0</v>
      </c>
      <c r="H44" s="32" cm="1">
        <f t="array" aca="1" ref="H44" ca="1">IF(H84=FALSE,koujyogoTS((H38+H39+H40+H41+H42)),Koujyogo_ch((H38+H39+H40+H41+H42)))</f>
        <v>0</v>
      </c>
      <c r="I44" s="32" cm="1">
        <f t="array" aca="1" ref="I44" ca="1">IF(I84=FALSE,koujyogoTS((I38+I39+I40+I41+I42)),Koujyogo_ch((I38+I39+I40+I41+I42)))</f>
        <v>0</v>
      </c>
      <c r="J44" s="32" cm="1">
        <f t="array" aca="1" ref="J44" ca="1">IF(J84=FALSE,koujyogoTS((J38+J39+J40+J41+J42)),Koujyogo_ch((J38+J39+J40+J41+J42)))</f>
        <v>0</v>
      </c>
      <c r="K44" s="32" cm="1">
        <f t="array" aca="1" ref="K44" ca="1">IF(K84=FALSE,koujyogoTS((K38+K39+K40+K41+K42)),Koujyogo_ch((K38+K39+K40+K41+K42)))</f>
        <v>0</v>
      </c>
      <c r="L44" s="32" cm="1">
        <f t="array" aca="1" ref="L44" ca="1">IF(L84=FALSE,koujyogoTS((L38+L39+L40+L41+L42)),Koujyogo_ch((L38+L39+L40+L41+L42)))</f>
        <v>0</v>
      </c>
      <c r="M44" s="32" cm="1">
        <f t="array" aca="1" ref="M44" ca="1">IF(M84=FALSE,koujyogoTS((M38+M39+M40+M41+M42)),Koujyogo_ch((M38+M39+M40+M41+M42)))</f>
        <v>0</v>
      </c>
      <c r="N44" s="89">
        <f t="shared" ca="1" si="27"/>
        <v>12900000</v>
      </c>
      <c r="O44" s="14"/>
      <c r="P44" s="14"/>
      <c r="Q44" s="80"/>
      <c r="R44" s="14"/>
      <c r="S44" s="16"/>
      <c r="T44" s="54"/>
      <c r="U44" s="54"/>
      <c r="V44" s="14"/>
      <c r="W44" s="14"/>
      <c r="X44" s="14"/>
      <c r="Y44" s="14"/>
      <c r="Z44" s="14"/>
    </row>
    <row r="45" spans="1:70" ht="18" customHeight="1">
      <c r="A45" s="14"/>
      <c r="B45" s="14"/>
      <c r="C45" s="166" t="s">
        <v>108</v>
      </c>
      <c r="D45" s="30"/>
      <c r="E45" s="30"/>
      <c r="F45" s="30"/>
      <c r="G45" s="30"/>
      <c r="H45" s="30"/>
      <c r="I45" s="30"/>
      <c r="J45" s="30"/>
      <c r="K45" s="30"/>
      <c r="L45" s="30"/>
      <c r="M45" s="30"/>
      <c r="N45" s="89">
        <f t="shared" si="27"/>
        <v>0</v>
      </c>
      <c r="O45" s="14"/>
      <c r="P45" s="14"/>
      <c r="Q45" s="80"/>
      <c r="R45" s="14"/>
      <c r="S45" s="16"/>
      <c r="T45" s="54"/>
      <c r="U45" s="54"/>
      <c r="V45" s="14"/>
      <c r="W45" s="14"/>
      <c r="X45" s="14"/>
      <c r="Y45" s="14"/>
      <c r="Z45" s="14"/>
    </row>
    <row r="46" spans="1:70" ht="18" customHeight="1">
      <c r="A46" s="14"/>
      <c r="B46" s="14"/>
      <c r="C46" s="90" t="s">
        <v>20</v>
      </c>
      <c r="D46" s="30"/>
      <c r="E46" s="30"/>
      <c r="F46" s="30"/>
      <c r="G46" s="30"/>
      <c r="H46" s="30"/>
      <c r="I46" s="30"/>
      <c r="J46" s="30"/>
      <c r="K46" s="30"/>
      <c r="L46" s="30"/>
      <c r="M46" s="30"/>
      <c r="N46" s="89">
        <f t="shared" si="27"/>
        <v>0</v>
      </c>
      <c r="O46" s="14"/>
      <c r="P46" s="14"/>
      <c r="Q46" s="80"/>
      <c r="R46" s="14"/>
      <c r="S46" s="16"/>
      <c r="T46" s="54"/>
      <c r="U46" s="54"/>
      <c r="V46" s="14"/>
      <c r="W46" s="14"/>
      <c r="X46" s="14"/>
      <c r="Y46" s="14"/>
      <c r="Z46" s="14"/>
      <c r="BE46" s="63"/>
      <c r="BF46" s="64"/>
      <c r="BG46" s="64" t="s">
        <v>60</v>
      </c>
      <c r="BH46" s="64"/>
      <c r="BI46" s="65"/>
      <c r="BJ46" s="64"/>
      <c r="BK46" s="66"/>
      <c r="BL46" s="64"/>
      <c r="BM46" s="64"/>
      <c r="BN46" s="64" t="s">
        <v>60</v>
      </c>
      <c r="BO46" s="64"/>
      <c r="BP46" s="65"/>
      <c r="BQ46" s="64"/>
      <c r="BR46" s="66"/>
    </row>
    <row r="47" spans="1:70" ht="18" customHeight="1">
      <c r="A47" s="14"/>
      <c r="B47" s="14"/>
      <c r="C47" s="90" t="s">
        <v>22</v>
      </c>
      <c r="D47" s="32">
        <f ca="1">D59</f>
        <v>1590000.0093877316</v>
      </c>
      <c r="E47" s="32">
        <f t="shared" ref="E47:M47" ca="1" si="30">E59</f>
        <v>0</v>
      </c>
      <c r="F47" s="32">
        <f t="shared" ca="1" si="30"/>
        <v>0</v>
      </c>
      <c r="G47" s="32">
        <f t="shared" ca="1" si="30"/>
        <v>0</v>
      </c>
      <c r="H47" s="32">
        <f t="shared" ca="1" si="30"/>
        <v>0</v>
      </c>
      <c r="I47" s="32">
        <f t="shared" ca="1" si="30"/>
        <v>0</v>
      </c>
      <c r="J47" s="32">
        <f t="shared" ca="1" si="30"/>
        <v>0</v>
      </c>
      <c r="K47" s="32">
        <f t="shared" ca="1" si="30"/>
        <v>0</v>
      </c>
      <c r="L47" s="32">
        <f t="shared" ca="1" si="30"/>
        <v>0</v>
      </c>
      <c r="M47" s="32">
        <f t="shared" ca="1" si="30"/>
        <v>0</v>
      </c>
      <c r="N47" s="89">
        <f t="shared" ca="1" si="27"/>
        <v>1590000.0093877316</v>
      </c>
      <c r="O47" s="14"/>
      <c r="P47" s="14"/>
      <c r="Q47" s="80"/>
      <c r="R47" s="14"/>
      <c r="S47" s="14"/>
      <c r="T47" s="14"/>
      <c r="U47" s="14"/>
      <c r="V47" s="14"/>
      <c r="W47" s="14"/>
      <c r="X47" s="14"/>
      <c r="Y47" s="14"/>
      <c r="Z47" s="14"/>
      <c r="BE47" s="67"/>
      <c r="BF47" s="68"/>
      <c r="BG47" s="68"/>
      <c r="BH47" s="68"/>
      <c r="BI47" s="69"/>
      <c r="BJ47" s="68"/>
      <c r="BK47" s="70"/>
      <c r="BL47" s="68"/>
      <c r="BM47" s="68"/>
      <c r="BN47" s="68"/>
      <c r="BO47" s="68"/>
      <c r="BP47" s="69"/>
      <c r="BQ47" s="68"/>
      <c r="BR47" s="70"/>
    </row>
    <row r="48" spans="1:70" ht="18" customHeight="1">
      <c r="A48" s="14"/>
      <c r="B48" s="14"/>
      <c r="C48" s="90" t="s">
        <v>24</v>
      </c>
      <c r="D48" s="30">
        <v>1500000</v>
      </c>
      <c r="E48" s="30"/>
      <c r="F48" s="30"/>
      <c r="G48" s="30"/>
      <c r="H48" s="30"/>
      <c r="I48" s="30"/>
      <c r="J48" s="30"/>
      <c r="K48" s="30"/>
      <c r="L48" s="30"/>
      <c r="M48" s="30"/>
      <c r="N48" s="89">
        <f t="shared" si="27"/>
        <v>1500000</v>
      </c>
      <c r="O48" s="17"/>
      <c r="P48" s="15"/>
      <c r="Q48" s="54"/>
      <c r="R48" s="14"/>
      <c r="S48" s="14"/>
      <c r="T48" s="14"/>
      <c r="U48" s="14"/>
      <c r="V48" s="14"/>
      <c r="W48" s="14"/>
      <c r="X48" s="14"/>
      <c r="Y48" s="14"/>
      <c r="Z48" s="14"/>
      <c r="BE48" s="67"/>
      <c r="BF48" s="68"/>
      <c r="BG48" s="68"/>
      <c r="BH48" s="68"/>
      <c r="BI48" s="69"/>
      <c r="BJ48" s="68"/>
      <c r="BK48" s="70"/>
      <c r="BL48" s="68"/>
      <c r="BM48" s="68"/>
      <c r="BN48" s="68"/>
      <c r="BO48" s="68"/>
      <c r="BP48" s="69"/>
      <c r="BQ48" s="68"/>
      <c r="BR48" s="70"/>
    </row>
    <row r="49" spans="1:70" ht="18" customHeight="1">
      <c r="A49" s="14"/>
      <c r="B49" s="14"/>
      <c r="C49" s="90" t="s">
        <v>26</v>
      </c>
      <c r="D49" s="32">
        <f ca="1">VLOOKUP(D96,$C$87:$D$95,2)</f>
        <v>580000</v>
      </c>
      <c r="E49" s="32">
        <f t="shared" ref="E49:M49" ca="1" si="31">VLOOKUP(E96,$C$87:$D$95,2)</f>
        <v>950000</v>
      </c>
      <c r="F49" s="32">
        <f t="shared" ca="1" si="31"/>
        <v>950000</v>
      </c>
      <c r="G49" s="32">
        <f t="shared" ca="1" si="31"/>
        <v>950000</v>
      </c>
      <c r="H49" s="32">
        <f t="shared" ca="1" si="31"/>
        <v>950000</v>
      </c>
      <c r="I49" s="32">
        <f t="shared" ca="1" si="31"/>
        <v>950000</v>
      </c>
      <c r="J49" s="32">
        <f t="shared" ca="1" si="31"/>
        <v>950000</v>
      </c>
      <c r="K49" s="32">
        <f t="shared" ca="1" si="31"/>
        <v>950000</v>
      </c>
      <c r="L49" s="32">
        <f t="shared" ca="1" si="31"/>
        <v>950000</v>
      </c>
      <c r="M49" s="32">
        <f t="shared" ca="1" si="31"/>
        <v>950000</v>
      </c>
      <c r="N49" s="89">
        <f t="shared" ca="1" si="27"/>
        <v>9130000</v>
      </c>
      <c r="O49" s="17"/>
      <c r="P49" s="15"/>
      <c r="Q49" s="54"/>
      <c r="R49" s="14"/>
      <c r="S49" s="14"/>
      <c r="T49" s="14"/>
      <c r="U49" s="14"/>
      <c r="V49" s="14"/>
      <c r="W49" s="14"/>
      <c r="X49" s="14"/>
      <c r="Y49" s="14"/>
      <c r="Z49" s="14"/>
      <c r="BE49" s="67"/>
      <c r="BF49" s="68"/>
      <c r="BG49" s="68">
        <f>INT(BF6/1000)*1000</f>
        <v>0</v>
      </c>
      <c r="BH49" s="68" t="s">
        <v>61</v>
      </c>
      <c r="BI49" s="69"/>
      <c r="BJ49" s="68"/>
      <c r="BK49" s="70"/>
      <c r="BL49" s="68"/>
      <c r="BM49" s="68"/>
      <c r="BN49" s="68">
        <f>BM6</f>
        <v>0</v>
      </c>
      <c r="BO49" s="68" t="s">
        <v>61</v>
      </c>
      <c r="BP49" s="69"/>
      <c r="BQ49" s="68"/>
      <c r="BR49" s="70"/>
    </row>
    <row r="50" spans="1:70" ht="18" customHeight="1">
      <c r="A50" s="14"/>
      <c r="B50" s="14"/>
      <c r="C50" s="90" t="s">
        <v>28</v>
      </c>
      <c r="D50" s="32">
        <f ca="1">INT((IF((D44+D45+D46-SUM(D47:D49))&gt;0,(D44+D45+D46-SUM(D47:D49)),0))/1000)*1000</f>
        <v>9229000</v>
      </c>
      <c r="E50" s="32">
        <f t="shared" ref="E50:M50" ca="1" si="32">INT((IF((E44+E45+E46-SUM(E47:E49))&gt;0,(E44+E45+E46-SUM(E47:E49)),0))/1000)*1000</f>
        <v>0</v>
      </c>
      <c r="F50" s="32">
        <f t="shared" ca="1" si="32"/>
        <v>0</v>
      </c>
      <c r="G50" s="32">
        <f t="shared" ca="1" si="32"/>
        <v>0</v>
      </c>
      <c r="H50" s="32">
        <f t="shared" ca="1" si="32"/>
        <v>0</v>
      </c>
      <c r="I50" s="32">
        <f t="shared" ca="1" si="32"/>
        <v>0</v>
      </c>
      <c r="J50" s="32">
        <f t="shared" ca="1" si="32"/>
        <v>0</v>
      </c>
      <c r="K50" s="32">
        <f t="shared" ca="1" si="32"/>
        <v>0</v>
      </c>
      <c r="L50" s="32">
        <f t="shared" ca="1" si="32"/>
        <v>0</v>
      </c>
      <c r="M50" s="32">
        <f t="shared" ca="1" si="32"/>
        <v>0</v>
      </c>
      <c r="N50" s="89">
        <f t="shared" ca="1" si="27"/>
        <v>9229000</v>
      </c>
      <c r="O50" s="17"/>
      <c r="P50" s="15"/>
      <c r="Q50" s="54"/>
      <c r="R50" s="14"/>
      <c r="S50" s="14"/>
      <c r="T50" s="14"/>
      <c r="U50" s="14"/>
      <c r="V50" s="14"/>
      <c r="W50" s="14"/>
      <c r="X50" s="14"/>
      <c r="Y50" s="14"/>
      <c r="Z50" s="14"/>
      <c r="BE50" s="67"/>
      <c r="BF50" s="68"/>
      <c r="BG50" s="68"/>
      <c r="BH50" s="68"/>
      <c r="BI50" s="69"/>
      <c r="BJ50" s="68"/>
      <c r="BK50" s="70"/>
      <c r="BL50" s="68"/>
      <c r="BM50" s="68"/>
      <c r="BN50" s="68"/>
      <c r="BO50" s="68"/>
      <c r="BP50" s="69"/>
      <c r="BQ50" s="68"/>
      <c r="BR50" s="70"/>
    </row>
    <row r="51" spans="1:70" ht="18" customHeight="1">
      <c r="A51" s="14"/>
      <c r="B51" s="14"/>
      <c r="C51" s="104" t="s">
        <v>30</v>
      </c>
      <c r="D51" s="38">
        <f ca="1">incometaxTS(D50)*1.021</f>
        <v>1541270.97</v>
      </c>
      <c r="E51" s="38">
        <f t="shared" ref="E51:M51" ca="1" si="33">incometaxTS(E50)*1.021</f>
        <v>0</v>
      </c>
      <c r="F51" s="38">
        <f t="shared" ca="1" si="33"/>
        <v>0</v>
      </c>
      <c r="G51" s="38">
        <f t="shared" ca="1" si="33"/>
        <v>0</v>
      </c>
      <c r="H51" s="38">
        <f t="shared" ca="1" si="33"/>
        <v>0</v>
      </c>
      <c r="I51" s="38">
        <f t="shared" ca="1" si="33"/>
        <v>0</v>
      </c>
      <c r="J51" s="38">
        <f t="shared" ca="1" si="33"/>
        <v>0</v>
      </c>
      <c r="K51" s="38">
        <f t="shared" ca="1" si="33"/>
        <v>0</v>
      </c>
      <c r="L51" s="38">
        <f t="shared" ca="1" si="33"/>
        <v>0</v>
      </c>
      <c r="M51" s="38">
        <f t="shared" ca="1" si="33"/>
        <v>0</v>
      </c>
      <c r="N51" s="89">
        <f t="shared" ca="1" si="27"/>
        <v>1541270.97</v>
      </c>
      <c r="O51" s="17"/>
      <c r="P51" s="15"/>
      <c r="Q51" s="54"/>
      <c r="R51" s="14"/>
      <c r="S51" s="14"/>
      <c r="T51" s="14"/>
      <c r="U51" s="14"/>
      <c r="V51" s="14"/>
      <c r="W51" s="14"/>
      <c r="X51" s="14"/>
      <c r="Y51" s="14"/>
      <c r="Z51" s="14"/>
      <c r="BE51" s="67"/>
      <c r="BF51" s="68"/>
      <c r="BG51" s="68"/>
      <c r="BH51" s="68"/>
      <c r="BI51" s="69"/>
      <c r="BJ51" s="68"/>
      <c r="BK51" s="70"/>
      <c r="BL51" s="68"/>
      <c r="BM51" s="68"/>
      <c r="BN51" s="68"/>
      <c r="BO51" s="68"/>
      <c r="BP51" s="69"/>
      <c r="BQ51" s="68"/>
      <c r="BR51" s="70"/>
    </row>
    <row r="52" spans="1:70" ht="18" customHeight="1">
      <c r="A52" s="14"/>
      <c r="B52" s="14"/>
      <c r="C52" s="104" t="s">
        <v>138</v>
      </c>
      <c r="D52" s="181">
        <f ca="1">D105</f>
        <v>0</v>
      </c>
      <c r="E52" s="181">
        <f t="shared" ref="E52:M52" ca="1" si="34">E105</f>
        <v>0</v>
      </c>
      <c r="F52" s="181">
        <f t="shared" ca="1" si="34"/>
        <v>0</v>
      </c>
      <c r="G52" s="181">
        <f t="shared" ca="1" si="34"/>
        <v>0</v>
      </c>
      <c r="H52" s="181">
        <f t="shared" ca="1" si="34"/>
        <v>0</v>
      </c>
      <c r="I52" s="181">
        <f t="shared" ca="1" si="34"/>
        <v>0</v>
      </c>
      <c r="J52" s="181">
        <f t="shared" ca="1" si="34"/>
        <v>0</v>
      </c>
      <c r="K52" s="181">
        <f t="shared" ca="1" si="34"/>
        <v>0</v>
      </c>
      <c r="L52" s="181">
        <f t="shared" ca="1" si="34"/>
        <v>0</v>
      </c>
      <c r="M52" s="181">
        <f t="shared" ca="1" si="34"/>
        <v>0</v>
      </c>
      <c r="N52" s="89">
        <f t="shared" ca="1" si="27"/>
        <v>0</v>
      </c>
      <c r="O52" s="17"/>
      <c r="P52" s="17"/>
      <c r="Q52" s="54"/>
      <c r="R52" s="14"/>
      <c r="S52" s="14"/>
      <c r="T52" s="14"/>
      <c r="U52" s="14"/>
      <c r="V52" s="14"/>
      <c r="W52" s="14"/>
      <c r="X52" s="14"/>
      <c r="Y52" s="14"/>
      <c r="Z52" s="14"/>
      <c r="BE52" s="67"/>
      <c r="BF52" s="68"/>
      <c r="BG52" s="68"/>
      <c r="BH52" s="68"/>
      <c r="BI52" s="69"/>
      <c r="BJ52" s="68"/>
      <c r="BK52" s="70"/>
      <c r="BL52" s="68"/>
      <c r="BM52" s="68"/>
      <c r="BN52" s="68"/>
      <c r="BO52" s="68"/>
      <c r="BP52" s="69"/>
      <c r="BQ52" s="68"/>
      <c r="BR52" s="70"/>
    </row>
    <row r="53" spans="1:70" ht="18" customHeight="1">
      <c r="A53" s="14"/>
      <c r="B53" s="14"/>
      <c r="C53" s="104" t="s">
        <v>124</v>
      </c>
      <c r="D53" s="297"/>
      <c r="E53" s="297"/>
      <c r="F53" s="297"/>
      <c r="G53" s="297"/>
      <c r="H53" s="297"/>
      <c r="I53" s="297"/>
      <c r="J53" s="297"/>
      <c r="K53" s="297"/>
      <c r="L53" s="297"/>
      <c r="M53" s="297"/>
      <c r="N53" s="89">
        <f t="shared" si="27"/>
        <v>0</v>
      </c>
      <c r="O53" s="17"/>
      <c r="P53" s="17"/>
      <c r="Q53" s="54"/>
      <c r="R53" s="14"/>
      <c r="S53" s="14"/>
      <c r="T53" s="14"/>
      <c r="U53" s="14"/>
      <c r="V53" s="14"/>
      <c r="W53" s="14"/>
      <c r="X53" s="14"/>
      <c r="Y53" s="14"/>
      <c r="Z53" s="14"/>
      <c r="BE53" s="67"/>
      <c r="BF53" s="68"/>
      <c r="BG53" s="68"/>
      <c r="BH53" s="68"/>
      <c r="BI53" s="69"/>
      <c r="BJ53" s="68"/>
      <c r="BK53" s="70"/>
      <c r="BL53" s="68"/>
      <c r="BM53" s="68"/>
      <c r="BN53" s="68"/>
      <c r="BO53" s="68"/>
      <c r="BP53" s="69"/>
      <c r="BQ53" s="68"/>
      <c r="BR53" s="70"/>
    </row>
    <row r="54" spans="1:70" ht="18" customHeight="1">
      <c r="A54" s="14"/>
      <c r="B54" s="14"/>
      <c r="C54" s="104" t="s">
        <v>33</v>
      </c>
      <c r="D54" s="181">
        <f t="shared" ref="D54:M54" ca="1" si="35">D50*0.1</f>
        <v>922900</v>
      </c>
      <c r="E54" s="181">
        <f t="shared" ca="1" si="35"/>
        <v>0</v>
      </c>
      <c r="F54" s="181">
        <f t="shared" ca="1" si="35"/>
        <v>0</v>
      </c>
      <c r="G54" s="181">
        <f t="shared" ca="1" si="35"/>
        <v>0</v>
      </c>
      <c r="H54" s="181">
        <f t="shared" ca="1" si="35"/>
        <v>0</v>
      </c>
      <c r="I54" s="181">
        <f t="shared" ca="1" si="35"/>
        <v>0</v>
      </c>
      <c r="J54" s="181">
        <f t="shared" ca="1" si="35"/>
        <v>0</v>
      </c>
      <c r="K54" s="181">
        <f t="shared" ca="1" si="35"/>
        <v>0</v>
      </c>
      <c r="L54" s="181">
        <f t="shared" ca="1" si="35"/>
        <v>0</v>
      </c>
      <c r="M54" s="181">
        <f t="shared" ca="1" si="35"/>
        <v>0</v>
      </c>
      <c r="N54" s="89">
        <f t="shared" ca="1" si="27"/>
        <v>922900</v>
      </c>
      <c r="O54" s="17"/>
      <c r="P54" s="17"/>
      <c r="Q54" s="54"/>
      <c r="R54" s="14"/>
      <c r="S54" s="81"/>
      <c r="T54" s="82"/>
      <c r="U54" s="81"/>
      <c r="V54" s="83"/>
      <c r="W54" s="16"/>
      <c r="X54" s="14"/>
      <c r="Y54" s="14"/>
      <c r="Z54" s="14"/>
      <c r="AA54" s="1">
        <v>1</v>
      </c>
      <c r="AB54" s="1">
        <v>2</v>
      </c>
      <c r="AC54" s="1">
        <v>3</v>
      </c>
      <c r="AD54" s="1">
        <v>4</v>
      </c>
      <c r="AE54" s="1">
        <v>5</v>
      </c>
      <c r="AF54" s="1">
        <v>6</v>
      </c>
      <c r="AG54" s="1">
        <v>7</v>
      </c>
      <c r="AH54" s="1">
        <v>8</v>
      </c>
      <c r="AI54" s="1">
        <v>9</v>
      </c>
      <c r="AJ54" s="1">
        <v>10</v>
      </c>
      <c r="BE54" s="67" t="s">
        <v>62</v>
      </c>
      <c r="BF54" s="68"/>
      <c r="BG54" s="68">
        <f>IF(BG49&lt;8000000,BG49,8000000)</f>
        <v>0</v>
      </c>
      <c r="BH54" s="71">
        <f>BF27</f>
        <v>0.15</v>
      </c>
      <c r="BI54" s="69">
        <f>BG54*BH54</f>
        <v>0</v>
      </c>
      <c r="BJ54" s="68"/>
      <c r="BK54" s="70"/>
      <c r="BL54" s="68" t="s">
        <v>62</v>
      </c>
      <c r="BM54" s="68"/>
      <c r="BN54" s="68">
        <f>IF(BN49&lt;8000000,BN49,8000000)</f>
        <v>0</v>
      </c>
      <c r="BO54" s="71">
        <f>BM27</f>
        <v>0.15</v>
      </c>
      <c r="BP54" s="69">
        <f>BN54*BO54</f>
        <v>0</v>
      </c>
      <c r="BQ54" s="68"/>
      <c r="BR54" s="70"/>
    </row>
    <row r="55" spans="1:70" ht="18" customHeight="1">
      <c r="A55" s="14"/>
      <c r="B55" s="14"/>
      <c r="C55" s="104" t="s">
        <v>138</v>
      </c>
      <c r="D55" s="181">
        <f ca="1">D106</f>
        <v>0</v>
      </c>
      <c r="E55" s="181">
        <f t="shared" ref="E55:M55" ca="1" si="36">E106</f>
        <v>0</v>
      </c>
      <c r="F55" s="181">
        <f t="shared" ca="1" si="36"/>
        <v>0</v>
      </c>
      <c r="G55" s="181">
        <f t="shared" ca="1" si="36"/>
        <v>0</v>
      </c>
      <c r="H55" s="181">
        <f t="shared" ca="1" si="36"/>
        <v>0</v>
      </c>
      <c r="I55" s="181">
        <f t="shared" ca="1" si="36"/>
        <v>0</v>
      </c>
      <c r="J55" s="181">
        <f t="shared" ca="1" si="36"/>
        <v>0</v>
      </c>
      <c r="K55" s="181">
        <f t="shared" ca="1" si="36"/>
        <v>0</v>
      </c>
      <c r="L55" s="181">
        <f t="shared" ca="1" si="36"/>
        <v>0</v>
      </c>
      <c r="M55" s="181">
        <f t="shared" ca="1" si="36"/>
        <v>0</v>
      </c>
      <c r="N55" s="89">
        <f t="shared" ca="1" si="27"/>
        <v>0</v>
      </c>
      <c r="O55" s="17"/>
      <c r="P55" s="17"/>
      <c r="Q55" s="54"/>
      <c r="R55" s="14"/>
      <c r="S55" s="14"/>
      <c r="T55" s="14"/>
      <c r="U55" s="14"/>
      <c r="V55" s="14"/>
      <c r="W55" s="14"/>
      <c r="X55" s="14"/>
      <c r="Y55" s="14"/>
      <c r="Z55" s="14"/>
      <c r="AA55" s="128">
        <f t="shared" ref="AA55:AJ55" ca="1" si="37">IF(D81=TRUE,D69+D67,0)</f>
        <v>876300.01589655876</v>
      </c>
      <c r="AB55" s="128">
        <f t="shared" ca="1" si="37"/>
        <v>0</v>
      </c>
      <c r="AC55" s="128">
        <f t="shared" ca="1" si="37"/>
        <v>0</v>
      </c>
      <c r="AD55" s="128">
        <f t="shared" ca="1" si="37"/>
        <v>0</v>
      </c>
      <c r="AE55" s="128">
        <f t="shared" ca="1" si="37"/>
        <v>0</v>
      </c>
      <c r="AF55" s="128">
        <f t="shared" ca="1" si="37"/>
        <v>0</v>
      </c>
      <c r="AG55" s="128">
        <f t="shared" ca="1" si="37"/>
        <v>0</v>
      </c>
      <c r="AH55" s="128">
        <f t="shared" ca="1" si="37"/>
        <v>0</v>
      </c>
      <c r="AI55" s="128">
        <f t="shared" ca="1" si="37"/>
        <v>0</v>
      </c>
      <c r="AJ55" s="128">
        <f t="shared" ca="1" si="37"/>
        <v>0</v>
      </c>
      <c r="BE55" s="67"/>
      <c r="BF55" s="68"/>
      <c r="BG55" s="68">
        <f>IF(BG49-8000000&lt;0,0,INT((BG49-8000000)/1000)*1000)</f>
        <v>0</v>
      </c>
      <c r="BH55" s="71">
        <f>BF29</f>
        <v>0.23899999999999999</v>
      </c>
      <c r="BI55" s="69">
        <f>BG55*BH55</f>
        <v>0</v>
      </c>
      <c r="BJ55" s="68"/>
      <c r="BK55" s="70"/>
      <c r="BL55" s="68"/>
      <c r="BM55" s="68"/>
      <c r="BN55" s="68">
        <f>IF(BN49-8000000&lt;0,0,INT((BN49-8000000)/1000)*1000)</f>
        <v>0</v>
      </c>
      <c r="BO55" s="71">
        <f>BM29</f>
        <v>0.23899999999999999</v>
      </c>
      <c r="BP55" s="69">
        <f>BN55*BO55</f>
        <v>0</v>
      </c>
      <c r="BQ55" s="68"/>
      <c r="BR55" s="70"/>
    </row>
    <row r="56" spans="1:70" ht="18" customHeight="1">
      <c r="A56" s="14"/>
      <c r="B56" s="14"/>
      <c r="C56" s="104" t="s">
        <v>36</v>
      </c>
      <c r="D56" s="181">
        <f ca="1">IF((D51-D52-D53)&gt;0,INT((D51-D52-D53)/100)*100,0)+IF((D54-D55)&gt;0,(D54-D55),0)</f>
        <v>2464100</v>
      </c>
      <c r="E56" s="181">
        <f t="shared" ref="E56:M56" ca="1" si="38">IF((E51-E52-E53)&gt;0,INT((E51-E52-E53)/100)*100,0)+IF((E54-E55)&gt;0,(E54-E55),0)</f>
        <v>0</v>
      </c>
      <c r="F56" s="181">
        <f t="shared" ca="1" si="38"/>
        <v>0</v>
      </c>
      <c r="G56" s="181">
        <f t="shared" ca="1" si="38"/>
        <v>0</v>
      </c>
      <c r="H56" s="181">
        <f t="shared" ca="1" si="38"/>
        <v>0</v>
      </c>
      <c r="I56" s="181">
        <f t="shared" ca="1" si="38"/>
        <v>0</v>
      </c>
      <c r="J56" s="181">
        <f t="shared" ca="1" si="38"/>
        <v>0</v>
      </c>
      <c r="K56" s="181">
        <f t="shared" ca="1" si="38"/>
        <v>0</v>
      </c>
      <c r="L56" s="181">
        <f t="shared" ca="1" si="38"/>
        <v>0</v>
      </c>
      <c r="M56" s="181">
        <f t="shared" ca="1" si="38"/>
        <v>0</v>
      </c>
      <c r="N56" s="89">
        <f t="shared" ca="1" si="27"/>
        <v>2464100</v>
      </c>
      <c r="O56" s="17"/>
      <c r="P56" s="17"/>
      <c r="Q56" s="54"/>
      <c r="R56" s="14"/>
      <c r="S56" s="14"/>
      <c r="T56" s="14"/>
      <c r="U56" s="14"/>
      <c r="V56" s="14"/>
      <c r="W56" s="14"/>
      <c r="X56" s="14"/>
      <c r="Y56" s="14"/>
      <c r="Z56" s="14"/>
      <c r="BE56" s="67"/>
      <c r="BF56" s="68"/>
      <c r="BG56" s="68"/>
      <c r="BH56" s="71"/>
      <c r="BI56" s="69"/>
      <c r="BJ56" s="68"/>
      <c r="BK56" s="70"/>
      <c r="BL56" s="68"/>
      <c r="BM56" s="68"/>
      <c r="BN56" s="68"/>
      <c r="BO56" s="71"/>
      <c r="BP56" s="69"/>
      <c r="BQ56" s="68"/>
      <c r="BR56" s="70"/>
    </row>
    <row r="57" spans="1:70" ht="18" customHeight="1">
      <c r="A57" s="14"/>
      <c r="B57" s="14"/>
      <c r="C57" s="122" t="s">
        <v>74</v>
      </c>
      <c r="D57" s="314">
        <f ca="1">IF(D81=TRUE,D69+D67,0)</f>
        <v>876300.01589655876</v>
      </c>
      <c r="E57" s="314">
        <f ca="1">IF(E81=TRUE,E69+E67,0)</f>
        <v>0</v>
      </c>
      <c r="F57" s="314">
        <f ca="1">IF(F81=TRUE,F69+F67,0)</f>
        <v>0</v>
      </c>
      <c r="G57" s="314">
        <f ca="1">IF(G81=TRUE,G69+G67,0)</f>
        <v>0</v>
      </c>
      <c r="H57" s="314">
        <f ca="1">IF(H81=TRUE,H69+H67,0)</f>
        <v>0</v>
      </c>
      <c r="I57" s="314">
        <f ca="1">IF(I81=TRUE,I69+I67,0)</f>
        <v>0</v>
      </c>
      <c r="J57" s="314">
        <f ca="1">IF(J81=TRUE,J69+J67,0)</f>
        <v>0</v>
      </c>
      <c r="K57" s="314">
        <f ca="1">IF(K81=TRUE,K69+K67,0)</f>
        <v>0</v>
      </c>
      <c r="L57" s="314">
        <f ca="1">IF(L81=TRUE,L69+L67,0)</f>
        <v>0</v>
      </c>
      <c r="M57" s="314">
        <f ca="1">IF(M81=TRUE,M69+M67,0)</f>
        <v>0</v>
      </c>
      <c r="N57" s="124">
        <f t="shared" ref="N57:N62" ca="1" si="39">SUM(D57:M57)</f>
        <v>876300.01589655876</v>
      </c>
      <c r="O57" s="17"/>
      <c r="P57" s="17"/>
      <c r="Q57" s="54"/>
      <c r="R57" s="14"/>
      <c r="S57" s="14"/>
      <c r="T57" s="14"/>
      <c r="U57" s="14"/>
      <c r="V57" s="14"/>
      <c r="W57" s="14"/>
      <c r="X57" s="14"/>
      <c r="Y57" s="14"/>
      <c r="Z57" s="14"/>
      <c r="BE57" s="67"/>
      <c r="BF57" s="68"/>
      <c r="BG57" s="68"/>
      <c r="BH57" s="71"/>
      <c r="BI57" s="69"/>
      <c r="BJ57" s="68"/>
      <c r="BK57" s="70"/>
      <c r="BL57" s="68"/>
      <c r="BM57" s="68"/>
      <c r="BN57" s="68"/>
      <c r="BO57" s="71"/>
      <c r="BP57" s="69"/>
      <c r="BQ57" s="68"/>
      <c r="BR57" s="70"/>
    </row>
    <row r="58" spans="1:70" ht="18" customHeight="1">
      <c r="A58" s="14"/>
      <c r="B58" s="14"/>
      <c r="C58" s="122" t="s">
        <v>75</v>
      </c>
      <c r="D58" s="123">
        <f ca="1">IF(D81=TRUE,D79+D66,0)</f>
        <v>713699.99349117279</v>
      </c>
      <c r="E58" s="123">
        <f t="shared" ref="E58:M58" ca="1" si="40">IF(E81=TRUE,E79+E66,0)</f>
        <v>0</v>
      </c>
      <c r="F58" s="123">
        <f t="shared" ca="1" si="40"/>
        <v>0</v>
      </c>
      <c r="G58" s="123">
        <f t="shared" ca="1" si="40"/>
        <v>0</v>
      </c>
      <c r="H58" s="123">
        <f t="shared" ca="1" si="40"/>
        <v>0</v>
      </c>
      <c r="I58" s="123">
        <f t="shared" ca="1" si="40"/>
        <v>0</v>
      </c>
      <c r="J58" s="123">
        <f t="shared" ca="1" si="40"/>
        <v>0</v>
      </c>
      <c r="K58" s="123">
        <f t="shared" ca="1" si="40"/>
        <v>0</v>
      </c>
      <c r="L58" s="123">
        <f t="shared" ca="1" si="40"/>
        <v>0</v>
      </c>
      <c r="M58" s="123">
        <f t="shared" ca="1" si="40"/>
        <v>0</v>
      </c>
      <c r="N58" s="124">
        <f t="shared" ca="1" si="39"/>
        <v>713699.99349117279</v>
      </c>
      <c r="O58" s="17"/>
      <c r="P58" s="17"/>
      <c r="Q58" s="54"/>
      <c r="R58" s="14"/>
      <c r="S58" s="14"/>
      <c r="T58" s="14"/>
      <c r="U58" s="14"/>
      <c r="V58" s="14"/>
      <c r="W58" s="14"/>
      <c r="X58" s="14"/>
      <c r="Y58" s="14"/>
      <c r="Z58" s="14"/>
      <c r="BE58" s="67" t="s">
        <v>63</v>
      </c>
      <c r="BF58" s="68"/>
      <c r="BG58" s="68"/>
      <c r="BH58" s="71"/>
      <c r="BI58" s="69">
        <f>SUM(BI54:BI55)</f>
        <v>0</v>
      </c>
      <c r="BJ58" s="68"/>
      <c r="BK58" s="70"/>
      <c r="BL58" s="68" t="s">
        <v>63</v>
      </c>
      <c r="BM58" s="68"/>
      <c r="BN58" s="68"/>
      <c r="BO58" s="71"/>
      <c r="BP58" s="69">
        <f>SUM(BP54:BP55)</f>
        <v>0</v>
      </c>
      <c r="BQ58" s="68"/>
      <c r="BR58" s="70"/>
    </row>
    <row r="59" spans="1:70" ht="18" customHeight="1">
      <c r="A59" s="14"/>
      <c r="B59" s="14"/>
      <c r="C59" s="122" t="s">
        <v>76</v>
      </c>
      <c r="D59" s="123">
        <f ca="1">D57+D58</f>
        <v>1590000.0093877316</v>
      </c>
      <c r="E59" s="123">
        <f t="shared" ref="E59:M59" ca="1" si="41">E57+E58</f>
        <v>0</v>
      </c>
      <c r="F59" s="123">
        <f t="shared" ca="1" si="41"/>
        <v>0</v>
      </c>
      <c r="G59" s="123">
        <f t="shared" ca="1" si="41"/>
        <v>0</v>
      </c>
      <c r="H59" s="123">
        <f t="shared" ca="1" si="41"/>
        <v>0</v>
      </c>
      <c r="I59" s="123">
        <f t="shared" ca="1" si="41"/>
        <v>0</v>
      </c>
      <c r="J59" s="123">
        <f t="shared" ca="1" si="41"/>
        <v>0</v>
      </c>
      <c r="K59" s="123">
        <f t="shared" ca="1" si="41"/>
        <v>0</v>
      </c>
      <c r="L59" s="123">
        <f t="shared" ca="1" si="41"/>
        <v>0</v>
      </c>
      <c r="M59" s="123">
        <f t="shared" ca="1" si="41"/>
        <v>0</v>
      </c>
      <c r="N59" s="124">
        <f t="shared" ca="1" si="39"/>
        <v>1590000.0093877316</v>
      </c>
      <c r="O59" s="14"/>
      <c r="P59" s="17"/>
      <c r="Q59" s="57"/>
      <c r="R59" s="14"/>
      <c r="S59" s="16"/>
      <c r="T59" s="14"/>
      <c r="U59" s="14"/>
      <c r="V59" s="14"/>
      <c r="W59" s="14"/>
      <c r="X59" s="14"/>
      <c r="Y59" s="14"/>
      <c r="Z59" s="14"/>
      <c r="BE59" s="67"/>
      <c r="BF59" s="68"/>
      <c r="BG59" s="68"/>
      <c r="BH59" s="71"/>
      <c r="BI59" s="69">
        <f>INT(BI58/1000)*1000</f>
        <v>0</v>
      </c>
      <c r="BJ59" s="68"/>
      <c r="BK59" s="70"/>
      <c r="BL59" s="68"/>
      <c r="BM59" s="68"/>
      <c r="BN59" s="68"/>
      <c r="BO59" s="71"/>
      <c r="BP59" s="69">
        <f>INT(BP58/1000)*1000</f>
        <v>0</v>
      </c>
      <c r="BQ59" s="68"/>
      <c r="BR59" s="70"/>
    </row>
    <row r="60" spans="1:70" ht="18" customHeight="1">
      <c r="A60" s="14"/>
      <c r="B60" s="14"/>
      <c r="C60" s="122" t="s">
        <v>40</v>
      </c>
      <c r="D60" s="123">
        <f ca="1">D56+D59</f>
        <v>4054100.0093877316</v>
      </c>
      <c r="E60" s="123">
        <f t="shared" ref="E60:M60" ca="1" si="42">E56+E59</f>
        <v>0</v>
      </c>
      <c r="F60" s="123">
        <f t="shared" ca="1" si="42"/>
        <v>0</v>
      </c>
      <c r="G60" s="123">
        <f t="shared" ca="1" si="42"/>
        <v>0</v>
      </c>
      <c r="H60" s="123">
        <f t="shared" ca="1" si="42"/>
        <v>0</v>
      </c>
      <c r="I60" s="123">
        <f t="shared" ca="1" si="42"/>
        <v>0</v>
      </c>
      <c r="J60" s="123">
        <f t="shared" ca="1" si="42"/>
        <v>0</v>
      </c>
      <c r="K60" s="123">
        <f t="shared" ca="1" si="42"/>
        <v>0</v>
      </c>
      <c r="L60" s="123">
        <f t="shared" ca="1" si="42"/>
        <v>0</v>
      </c>
      <c r="M60" s="123">
        <f t="shared" ca="1" si="42"/>
        <v>0</v>
      </c>
      <c r="N60" s="124">
        <f t="shared" ca="1" si="39"/>
        <v>4054100.0093877316</v>
      </c>
      <c r="O60" s="72"/>
      <c r="P60" s="72"/>
      <c r="Q60" s="57"/>
      <c r="R60" s="14"/>
      <c r="S60" s="14"/>
      <c r="T60" s="14"/>
      <c r="U60" s="14"/>
      <c r="V60" s="14"/>
      <c r="W60" s="14"/>
      <c r="X60" s="14"/>
      <c r="Y60" s="14"/>
      <c r="Z60" s="14"/>
      <c r="BE60" s="67"/>
      <c r="BF60" s="68"/>
      <c r="BG60" s="68"/>
      <c r="BH60" s="71"/>
      <c r="BI60" s="69"/>
      <c r="BJ60" s="68"/>
      <c r="BK60" s="70"/>
      <c r="BL60" s="68"/>
      <c r="BM60" s="68"/>
      <c r="BN60" s="68"/>
      <c r="BO60" s="71"/>
      <c r="BP60" s="69"/>
      <c r="BQ60" s="68"/>
      <c r="BR60" s="70"/>
    </row>
    <row r="61" spans="1:70" ht="18" customHeight="1">
      <c r="A61" s="14"/>
      <c r="B61" s="14"/>
      <c r="C61" s="92" t="s">
        <v>43</v>
      </c>
      <c r="D61" s="52">
        <f t="shared" ref="D61:M61" ca="1" si="43">SUM(D38:D42)+D45+D46-D60</f>
        <v>10945899.990612268</v>
      </c>
      <c r="E61" s="52">
        <f t="shared" ca="1" si="43"/>
        <v>0</v>
      </c>
      <c r="F61" s="52">
        <f t="shared" ca="1" si="43"/>
        <v>0</v>
      </c>
      <c r="G61" s="52">
        <f t="shared" ca="1" si="43"/>
        <v>0</v>
      </c>
      <c r="H61" s="52">
        <f t="shared" ca="1" si="43"/>
        <v>0</v>
      </c>
      <c r="I61" s="52">
        <f t="shared" ca="1" si="43"/>
        <v>0</v>
      </c>
      <c r="J61" s="52">
        <f t="shared" ca="1" si="43"/>
        <v>0</v>
      </c>
      <c r="K61" s="52">
        <f t="shared" ca="1" si="43"/>
        <v>0</v>
      </c>
      <c r="L61" s="52">
        <f t="shared" ca="1" si="43"/>
        <v>0</v>
      </c>
      <c r="M61" s="52">
        <f t="shared" ca="1" si="43"/>
        <v>0</v>
      </c>
      <c r="N61" s="93">
        <f t="shared" ca="1" si="39"/>
        <v>10945899.990612268</v>
      </c>
      <c r="O61" s="17"/>
      <c r="P61" s="73"/>
      <c r="Q61" s="54"/>
      <c r="R61" s="14"/>
      <c r="S61" s="14"/>
      <c r="T61" s="14"/>
      <c r="U61" s="14"/>
      <c r="V61" s="14"/>
      <c r="W61" s="14"/>
      <c r="X61" s="14"/>
      <c r="Y61" s="14"/>
      <c r="Z61" s="14"/>
      <c r="BE61" s="67"/>
      <c r="BF61" s="68"/>
      <c r="BG61" s="68" t="s">
        <v>64</v>
      </c>
      <c r="BH61" s="71"/>
      <c r="BI61" s="69"/>
      <c r="BJ61" s="68"/>
      <c r="BK61" s="70"/>
      <c r="BL61" s="68"/>
      <c r="BM61" s="68"/>
      <c r="BN61" s="68" t="s">
        <v>64</v>
      </c>
      <c r="BO61" s="71"/>
      <c r="BP61" s="69"/>
      <c r="BQ61" s="68"/>
      <c r="BR61" s="70"/>
    </row>
    <row r="62" spans="1:70" ht="21" customHeight="1">
      <c r="C62" s="94" t="s">
        <v>45</v>
      </c>
      <c r="D62" s="53">
        <f t="shared" ref="D62:M62" ca="1" si="44">IF(D81=TRUE,D112,0)</f>
        <v>1618080.0093877316</v>
      </c>
      <c r="E62" s="53">
        <f t="shared" ca="1" si="44"/>
        <v>0</v>
      </c>
      <c r="F62" s="53">
        <f t="shared" ca="1" si="44"/>
        <v>0</v>
      </c>
      <c r="G62" s="53">
        <f t="shared" ca="1" si="44"/>
        <v>0</v>
      </c>
      <c r="H62" s="53">
        <f t="shared" ca="1" si="44"/>
        <v>0</v>
      </c>
      <c r="I62" s="53">
        <f t="shared" ca="1" si="44"/>
        <v>0</v>
      </c>
      <c r="J62" s="53">
        <f t="shared" ca="1" si="44"/>
        <v>0</v>
      </c>
      <c r="K62" s="53">
        <f t="shared" ca="1" si="44"/>
        <v>0</v>
      </c>
      <c r="L62" s="53">
        <f t="shared" ca="1" si="44"/>
        <v>0</v>
      </c>
      <c r="M62" s="53">
        <f t="shared" ca="1" si="44"/>
        <v>0</v>
      </c>
      <c r="N62" s="95">
        <f t="shared" ca="1" si="39"/>
        <v>1618080.0093877316</v>
      </c>
      <c r="O62" s="74"/>
      <c r="P62" s="74"/>
      <c r="Q62" s="75"/>
      <c r="BE62" s="67"/>
      <c r="BF62" s="68"/>
      <c r="BG62" s="68"/>
      <c r="BH62" s="71"/>
      <c r="BI62" s="69"/>
      <c r="BJ62" s="68"/>
      <c r="BK62" s="70"/>
      <c r="BL62" s="68"/>
      <c r="BM62" s="68"/>
      <c r="BN62" s="68"/>
      <c r="BO62" s="71"/>
      <c r="BP62" s="69"/>
      <c r="BQ62" s="68"/>
      <c r="BR62" s="70"/>
    </row>
    <row r="63" spans="1:70" ht="23.9" customHeight="1" thickBot="1">
      <c r="C63" s="96" t="s">
        <v>48</v>
      </c>
      <c r="D63" s="97">
        <f ca="1">D59+D62</f>
        <v>3208080.0187754631</v>
      </c>
      <c r="E63" s="97">
        <f t="shared" ref="E63:M63" ca="1" si="45">E59+E62</f>
        <v>0</v>
      </c>
      <c r="F63" s="97">
        <f t="shared" ca="1" si="45"/>
        <v>0</v>
      </c>
      <c r="G63" s="97">
        <f t="shared" ca="1" si="45"/>
        <v>0</v>
      </c>
      <c r="H63" s="97">
        <f t="shared" ca="1" si="45"/>
        <v>0</v>
      </c>
      <c r="I63" s="97">
        <f t="shared" ca="1" si="45"/>
        <v>0</v>
      </c>
      <c r="J63" s="97">
        <f t="shared" ca="1" si="45"/>
        <v>0</v>
      </c>
      <c r="K63" s="97">
        <f t="shared" ca="1" si="45"/>
        <v>0</v>
      </c>
      <c r="L63" s="97">
        <f t="shared" ca="1" si="45"/>
        <v>0</v>
      </c>
      <c r="M63" s="97">
        <f t="shared" ca="1" si="45"/>
        <v>0</v>
      </c>
      <c r="N63" s="98">
        <f ca="1">N59+N62</f>
        <v>3208080.0187754631</v>
      </c>
      <c r="O63" s="74"/>
      <c r="P63" s="18"/>
      <c r="Q63" s="75"/>
      <c r="BE63" s="67">
        <v>1</v>
      </c>
      <c r="BF63" s="68"/>
      <c r="BG63" s="68">
        <f>IF(BG49&lt;4000000,BG49,4000000)</f>
        <v>0</v>
      </c>
      <c r="BH63" s="71">
        <f>BF32</f>
        <v>3.4000000000000002E-2</v>
      </c>
      <c r="BI63" s="69">
        <f>INT((BG63*BH63)/100)*100</f>
        <v>0</v>
      </c>
      <c r="BJ63" s="68"/>
      <c r="BK63" s="70"/>
      <c r="BL63" s="68">
        <v>1</v>
      </c>
      <c r="BM63" s="68"/>
      <c r="BN63" s="68">
        <f>IF(BN49&lt;4000000,BN49,4000000)</f>
        <v>0</v>
      </c>
      <c r="BO63" s="71">
        <f>BM32</f>
        <v>3.4000000000000002E-2</v>
      </c>
      <c r="BP63" s="69">
        <f>INT((BN63*BO63)/100)*100</f>
        <v>0</v>
      </c>
      <c r="BQ63" s="68"/>
      <c r="BR63" s="70"/>
    </row>
    <row r="64" spans="1:70" s="145" customFormat="1" ht="16.399999999999999" hidden="1" customHeight="1">
      <c r="B64" s="198" t="s">
        <v>129</v>
      </c>
      <c r="C64" s="139"/>
      <c r="D64" s="144"/>
      <c r="E64" s="144"/>
      <c r="F64" s="144"/>
      <c r="G64" s="144"/>
      <c r="H64" s="144"/>
      <c r="I64" s="144"/>
      <c r="J64" s="144"/>
      <c r="K64" s="144"/>
      <c r="L64" s="144"/>
      <c r="M64" s="144"/>
      <c r="N64" s="14"/>
      <c r="O64" s="146"/>
      <c r="P64" s="147"/>
      <c r="Q64" s="148"/>
      <c r="BE64" s="149">
        <v>2</v>
      </c>
      <c r="BF64" s="150"/>
      <c r="BG64" s="150">
        <f>IF((BG49-BG63)&lt;4000000,(BG49-BG63),4000000)</f>
        <v>0</v>
      </c>
      <c r="BH64" s="151">
        <f>BF33</f>
        <v>5.0999999999999997E-2</v>
      </c>
      <c r="BI64" s="152">
        <f>INT(BG64*BH64/100)*100</f>
        <v>0</v>
      </c>
      <c r="BJ64" s="150"/>
      <c r="BK64" s="153"/>
      <c r="BL64" s="150">
        <v>2</v>
      </c>
      <c r="BM64" s="150"/>
      <c r="BN64" s="150">
        <f>IF((BN49-BN63)&lt;4000000,(BN49-BN63),4000000)</f>
        <v>0</v>
      </c>
      <c r="BO64" s="151">
        <f>BM33</f>
        <v>5.0999999999999997E-2</v>
      </c>
      <c r="BP64" s="152">
        <f>INT(BN64*BO64/100)*100</f>
        <v>0</v>
      </c>
      <c r="BQ64" s="150"/>
      <c r="BR64" s="153"/>
    </row>
    <row r="65" spans="2:70" s="145" customFormat="1" ht="16.399999999999999" hidden="1" customHeight="1">
      <c r="B65" s="198" t="s">
        <v>129</v>
      </c>
      <c r="C65" s="14"/>
      <c r="D65" s="14"/>
      <c r="E65" s="14"/>
      <c r="F65" s="14"/>
      <c r="G65" s="14"/>
      <c r="H65" s="14"/>
      <c r="I65" s="14"/>
      <c r="J65" s="14"/>
      <c r="K65" s="14"/>
      <c r="L65" s="14"/>
      <c r="M65" s="14"/>
      <c r="N65" s="1"/>
      <c r="O65" s="147"/>
      <c r="P65" s="147"/>
      <c r="BE65" s="149">
        <v>3</v>
      </c>
      <c r="BF65" s="150"/>
      <c r="BG65" s="150">
        <f>INT((BG49-BG63-BG64)/1000)*1000</f>
        <v>0</v>
      </c>
      <c r="BH65" s="151">
        <f>BF35</f>
        <v>6.7000000000000004E-2</v>
      </c>
      <c r="BI65" s="152">
        <f>INT(BG65*BH65/100)*100</f>
        <v>0</v>
      </c>
      <c r="BJ65" s="150"/>
      <c r="BK65" s="153"/>
      <c r="BL65" s="150">
        <v>3</v>
      </c>
      <c r="BM65" s="150"/>
      <c r="BN65" s="150">
        <f>INT((BN49-BN63-BN64)/1000)*1000</f>
        <v>0</v>
      </c>
      <c r="BO65" s="151">
        <f>BM35</f>
        <v>6.7000000000000004E-2</v>
      </c>
      <c r="BP65" s="152">
        <f>INT(BN65*BO65/100)*100</f>
        <v>0</v>
      </c>
      <c r="BQ65" s="150"/>
      <c r="BR65" s="153"/>
    </row>
    <row r="66" spans="2:70" s="145" customFormat="1" ht="16.399999999999999" hidden="1" customHeight="1">
      <c r="B66" s="198" t="s">
        <v>129</v>
      </c>
      <c r="C66" s="145" t="s">
        <v>65</v>
      </c>
      <c r="D66" s="14">
        <f t="shared" ref="D66:M66" ca="1" si="46">SocialInsBPTS(D39,D37)+SocialInsBPTS(D40,D37)+SocialInsBPTS(D41,D37)</f>
        <v>0</v>
      </c>
      <c r="E66" s="145">
        <f t="shared" ca="1" si="46"/>
        <v>0</v>
      </c>
      <c r="F66" s="145">
        <f t="shared" ca="1" si="46"/>
        <v>0</v>
      </c>
      <c r="G66" s="145">
        <f t="shared" ca="1" si="46"/>
        <v>0</v>
      </c>
      <c r="H66" s="145">
        <f t="shared" ca="1" si="46"/>
        <v>0</v>
      </c>
      <c r="I66" s="145">
        <f t="shared" ca="1" si="46"/>
        <v>0</v>
      </c>
      <c r="J66" s="145">
        <f t="shared" ca="1" si="46"/>
        <v>0</v>
      </c>
      <c r="K66" s="145">
        <f t="shared" ca="1" si="46"/>
        <v>0</v>
      </c>
      <c r="L66" s="145">
        <f t="shared" ca="1" si="46"/>
        <v>0</v>
      </c>
      <c r="M66" s="145">
        <f t="shared" ca="1" si="46"/>
        <v>0</v>
      </c>
      <c r="O66" s="146"/>
      <c r="P66" s="147"/>
      <c r="Q66" s="148"/>
      <c r="BE66" s="154"/>
      <c r="BF66" s="155"/>
      <c r="BG66" s="155"/>
      <c r="BH66" s="155"/>
      <c r="BI66" s="156">
        <f>SUM(BI63:BI65)</f>
        <v>0</v>
      </c>
      <c r="BJ66" s="155"/>
      <c r="BK66" s="157"/>
      <c r="BL66" s="155"/>
      <c r="BM66" s="155"/>
      <c r="BN66" s="155"/>
      <c r="BO66" s="155"/>
      <c r="BP66" s="156">
        <f>SUM(BP63:BP65)</f>
        <v>0</v>
      </c>
      <c r="BQ66" s="155"/>
      <c r="BR66" s="157"/>
    </row>
    <row r="67" spans="2:70" s="145" customFormat="1" ht="16.399999999999999" hidden="1" customHeight="1">
      <c r="B67" s="197" t="s">
        <v>128</v>
      </c>
      <c r="C67" s="145" t="s">
        <v>66</v>
      </c>
      <c r="D67" s="14">
        <f t="shared" ref="D67:M67" ca="1" si="47">SocialInsBTS(D68,D37)</f>
        <v>0</v>
      </c>
      <c r="E67" s="14">
        <f t="shared" ca="1" si="47"/>
        <v>0</v>
      </c>
      <c r="F67" s="14">
        <f t="shared" ca="1" si="47"/>
        <v>0</v>
      </c>
      <c r="G67" s="14">
        <f t="shared" ca="1" si="47"/>
        <v>0</v>
      </c>
      <c r="H67" s="14">
        <f t="shared" ca="1" si="47"/>
        <v>0</v>
      </c>
      <c r="I67" s="14">
        <f t="shared" ca="1" si="47"/>
        <v>0</v>
      </c>
      <c r="J67" s="14">
        <f t="shared" ca="1" si="47"/>
        <v>0</v>
      </c>
      <c r="K67" s="14">
        <f t="shared" ca="1" si="47"/>
        <v>0</v>
      </c>
      <c r="L67" s="14">
        <f t="shared" ca="1" si="47"/>
        <v>0</v>
      </c>
      <c r="M67" s="14">
        <f t="shared" ca="1" si="47"/>
        <v>0</v>
      </c>
      <c r="BE67" s="154"/>
      <c r="BF67" s="155"/>
      <c r="BG67" s="155"/>
      <c r="BH67" s="155"/>
      <c r="BI67" s="156"/>
      <c r="BJ67" s="155"/>
      <c r="BK67" s="157"/>
      <c r="BL67" s="154"/>
      <c r="BM67" s="155"/>
      <c r="BN67" s="155"/>
      <c r="BO67" s="155"/>
      <c r="BP67" s="156"/>
      <c r="BQ67" s="155"/>
      <c r="BR67" s="157"/>
    </row>
    <row r="68" spans="2:70" s="145" customFormat="1" ht="15" hidden="1" customHeight="1">
      <c r="B68" s="197" t="s">
        <v>128</v>
      </c>
      <c r="C68" s="145" t="s">
        <v>67</v>
      </c>
      <c r="D68" s="14">
        <f t="shared" ref="D68:M68" si="48">D39+D40+D41</f>
        <v>0</v>
      </c>
      <c r="E68" s="145">
        <f t="shared" si="48"/>
        <v>0</v>
      </c>
      <c r="F68" s="145">
        <f t="shared" si="48"/>
        <v>0</v>
      </c>
      <c r="G68" s="145">
        <f t="shared" si="48"/>
        <v>0</v>
      </c>
      <c r="H68" s="145">
        <f t="shared" si="48"/>
        <v>0</v>
      </c>
      <c r="I68" s="145">
        <f t="shared" si="48"/>
        <v>0</v>
      </c>
      <c r="J68" s="145">
        <f t="shared" si="48"/>
        <v>0</v>
      </c>
      <c r="K68" s="145">
        <f t="shared" si="48"/>
        <v>0</v>
      </c>
      <c r="L68" s="145">
        <f t="shared" si="48"/>
        <v>0</v>
      </c>
      <c r="M68" s="145">
        <f t="shared" si="48"/>
        <v>0</v>
      </c>
    </row>
    <row r="69" spans="2:70" s="145" customFormat="1" ht="15" hidden="1" customHeight="1">
      <c r="B69" s="196" t="s">
        <v>127</v>
      </c>
      <c r="C69" s="145" t="s">
        <v>112</v>
      </c>
      <c r="D69" s="145">
        <f t="shared" ref="D69:M69" ca="1" si="49">health(D70/12,D7)*12</f>
        <v>876300.01589655876</v>
      </c>
      <c r="E69" s="145">
        <f t="shared" ca="1" si="49"/>
        <v>0</v>
      </c>
      <c r="F69" s="145">
        <f t="shared" ca="1" si="49"/>
        <v>0</v>
      </c>
      <c r="G69" s="145">
        <f t="shared" ca="1" si="49"/>
        <v>0</v>
      </c>
      <c r="H69" s="145">
        <f t="shared" ca="1" si="49"/>
        <v>0</v>
      </c>
      <c r="I69" s="145">
        <f t="shared" ca="1" si="49"/>
        <v>0</v>
      </c>
      <c r="J69" s="145">
        <f t="shared" ca="1" si="49"/>
        <v>0</v>
      </c>
      <c r="K69" s="145">
        <f t="shared" ca="1" si="49"/>
        <v>0</v>
      </c>
      <c r="L69" s="145">
        <f t="shared" ca="1" si="49"/>
        <v>0</v>
      </c>
      <c r="M69" s="145">
        <f t="shared" ca="1" si="49"/>
        <v>0</v>
      </c>
    </row>
    <row r="70" spans="2:70" s="145" customFormat="1" ht="15" hidden="1" customHeight="1">
      <c r="B70" s="196" t="s">
        <v>127</v>
      </c>
      <c r="C70" s="145" t="s">
        <v>126</v>
      </c>
      <c r="D70" s="14">
        <f>IF($D$77=TRUE,D117+D119,D117)</f>
        <v>15000000</v>
      </c>
      <c r="E70" s="14">
        <f>E117</f>
        <v>0</v>
      </c>
      <c r="F70" s="14">
        <f t="shared" ref="F70:M70" si="50">F117</f>
        <v>0</v>
      </c>
      <c r="G70" s="14">
        <f t="shared" si="50"/>
        <v>0</v>
      </c>
      <c r="H70" s="14">
        <f t="shared" si="50"/>
        <v>0</v>
      </c>
      <c r="I70" s="14">
        <f t="shared" si="50"/>
        <v>0</v>
      </c>
      <c r="J70" s="14">
        <f t="shared" si="50"/>
        <v>0</v>
      </c>
      <c r="K70" s="14">
        <f t="shared" si="50"/>
        <v>0</v>
      </c>
      <c r="L70" s="14">
        <f t="shared" si="50"/>
        <v>0</v>
      </c>
      <c r="M70" s="14">
        <f t="shared" si="50"/>
        <v>0</v>
      </c>
    </row>
    <row r="71" spans="2:70" s="145" customFormat="1" ht="15" hidden="1" customHeight="1">
      <c r="B71" s="196" t="s">
        <v>127</v>
      </c>
      <c r="C71" s="145" t="s">
        <v>109</v>
      </c>
      <c r="D71" s="271" t="b">
        <v>1</v>
      </c>
      <c r="E71" s="158" t="b">
        <v>1</v>
      </c>
      <c r="F71" s="158" t="b">
        <v>1</v>
      </c>
      <c r="G71" s="158" t="b">
        <v>1</v>
      </c>
      <c r="H71" s="158" t="b">
        <v>1</v>
      </c>
      <c r="I71" s="158" t="b">
        <v>1</v>
      </c>
      <c r="J71" s="158" t="b">
        <v>1</v>
      </c>
      <c r="K71" s="158" t="b">
        <v>1</v>
      </c>
      <c r="L71" s="158" t="b">
        <v>1</v>
      </c>
      <c r="M71" s="158" t="b">
        <v>1</v>
      </c>
    </row>
    <row r="72" spans="2:70" s="145" customFormat="1" ht="15" hidden="1" customHeight="1">
      <c r="B72" s="196" t="s">
        <v>184</v>
      </c>
      <c r="C72" s="145" t="s">
        <v>111</v>
      </c>
      <c r="D72" s="14">
        <f t="shared" ref="D72:M72" ca="1" si="51">health(D73/12,D7)*12</f>
        <v>676200.01226663589</v>
      </c>
      <c r="E72" s="145">
        <f t="shared" ca="1" si="51"/>
        <v>0</v>
      </c>
      <c r="F72" s="145">
        <f t="shared" ca="1" si="51"/>
        <v>0</v>
      </c>
      <c r="G72" s="145">
        <f t="shared" ca="1" si="51"/>
        <v>0</v>
      </c>
      <c r="H72" s="145">
        <f t="shared" ca="1" si="51"/>
        <v>0</v>
      </c>
      <c r="I72" s="145">
        <f t="shared" ca="1" si="51"/>
        <v>0</v>
      </c>
      <c r="J72" s="145">
        <f t="shared" ca="1" si="51"/>
        <v>0</v>
      </c>
      <c r="K72" s="145">
        <f t="shared" ca="1" si="51"/>
        <v>0</v>
      </c>
      <c r="L72" s="145">
        <f t="shared" ca="1" si="51"/>
        <v>0</v>
      </c>
      <c r="M72" s="145">
        <f t="shared" ca="1" si="51"/>
        <v>0</v>
      </c>
      <c r="O72" s="163"/>
      <c r="P72" s="164"/>
    </row>
    <row r="73" spans="2:70" s="145" customFormat="1" ht="15" hidden="1" customHeight="1">
      <c r="B73" s="196" t="s">
        <v>184</v>
      </c>
      <c r="C73" s="145" t="s">
        <v>125</v>
      </c>
      <c r="D73" s="14">
        <f>IF($D$77=TRUE,D116+D118,D116)</f>
        <v>12000000</v>
      </c>
      <c r="E73" s="14">
        <f>E116</f>
        <v>0</v>
      </c>
      <c r="F73" s="14">
        <f t="shared" ref="F73:M73" si="52">F116</f>
        <v>0</v>
      </c>
      <c r="G73" s="14">
        <f t="shared" si="52"/>
        <v>0</v>
      </c>
      <c r="H73" s="14">
        <f t="shared" si="52"/>
        <v>0</v>
      </c>
      <c r="I73" s="14">
        <f t="shared" si="52"/>
        <v>0</v>
      </c>
      <c r="J73" s="14">
        <f t="shared" si="52"/>
        <v>0</v>
      </c>
      <c r="K73" s="14">
        <f t="shared" si="52"/>
        <v>0</v>
      </c>
      <c r="L73" s="14">
        <f t="shared" si="52"/>
        <v>0</v>
      </c>
      <c r="M73" s="14">
        <f t="shared" si="52"/>
        <v>0</v>
      </c>
      <c r="O73" s="165"/>
      <c r="P73" s="165"/>
    </row>
    <row r="74" spans="2:70" s="145" customFormat="1" ht="15" hidden="1" customHeight="1">
      <c r="B74" s="196" t="s">
        <v>184</v>
      </c>
      <c r="C74" s="145" t="s">
        <v>65</v>
      </c>
      <c r="D74" s="272">
        <f t="shared" ref="D74:M74" ca="1" si="53">SocialInsBPTS(D9,D7)+SocialInsBPTS(D10,D7)+SocialInsBPTS(D11,D7)</f>
        <v>0</v>
      </c>
      <c r="E74" s="272">
        <f t="shared" ca="1" si="53"/>
        <v>0</v>
      </c>
      <c r="F74" s="272">
        <f t="shared" ca="1" si="53"/>
        <v>0</v>
      </c>
      <c r="G74" s="272">
        <f t="shared" ca="1" si="53"/>
        <v>0</v>
      </c>
      <c r="H74" s="272">
        <f t="shared" ca="1" si="53"/>
        <v>0</v>
      </c>
      <c r="I74" s="272">
        <f t="shared" ca="1" si="53"/>
        <v>0</v>
      </c>
      <c r="J74" s="272">
        <f t="shared" ca="1" si="53"/>
        <v>0</v>
      </c>
      <c r="K74" s="272">
        <f t="shared" ca="1" si="53"/>
        <v>0</v>
      </c>
      <c r="L74" s="272">
        <f t="shared" ca="1" si="53"/>
        <v>0</v>
      </c>
      <c r="M74" s="272">
        <f t="shared" ca="1" si="53"/>
        <v>0</v>
      </c>
      <c r="N74" s="270"/>
      <c r="O74" s="162"/>
      <c r="P74" s="162"/>
    </row>
    <row r="75" spans="2:70" ht="19.5" hidden="1" customHeight="1">
      <c r="B75" s="138"/>
      <c r="C75" s="145" t="s">
        <v>66</v>
      </c>
      <c r="D75" s="273">
        <f t="shared" ref="D75:M75" ca="1" si="54">SocialInsBTS(D76,D7)</f>
        <v>0</v>
      </c>
      <c r="E75" s="273">
        <f t="shared" ca="1" si="54"/>
        <v>0</v>
      </c>
      <c r="F75" s="273">
        <f t="shared" ca="1" si="54"/>
        <v>0</v>
      </c>
      <c r="G75" s="273">
        <f t="shared" ca="1" si="54"/>
        <v>0</v>
      </c>
      <c r="H75" s="273">
        <f t="shared" ca="1" si="54"/>
        <v>0</v>
      </c>
      <c r="I75" s="273">
        <f t="shared" ca="1" si="54"/>
        <v>0</v>
      </c>
      <c r="J75" s="273">
        <f t="shared" ca="1" si="54"/>
        <v>0</v>
      </c>
      <c r="K75" s="273">
        <f t="shared" ca="1" si="54"/>
        <v>0</v>
      </c>
      <c r="L75" s="273">
        <f t="shared" ca="1" si="54"/>
        <v>0</v>
      </c>
      <c r="M75" s="273">
        <f t="shared" ca="1" si="54"/>
        <v>0</v>
      </c>
      <c r="N75" s="165"/>
      <c r="O75" s="76"/>
      <c r="P75" s="76"/>
    </row>
    <row r="76" spans="2:70" ht="17.25" hidden="1" customHeight="1">
      <c r="B76" s="196" t="s">
        <v>127</v>
      </c>
      <c r="C76" s="162" t="s">
        <v>67</v>
      </c>
      <c r="D76" s="144">
        <f t="shared" ref="D76:M76" si="55">D9+D10+D11</f>
        <v>0</v>
      </c>
      <c r="E76" s="144">
        <f t="shared" si="55"/>
        <v>0</v>
      </c>
      <c r="F76" s="144">
        <f t="shared" si="55"/>
        <v>0</v>
      </c>
      <c r="G76" s="144">
        <f t="shared" si="55"/>
        <v>0</v>
      </c>
      <c r="H76" s="144">
        <f t="shared" si="55"/>
        <v>0</v>
      </c>
      <c r="I76" s="144">
        <f t="shared" si="55"/>
        <v>0</v>
      </c>
      <c r="J76" s="144">
        <f t="shared" si="55"/>
        <v>0</v>
      </c>
      <c r="K76" s="144">
        <f t="shared" si="55"/>
        <v>0</v>
      </c>
      <c r="L76" s="144">
        <f t="shared" si="55"/>
        <v>0</v>
      </c>
      <c r="M76" s="144">
        <f t="shared" si="55"/>
        <v>0</v>
      </c>
      <c r="N76" s="162"/>
      <c r="O76" s="76"/>
      <c r="P76" s="76"/>
    </row>
    <row r="77" spans="2:70" ht="17.25" hidden="1" customHeight="1">
      <c r="B77" s="197" t="s">
        <v>128</v>
      </c>
      <c r="C77" s="79" t="s">
        <v>197</v>
      </c>
      <c r="D77" s="292" t="b">
        <v>0</v>
      </c>
      <c r="E77" s="106"/>
      <c r="F77" s="106"/>
      <c r="G77" s="106"/>
      <c r="H77" s="106"/>
      <c r="I77" s="106"/>
      <c r="J77" s="106"/>
      <c r="K77" s="106"/>
      <c r="L77" s="106"/>
      <c r="M77" s="106"/>
      <c r="N77" s="76"/>
    </row>
    <row r="78" spans="2:70" ht="17.25" hidden="1" customHeight="1">
      <c r="C78" s="159" t="s">
        <v>72</v>
      </c>
      <c r="D78" s="272">
        <f t="shared" ref="D78:M78" ca="1" si="56">pension(D73/12,D7)*12</f>
        <v>713699.99349117279</v>
      </c>
      <c r="E78" s="106">
        <f t="shared" ca="1" si="56"/>
        <v>0</v>
      </c>
      <c r="F78" s="106">
        <f t="shared" ca="1" si="56"/>
        <v>0</v>
      </c>
      <c r="G78" s="106">
        <f t="shared" ca="1" si="56"/>
        <v>0</v>
      </c>
      <c r="H78" s="106">
        <f t="shared" ca="1" si="56"/>
        <v>0</v>
      </c>
      <c r="I78" s="106">
        <f t="shared" ca="1" si="56"/>
        <v>0</v>
      </c>
      <c r="J78" s="106">
        <f t="shared" ca="1" si="56"/>
        <v>0</v>
      </c>
      <c r="K78" s="106">
        <f t="shared" ca="1" si="56"/>
        <v>0</v>
      </c>
      <c r="L78" s="106">
        <f t="shared" ca="1" si="56"/>
        <v>0</v>
      </c>
      <c r="M78" s="106">
        <f t="shared" ca="1" si="56"/>
        <v>0</v>
      </c>
      <c r="N78" s="76"/>
    </row>
    <row r="79" spans="2:70" ht="17.25" hidden="1" customHeight="1">
      <c r="B79" s="197" t="s">
        <v>128</v>
      </c>
      <c r="C79" s="137" t="s">
        <v>73</v>
      </c>
      <c r="D79" s="272">
        <f t="shared" ref="D79:M79" ca="1" si="57">pension(D70/12,D7)*12</f>
        <v>713699.99349117279</v>
      </c>
      <c r="E79" s="106">
        <f t="shared" ca="1" si="57"/>
        <v>0</v>
      </c>
      <c r="F79" s="106">
        <f t="shared" ca="1" si="57"/>
        <v>0</v>
      </c>
      <c r="G79" s="106">
        <f t="shared" ca="1" si="57"/>
        <v>0</v>
      </c>
      <c r="H79" s="106">
        <f t="shared" ca="1" si="57"/>
        <v>0</v>
      </c>
      <c r="I79" s="106">
        <f t="shared" ca="1" si="57"/>
        <v>0</v>
      </c>
      <c r="J79" s="106">
        <f t="shared" ca="1" si="57"/>
        <v>0</v>
      </c>
      <c r="K79" s="106">
        <f t="shared" ca="1" si="57"/>
        <v>0</v>
      </c>
      <c r="L79" s="106">
        <f t="shared" ca="1" si="57"/>
        <v>0</v>
      </c>
      <c r="M79" s="106">
        <f t="shared" ca="1" si="57"/>
        <v>0</v>
      </c>
      <c r="O79" s="12"/>
      <c r="P79" s="12"/>
    </row>
    <row r="80" spans="2:70" ht="17.25" hidden="1" customHeight="1">
      <c r="C80" s="137"/>
      <c r="D80" s="144"/>
      <c r="E80" s="107"/>
      <c r="F80" s="107"/>
      <c r="G80" s="107"/>
      <c r="H80" s="107"/>
      <c r="I80" s="107"/>
      <c r="J80" s="107"/>
      <c r="K80" s="107"/>
      <c r="L80" s="107"/>
      <c r="M80" s="107"/>
    </row>
    <row r="81" spans="1:16" ht="17.25" hidden="1" customHeight="1">
      <c r="C81" s="137" t="s">
        <v>110</v>
      </c>
      <c r="D81" s="271" t="b">
        <v>1</v>
      </c>
      <c r="E81" s="125" t="b">
        <v>1</v>
      </c>
      <c r="F81" s="125" t="b">
        <v>1</v>
      </c>
      <c r="G81" s="125" t="b">
        <v>1</v>
      </c>
      <c r="H81" s="125" t="b">
        <v>1</v>
      </c>
      <c r="I81" s="125" t="b">
        <v>1</v>
      </c>
      <c r="J81" s="125" t="b">
        <v>1</v>
      </c>
      <c r="K81" s="125" t="b">
        <v>1</v>
      </c>
      <c r="L81" s="125" t="b">
        <v>1</v>
      </c>
      <c r="M81" s="125" t="b">
        <v>1</v>
      </c>
      <c r="N81" s="12"/>
    </row>
    <row r="82" spans="1:16" ht="17.25" hidden="1" customHeight="1">
      <c r="D82" s="14"/>
      <c r="E82" s="107"/>
      <c r="F82" s="107"/>
      <c r="G82" s="107"/>
      <c r="H82" s="107"/>
      <c r="I82" s="107"/>
      <c r="J82" s="107"/>
      <c r="K82" s="107"/>
      <c r="L82" s="107"/>
      <c r="M82" s="107"/>
    </row>
    <row r="83" spans="1:16" ht="17.25" hidden="1" customHeight="1">
      <c r="D83" s="14"/>
      <c r="E83" s="107"/>
      <c r="F83" s="107"/>
      <c r="G83" s="107"/>
      <c r="H83" s="107"/>
      <c r="I83" s="107"/>
      <c r="J83" s="107"/>
      <c r="K83" s="107"/>
      <c r="L83" s="107"/>
      <c r="M83" s="107"/>
    </row>
    <row r="84" spans="1:16" ht="17.25" hidden="1" customHeight="1">
      <c r="A84" s="140"/>
      <c r="B84" s="140"/>
      <c r="C84" s="137" t="s">
        <v>90</v>
      </c>
      <c r="D84" s="271" t="b">
        <v>1</v>
      </c>
      <c r="E84" s="125" t="b">
        <v>1</v>
      </c>
      <c r="F84" s="125" t="b">
        <v>1</v>
      </c>
      <c r="G84" s="161" t="b">
        <v>1</v>
      </c>
      <c r="H84" s="125" t="b">
        <v>1</v>
      </c>
      <c r="I84" s="125" t="b">
        <v>1</v>
      </c>
      <c r="J84" s="125" t="b">
        <v>1</v>
      </c>
      <c r="K84" s="125" t="b">
        <v>1</v>
      </c>
      <c r="L84" s="125" t="b">
        <v>1</v>
      </c>
      <c r="M84" s="125" t="b">
        <v>1</v>
      </c>
    </row>
    <row r="85" spans="1:16" ht="17.25" hidden="1" customHeight="1">
      <c r="A85" s="140"/>
      <c r="B85" s="140"/>
      <c r="C85" s="137"/>
      <c r="D85" s="271"/>
      <c r="E85" s="125"/>
      <c r="F85" s="125"/>
      <c r="G85" s="161"/>
      <c r="H85" s="125"/>
      <c r="I85" s="125"/>
      <c r="J85" s="125"/>
      <c r="K85" s="125"/>
      <c r="L85" s="125"/>
      <c r="M85" s="125"/>
    </row>
    <row r="86" spans="1:16" ht="19.5" hidden="1" customHeight="1">
      <c r="A86" s="140" t="s">
        <v>93</v>
      </c>
      <c r="B86" s="140"/>
      <c r="C86" s="137"/>
      <c r="D86" s="14">
        <f ca="1">D14+D15+D16</f>
        <v>9900000</v>
      </c>
      <c r="E86" s="14">
        <f t="shared" ref="E86:M86" ca="1" si="58">E14+E15+E16</f>
        <v>0</v>
      </c>
      <c r="F86" s="14">
        <f t="shared" ca="1" si="58"/>
        <v>0</v>
      </c>
      <c r="G86" s="14">
        <f t="shared" ca="1" si="58"/>
        <v>0</v>
      </c>
      <c r="H86" s="14">
        <f t="shared" ca="1" si="58"/>
        <v>0</v>
      </c>
      <c r="I86" s="14">
        <f t="shared" ca="1" si="58"/>
        <v>0</v>
      </c>
      <c r="J86" s="14">
        <f t="shared" ca="1" si="58"/>
        <v>0</v>
      </c>
      <c r="K86" s="14">
        <f t="shared" ca="1" si="58"/>
        <v>0</v>
      </c>
      <c r="L86" s="14">
        <f t="shared" ca="1" si="58"/>
        <v>0</v>
      </c>
      <c r="M86" s="14">
        <f t="shared" ca="1" si="58"/>
        <v>0</v>
      </c>
    </row>
    <row r="87" spans="1:16" ht="17.25" hidden="1" customHeight="1">
      <c r="A87" s="140" t="s">
        <v>92</v>
      </c>
      <c r="B87" s="140"/>
      <c r="C87" s="139">
        <v>0</v>
      </c>
      <c r="D87" s="14">
        <v>950000</v>
      </c>
      <c r="E87" s="14"/>
      <c r="F87" s="14"/>
      <c r="G87" s="14"/>
      <c r="H87" s="14"/>
      <c r="I87" s="14"/>
      <c r="J87" s="14"/>
      <c r="K87" s="14"/>
      <c r="L87" s="14"/>
      <c r="M87" s="14"/>
    </row>
    <row r="88" spans="1:16" ht="17.25" hidden="1" customHeight="1">
      <c r="A88" s="140"/>
      <c r="B88" s="140"/>
      <c r="C88" s="139">
        <v>1320001</v>
      </c>
      <c r="D88" s="14">
        <v>880000</v>
      </c>
      <c r="E88" s="14"/>
      <c r="F88" s="14"/>
      <c r="G88" s="14"/>
      <c r="H88" s="14"/>
      <c r="I88" s="14"/>
      <c r="J88" s="14"/>
      <c r="K88" s="14"/>
      <c r="L88" s="14"/>
      <c r="M88" s="14"/>
    </row>
    <row r="89" spans="1:16" ht="17.25" hidden="1" customHeight="1">
      <c r="A89" s="140"/>
      <c r="B89" s="140"/>
      <c r="C89" s="139">
        <v>3360000</v>
      </c>
      <c r="D89" s="14">
        <v>680000</v>
      </c>
      <c r="E89" s="14"/>
      <c r="F89" s="14"/>
      <c r="G89" s="14"/>
      <c r="H89" s="14"/>
      <c r="I89" s="14"/>
      <c r="J89" s="14"/>
      <c r="K89" s="14"/>
      <c r="L89" s="14"/>
      <c r="M89" s="14"/>
    </row>
    <row r="90" spans="1:16" ht="18.75" hidden="1" customHeight="1">
      <c r="A90" s="140"/>
      <c r="B90" s="140"/>
      <c r="C90" s="139">
        <v>4890001</v>
      </c>
      <c r="D90" s="14">
        <v>630000</v>
      </c>
      <c r="E90" s="14"/>
      <c r="F90" s="14"/>
      <c r="G90" s="14"/>
      <c r="H90" s="14"/>
      <c r="I90" s="14"/>
      <c r="J90" s="14"/>
      <c r="K90" s="14"/>
      <c r="L90" s="14"/>
      <c r="M90" s="14"/>
    </row>
    <row r="91" spans="1:16" ht="18.75" hidden="1" customHeight="1">
      <c r="A91" s="140"/>
      <c r="B91" s="140"/>
      <c r="C91" s="139">
        <v>6550001</v>
      </c>
      <c r="D91" s="14">
        <v>580000</v>
      </c>
      <c r="E91" s="14"/>
      <c r="F91" s="14"/>
      <c r="G91" s="14"/>
      <c r="H91" s="14"/>
      <c r="I91" s="14"/>
      <c r="J91" s="14"/>
      <c r="K91" s="14"/>
      <c r="L91" s="14"/>
      <c r="M91" s="14"/>
    </row>
    <row r="92" spans="1:16" ht="18.75" hidden="1" customHeight="1">
      <c r="A92" s="140"/>
      <c r="B92" s="140"/>
      <c r="C92" s="139">
        <v>23500001</v>
      </c>
      <c r="D92" s="14">
        <v>580000</v>
      </c>
      <c r="E92" s="140">
        <f t="shared" ref="E92:M92" ca="1" si="59">E44+E45+E46</f>
        <v>0</v>
      </c>
      <c r="F92" s="140">
        <f t="shared" ca="1" si="59"/>
        <v>0</v>
      </c>
      <c r="G92" s="140">
        <f t="shared" ca="1" si="59"/>
        <v>0</v>
      </c>
      <c r="H92" s="140">
        <f t="shared" ca="1" si="59"/>
        <v>0</v>
      </c>
      <c r="I92" s="140">
        <f t="shared" ca="1" si="59"/>
        <v>0</v>
      </c>
      <c r="J92" s="140">
        <f t="shared" ca="1" si="59"/>
        <v>0</v>
      </c>
      <c r="K92" s="140">
        <f t="shared" ca="1" si="59"/>
        <v>0</v>
      </c>
      <c r="L92" s="140">
        <f t="shared" ca="1" si="59"/>
        <v>0</v>
      </c>
      <c r="M92" s="140">
        <f t="shared" ca="1" si="59"/>
        <v>0</v>
      </c>
      <c r="O92" s="139"/>
      <c r="P92" s="139"/>
    </row>
    <row r="93" spans="1:16" ht="22.5" hidden="1">
      <c r="C93" s="14">
        <v>24000001</v>
      </c>
      <c r="D93" s="14">
        <v>320000</v>
      </c>
      <c r="E93" s="107"/>
      <c r="F93" s="107"/>
      <c r="G93" s="107"/>
      <c r="H93" s="107"/>
      <c r="I93" s="107"/>
      <c r="J93" s="107"/>
      <c r="K93" s="107"/>
      <c r="L93" s="107"/>
      <c r="M93" s="107"/>
      <c r="O93" s="139"/>
      <c r="P93" s="139"/>
    </row>
    <row r="94" spans="1:16" ht="22.5" hidden="1">
      <c r="C94" s="14">
        <v>24500001</v>
      </c>
      <c r="D94" s="14">
        <v>160000</v>
      </c>
      <c r="E94" s="107"/>
      <c r="F94" s="107"/>
      <c r="G94" s="107"/>
      <c r="H94" s="107"/>
      <c r="I94" s="107"/>
      <c r="J94" s="107"/>
      <c r="K94" s="107"/>
      <c r="L94" s="107"/>
      <c r="M94" s="107"/>
      <c r="O94" s="139"/>
      <c r="P94" s="139"/>
    </row>
    <row r="95" spans="1:16" ht="22.5" hidden="1">
      <c r="C95" s="14">
        <v>25000001</v>
      </c>
      <c r="D95" s="14">
        <v>0</v>
      </c>
      <c r="E95" s="107"/>
      <c r="F95" s="107"/>
      <c r="G95" s="107"/>
      <c r="H95" s="107"/>
      <c r="I95" s="107"/>
      <c r="J95" s="107"/>
      <c r="K95" s="107"/>
      <c r="L95" s="107"/>
      <c r="M95" s="107"/>
      <c r="O95" s="139"/>
      <c r="P95" s="139"/>
    </row>
    <row r="96" spans="1:16" ht="19" hidden="1">
      <c r="A96" s="140" t="s">
        <v>94</v>
      </c>
      <c r="B96" s="140"/>
      <c r="C96" s="140"/>
      <c r="D96" s="14">
        <f ca="1">D44+D45+D46</f>
        <v>12900000</v>
      </c>
      <c r="E96" s="14">
        <f t="shared" ref="E96:M96" ca="1" si="60">E44+E45+E46</f>
        <v>0</v>
      </c>
      <c r="F96" s="14">
        <f t="shared" ca="1" si="60"/>
        <v>0</v>
      </c>
      <c r="G96" s="14">
        <f t="shared" ca="1" si="60"/>
        <v>0</v>
      </c>
      <c r="H96" s="14">
        <f t="shared" ca="1" si="60"/>
        <v>0</v>
      </c>
      <c r="I96" s="14">
        <f t="shared" ca="1" si="60"/>
        <v>0</v>
      </c>
      <c r="J96" s="14">
        <f t="shared" ca="1" si="60"/>
        <v>0</v>
      </c>
      <c r="K96" s="14">
        <f t="shared" ca="1" si="60"/>
        <v>0</v>
      </c>
      <c r="L96" s="14">
        <f t="shared" ca="1" si="60"/>
        <v>0</v>
      </c>
      <c r="M96" s="14">
        <f t="shared" ca="1" si="60"/>
        <v>0</v>
      </c>
      <c r="O96" s="139"/>
      <c r="P96" s="139"/>
    </row>
    <row r="97" spans="1:16" ht="22.5" hidden="1">
      <c r="A97" s="139"/>
      <c r="B97" s="139"/>
      <c r="D97" s="107"/>
      <c r="E97" s="107"/>
      <c r="F97" s="107"/>
      <c r="G97" s="107"/>
      <c r="H97" s="107"/>
      <c r="I97" s="107"/>
      <c r="J97" s="107"/>
      <c r="K97" s="107"/>
      <c r="L97" s="107"/>
      <c r="M97" s="107"/>
      <c r="O97" s="139"/>
      <c r="P97" s="139"/>
    </row>
    <row r="98" spans="1:16" ht="19" hidden="1">
      <c r="A98" s="139"/>
      <c r="B98" s="139"/>
      <c r="C98" s="139"/>
      <c r="D98" s="139"/>
      <c r="E98" s="139"/>
      <c r="F98" s="139"/>
      <c r="G98" s="139"/>
      <c r="H98" s="141"/>
      <c r="I98" s="139"/>
      <c r="J98" s="139"/>
      <c r="K98" s="142"/>
      <c r="L98" s="139"/>
      <c r="M98" s="139"/>
      <c r="N98" s="139"/>
      <c r="O98" s="139"/>
      <c r="P98" s="139"/>
    </row>
    <row r="99" spans="1:16" ht="19" hidden="1">
      <c r="A99" s="143"/>
      <c r="B99" s="139"/>
      <c r="C99" s="139" t="s">
        <v>99</v>
      </c>
      <c r="D99" s="139">
        <f ca="1">IF((D102+D103)&lt;=10000000,D103*0.1,IF(D102&gt;=10000000,D103*0.05,IF(D103&lt;=(10000000-D102),D103*0.1,(10000000-D102)*0.1+(D103-(10000000-D102))*0.05)))</f>
        <v>0</v>
      </c>
      <c r="E99" s="139">
        <f t="shared" ref="E99:M99" ca="1" si="61">IF((E102+E103)&lt;=10000000,E103*0.1,IF(E102&gt;=10000000,E103*0.05,IF(E103&lt;=(10000000-E102),E103*0.1,(10000000-E102)*0.1+(E103-(10000000-E102))*0.05)))</f>
        <v>0</v>
      </c>
      <c r="F99" s="139">
        <f t="shared" ca="1" si="61"/>
        <v>0</v>
      </c>
      <c r="G99" s="139">
        <f t="shared" ca="1" si="61"/>
        <v>0</v>
      </c>
      <c r="H99" s="139">
        <f t="shared" ca="1" si="61"/>
        <v>0</v>
      </c>
      <c r="I99" s="139">
        <f t="shared" ca="1" si="61"/>
        <v>0</v>
      </c>
      <c r="J99" s="139">
        <f t="shared" ca="1" si="61"/>
        <v>0</v>
      </c>
      <c r="K99" s="139">
        <f t="shared" ca="1" si="61"/>
        <v>0</v>
      </c>
      <c r="L99" s="139">
        <f t="shared" ca="1" si="61"/>
        <v>0</v>
      </c>
      <c r="M99" s="139">
        <f t="shared" ca="1" si="61"/>
        <v>0</v>
      </c>
      <c r="N99" s="139"/>
      <c r="O99" s="139"/>
      <c r="P99" s="139"/>
    </row>
    <row r="100" spans="1:16" ht="21.65" hidden="1" customHeight="1">
      <c r="A100" s="143"/>
      <c r="B100" s="138"/>
      <c r="C100" s="139" t="s">
        <v>100</v>
      </c>
      <c r="D100" s="139">
        <f ca="1">IF((D102+D103)&lt;=10000000,D103*0.028,IF(D102&gt;=10000000,D103*0.014,IF(D103&lt;=(10000000-D102),D103*0.028,(10000000-D102)*0.028+(D103-(10000000-D102))*0.014)))</f>
        <v>0</v>
      </c>
      <c r="E100" s="139">
        <f t="shared" ref="E100:M100" ca="1" si="62">IF((E102+E103)&lt;=10000000,E103*0.028,IF(E102&gt;=10000000,E103*0.014,IF(E103&lt;=(10000000-E102),E103*0.028,(10000000-E102)*0.028+(E103-(10000000-E102))*0.014)))</f>
        <v>0</v>
      </c>
      <c r="F100" s="139">
        <f t="shared" ca="1" si="62"/>
        <v>0</v>
      </c>
      <c r="G100" s="139">
        <f t="shared" ca="1" si="62"/>
        <v>0</v>
      </c>
      <c r="H100" s="139">
        <f t="shared" ca="1" si="62"/>
        <v>0</v>
      </c>
      <c r="I100" s="139">
        <f t="shared" ca="1" si="62"/>
        <v>0</v>
      </c>
      <c r="J100" s="139">
        <f t="shared" ca="1" si="62"/>
        <v>0</v>
      </c>
      <c r="K100" s="139">
        <f t="shared" ca="1" si="62"/>
        <v>0</v>
      </c>
      <c r="L100" s="139">
        <f t="shared" ca="1" si="62"/>
        <v>0</v>
      </c>
      <c r="M100" s="139">
        <f t="shared" ca="1" si="62"/>
        <v>0</v>
      </c>
      <c r="N100" s="139"/>
      <c r="O100" s="14"/>
      <c r="P100" s="14"/>
    </row>
    <row r="101" spans="1:16" ht="19" hidden="1">
      <c r="A101" s="139"/>
      <c r="B101" s="138"/>
      <c r="C101" s="139"/>
      <c r="D101" s="139"/>
      <c r="E101" s="139"/>
      <c r="F101" s="139"/>
      <c r="G101" s="139"/>
      <c r="H101" s="139"/>
      <c r="I101" s="139"/>
      <c r="J101" s="139"/>
      <c r="K101" s="139"/>
      <c r="L101" s="139"/>
      <c r="M101" s="139"/>
      <c r="N101" s="139"/>
      <c r="O101" s="14"/>
      <c r="P101" s="14"/>
    </row>
    <row r="102" spans="1:16" ht="19" hidden="1">
      <c r="A102" s="139"/>
      <c r="B102" s="138"/>
      <c r="C102" s="14" t="s">
        <v>97</v>
      </c>
      <c r="D102" s="14">
        <f t="shared" ref="D102:M102" ca="1" si="63">D20-D15</f>
        <v>6430000</v>
      </c>
      <c r="E102" s="14">
        <f t="shared" ca="1" si="63"/>
        <v>0</v>
      </c>
      <c r="F102" s="14">
        <f t="shared" ca="1" si="63"/>
        <v>0</v>
      </c>
      <c r="G102" s="14">
        <f t="shared" ca="1" si="63"/>
        <v>0</v>
      </c>
      <c r="H102" s="14">
        <f t="shared" ca="1" si="63"/>
        <v>0</v>
      </c>
      <c r="I102" s="14">
        <f t="shared" ca="1" si="63"/>
        <v>0</v>
      </c>
      <c r="J102" s="14">
        <f t="shared" ca="1" si="63"/>
        <v>0</v>
      </c>
      <c r="K102" s="14">
        <f t="shared" ca="1" si="63"/>
        <v>0</v>
      </c>
      <c r="L102" s="14">
        <f t="shared" ca="1" si="63"/>
        <v>0</v>
      </c>
      <c r="M102" s="14">
        <f t="shared" ca="1" si="63"/>
        <v>0</v>
      </c>
      <c r="N102" s="14"/>
      <c r="O102" s="14"/>
      <c r="P102" s="14"/>
    </row>
    <row r="103" spans="1:16" ht="19" hidden="1">
      <c r="A103" s="139" t="s">
        <v>128</v>
      </c>
      <c r="B103" s="138"/>
      <c r="C103" s="14" t="s">
        <v>98</v>
      </c>
      <c r="D103" s="14">
        <f t="shared" ref="D103:M103" si="64">D15</f>
        <v>0</v>
      </c>
      <c r="E103" s="14">
        <f t="shared" si="64"/>
        <v>0</v>
      </c>
      <c r="F103" s="14">
        <f t="shared" si="64"/>
        <v>0</v>
      </c>
      <c r="G103" s="14">
        <f t="shared" si="64"/>
        <v>0</v>
      </c>
      <c r="H103" s="14">
        <f t="shared" si="64"/>
        <v>0</v>
      </c>
      <c r="I103" s="14">
        <f t="shared" si="64"/>
        <v>0</v>
      </c>
      <c r="J103" s="14">
        <f t="shared" si="64"/>
        <v>0</v>
      </c>
      <c r="K103" s="14">
        <f t="shared" si="64"/>
        <v>0</v>
      </c>
      <c r="L103" s="14">
        <f t="shared" si="64"/>
        <v>0</v>
      </c>
      <c r="M103" s="14">
        <f t="shared" si="64"/>
        <v>0</v>
      </c>
      <c r="N103" s="14"/>
      <c r="O103" s="14"/>
      <c r="P103" s="14"/>
    </row>
    <row r="104" spans="1:16" ht="19" hidden="1">
      <c r="A104" s="139"/>
      <c r="B104" s="138"/>
      <c r="C104" s="14"/>
      <c r="D104" s="14"/>
      <c r="E104" s="14"/>
      <c r="F104" s="14"/>
      <c r="G104" s="14"/>
      <c r="H104" s="14"/>
      <c r="I104" s="14"/>
      <c r="J104" s="14"/>
      <c r="K104" s="14"/>
      <c r="L104" s="14"/>
      <c r="M104" s="14"/>
      <c r="N104" s="14"/>
      <c r="O104" s="14"/>
      <c r="P104" s="14"/>
    </row>
    <row r="105" spans="1:16" ht="19" hidden="1">
      <c r="A105" s="139"/>
      <c r="B105" s="138"/>
      <c r="C105" s="139" t="s">
        <v>99</v>
      </c>
      <c r="D105" s="139">
        <f ca="1">IF((D108+D109)&lt;=10000000,D109*0.1,IF(D108&gt;=10000000,D109*0.05,IF(D109&lt;=(10000000-D108),D109*0.1,(10000000-D108)*0.1+(D109-(10000000-D108))*0.05)))</f>
        <v>0</v>
      </c>
      <c r="E105" s="139">
        <f t="shared" ref="E105:M105" ca="1" si="65">IF((E108+E109)&lt;=10000000,E109*0.1,IF(E108&gt;=10000000,E109*0.05,IF(E109&lt;=(10000000-E108),E109*0.1,(10000000-E108)*0.1+(E109-(10000000-E108))*0.05)))</f>
        <v>0</v>
      </c>
      <c r="F105" s="139">
        <f t="shared" ca="1" si="65"/>
        <v>0</v>
      </c>
      <c r="G105" s="139">
        <f t="shared" ca="1" si="65"/>
        <v>0</v>
      </c>
      <c r="H105" s="139">
        <f t="shared" ca="1" si="65"/>
        <v>0</v>
      </c>
      <c r="I105" s="139">
        <f t="shared" ca="1" si="65"/>
        <v>0</v>
      </c>
      <c r="J105" s="139">
        <f t="shared" ca="1" si="65"/>
        <v>0</v>
      </c>
      <c r="K105" s="139">
        <f t="shared" ca="1" si="65"/>
        <v>0</v>
      </c>
      <c r="L105" s="139">
        <f t="shared" ca="1" si="65"/>
        <v>0</v>
      </c>
      <c r="M105" s="139">
        <f t="shared" ca="1" si="65"/>
        <v>0</v>
      </c>
      <c r="N105" s="14"/>
      <c r="O105" s="14"/>
      <c r="P105" s="14"/>
    </row>
    <row r="106" spans="1:16" ht="19" hidden="1">
      <c r="A106" s="139"/>
      <c r="B106" s="138"/>
      <c r="C106" s="139" t="s">
        <v>100</v>
      </c>
      <c r="D106" s="139">
        <f ca="1">IF((D108+D109)&lt;=10000000,D109*0.028,IF(D108&gt;=10000000,D109*0.014,IF(D109&lt;=(10000000-D108),D109*0.028,(10000000-D108)*0.028+(D109-(10000000-D108))*0.014)))</f>
        <v>0</v>
      </c>
      <c r="E106" s="139">
        <f t="shared" ref="E106:M106" ca="1" si="66">IF((E108+E109)&lt;=10000000,E109*0.028,IF(E108&gt;=10000000,E109*0.014,IF(E109&lt;=(10000000-E108),E109*0.028,(10000000-E108)*0.028+(E109-(10000000-E108))*0.014)))</f>
        <v>0</v>
      </c>
      <c r="F106" s="139">
        <f t="shared" ca="1" si="66"/>
        <v>0</v>
      </c>
      <c r="G106" s="139">
        <f t="shared" ca="1" si="66"/>
        <v>0</v>
      </c>
      <c r="H106" s="139">
        <f t="shared" ca="1" si="66"/>
        <v>0</v>
      </c>
      <c r="I106" s="139">
        <f t="shared" ca="1" si="66"/>
        <v>0</v>
      </c>
      <c r="J106" s="139">
        <f t="shared" ca="1" si="66"/>
        <v>0</v>
      </c>
      <c r="K106" s="139">
        <f t="shared" ca="1" si="66"/>
        <v>0</v>
      </c>
      <c r="L106" s="139">
        <f t="shared" ca="1" si="66"/>
        <v>0</v>
      </c>
      <c r="M106" s="139">
        <f t="shared" ca="1" si="66"/>
        <v>0</v>
      </c>
      <c r="N106" s="14"/>
      <c r="O106" s="14"/>
      <c r="P106" s="14"/>
    </row>
    <row r="107" spans="1:16" ht="19" hidden="1">
      <c r="A107" s="139"/>
      <c r="B107" s="138"/>
      <c r="C107" s="139"/>
      <c r="D107" s="139"/>
      <c r="E107" s="139"/>
      <c r="F107" s="139"/>
      <c r="G107" s="139"/>
      <c r="H107" s="139"/>
      <c r="I107" s="139"/>
      <c r="J107" s="139"/>
      <c r="K107" s="139"/>
      <c r="L107" s="139"/>
      <c r="M107" s="139"/>
      <c r="N107" s="14"/>
      <c r="O107" s="14"/>
      <c r="P107" s="14"/>
    </row>
    <row r="108" spans="1:16" ht="19" hidden="1">
      <c r="A108" s="139"/>
      <c r="B108" s="138"/>
      <c r="C108" s="14" t="s">
        <v>97</v>
      </c>
      <c r="D108" s="14">
        <f t="shared" ref="D108:M108" ca="1" si="67">D50-D45</f>
        <v>9229000</v>
      </c>
      <c r="E108" s="14">
        <f t="shared" ca="1" si="67"/>
        <v>0</v>
      </c>
      <c r="F108" s="14">
        <f t="shared" ca="1" si="67"/>
        <v>0</v>
      </c>
      <c r="G108" s="14">
        <f t="shared" ca="1" si="67"/>
        <v>0</v>
      </c>
      <c r="H108" s="14">
        <f t="shared" ca="1" si="67"/>
        <v>0</v>
      </c>
      <c r="I108" s="14">
        <f t="shared" ca="1" si="67"/>
        <v>0</v>
      </c>
      <c r="J108" s="14">
        <f t="shared" ca="1" si="67"/>
        <v>0</v>
      </c>
      <c r="K108" s="14">
        <f t="shared" ca="1" si="67"/>
        <v>0</v>
      </c>
      <c r="L108" s="14">
        <f t="shared" ca="1" si="67"/>
        <v>0</v>
      </c>
      <c r="M108" s="14">
        <f t="shared" ca="1" si="67"/>
        <v>0</v>
      </c>
      <c r="N108" s="14"/>
      <c r="O108" s="14"/>
      <c r="P108" s="14"/>
    </row>
    <row r="109" spans="1:16" ht="19" hidden="1">
      <c r="A109" s="139"/>
      <c r="B109" s="291" t="s">
        <v>59</v>
      </c>
      <c r="C109" s="14" t="s">
        <v>98</v>
      </c>
      <c r="D109" s="14">
        <f t="shared" ref="D109:M109" si="68">D45</f>
        <v>0</v>
      </c>
      <c r="E109" s="14">
        <f t="shared" si="68"/>
        <v>0</v>
      </c>
      <c r="F109" s="14">
        <f t="shared" si="68"/>
        <v>0</v>
      </c>
      <c r="G109" s="14">
        <f t="shared" si="68"/>
        <v>0</v>
      </c>
      <c r="H109" s="14">
        <f t="shared" si="68"/>
        <v>0</v>
      </c>
      <c r="I109" s="14">
        <f t="shared" si="68"/>
        <v>0</v>
      </c>
      <c r="J109" s="14">
        <f t="shared" si="68"/>
        <v>0</v>
      </c>
      <c r="K109" s="14">
        <f t="shared" si="68"/>
        <v>0</v>
      </c>
      <c r="L109" s="14">
        <f t="shared" si="68"/>
        <v>0</v>
      </c>
      <c r="M109" s="14">
        <f t="shared" si="68"/>
        <v>0</v>
      </c>
      <c r="N109" s="14"/>
    </row>
    <row r="110" spans="1:16" ht="19" hidden="1">
      <c r="B110" s="291" t="s">
        <v>128</v>
      </c>
      <c r="D110" s="14"/>
      <c r="E110" s="14"/>
      <c r="F110" s="14"/>
      <c r="G110" s="14"/>
      <c r="H110" s="14"/>
      <c r="I110" s="14"/>
      <c r="J110" s="14"/>
      <c r="K110" s="14"/>
      <c r="L110" s="14"/>
      <c r="M110" s="14"/>
      <c r="N110" s="14"/>
    </row>
    <row r="111" spans="1:16" ht="14.5" hidden="1">
      <c r="B111" s="291"/>
      <c r="C111" s="291" t="s">
        <v>201</v>
      </c>
      <c r="D111" s="1">
        <f t="shared" ref="D111:M111" ca="1" si="69">IF($D$126=1,(health(D116/12,D7)*12)+(pension(D116/12,D7)*12)+AA13+D74+D75,(pension(D116/12,D7)*12)+AA13+D74+D75)</f>
        <v>1417980.0057578087</v>
      </c>
      <c r="E111" s="1">
        <f t="shared" ca="1" si="69"/>
        <v>0</v>
      </c>
      <c r="F111" s="1">
        <f t="shared" ca="1" si="69"/>
        <v>0</v>
      </c>
      <c r="G111" s="1">
        <f t="shared" ca="1" si="69"/>
        <v>0</v>
      </c>
      <c r="H111" s="1">
        <f t="shared" ca="1" si="69"/>
        <v>0</v>
      </c>
      <c r="I111" s="1">
        <f t="shared" ca="1" si="69"/>
        <v>0</v>
      </c>
      <c r="J111" s="1">
        <f t="shared" ca="1" si="69"/>
        <v>0</v>
      </c>
      <c r="K111" s="1">
        <f t="shared" ca="1" si="69"/>
        <v>0</v>
      </c>
      <c r="L111" s="1">
        <f t="shared" ca="1" si="69"/>
        <v>0</v>
      </c>
      <c r="M111" s="1">
        <f t="shared" ca="1" si="69"/>
        <v>0</v>
      </c>
    </row>
    <row r="112" spans="1:16" ht="14.5" hidden="1">
      <c r="B112" s="291"/>
      <c r="C112" s="291" t="s">
        <v>201</v>
      </c>
      <c r="D112" s="1">
        <f t="shared" ref="D112:M112" ca="1" si="70">IF($D$126=1,(health(D117/12,D7)*12)+(pension(D117/12,D7)*12)+AA42+D66+D67,(pension(D117/12,D7)*12)+AA42+D66+D67)</f>
        <v>1618080.0093877316</v>
      </c>
      <c r="E112" s="1">
        <f t="shared" ca="1" si="70"/>
        <v>0</v>
      </c>
      <c r="F112" s="1">
        <f t="shared" ca="1" si="70"/>
        <v>0</v>
      </c>
      <c r="G112" s="1">
        <f t="shared" ca="1" si="70"/>
        <v>0</v>
      </c>
      <c r="H112" s="1">
        <f t="shared" ca="1" si="70"/>
        <v>0</v>
      </c>
      <c r="I112" s="1">
        <f t="shared" ca="1" si="70"/>
        <v>0</v>
      </c>
      <c r="J112" s="1">
        <f t="shared" ca="1" si="70"/>
        <v>0</v>
      </c>
      <c r="K112" s="1">
        <f t="shared" ca="1" si="70"/>
        <v>0</v>
      </c>
      <c r="L112" s="1">
        <f t="shared" ca="1" si="70"/>
        <v>0</v>
      </c>
      <c r="M112" s="1">
        <f t="shared" ca="1" si="70"/>
        <v>0</v>
      </c>
    </row>
    <row r="113" spans="2:13" ht="14.5" hidden="1">
      <c r="C113" s="291"/>
    </row>
    <row r="114" spans="2:13" ht="14.5" hidden="1">
      <c r="B114" s="291" t="s">
        <v>59</v>
      </c>
      <c r="C114" s="291"/>
    </row>
    <row r="115" spans="2:13" ht="17.5" hidden="1">
      <c r="B115" s="291" t="s">
        <v>128</v>
      </c>
      <c r="C115" s="145"/>
    </row>
    <row r="116" spans="2:13" ht="14.5" hidden="1">
      <c r="B116" s="291" t="s">
        <v>59</v>
      </c>
      <c r="C116" s="291" t="s">
        <v>205</v>
      </c>
      <c r="D116" s="1">
        <f t="shared" ref="D116:M116" si="71">D8-D13</f>
        <v>12000000</v>
      </c>
      <c r="E116" s="1">
        <f t="shared" si="71"/>
        <v>0</v>
      </c>
      <c r="F116" s="1">
        <f t="shared" si="71"/>
        <v>0</v>
      </c>
      <c r="G116" s="1">
        <f t="shared" si="71"/>
        <v>0</v>
      </c>
      <c r="H116" s="1">
        <f t="shared" si="71"/>
        <v>0</v>
      </c>
      <c r="I116" s="1">
        <f t="shared" si="71"/>
        <v>0</v>
      </c>
      <c r="J116" s="1">
        <f t="shared" si="71"/>
        <v>0</v>
      </c>
      <c r="K116" s="1">
        <f t="shared" si="71"/>
        <v>0</v>
      </c>
      <c r="L116" s="1">
        <f t="shared" si="71"/>
        <v>0</v>
      </c>
      <c r="M116" s="1">
        <f t="shared" si="71"/>
        <v>0</v>
      </c>
    </row>
    <row r="117" spans="2:13" ht="14.5" hidden="1">
      <c r="B117" s="291" t="s">
        <v>128</v>
      </c>
      <c r="C117" s="291" t="s">
        <v>205</v>
      </c>
      <c r="D117" s="230">
        <f t="shared" ref="D117:M117" si="72">D38-D43</f>
        <v>15000000</v>
      </c>
      <c r="E117" s="230">
        <f t="shared" si="72"/>
        <v>0</v>
      </c>
      <c r="F117" s="230">
        <f t="shared" si="72"/>
        <v>0</v>
      </c>
      <c r="G117" s="230">
        <f t="shared" si="72"/>
        <v>0</v>
      </c>
      <c r="H117" s="230">
        <f t="shared" si="72"/>
        <v>0</v>
      </c>
      <c r="I117" s="230">
        <f t="shared" si="72"/>
        <v>0</v>
      </c>
      <c r="J117" s="230">
        <f t="shared" si="72"/>
        <v>0</v>
      </c>
      <c r="K117" s="230">
        <f t="shared" si="72"/>
        <v>0</v>
      </c>
      <c r="L117" s="230">
        <f t="shared" si="72"/>
        <v>0</v>
      </c>
      <c r="M117" s="230">
        <f t="shared" si="72"/>
        <v>0</v>
      </c>
    </row>
    <row r="118" spans="2:13" ht="14.5" hidden="1">
      <c r="C118" s="291" t="s">
        <v>206</v>
      </c>
      <c r="D118" s="230">
        <f t="shared" ref="D118:M118" si="73">D12</f>
        <v>0</v>
      </c>
      <c r="E118" s="230">
        <f t="shared" si="73"/>
        <v>0</v>
      </c>
      <c r="F118" s="230">
        <f t="shared" si="73"/>
        <v>0</v>
      </c>
      <c r="G118" s="230">
        <f t="shared" si="73"/>
        <v>0</v>
      </c>
      <c r="H118" s="230">
        <f t="shared" si="73"/>
        <v>0</v>
      </c>
      <c r="I118" s="230">
        <f t="shared" si="73"/>
        <v>0</v>
      </c>
      <c r="J118" s="230">
        <f t="shared" si="73"/>
        <v>0</v>
      </c>
      <c r="K118" s="230">
        <f t="shared" si="73"/>
        <v>0</v>
      </c>
      <c r="L118" s="230">
        <f t="shared" si="73"/>
        <v>0</v>
      </c>
      <c r="M118" s="230">
        <f t="shared" si="73"/>
        <v>0</v>
      </c>
    </row>
    <row r="119" spans="2:13" ht="14.5" hidden="1">
      <c r="B119" s="291" t="s">
        <v>59</v>
      </c>
      <c r="C119" s="291" t="s">
        <v>206</v>
      </c>
      <c r="D119" s="230">
        <f t="shared" ref="D119:M119" si="74">D42</f>
        <v>0</v>
      </c>
      <c r="E119" s="230">
        <f t="shared" si="74"/>
        <v>0</v>
      </c>
      <c r="F119" s="230">
        <f t="shared" si="74"/>
        <v>0</v>
      </c>
      <c r="G119" s="230">
        <f t="shared" si="74"/>
        <v>0</v>
      </c>
      <c r="H119" s="230">
        <f t="shared" si="74"/>
        <v>0</v>
      </c>
      <c r="I119" s="230">
        <f t="shared" si="74"/>
        <v>0</v>
      </c>
      <c r="J119" s="230">
        <f t="shared" si="74"/>
        <v>0</v>
      </c>
      <c r="K119" s="230">
        <f t="shared" si="74"/>
        <v>0</v>
      </c>
      <c r="L119" s="230">
        <f t="shared" si="74"/>
        <v>0</v>
      </c>
      <c r="M119" s="230">
        <f t="shared" si="74"/>
        <v>0</v>
      </c>
    </row>
    <row r="120" spans="2:13" ht="19" hidden="1">
      <c r="B120" s="291" t="s">
        <v>128</v>
      </c>
      <c r="D120" s="14">
        <f ca="1">health(D121/12,D56)*12</f>
        <v>0</v>
      </c>
    </row>
    <row r="121" spans="2:13" ht="14.5" hidden="1">
      <c r="B121" s="291" t="s">
        <v>59</v>
      </c>
      <c r="C121" s="291" t="s">
        <v>205</v>
      </c>
      <c r="D121" s="1">
        <f>D116</f>
        <v>12000000</v>
      </c>
      <c r="E121" s="1">
        <f t="shared" ref="E121:M121" si="75">E116</f>
        <v>0</v>
      </c>
      <c r="F121" s="1">
        <f t="shared" si="75"/>
        <v>0</v>
      </c>
      <c r="G121" s="1">
        <f t="shared" si="75"/>
        <v>0</v>
      </c>
      <c r="H121" s="1">
        <f t="shared" si="75"/>
        <v>0</v>
      </c>
      <c r="I121" s="1">
        <f t="shared" si="75"/>
        <v>0</v>
      </c>
      <c r="J121" s="1">
        <f t="shared" si="75"/>
        <v>0</v>
      </c>
      <c r="K121" s="1">
        <f t="shared" si="75"/>
        <v>0</v>
      </c>
      <c r="L121" s="1">
        <f t="shared" si="75"/>
        <v>0</v>
      </c>
      <c r="M121" s="1">
        <f t="shared" si="75"/>
        <v>0</v>
      </c>
    </row>
    <row r="122" spans="2:13" ht="14.5" hidden="1">
      <c r="B122" s="291" t="s">
        <v>128</v>
      </c>
      <c r="C122" s="291" t="s">
        <v>205</v>
      </c>
      <c r="D122" s="1">
        <f>D117</f>
        <v>15000000</v>
      </c>
      <c r="E122" s="1">
        <f t="shared" ref="E122:M122" si="76">E117</f>
        <v>0</v>
      </c>
      <c r="F122" s="1">
        <f t="shared" si="76"/>
        <v>0</v>
      </c>
      <c r="G122" s="1">
        <f t="shared" si="76"/>
        <v>0</v>
      </c>
      <c r="H122" s="1">
        <f t="shared" si="76"/>
        <v>0</v>
      </c>
      <c r="I122" s="1">
        <f t="shared" si="76"/>
        <v>0</v>
      </c>
      <c r="J122" s="1">
        <f t="shared" si="76"/>
        <v>0</v>
      </c>
      <c r="K122" s="1">
        <f t="shared" si="76"/>
        <v>0</v>
      </c>
      <c r="L122" s="1">
        <f t="shared" si="76"/>
        <v>0</v>
      </c>
      <c r="M122" s="1">
        <f t="shared" si="76"/>
        <v>0</v>
      </c>
    </row>
    <row r="123" spans="2:13" ht="14.5" hidden="1">
      <c r="C123" s="291" t="s">
        <v>207</v>
      </c>
      <c r="D123" s="1">
        <f>D116+D118</f>
        <v>12000000</v>
      </c>
      <c r="E123" s="1">
        <f t="shared" ref="E123:M123" si="77">E116+E118</f>
        <v>0</v>
      </c>
      <c r="F123" s="1">
        <f t="shared" si="77"/>
        <v>0</v>
      </c>
      <c r="G123" s="1">
        <f t="shared" si="77"/>
        <v>0</v>
      </c>
      <c r="H123" s="1">
        <f t="shared" si="77"/>
        <v>0</v>
      </c>
      <c r="I123" s="1">
        <f t="shared" si="77"/>
        <v>0</v>
      </c>
      <c r="J123" s="1">
        <f t="shared" si="77"/>
        <v>0</v>
      </c>
      <c r="K123" s="1">
        <f t="shared" si="77"/>
        <v>0</v>
      </c>
      <c r="L123" s="1">
        <f t="shared" si="77"/>
        <v>0</v>
      </c>
      <c r="M123" s="1">
        <f t="shared" si="77"/>
        <v>0</v>
      </c>
    </row>
    <row r="124" spans="2:13" ht="14.5" hidden="1">
      <c r="C124" s="291" t="s">
        <v>207</v>
      </c>
      <c r="D124" s="1">
        <f>D117+D119</f>
        <v>15000000</v>
      </c>
      <c r="E124" s="1">
        <f t="shared" ref="E124:M124" si="78">E117+E119</f>
        <v>0</v>
      </c>
      <c r="F124" s="1">
        <f t="shared" si="78"/>
        <v>0</v>
      </c>
      <c r="G124" s="1">
        <f t="shared" si="78"/>
        <v>0</v>
      </c>
      <c r="H124" s="1">
        <f t="shared" si="78"/>
        <v>0</v>
      </c>
      <c r="I124" s="1">
        <f t="shared" si="78"/>
        <v>0</v>
      </c>
      <c r="J124" s="1">
        <f t="shared" si="78"/>
        <v>0</v>
      </c>
      <c r="K124" s="1">
        <f t="shared" si="78"/>
        <v>0</v>
      </c>
      <c r="L124" s="1">
        <f t="shared" si="78"/>
        <v>0</v>
      </c>
      <c r="M124" s="1">
        <f t="shared" si="78"/>
        <v>0</v>
      </c>
    </row>
    <row r="125" spans="2:13" hidden="1"/>
    <row r="126" spans="2:13" hidden="1">
      <c r="C126" s="1" t="s">
        <v>214</v>
      </c>
      <c r="D126" s="1">
        <v>1</v>
      </c>
    </row>
    <row r="127" spans="2:13" hidden="1"/>
    <row r="128" spans="2:13" hidden="1"/>
    <row r="129" spans="5:14" hidden="1"/>
    <row r="138" spans="5:14">
      <c r="E138" s="230"/>
      <c r="F138" s="230"/>
      <c r="G138" s="230"/>
      <c r="H138" s="230"/>
      <c r="I138" s="230"/>
      <c r="J138" s="230"/>
      <c r="K138" s="230"/>
      <c r="L138" s="230"/>
      <c r="M138" s="230"/>
      <c r="N138" s="230"/>
    </row>
    <row r="139" spans="5:14">
      <c r="E139" s="230"/>
      <c r="F139" s="230"/>
      <c r="G139" s="230"/>
      <c r="H139" s="230"/>
      <c r="I139" s="230"/>
      <c r="J139" s="230"/>
      <c r="K139" s="230"/>
      <c r="L139" s="230"/>
      <c r="M139" s="230"/>
      <c r="N139" s="230"/>
    </row>
    <row r="140" spans="5:14">
      <c r="E140" s="230"/>
      <c r="F140" s="230"/>
      <c r="G140" s="230"/>
      <c r="H140" s="230"/>
      <c r="I140" s="230"/>
      <c r="J140" s="230"/>
      <c r="K140" s="230"/>
      <c r="L140" s="230"/>
      <c r="M140" s="230"/>
      <c r="N140" s="230"/>
    </row>
    <row r="141" spans="5:14">
      <c r="E141" s="230"/>
      <c r="F141" s="230"/>
      <c r="G141" s="230"/>
      <c r="H141" s="230"/>
      <c r="I141" s="230"/>
      <c r="J141" s="230"/>
      <c r="K141" s="230"/>
      <c r="L141" s="230"/>
      <c r="M141" s="230"/>
      <c r="N141" s="230"/>
    </row>
    <row r="142" spans="5:14">
      <c r="E142" s="230"/>
      <c r="F142" s="230"/>
      <c r="G142" s="230"/>
      <c r="H142" s="230"/>
      <c r="I142" s="230"/>
      <c r="J142" s="230"/>
      <c r="K142" s="230"/>
      <c r="L142" s="230"/>
      <c r="M142" s="230"/>
      <c r="N142" s="230"/>
    </row>
  </sheetData>
  <sheetProtection sheet="1" objects="1" scenarios="1"/>
  <mergeCells count="2">
    <mergeCell ref="BE5:BF5"/>
    <mergeCell ref="BL5:BM5"/>
  </mergeCells>
  <phoneticPr fontId="7"/>
  <conditionalFormatting sqref="A97:XFD1048576 E87:XFD95 N96:XFD96 A1:XFD86">
    <cfRule type="expression" dxfId="13" priority="3" stopIfTrue="1">
      <formula>CELL("protect", A1) = 0</formula>
    </cfRule>
  </conditionalFormatting>
  <conditionalFormatting sqref="D38:N63 D8:N34">
    <cfRule type="expression" dxfId="12" priority="4" stopIfTrue="1">
      <formula>$AT$1=2</formula>
    </cfRule>
  </conditionalFormatting>
  <conditionalFormatting sqref="O11:O12">
    <cfRule type="expression" dxfId="11" priority="5" stopIfTrue="1">
      <formula>$AT$1=2</formula>
    </cfRule>
  </conditionalFormatting>
  <conditionalFormatting sqref="P3:P5">
    <cfRule type="expression" dxfId="10" priority="6" stopIfTrue="1">
      <formula>$AT$1=2</formula>
    </cfRule>
  </conditionalFormatting>
  <conditionalFormatting sqref="D26">
    <cfRule type="expression" dxfId="9" priority="2" stopIfTrue="1">
      <formula>$AT$1=2</formula>
    </cfRule>
  </conditionalFormatting>
  <conditionalFormatting sqref="A87:D96 E96:M96">
    <cfRule type="expression" dxfId="8" priority="1" stopIfTrue="1">
      <formula>CELL("protect", A87) = 0</formula>
    </cfRule>
  </conditionalFormatting>
  <dataValidations count="1">
    <dataValidation imeMode="off" allowBlank="1" showInputMessage="1" showErrorMessage="1" sqref="D48:M48 D15:M16 P3:P5 D18:M18 D6:M13 O7:O16 D37:M43 D45:M46" xr:uid="{00000000-0002-0000-0000-000000000000}"/>
  </dataValidations>
  <hyperlinks>
    <hyperlink ref="Q7" r:id="rId1" xr:uid="{3C6C164D-6B5E-4C8F-B2DB-218CD20366FF}"/>
  </hyperlinks>
  <pageMargins left="0.5" right="0.5" top="0.5" bottom="0.5" header="0.17" footer="0.17"/>
  <pageSetup paperSize="9" scale="50" orientation="portrait" r:id="rId2"/>
  <drawing r:id="rId3"/>
  <legacyDrawing r:id="rId4"/>
  <controls>
    <mc:AlternateContent xmlns:mc="http://schemas.openxmlformats.org/markup-compatibility/2006">
      <mc:Choice Requires="x14">
        <control shapeId="1078" r:id="rId5" name="CheckBox4">
          <controlPr defaultSize="0" print="0" autoLine="0" linkedCell="G76" r:id="rId6">
            <anchor moveWithCells="1">
              <from>
                <xdr:col>6</xdr:col>
                <xdr:colOff>260350</xdr:colOff>
                <xdr:row>1</xdr:row>
                <xdr:rowOff>0</xdr:rowOff>
              </from>
              <to>
                <xdr:col>6</xdr:col>
                <xdr:colOff>285750</xdr:colOff>
                <xdr:row>1</xdr:row>
                <xdr:rowOff>19050</xdr:rowOff>
              </to>
            </anchor>
          </controlPr>
        </control>
      </mc:Choice>
      <mc:Fallback>
        <control shapeId="1078" r:id="rId5" name="CheckBox4"/>
      </mc:Fallback>
    </mc:AlternateContent>
    <mc:AlternateContent xmlns:mc="http://schemas.openxmlformats.org/markup-compatibility/2006">
      <mc:Choice Requires="x14">
        <control shapeId="1077" r:id="rId7" name="CheckBox2">
          <controlPr defaultSize="0" print="0" autoLine="0" linkedCell="E76" r:id="rId8">
            <anchor moveWithCells="1">
              <from>
                <xdr:col>4</xdr:col>
                <xdr:colOff>107950</xdr:colOff>
                <xdr:row>1</xdr:row>
                <xdr:rowOff>0</xdr:rowOff>
              </from>
              <to>
                <xdr:col>4</xdr:col>
                <xdr:colOff>133350</xdr:colOff>
                <xdr:row>1</xdr:row>
                <xdr:rowOff>19050</xdr:rowOff>
              </to>
            </anchor>
          </controlPr>
        </control>
      </mc:Choice>
      <mc:Fallback>
        <control shapeId="1077" r:id="rId7" name="CheckBox2"/>
      </mc:Fallback>
    </mc:AlternateContent>
    <mc:AlternateContent xmlns:mc="http://schemas.openxmlformats.org/markup-compatibility/2006">
      <mc:Choice Requires="x14">
        <control shapeId="1102" r:id="rId9" name="チェック 2490">
          <controlPr defaultSize="0" print="0" autoFill="0" autoLine="0" autoPict="0" altText="">
            <anchor>
              <from>
                <xdr:col>3</xdr:col>
                <xdr:colOff>184150</xdr:colOff>
                <xdr:row>3</xdr:row>
                <xdr:rowOff>190500</xdr:rowOff>
              </from>
              <to>
                <xdr:col>3</xdr:col>
                <xdr:colOff>533400</xdr:colOff>
                <xdr:row>5</xdr:row>
                <xdr:rowOff>69850</xdr:rowOff>
              </to>
            </anchor>
          </controlPr>
        </control>
      </mc:Choice>
    </mc:AlternateContent>
    <mc:AlternateContent xmlns:mc="http://schemas.openxmlformats.org/markup-compatibility/2006">
      <mc:Choice Requires="x14">
        <control shapeId="1104" r:id="rId10" name="チェック 2492">
          <controlPr defaultSize="0" print="0" autoFill="0" autoLine="0" autoPict="0" altText="">
            <anchor>
              <from>
                <xdr:col>5</xdr:col>
                <xdr:colOff>184150</xdr:colOff>
                <xdr:row>3</xdr:row>
                <xdr:rowOff>190500</xdr:rowOff>
              </from>
              <to>
                <xdr:col>5</xdr:col>
                <xdr:colOff>565150</xdr:colOff>
                <xdr:row>5</xdr:row>
                <xdr:rowOff>69850</xdr:rowOff>
              </to>
            </anchor>
          </controlPr>
        </control>
      </mc:Choice>
    </mc:AlternateContent>
    <mc:AlternateContent xmlns:mc="http://schemas.openxmlformats.org/markup-compatibility/2006">
      <mc:Choice Requires="x14">
        <control shapeId="1105" r:id="rId11" name="チェック 2493">
          <controlPr defaultSize="0" print="0" autoFill="0" autoLine="0" autoPict="0" altText="">
            <anchor>
              <from>
                <xdr:col>6</xdr:col>
                <xdr:colOff>209550</xdr:colOff>
                <xdr:row>3</xdr:row>
                <xdr:rowOff>184150</xdr:rowOff>
              </from>
              <to>
                <xdr:col>6</xdr:col>
                <xdr:colOff>565150</xdr:colOff>
                <xdr:row>5</xdr:row>
                <xdr:rowOff>57150</xdr:rowOff>
              </to>
            </anchor>
          </controlPr>
        </control>
      </mc:Choice>
    </mc:AlternateContent>
    <mc:AlternateContent xmlns:mc="http://schemas.openxmlformats.org/markup-compatibility/2006">
      <mc:Choice Requires="x14">
        <control shapeId="1106" r:id="rId12" name="チェック 2494">
          <controlPr defaultSize="0" print="0" autoFill="0" autoLine="0" autoPict="0" altText="">
            <anchor>
              <from>
                <xdr:col>7</xdr:col>
                <xdr:colOff>107950</xdr:colOff>
                <xdr:row>3</xdr:row>
                <xdr:rowOff>184150</xdr:rowOff>
              </from>
              <to>
                <xdr:col>7</xdr:col>
                <xdr:colOff>476250</xdr:colOff>
                <xdr:row>5</xdr:row>
                <xdr:rowOff>57150</xdr:rowOff>
              </to>
            </anchor>
          </controlPr>
        </control>
      </mc:Choice>
    </mc:AlternateContent>
    <mc:AlternateContent xmlns:mc="http://schemas.openxmlformats.org/markup-compatibility/2006">
      <mc:Choice Requires="x14">
        <control shapeId="1107" r:id="rId13" name="チェック 2495">
          <controlPr defaultSize="0" print="0" autoFill="0" autoLine="0" autoPict="0" altText="">
            <anchor>
              <from>
                <xdr:col>8</xdr:col>
                <xdr:colOff>228600</xdr:colOff>
                <xdr:row>3</xdr:row>
                <xdr:rowOff>184150</xdr:rowOff>
              </from>
              <to>
                <xdr:col>8</xdr:col>
                <xdr:colOff>590550</xdr:colOff>
                <xdr:row>5</xdr:row>
                <xdr:rowOff>57150</xdr:rowOff>
              </to>
            </anchor>
          </controlPr>
        </control>
      </mc:Choice>
    </mc:AlternateContent>
    <mc:AlternateContent xmlns:mc="http://schemas.openxmlformats.org/markup-compatibility/2006">
      <mc:Choice Requires="x14">
        <control shapeId="1108" r:id="rId14" name="チェック 2496">
          <controlPr defaultSize="0" print="0" autoFill="0" autoLine="0" autoPict="0" altText="">
            <anchor>
              <from>
                <xdr:col>9</xdr:col>
                <xdr:colOff>209550</xdr:colOff>
                <xdr:row>3</xdr:row>
                <xdr:rowOff>184150</xdr:rowOff>
              </from>
              <to>
                <xdr:col>9</xdr:col>
                <xdr:colOff>565150</xdr:colOff>
                <xdr:row>5</xdr:row>
                <xdr:rowOff>57150</xdr:rowOff>
              </to>
            </anchor>
          </controlPr>
        </control>
      </mc:Choice>
    </mc:AlternateContent>
    <mc:AlternateContent xmlns:mc="http://schemas.openxmlformats.org/markup-compatibility/2006">
      <mc:Choice Requires="x14">
        <control shapeId="1109" r:id="rId15" name="チェック 2497">
          <controlPr defaultSize="0" print="0" autoFill="0" autoLine="0" autoPict="0" altText="">
            <anchor>
              <from>
                <xdr:col>10</xdr:col>
                <xdr:colOff>107950</xdr:colOff>
                <xdr:row>3</xdr:row>
                <xdr:rowOff>184150</xdr:rowOff>
              </from>
              <to>
                <xdr:col>10</xdr:col>
                <xdr:colOff>476250</xdr:colOff>
                <xdr:row>5</xdr:row>
                <xdr:rowOff>57150</xdr:rowOff>
              </to>
            </anchor>
          </controlPr>
        </control>
      </mc:Choice>
    </mc:AlternateContent>
    <mc:AlternateContent xmlns:mc="http://schemas.openxmlformats.org/markup-compatibility/2006">
      <mc:Choice Requires="x14">
        <control shapeId="1110" r:id="rId16" name="チェック 2498">
          <controlPr defaultSize="0" print="0" autoFill="0" autoLine="0" autoPict="0" altText="">
            <anchor>
              <from>
                <xdr:col>11</xdr:col>
                <xdr:colOff>209550</xdr:colOff>
                <xdr:row>3</xdr:row>
                <xdr:rowOff>184150</xdr:rowOff>
              </from>
              <to>
                <xdr:col>11</xdr:col>
                <xdr:colOff>590550</xdr:colOff>
                <xdr:row>5</xdr:row>
                <xdr:rowOff>57150</xdr:rowOff>
              </to>
            </anchor>
          </controlPr>
        </control>
      </mc:Choice>
    </mc:AlternateContent>
    <mc:AlternateContent xmlns:mc="http://schemas.openxmlformats.org/markup-compatibility/2006">
      <mc:Choice Requires="x14">
        <control shapeId="1111" r:id="rId17" name="チェック 2499">
          <controlPr defaultSize="0" print="0" autoFill="0" autoLine="0" autoPict="0" altText="">
            <anchor>
              <from>
                <xdr:col>12</xdr:col>
                <xdr:colOff>69850</xdr:colOff>
                <xdr:row>3</xdr:row>
                <xdr:rowOff>184150</xdr:rowOff>
              </from>
              <to>
                <xdr:col>12</xdr:col>
                <xdr:colOff>450850</xdr:colOff>
                <xdr:row>5</xdr:row>
                <xdr:rowOff>57150</xdr:rowOff>
              </to>
            </anchor>
          </controlPr>
        </control>
      </mc:Choice>
    </mc:AlternateContent>
    <mc:AlternateContent xmlns:mc="http://schemas.openxmlformats.org/markup-compatibility/2006">
      <mc:Choice Requires="x14">
        <control shapeId="1115" r:id="rId18" name="ボタン 2503">
          <controlPr defaultSize="0" print="0" autoFill="0" autoPict="0" macro="[0]!tenki">
            <anchor moveWithCells="1" sizeWithCells="1">
              <from>
                <xdr:col>0</xdr:col>
                <xdr:colOff>57150</xdr:colOff>
                <xdr:row>35</xdr:row>
                <xdr:rowOff>19050</xdr:rowOff>
              </from>
              <to>
                <xdr:col>1</xdr:col>
                <xdr:colOff>742950</xdr:colOff>
                <xdr:row>36</xdr:row>
                <xdr:rowOff>146050</xdr:rowOff>
              </to>
            </anchor>
          </controlPr>
        </control>
      </mc:Choice>
    </mc:AlternateContent>
    <mc:AlternateContent xmlns:mc="http://schemas.openxmlformats.org/markup-compatibility/2006">
      <mc:Choice Requires="x14">
        <control shapeId="1116" r:id="rId19" name="ボタン 92">
          <controlPr defaultSize="0" print="0" autoFill="0" autoPict="0" macro="[0]!印刷シミュレーション">
            <anchor>
              <from>
                <xdr:col>14</xdr:col>
                <xdr:colOff>438150</xdr:colOff>
                <xdr:row>0</xdr:row>
                <xdr:rowOff>247650</xdr:rowOff>
              </from>
              <to>
                <xdr:col>15</xdr:col>
                <xdr:colOff>285750</xdr:colOff>
                <xdr:row>1</xdr:row>
                <xdr:rowOff>69850</xdr:rowOff>
              </to>
            </anchor>
          </controlPr>
        </control>
      </mc:Choice>
    </mc:AlternateContent>
    <mc:AlternateContent xmlns:mc="http://schemas.openxmlformats.org/markup-compatibility/2006">
      <mc:Choice Requires="x14">
        <control shapeId="1119" r:id="rId20" name="Button 95">
          <controlPr defaultSize="0" print="0" autoFill="0" autoPict="0" macro="[0]!健康保険OFF">
            <anchor>
              <from>
                <xdr:col>14</xdr:col>
                <xdr:colOff>152400</xdr:colOff>
                <xdr:row>26</xdr:row>
                <xdr:rowOff>19050</xdr:rowOff>
              </from>
              <to>
                <xdr:col>15</xdr:col>
                <xdr:colOff>107950</xdr:colOff>
                <xdr:row>27</xdr:row>
                <xdr:rowOff>76200</xdr:rowOff>
              </to>
            </anchor>
          </controlPr>
        </control>
      </mc:Choice>
    </mc:AlternateContent>
    <mc:AlternateContent xmlns:mc="http://schemas.openxmlformats.org/markup-compatibility/2006">
      <mc:Choice Requires="x14">
        <control shapeId="1120" r:id="rId21" name="Button 96">
          <controlPr defaultSize="0" print="0" autoFill="0" autoPict="0" macro="[0]!健康保険ON">
            <anchor>
              <from>
                <xdr:col>14</xdr:col>
                <xdr:colOff>152400</xdr:colOff>
                <xdr:row>27</xdr:row>
                <xdr:rowOff>114300</xdr:rowOff>
              </from>
              <to>
                <xdr:col>15</xdr:col>
                <xdr:colOff>107950</xdr:colOff>
                <xdr:row>28</xdr:row>
                <xdr:rowOff>152400</xdr:rowOff>
              </to>
            </anchor>
          </controlPr>
        </control>
      </mc:Choice>
    </mc:AlternateContent>
    <mc:AlternateContent xmlns:mc="http://schemas.openxmlformats.org/markup-compatibility/2006">
      <mc:Choice Requires="x14">
        <control shapeId="1121" r:id="rId22" name="Button 97">
          <controlPr defaultSize="0" print="0" autoFill="0" autoPict="0" macro="[0]!画面更新">
            <anchor>
              <from>
                <xdr:col>12</xdr:col>
                <xdr:colOff>666750</xdr:colOff>
                <xdr:row>0</xdr:row>
                <xdr:rowOff>247650</xdr:rowOff>
              </from>
              <to>
                <xdr:col>14</xdr:col>
                <xdr:colOff>298450</xdr:colOff>
                <xdr:row>1</xdr:row>
                <xdr:rowOff>69850</xdr:rowOff>
              </to>
            </anchor>
          </controlPr>
        </control>
      </mc:Choice>
    </mc:AlternateContent>
    <mc:AlternateContent xmlns:mc="http://schemas.openxmlformats.org/markup-compatibility/2006">
      <mc:Choice Requires="x14">
        <control shapeId="1122" r:id="rId23" name="Check Box 98">
          <controlPr defaultSize="0" print="0" autoFill="0" autoLine="0" autoPict="0" altText="">
            <anchor moveWithCells="1">
              <from>
                <xdr:col>3</xdr:col>
                <xdr:colOff>228600</xdr:colOff>
                <xdr:row>34</xdr:row>
                <xdr:rowOff>400050</xdr:rowOff>
              </from>
              <to>
                <xdr:col>3</xdr:col>
                <xdr:colOff>609600</xdr:colOff>
                <xdr:row>36</xdr:row>
                <xdr:rowOff>31750</xdr:rowOff>
              </to>
            </anchor>
          </controlPr>
        </control>
      </mc:Choice>
    </mc:AlternateContent>
    <mc:AlternateContent xmlns:mc="http://schemas.openxmlformats.org/markup-compatibility/2006">
      <mc:Choice Requires="x14">
        <control shapeId="1123" r:id="rId24" name="チェック 2491">
          <controlPr defaultSize="0" print="0" autoFill="0" autoLine="0" autoPict="0" altText="">
            <anchor moveWithCells="1">
              <from>
                <xdr:col>4</xdr:col>
                <xdr:colOff>190500</xdr:colOff>
                <xdr:row>34</xdr:row>
                <xdr:rowOff>400050</xdr:rowOff>
              </from>
              <to>
                <xdr:col>4</xdr:col>
                <xdr:colOff>565150</xdr:colOff>
                <xdr:row>36</xdr:row>
                <xdr:rowOff>31750</xdr:rowOff>
              </to>
            </anchor>
          </controlPr>
        </control>
      </mc:Choice>
    </mc:AlternateContent>
    <mc:AlternateContent xmlns:mc="http://schemas.openxmlformats.org/markup-compatibility/2006">
      <mc:Choice Requires="x14">
        <control shapeId="1124" r:id="rId25" name="Check Box 100">
          <controlPr defaultSize="0" print="0" autoFill="0" autoLine="0" autoPict="0" altText="">
            <anchor moveWithCells="1">
              <from>
                <xdr:col>5</xdr:col>
                <xdr:colOff>222250</xdr:colOff>
                <xdr:row>34</xdr:row>
                <xdr:rowOff>400050</xdr:rowOff>
              </from>
              <to>
                <xdr:col>5</xdr:col>
                <xdr:colOff>609600</xdr:colOff>
                <xdr:row>36</xdr:row>
                <xdr:rowOff>31750</xdr:rowOff>
              </to>
            </anchor>
          </controlPr>
        </control>
      </mc:Choice>
    </mc:AlternateContent>
    <mc:AlternateContent xmlns:mc="http://schemas.openxmlformats.org/markup-compatibility/2006">
      <mc:Choice Requires="x14">
        <control shapeId="1125" r:id="rId26" name="Check Box 101">
          <controlPr defaultSize="0" print="0" autoFill="0" autoLine="0" autoPict="0" altText="">
            <anchor moveWithCells="1">
              <from>
                <xdr:col>6</xdr:col>
                <xdr:colOff>146050</xdr:colOff>
                <xdr:row>34</xdr:row>
                <xdr:rowOff>400050</xdr:rowOff>
              </from>
              <to>
                <xdr:col>6</xdr:col>
                <xdr:colOff>488950</xdr:colOff>
                <xdr:row>36</xdr:row>
                <xdr:rowOff>31750</xdr:rowOff>
              </to>
            </anchor>
          </controlPr>
        </control>
      </mc:Choice>
    </mc:AlternateContent>
    <mc:AlternateContent xmlns:mc="http://schemas.openxmlformats.org/markup-compatibility/2006">
      <mc:Choice Requires="x14">
        <control shapeId="1126" r:id="rId27" name="Check Box 102">
          <controlPr defaultSize="0" print="0" autoFill="0" autoLine="0" autoPict="0" altText="">
            <anchor moveWithCells="1">
              <from>
                <xdr:col>7</xdr:col>
                <xdr:colOff>107950</xdr:colOff>
                <xdr:row>34</xdr:row>
                <xdr:rowOff>412750</xdr:rowOff>
              </from>
              <to>
                <xdr:col>7</xdr:col>
                <xdr:colOff>450850</xdr:colOff>
                <xdr:row>36</xdr:row>
                <xdr:rowOff>19050</xdr:rowOff>
              </to>
            </anchor>
          </controlPr>
        </control>
      </mc:Choice>
    </mc:AlternateContent>
    <mc:AlternateContent xmlns:mc="http://schemas.openxmlformats.org/markup-compatibility/2006">
      <mc:Choice Requires="x14">
        <control shapeId="1127" r:id="rId28" name="Check Box 103">
          <controlPr defaultSize="0" print="0" autoFill="0" autoLine="0" autoPict="0" altText="">
            <anchor moveWithCells="1">
              <from>
                <xdr:col>8</xdr:col>
                <xdr:colOff>152400</xdr:colOff>
                <xdr:row>34</xdr:row>
                <xdr:rowOff>412750</xdr:rowOff>
              </from>
              <to>
                <xdr:col>8</xdr:col>
                <xdr:colOff>527050</xdr:colOff>
                <xdr:row>36</xdr:row>
                <xdr:rowOff>19050</xdr:rowOff>
              </to>
            </anchor>
          </controlPr>
        </control>
      </mc:Choice>
    </mc:AlternateContent>
    <mc:AlternateContent xmlns:mc="http://schemas.openxmlformats.org/markup-compatibility/2006">
      <mc:Choice Requires="x14">
        <control shapeId="1128" r:id="rId29" name="Check Box 104">
          <controlPr defaultSize="0" print="0" autoFill="0" autoLine="0" autoPict="0" altText="">
            <anchor moveWithCells="1">
              <from>
                <xdr:col>9</xdr:col>
                <xdr:colOff>146050</xdr:colOff>
                <xdr:row>34</xdr:row>
                <xdr:rowOff>412750</xdr:rowOff>
              </from>
              <to>
                <xdr:col>9</xdr:col>
                <xdr:colOff>488950</xdr:colOff>
                <xdr:row>36</xdr:row>
                <xdr:rowOff>19050</xdr:rowOff>
              </to>
            </anchor>
          </controlPr>
        </control>
      </mc:Choice>
    </mc:AlternateContent>
    <mc:AlternateContent xmlns:mc="http://schemas.openxmlformats.org/markup-compatibility/2006">
      <mc:Choice Requires="x14">
        <control shapeId="1129" r:id="rId30" name="Check Box 105">
          <controlPr defaultSize="0" print="0" autoFill="0" autoLine="0" autoPict="0" altText="">
            <anchor moveWithCells="1">
              <from>
                <xdr:col>10</xdr:col>
                <xdr:colOff>38100</xdr:colOff>
                <xdr:row>34</xdr:row>
                <xdr:rowOff>412750</xdr:rowOff>
              </from>
              <to>
                <xdr:col>10</xdr:col>
                <xdr:colOff>412750</xdr:colOff>
                <xdr:row>36</xdr:row>
                <xdr:rowOff>19050</xdr:rowOff>
              </to>
            </anchor>
          </controlPr>
        </control>
      </mc:Choice>
    </mc:AlternateContent>
    <mc:AlternateContent xmlns:mc="http://schemas.openxmlformats.org/markup-compatibility/2006">
      <mc:Choice Requires="x14">
        <control shapeId="1130" r:id="rId31" name="Check Box 106">
          <controlPr defaultSize="0" print="0" autoFill="0" autoLine="0" autoPict="0" altText="">
            <anchor moveWithCells="1">
              <from>
                <xdr:col>11</xdr:col>
                <xdr:colOff>146050</xdr:colOff>
                <xdr:row>34</xdr:row>
                <xdr:rowOff>412750</xdr:rowOff>
              </from>
              <to>
                <xdr:col>11</xdr:col>
                <xdr:colOff>527050</xdr:colOff>
                <xdr:row>36</xdr:row>
                <xdr:rowOff>19050</xdr:rowOff>
              </to>
            </anchor>
          </controlPr>
        </control>
      </mc:Choice>
    </mc:AlternateContent>
    <mc:AlternateContent xmlns:mc="http://schemas.openxmlformats.org/markup-compatibility/2006">
      <mc:Choice Requires="x14">
        <control shapeId="1131" r:id="rId32" name="Check Box 107">
          <controlPr defaultSize="0" print="0" autoFill="0" autoLine="0" autoPict="0" altText="">
            <anchor moveWithCells="1">
              <from>
                <xdr:col>12</xdr:col>
                <xdr:colOff>31750</xdr:colOff>
                <xdr:row>34</xdr:row>
                <xdr:rowOff>412750</xdr:rowOff>
              </from>
              <to>
                <xdr:col>12</xdr:col>
                <xdr:colOff>381000</xdr:colOff>
                <xdr:row>36</xdr:row>
                <xdr:rowOff>19050</xdr:rowOff>
              </to>
            </anchor>
          </controlPr>
        </control>
      </mc:Choice>
    </mc:AlternateContent>
    <mc:AlternateContent xmlns:mc="http://schemas.openxmlformats.org/markup-compatibility/2006">
      <mc:Choice Requires="x14">
        <control shapeId="1132" r:id="rId33" name="Check Box 108">
          <controlPr defaultSize="0" autoFill="0" autoLine="0" autoPict="0">
            <anchor moveWithCells="1">
              <from>
                <xdr:col>3</xdr:col>
                <xdr:colOff>95250</xdr:colOff>
                <xdr:row>33</xdr:row>
                <xdr:rowOff>31750</xdr:rowOff>
              </from>
              <to>
                <xdr:col>3</xdr:col>
                <xdr:colOff>857250</xdr:colOff>
                <xdr:row>33</xdr:row>
                <xdr:rowOff>374650</xdr:rowOff>
              </to>
            </anchor>
          </controlPr>
        </control>
      </mc:Choice>
    </mc:AlternateContent>
    <mc:AlternateContent xmlns:mc="http://schemas.openxmlformats.org/markup-compatibility/2006">
      <mc:Choice Requires="x14">
        <control shapeId="1133" r:id="rId34" name="Check Box 109">
          <controlPr defaultSize="0" autoFill="0" autoLine="0" autoPict="0">
            <anchor moveWithCells="1">
              <from>
                <xdr:col>4</xdr:col>
                <xdr:colOff>107950</xdr:colOff>
                <xdr:row>33</xdr:row>
                <xdr:rowOff>57150</xdr:rowOff>
              </from>
              <to>
                <xdr:col>4</xdr:col>
                <xdr:colOff>876300</xdr:colOff>
                <xdr:row>33</xdr:row>
                <xdr:rowOff>400050</xdr:rowOff>
              </to>
            </anchor>
          </controlPr>
        </control>
      </mc:Choice>
    </mc:AlternateContent>
    <mc:AlternateContent xmlns:mc="http://schemas.openxmlformats.org/markup-compatibility/2006">
      <mc:Choice Requires="x14">
        <control shapeId="1134" r:id="rId35" name="Check Box 110">
          <controlPr defaultSize="0" autoFill="0" autoLine="0" autoPict="0">
            <anchor moveWithCells="1">
              <from>
                <xdr:col>5</xdr:col>
                <xdr:colOff>107950</xdr:colOff>
                <xdr:row>33</xdr:row>
                <xdr:rowOff>57150</xdr:rowOff>
              </from>
              <to>
                <xdr:col>5</xdr:col>
                <xdr:colOff>876300</xdr:colOff>
                <xdr:row>33</xdr:row>
                <xdr:rowOff>400050</xdr:rowOff>
              </to>
            </anchor>
          </controlPr>
        </control>
      </mc:Choice>
    </mc:AlternateContent>
    <mc:AlternateContent xmlns:mc="http://schemas.openxmlformats.org/markup-compatibility/2006">
      <mc:Choice Requires="x14">
        <control shapeId="1135" r:id="rId36" name="Check Box 111">
          <controlPr defaultSize="0" autoFill="0" autoLine="0" autoPict="0">
            <anchor moveWithCells="1">
              <from>
                <xdr:col>6</xdr:col>
                <xdr:colOff>38100</xdr:colOff>
                <xdr:row>33</xdr:row>
                <xdr:rowOff>69850</xdr:rowOff>
              </from>
              <to>
                <xdr:col>6</xdr:col>
                <xdr:colOff>793750</xdr:colOff>
                <xdr:row>33</xdr:row>
                <xdr:rowOff>412750</xdr:rowOff>
              </to>
            </anchor>
          </controlPr>
        </control>
      </mc:Choice>
    </mc:AlternateContent>
    <mc:AlternateContent xmlns:mc="http://schemas.openxmlformats.org/markup-compatibility/2006">
      <mc:Choice Requires="x14">
        <control shapeId="1136" r:id="rId37" name="Check Box 112">
          <controlPr defaultSize="0" autoFill="0" autoLine="0" autoPict="0">
            <anchor moveWithCells="1">
              <from>
                <xdr:col>7</xdr:col>
                <xdr:colOff>31750</xdr:colOff>
                <xdr:row>33</xdr:row>
                <xdr:rowOff>69850</xdr:rowOff>
              </from>
              <to>
                <xdr:col>7</xdr:col>
                <xdr:colOff>755650</xdr:colOff>
                <xdr:row>33</xdr:row>
                <xdr:rowOff>412750</xdr:rowOff>
              </to>
            </anchor>
          </controlPr>
        </control>
      </mc:Choice>
    </mc:AlternateContent>
    <mc:AlternateContent xmlns:mc="http://schemas.openxmlformats.org/markup-compatibility/2006">
      <mc:Choice Requires="x14">
        <control shapeId="1137" r:id="rId38" name="Check Box 113">
          <controlPr defaultSize="0" autoFill="0" autoLine="0" autoPict="0">
            <anchor moveWithCells="1">
              <from>
                <xdr:col>8</xdr:col>
                <xdr:colOff>57150</xdr:colOff>
                <xdr:row>33</xdr:row>
                <xdr:rowOff>69850</xdr:rowOff>
              </from>
              <to>
                <xdr:col>8</xdr:col>
                <xdr:colOff>831850</xdr:colOff>
                <xdr:row>33</xdr:row>
                <xdr:rowOff>419100</xdr:rowOff>
              </to>
            </anchor>
          </controlPr>
        </control>
      </mc:Choice>
    </mc:AlternateContent>
    <mc:AlternateContent xmlns:mc="http://schemas.openxmlformats.org/markup-compatibility/2006">
      <mc:Choice Requires="x14">
        <control shapeId="1138" r:id="rId39" name="Check Box 114">
          <controlPr defaultSize="0" autoFill="0" autoLine="0" autoPict="0">
            <anchor moveWithCells="1">
              <from>
                <xdr:col>9</xdr:col>
                <xdr:colOff>107950</xdr:colOff>
                <xdr:row>33</xdr:row>
                <xdr:rowOff>76200</xdr:rowOff>
              </from>
              <to>
                <xdr:col>9</xdr:col>
                <xdr:colOff>876300</xdr:colOff>
                <xdr:row>33</xdr:row>
                <xdr:rowOff>438150</xdr:rowOff>
              </to>
            </anchor>
          </controlPr>
        </control>
      </mc:Choice>
    </mc:AlternateContent>
    <mc:AlternateContent xmlns:mc="http://schemas.openxmlformats.org/markup-compatibility/2006">
      <mc:Choice Requires="x14">
        <control shapeId="1139" r:id="rId40" name="Check Box 115">
          <controlPr defaultSize="0" autoFill="0" autoLine="0" autoPict="0">
            <anchor moveWithCells="1">
              <from>
                <xdr:col>10</xdr:col>
                <xdr:colOff>57150</xdr:colOff>
                <xdr:row>33</xdr:row>
                <xdr:rowOff>57150</xdr:rowOff>
              </from>
              <to>
                <xdr:col>10</xdr:col>
                <xdr:colOff>781050</xdr:colOff>
                <xdr:row>33</xdr:row>
                <xdr:rowOff>450850</xdr:rowOff>
              </to>
            </anchor>
          </controlPr>
        </control>
      </mc:Choice>
    </mc:AlternateContent>
    <mc:AlternateContent xmlns:mc="http://schemas.openxmlformats.org/markup-compatibility/2006">
      <mc:Choice Requires="x14">
        <control shapeId="1140" r:id="rId41" name="Check Box 116">
          <controlPr defaultSize="0" autoFill="0" autoLine="0" autoPict="0">
            <anchor moveWithCells="1">
              <from>
                <xdr:col>11</xdr:col>
                <xdr:colOff>57150</xdr:colOff>
                <xdr:row>33</xdr:row>
                <xdr:rowOff>69850</xdr:rowOff>
              </from>
              <to>
                <xdr:col>11</xdr:col>
                <xdr:colOff>831850</xdr:colOff>
                <xdr:row>33</xdr:row>
                <xdr:rowOff>419100</xdr:rowOff>
              </to>
            </anchor>
          </controlPr>
        </control>
      </mc:Choice>
    </mc:AlternateContent>
    <mc:AlternateContent xmlns:mc="http://schemas.openxmlformats.org/markup-compatibility/2006">
      <mc:Choice Requires="x14">
        <control shapeId="1141" r:id="rId42" name="Check Box 117">
          <controlPr defaultSize="0" autoFill="0" autoLine="0" autoPict="0">
            <anchor moveWithCells="1">
              <from>
                <xdr:col>12</xdr:col>
                <xdr:colOff>69850</xdr:colOff>
                <xdr:row>33</xdr:row>
                <xdr:rowOff>69850</xdr:rowOff>
              </from>
              <to>
                <xdr:col>12</xdr:col>
                <xdr:colOff>838200</xdr:colOff>
                <xdr:row>33</xdr:row>
                <xdr:rowOff>412750</xdr:rowOff>
              </to>
            </anchor>
          </controlPr>
        </control>
      </mc:Choice>
    </mc:AlternateContent>
    <mc:AlternateContent xmlns:mc="http://schemas.openxmlformats.org/markup-compatibility/2006">
      <mc:Choice Requires="x14">
        <control shapeId="1181" r:id="rId43" name="Button 157">
          <controlPr defaultSize="0" print="0" autoFill="0" autoPict="0" macro="[0]!全シートの保護">
            <anchor moveWithCells="1" sizeWithCells="1">
              <from>
                <xdr:col>2</xdr:col>
                <xdr:colOff>107950</xdr:colOff>
                <xdr:row>129</xdr:row>
                <xdr:rowOff>184150</xdr:rowOff>
              </from>
              <to>
                <xdr:col>3</xdr:col>
                <xdr:colOff>374650</xdr:colOff>
                <xdr:row>131</xdr:row>
                <xdr:rowOff>152400</xdr:rowOff>
              </to>
            </anchor>
          </controlPr>
        </control>
      </mc:Choice>
    </mc:AlternateContent>
    <mc:AlternateContent xmlns:mc="http://schemas.openxmlformats.org/markup-compatibility/2006">
      <mc:Choice Requires="x14">
        <control shapeId="1182" r:id="rId44" name="Button 158">
          <controlPr defaultSize="0" print="0" autoFill="0" autoPict="0" macro="[0]!全シートの保護解除">
            <anchor moveWithCells="1" sizeWithCells="1">
              <from>
                <xdr:col>3</xdr:col>
                <xdr:colOff>869950</xdr:colOff>
                <xdr:row>129</xdr:row>
                <xdr:rowOff>184150</xdr:rowOff>
              </from>
              <to>
                <xdr:col>5</xdr:col>
                <xdr:colOff>603250</xdr:colOff>
                <xdr:row>131</xdr:row>
                <xdr:rowOff>152400</xdr:rowOff>
              </to>
            </anchor>
          </controlPr>
        </control>
      </mc:Choice>
    </mc:AlternateContent>
    <mc:AlternateContent xmlns:mc="http://schemas.openxmlformats.org/markup-compatibility/2006">
      <mc:Choice Requires="x14">
        <control shapeId="1183" r:id="rId45" name="Button 159">
          <controlPr defaultSize="0" print="0" autoFill="0" autoPict="0" macro="[0]!シミュレーションデータ削除">
            <anchor>
              <from>
                <xdr:col>10</xdr:col>
                <xdr:colOff>831850</xdr:colOff>
                <xdr:row>0</xdr:row>
                <xdr:rowOff>247650</xdr:rowOff>
              </from>
              <to>
                <xdr:col>12</xdr:col>
                <xdr:colOff>514350</xdr:colOff>
                <xdr:row>1</xdr:row>
                <xdr:rowOff>69850</xdr:rowOff>
              </to>
            </anchor>
          </controlPr>
        </control>
      </mc:Choice>
    </mc:AlternateContent>
    <mc:AlternateContent xmlns:mc="http://schemas.openxmlformats.org/markup-compatibility/2006">
      <mc:Choice Requires="x14">
        <control shapeId="1185" r:id="rId46" name="Option Button 161">
          <controlPr defaultSize="0" autoFill="0" autoLine="0" autoPict="0">
            <anchor moveWithCells="1">
              <from>
                <xdr:col>8</xdr:col>
                <xdr:colOff>184150</xdr:colOff>
                <xdr:row>0</xdr:row>
                <xdr:rowOff>184150</xdr:rowOff>
              </from>
              <to>
                <xdr:col>8</xdr:col>
                <xdr:colOff>609600</xdr:colOff>
                <xdr:row>1</xdr:row>
                <xdr:rowOff>0</xdr:rowOff>
              </to>
            </anchor>
          </controlPr>
        </control>
      </mc:Choice>
    </mc:AlternateContent>
    <mc:AlternateContent xmlns:mc="http://schemas.openxmlformats.org/markup-compatibility/2006">
      <mc:Choice Requires="x14">
        <control shapeId="1186" r:id="rId47" name="Option Button 162">
          <controlPr defaultSize="0" autoFill="0" autoLine="0" autoPict="0">
            <anchor moveWithCells="1">
              <from>
                <xdr:col>8</xdr:col>
                <xdr:colOff>184150</xdr:colOff>
                <xdr:row>0</xdr:row>
                <xdr:rowOff>412750</xdr:rowOff>
              </from>
              <to>
                <xdr:col>9</xdr:col>
                <xdr:colOff>146050</xdr:colOff>
                <xdr:row>1</xdr:row>
                <xdr:rowOff>209550</xdr:rowOff>
              </to>
            </anchor>
          </controlPr>
        </control>
      </mc:Choice>
    </mc:AlternateContent>
    <mc:AlternateContent xmlns:mc="http://schemas.openxmlformats.org/markup-compatibility/2006">
      <mc:Choice Requires="x14">
        <control shapeId="1187" r:id="rId48" name="Button 163">
          <controlPr defaultSize="0" print="0" autoFill="0" autoPict="0" macro="[0]!名前をつけて保存">
            <anchor>
              <from>
                <xdr:col>9</xdr:col>
                <xdr:colOff>184150</xdr:colOff>
                <xdr:row>0</xdr:row>
                <xdr:rowOff>247650</xdr:rowOff>
              </from>
              <to>
                <xdr:col>10</xdr:col>
                <xdr:colOff>704850</xdr:colOff>
                <xdr:row>1</xdr:row>
                <xdr:rowOff>69850</xdr:rowOff>
              </to>
            </anchor>
          </controlPr>
        </control>
      </mc:Choice>
    </mc:AlternateContent>
    <mc:AlternateContent xmlns:mc="http://schemas.openxmlformats.org/markup-compatibility/2006">
      <mc:Choice Requires="x14">
        <control shapeId="1201" r:id="rId49" name="Check Box 177">
          <controlPr defaultSize="0" autoFill="0" autoLine="0" autoPict="0">
            <anchor moveWithCells="1">
              <from>
                <xdr:col>1</xdr:col>
                <xdr:colOff>457200</xdr:colOff>
                <xdr:row>11</xdr:row>
                <xdr:rowOff>95250</xdr:rowOff>
              </from>
              <to>
                <xdr:col>2</xdr:col>
                <xdr:colOff>69850</xdr:colOff>
                <xdr:row>12</xdr:row>
                <xdr:rowOff>0</xdr:rowOff>
              </to>
            </anchor>
          </controlPr>
        </control>
      </mc:Choice>
    </mc:AlternateContent>
    <mc:AlternateContent xmlns:mc="http://schemas.openxmlformats.org/markup-compatibility/2006">
      <mc:Choice Requires="x14">
        <control shapeId="1103" r:id="rId50" name="Check Box 79">
          <controlPr defaultSize="0" print="0" autoFill="0" autoLine="0" autoPict="0" altText="">
            <anchor>
              <from>
                <xdr:col>4</xdr:col>
                <xdr:colOff>133350</xdr:colOff>
                <xdr:row>3</xdr:row>
                <xdr:rowOff>190500</xdr:rowOff>
              </from>
              <to>
                <xdr:col>4</xdr:col>
                <xdr:colOff>514350</xdr:colOff>
                <xdr:row>5</xdr:row>
                <xdr:rowOff>69850</xdr:rowOff>
              </to>
            </anchor>
          </controlPr>
        </control>
      </mc:Choice>
    </mc:AlternateContent>
    <mc:AlternateContent xmlns:mc="http://schemas.openxmlformats.org/markup-compatibility/2006">
      <mc:Choice Requires="x14">
        <control shapeId="1202" r:id="rId51" name="Button 178">
          <controlPr defaultSize="0" print="0" autoFill="0" autoPict="0" macro="[0]!事前確定引き算">
            <anchor moveWithCells="1" sizeWithCells="1">
              <from>
                <xdr:col>0</xdr:col>
                <xdr:colOff>57150</xdr:colOff>
                <xdr:row>37</xdr:row>
                <xdr:rowOff>31750</xdr:rowOff>
              </from>
              <to>
                <xdr:col>1</xdr:col>
                <xdr:colOff>742950</xdr:colOff>
                <xdr:row>39</xdr:row>
                <xdr:rowOff>133350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B3:M81"/>
  <sheetViews>
    <sheetView showGridLines="0" topLeftCell="A14" zoomScale="80" zoomScaleNormal="80" workbookViewId="0">
      <selection activeCell="G41" sqref="G41"/>
    </sheetView>
  </sheetViews>
  <sheetFormatPr defaultColWidth="9.26953125" defaultRowHeight="16"/>
  <cols>
    <col min="1" max="1" width="4.26953125" style="110" customWidth="1"/>
    <col min="2" max="2" width="41.26953125" style="110" customWidth="1"/>
    <col min="3" max="3" width="32.26953125" style="110" customWidth="1"/>
    <col min="4" max="4" width="6.54296875" style="110" customWidth="1"/>
    <col min="5" max="5" width="13.54296875" style="110" customWidth="1"/>
    <col min="6" max="7" width="12.26953125" style="110" customWidth="1"/>
    <col min="8" max="9" width="9.26953125" style="110"/>
    <col min="10" max="10" width="12.54296875" style="110" customWidth="1"/>
    <col min="11" max="11" width="17.26953125" style="110" bestFit="1" customWidth="1"/>
    <col min="12" max="12" width="10.26953125" style="110" customWidth="1"/>
    <col min="13" max="16384" width="9.26953125" style="110"/>
  </cols>
  <sheetData>
    <row r="3" spans="2:13">
      <c r="B3" s="108" t="s">
        <v>143</v>
      </c>
      <c r="C3" s="108"/>
    </row>
    <row r="4" spans="2:13" ht="17.5">
      <c r="B4" s="117" t="s">
        <v>68</v>
      </c>
      <c r="C4" s="118"/>
      <c r="D4" s="210"/>
      <c r="E4" s="232" t="s">
        <v>155</v>
      </c>
      <c r="F4" s="233"/>
      <c r="G4" s="234"/>
      <c r="K4" s="110" t="s">
        <v>175</v>
      </c>
    </row>
    <row r="5" spans="2:13" ht="19">
      <c r="B5" s="243" t="s">
        <v>77</v>
      </c>
      <c r="C5" s="199">
        <f ca="1">シミュレーション!P3-SUM(シミュレーション!N8:N11)-シミュレーション!N32</f>
        <v>16582019.994242191</v>
      </c>
      <c r="D5" s="210"/>
      <c r="E5" s="235" t="s">
        <v>156</v>
      </c>
      <c r="F5" s="235" t="s">
        <v>157</v>
      </c>
      <c r="G5" s="236" t="s">
        <v>158</v>
      </c>
      <c r="K5" s="245" t="s">
        <v>164</v>
      </c>
      <c r="L5" s="246">
        <v>0.15</v>
      </c>
    </row>
    <row r="6" spans="2:13" ht="17.5">
      <c r="B6" s="111" t="s">
        <v>71</v>
      </c>
      <c r="C6" s="241">
        <f>シミュレーション!P4</f>
        <v>70000</v>
      </c>
      <c r="D6" s="210"/>
      <c r="E6" s="237" t="s">
        <v>159</v>
      </c>
      <c r="F6" s="239">
        <v>0.22389999999999999</v>
      </c>
      <c r="G6" s="238">
        <v>0.21365523164273104</v>
      </c>
      <c r="K6" s="247" t="s">
        <v>165</v>
      </c>
      <c r="L6" s="248">
        <v>0.23200000000000001</v>
      </c>
    </row>
    <row r="7" spans="2:13" ht="17.5">
      <c r="B7" s="112" t="s">
        <v>81</v>
      </c>
      <c r="C7" s="241">
        <f>シミュレーション!P5</f>
        <v>0</v>
      </c>
      <c r="D7" s="210"/>
      <c r="E7" s="237" t="s">
        <v>160</v>
      </c>
      <c r="F7" s="239">
        <v>0.24855999999999998</v>
      </c>
      <c r="G7" s="238">
        <v>0.23173380818750525</v>
      </c>
      <c r="K7" s="247" t="s">
        <v>166</v>
      </c>
      <c r="L7" s="248">
        <v>0.10299999999999999</v>
      </c>
    </row>
    <row r="8" spans="2:13" ht="17.5">
      <c r="B8" s="112" t="s">
        <v>70</v>
      </c>
      <c r="C8" s="201">
        <f ca="1">IF($C$5-$C$7&lt;=0,$C$6,ctax($C$5-$C$7)+$C$6)</f>
        <v>4733655.2223788993</v>
      </c>
      <c r="D8" s="210"/>
      <c r="E8" s="237" t="s">
        <v>161</v>
      </c>
      <c r="F8" s="239">
        <v>0.36803600000000003</v>
      </c>
      <c r="G8" s="238">
        <v>0.33582991148827446</v>
      </c>
      <c r="K8" s="247" t="s">
        <v>167</v>
      </c>
      <c r="L8" s="248">
        <v>0.01</v>
      </c>
    </row>
    <row r="9" spans="2:13">
      <c r="B9" s="112"/>
      <c r="C9" s="201"/>
      <c r="D9" s="210"/>
      <c r="E9" s="110" t="s">
        <v>162</v>
      </c>
      <c r="K9" s="247" t="s">
        <v>168</v>
      </c>
      <c r="L9" s="248">
        <v>1.7999999999999999E-2</v>
      </c>
      <c r="M9" s="110" t="s">
        <v>174</v>
      </c>
    </row>
    <row r="10" spans="2:13">
      <c r="B10" s="113"/>
      <c r="C10" s="201"/>
      <c r="D10" s="210"/>
      <c r="K10" s="247" t="s">
        <v>169</v>
      </c>
      <c r="L10" s="248">
        <v>0.06</v>
      </c>
    </row>
    <row r="11" spans="2:13">
      <c r="B11" s="112"/>
      <c r="C11" s="201"/>
      <c r="D11" s="210"/>
      <c r="K11" s="247" t="s">
        <v>170</v>
      </c>
      <c r="L11" s="248">
        <v>3.5000000000000003E-2</v>
      </c>
    </row>
    <row r="12" spans="2:13">
      <c r="B12" s="112"/>
      <c r="C12" s="201"/>
      <c r="D12" s="210"/>
      <c r="K12" s="247" t="s">
        <v>171</v>
      </c>
      <c r="L12" s="248">
        <v>5.2999999999999999E-2</v>
      </c>
    </row>
    <row r="13" spans="2:13">
      <c r="B13" s="114"/>
      <c r="C13" s="114"/>
      <c r="D13" s="210"/>
      <c r="K13" s="247" t="s">
        <v>172</v>
      </c>
      <c r="L13" s="248">
        <v>7.0000000000000007E-2</v>
      </c>
    </row>
    <row r="14" spans="2:13">
      <c r="B14" s="119" t="s">
        <v>78</v>
      </c>
      <c r="C14" s="240">
        <f ca="1">INT(SUM(C8:C12)/100)*100</f>
        <v>4733600</v>
      </c>
      <c r="D14" s="210"/>
      <c r="K14" s="249" t="s">
        <v>173</v>
      </c>
      <c r="L14" s="250">
        <v>0.37</v>
      </c>
    </row>
    <row r="15" spans="2:13">
      <c r="B15" s="119" t="s">
        <v>69</v>
      </c>
      <c r="C15" s="244">
        <f ca="1">IF(C5&gt;0,C14/C5*100,0)</f>
        <v>28.54658239251706</v>
      </c>
      <c r="D15" s="210" t="s">
        <v>176</v>
      </c>
    </row>
    <row r="16" spans="2:13">
      <c r="B16" s="109"/>
      <c r="C16" s="109"/>
    </row>
    <row r="17" spans="2:4">
      <c r="B17" s="115" t="s">
        <v>144</v>
      </c>
      <c r="C17" s="116"/>
    </row>
    <row r="18" spans="2:4">
      <c r="B18" s="120" t="s">
        <v>68</v>
      </c>
      <c r="C18" s="121"/>
      <c r="D18" s="210"/>
    </row>
    <row r="19" spans="2:4">
      <c r="B19" s="243" t="s">
        <v>163</v>
      </c>
      <c r="C19" s="199">
        <f ca="1">シミュレーション!P3-SUM(シミュレーション!N38:N41)-シミュレーション!N62</f>
        <v>13381919.990612268</v>
      </c>
      <c r="D19" s="210"/>
    </row>
    <row r="20" spans="2:4">
      <c r="B20" s="111" t="s">
        <v>71</v>
      </c>
      <c r="C20" s="251">
        <f>C6</f>
        <v>70000</v>
      </c>
      <c r="D20" s="210"/>
    </row>
    <row r="21" spans="2:4">
      <c r="B21" s="112" t="s">
        <v>82</v>
      </c>
      <c r="C21" s="252">
        <f>C7</f>
        <v>0</v>
      </c>
      <c r="D21" s="210"/>
    </row>
    <row r="22" spans="2:4">
      <c r="B22" s="112" t="s">
        <v>70</v>
      </c>
      <c r="C22" s="201">
        <f ca="1">IF($C$19-$C$21&lt;=0,$C$20,ctax($C$19-$C$21)+$C$20)</f>
        <v>3658965.9145967234</v>
      </c>
      <c r="D22" s="210"/>
    </row>
    <row r="23" spans="2:4">
      <c r="B23" s="112"/>
      <c r="C23" s="201"/>
      <c r="D23" s="210"/>
    </row>
    <row r="24" spans="2:4">
      <c r="B24" s="113"/>
      <c r="C24" s="201"/>
      <c r="D24" s="210"/>
    </row>
    <row r="25" spans="2:4">
      <c r="B25" s="112"/>
      <c r="C25" s="201"/>
      <c r="D25" s="210"/>
    </row>
    <row r="26" spans="2:4">
      <c r="B26" s="112"/>
      <c r="C26" s="201"/>
      <c r="D26" s="210"/>
    </row>
    <row r="27" spans="2:4">
      <c r="B27" s="114"/>
      <c r="C27" s="114"/>
      <c r="D27" s="210"/>
    </row>
    <row r="28" spans="2:4">
      <c r="B28" s="242" t="s">
        <v>78</v>
      </c>
      <c r="C28" s="240">
        <f ca="1">INT(SUM(C22:C26)/100)*100</f>
        <v>3658900</v>
      </c>
      <c r="D28" s="210"/>
    </row>
    <row r="29" spans="2:4">
      <c r="B29" s="242" t="s">
        <v>69</v>
      </c>
      <c r="C29" s="244">
        <f ca="1">IF(C19&gt;0,C28/C19*100,0)</f>
        <v>27.342115350912309</v>
      </c>
      <c r="D29" s="210" t="s">
        <v>176</v>
      </c>
    </row>
    <row r="30" spans="2:4">
      <c r="B30" s="109"/>
      <c r="C30" s="109"/>
    </row>
    <row r="31" spans="2:4">
      <c r="B31" s="115"/>
      <c r="C31" s="116"/>
    </row>
    <row r="32" spans="2:4">
      <c r="B32" s="169"/>
      <c r="C32" s="109"/>
    </row>
    <row r="33" spans="2:3">
      <c r="B33" s="170"/>
      <c r="C33" s="171"/>
    </row>
    <row r="34" spans="2:3">
      <c r="B34" s="200"/>
      <c r="C34" s="172"/>
    </row>
    <row r="35" spans="2:3">
      <c r="B35" s="200"/>
      <c r="C35" s="172"/>
    </row>
    <row r="36" spans="2:3">
      <c r="B36" s="173"/>
      <c r="C36" s="203"/>
    </row>
    <row r="37" spans="2:3">
      <c r="B37" s="173"/>
      <c r="C37" s="203"/>
    </row>
    <row r="38" spans="2:3">
      <c r="B38" s="173"/>
      <c r="C38" s="203"/>
    </row>
    <row r="39" spans="2:3">
      <c r="B39" s="174"/>
      <c r="C39" s="203"/>
    </row>
    <row r="40" spans="2:3">
      <c r="B40" s="173"/>
      <c r="C40" s="203"/>
    </row>
    <row r="41" spans="2:3">
      <c r="B41" s="173"/>
      <c r="C41" s="203"/>
    </row>
    <row r="42" spans="2:3">
      <c r="B42" s="109"/>
      <c r="C42" s="109"/>
    </row>
    <row r="43" spans="2:3">
      <c r="B43" s="200"/>
      <c r="C43" s="171"/>
    </row>
    <row r="44" spans="2:3">
      <c r="B44" s="200"/>
      <c r="C44" s="175"/>
    </row>
    <row r="45" spans="2:3">
      <c r="B45" s="109"/>
      <c r="C45" s="109"/>
    </row>
    <row r="46" spans="2:3" hidden="1">
      <c r="B46" s="109"/>
      <c r="C46" s="109"/>
    </row>
    <row r="47" spans="2:3" hidden="1">
      <c r="B47" s="109"/>
      <c r="C47" s="109"/>
    </row>
    <row r="48" spans="2:3" hidden="1">
      <c r="B48" s="109"/>
      <c r="C48" s="109"/>
    </row>
    <row r="49" spans="2:3" hidden="1">
      <c r="B49" s="109"/>
      <c r="C49" s="109"/>
    </row>
    <row r="51" spans="2:3">
      <c r="B51" s="115"/>
      <c r="C51" s="116"/>
    </row>
    <row r="52" spans="2:3">
      <c r="B52" s="169"/>
      <c r="C52" s="109"/>
    </row>
    <row r="53" spans="2:3">
      <c r="B53" s="170"/>
      <c r="C53" s="171"/>
    </row>
    <row r="54" spans="2:3">
      <c r="B54" s="200"/>
      <c r="C54" s="172"/>
    </row>
    <row r="55" spans="2:3">
      <c r="B55" s="173"/>
      <c r="C55" s="203"/>
    </row>
    <row r="56" spans="2:3">
      <c r="B56" s="173"/>
      <c r="C56" s="203"/>
    </row>
    <row r="57" spans="2:3">
      <c r="B57" s="173"/>
      <c r="C57" s="203"/>
    </row>
    <row r="58" spans="2:3">
      <c r="B58" s="174"/>
      <c r="C58" s="203"/>
    </row>
    <row r="59" spans="2:3">
      <c r="B59" s="173"/>
      <c r="C59" s="203"/>
    </row>
    <row r="60" spans="2:3">
      <c r="B60" s="173"/>
      <c r="C60" s="203"/>
    </row>
    <row r="61" spans="2:3">
      <c r="B61" s="109"/>
      <c r="C61" s="109"/>
    </row>
    <row r="62" spans="2:3">
      <c r="B62" s="200"/>
      <c r="C62" s="171"/>
    </row>
    <row r="63" spans="2:3">
      <c r="B63" s="200"/>
      <c r="C63" s="175"/>
    </row>
    <row r="65" spans="2:4">
      <c r="B65" s="109"/>
      <c r="C65" s="109"/>
    </row>
    <row r="66" spans="2:4">
      <c r="B66" s="313"/>
      <c r="C66" s="313"/>
    </row>
    <row r="67" spans="2:4">
      <c r="B67" s="200"/>
      <c r="C67" s="176"/>
    </row>
    <row r="68" spans="2:4">
      <c r="B68" s="200"/>
      <c r="C68" s="176"/>
    </row>
    <row r="69" spans="2:4">
      <c r="B69" s="200"/>
      <c r="C69" s="171"/>
    </row>
    <row r="70" spans="2:4">
      <c r="B70" s="200"/>
      <c r="C70" s="171"/>
    </row>
    <row r="71" spans="2:4">
      <c r="B71" s="200"/>
      <c r="C71" s="171"/>
    </row>
    <row r="72" spans="2:4">
      <c r="B72" s="200"/>
      <c r="C72" s="171"/>
    </row>
    <row r="73" spans="2:4">
      <c r="B73" s="200"/>
      <c r="C73" s="171"/>
    </row>
    <row r="74" spans="2:4">
      <c r="B74" s="200"/>
      <c r="C74" s="171"/>
      <c r="D74" s="178"/>
    </row>
    <row r="76" spans="2:4">
      <c r="B76" s="109"/>
      <c r="C76" s="109"/>
    </row>
    <row r="77" spans="2:4">
      <c r="B77" s="313"/>
      <c r="C77" s="313"/>
    </row>
    <row r="78" spans="2:4">
      <c r="B78" s="200"/>
      <c r="C78" s="177"/>
    </row>
    <row r="79" spans="2:4">
      <c r="B79" s="200"/>
      <c r="C79" s="202"/>
    </row>
    <row r="80" spans="2:4">
      <c r="B80" s="200"/>
      <c r="C80" s="202"/>
    </row>
    <row r="81" spans="2:4">
      <c r="B81" s="179"/>
      <c r="C81" s="180"/>
      <c r="D81" s="178"/>
    </row>
  </sheetData>
  <sheetProtection sheet="1" objects="1" scenarios="1"/>
  <mergeCells count="2">
    <mergeCell ref="B77:C77"/>
    <mergeCell ref="B66:C66"/>
  </mergeCells>
  <phoneticPr fontId="7"/>
  <conditionalFormatting sqref="A1:XFD3 A4:D8 H4:XFD8 A9:XFD1048576">
    <cfRule type="expression" dxfId="7" priority="3">
      <formula>CELL("protect", A1)=0</formula>
    </cfRule>
  </conditionalFormatting>
  <conditionalFormatting sqref="E4:G8">
    <cfRule type="expression" dxfId="6" priority="1" stopIfTrue="1">
      <formula>CELL("protect", E4) = 0</formula>
    </cfRule>
  </conditionalFormatting>
  <conditionalFormatting sqref="E4:G8">
    <cfRule type="expression" dxfId="5" priority="2" stopIfTrue="1">
      <formula>CELL("protect", E4) = 0</formula>
    </cfRule>
  </conditionalFormatting>
  <pageMargins left="0.5" right="0.5" top="0.2" bottom="0.3" header="0.3" footer="0.3"/>
  <pageSetup paperSize="9" scale="52"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079C5-9BAC-4016-99BB-47405E00A3CD}">
  <sheetPr codeName="Sheet2"/>
  <dimension ref="B1:AS100"/>
  <sheetViews>
    <sheetView showGridLines="0" zoomScale="80" zoomScaleNormal="80" workbookViewId="0">
      <selection activeCell="C30" sqref="C30"/>
    </sheetView>
  </sheetViews>
  <sheetFormatPr defaultRowHeight="14.5"/>
  <cols>
    <col min="1" max="1" width="3.7265625" customWidth="1"/>
    <col min="2" max="2" width="35.26953125" customWidth="1"/>
    <col min="3" max="3" width="16" customWidth="1"/>
    <col min="4" max="4" width="26.7265625" customWidth="1"/>
    <col min="5" max="5" width="15.7265625" style="129" customWidth="1"/>
    <col min="6" max="6" width="15.7265625" customWidth="1"/>
    <col min="7" max="7" width="5.7265625" customWidth="1"/>
    <col min="8" max="9" width="5.7265625" hidden="1" customWidth="1"/>
    <col min="10" max="11" width="15.7265625" customWidth="1"/>
    <col min="12" max="12" width="7.26953125" customWidth="1"/>
    <col min="13" max="13" width="18.54296875" bestFit="1" customWidth="1"/>
    <col min="14" max="14" width="12.26953125" bestFit="1" customWidth="1"/>
  </cols>
  <sheetData>
    <row r="1" spans="2:45" ht="53.25" customHeight="1">
      <c r="B1" s="134" t="s">
        <v>88</v>
      </c>
      <c r="AS1" s="204">
        <v>1</v>
      </c>
    </row>
    <row r="2" spans="2:45">
      <c r="O2" s="285" t="s">
        <v>192</v>
      </c>
    </row>
    <row r="3" spans="2:45">
      <c r="B3" s="130" t="s">
        <v>83</v>
      </c>
      <c r="C3" s="132">
        <f>シミュレーション!D8</f>
        <v>12000000</v>
      </c>
      <c r="D3" t="s">
        <v>84</v>
      </c>
    </row>
    <row r="4" spans="2:45">
      <c r="B4" s="130" t="s">
        <v>85</v>
      </c>
      <c r="C4" s="133">
        <f ca="1">法人税!C5</f>
        <v>16582019.994242191</v>
      </c>
      <c r="D4" t="s">
        <v>146</v>
      </c>
      <c r="E4" s="221" t="s">
        <v>87</v>
      </c>
      <c r="F4" s="222" t="s">
        <v>118</v>
      </c>
      <c r="J4" s="224" t="s">
        <v>147</v>
      </c>
      <c r="K4" s="223" t="s">
        <v>148</v>
      </c>
      <c r="M4" s="274" t="s">
        <v>185</v>
      </c>
      <c r="N4" s="275" t="s">
        <v>118</v>
      </c>
      <c r="O4" s="285"/>
    </row>
    <row r="5" spans="2:45">
      <c r="E5" s="217">
        <f t="shared" ref="E5:E23" si="0">E6+500000</f>
        <v>22000000</v>
      </c>
      <c r="F5" s="219">
        <v>-4509700.0140190125</v>
      </c>
      <c r="J5" s="213">
        <f t="shared" ref="J5:J44" si="1">J6+500000</f>
        <v>20000000</v>
      </c>
      <c r="K5" s="225">
        <v>-4626399.9959945679</v>
      </c>
      <c r="M5" s="276">
        <f>シミュレーション!P3-シミュレーション!D38</f>
        <v>15000000</v>
      </c>
      <c r="N5" s="277">
        <v>37662.008834481239</v>
      </c>
      <c r="O5" t="s">
        <v>187</v>
      </c>
    </row>
    <row r="6" spans="2:45">
      <c r="B6" s="130" t="s">
        <v>149</v>
      </c>
      <c r="C6" s="132">
        <f>シミュレーション!P3</f>
        <v>30000000</v>
      </c>
      <c r="E6" s="211">
        <f t="shared" si="0"/>
        <v>21500000</v>
      </c>
      <c r="F6" s="212">
        <v>-4291200.0140190125</v>
      </c>
      <c r="J6" s="213">
        <f t="shared" si="1"/>
        <v>19500000</v>
      </c>
      <c r="K6" s="225">
        <v>-4243199.9959945679</v>
      </c>
      <c r="M6" s="278">
        <f>M5-($M$5-$M$45)/40</f>
        <v>14625000</v>
      </c>
      <c r="N6" s="279">
        <v>243062.00883448124</v>
      </c>
    </row>
    <row r="7" spans="2:45">
      <c r="E7" s="217">
        <f t="shared" si="0"/>
        <v>21000000</v>
      </c>
      <c r="F7" s="219">
        <v>-4072800.0140190125</v>
      </c>
      <c r="J7" s="213">
        <f t="shared" si="1"/>
        <v>19000000</v>
      </c>
      <c r="K7" s="225">
        <v>-3889999.9959945679</v>
      </c>
      <c r="M7" s="276">
        <f>M6-($M$5-$M$45)/40</f>
        <v>14250000</v>
      </c>
      <c r="N7" s="277">
        <v>386762.00883448124</v>
      </c>
    </row>
    <row r="8" spans="2:45">
      <c r="E8" s="211">
        <f t="shared" si="0"/>
        <v>20500000</v>
      </c>
      <c r="F8" s="212">
        <v>-3854300.0140190125</v>
      </c>
      <c r="J8" s="213">
        <f t="shared" si="1"/>
        <v>18500000</v>
      </c>
      <c r="K8" s="225">
        <v>-3536799.9959945679</v>
      </c>
      <c r="M8" s="278">
        <f t="shared" ref="M8:M44" si="2">M7-($M$5-$M$45)/40</f>
        <v>13875000</v>
      </c>
      <c r="N8" s="279">
        <v>491762.00883448124</v>
      </c>
    </row>
    <row r="9" spans="2:45">
      <c r="E9" s="217">
        <f t="shared" si="0"/>
        <v>20000000</v>
      </c>
      <c r="F9" s="219">
        <v>-3635800.0140190125</v>
      </c>
      <c r="J9" s="213">
        <f t="shared" si="1"/>
        <v>18000000</v>
      </c>
      <c r="K9" s="225">
        <v>-3183699.9959945679</v>
      </c>
      <c r="M9" s="276">
        <f t="shared" si="2"/>
        <v>13500000</v>
      </c>
      <c r="N9" s="277">
        <v>596662.00883448124</v>
      </c>
    </row>
    <row r="10" spans="2:45">
      <c r="E10" s="211">
        <f t="shared" si="0"/>
        <v>19500000</v>
      </c>
      <c r="F10" s="212">
        <v>-3417400.0140190125</v>
      </c>
      <c r="J10" s="213">
        <f t="shared" si="1"/>
        <v>17500000</v>
      </c>
      <c r="K10" s="225">
        <v>-2830399.9959945679</v>
      </c>
      <c r="M10" s="278">
        <f t="shared" si="2"/>
        <v>13125000</v>
      </c>
      <c r="N10" s="279">
        <v>701662.00883448124</v>
      </c>
    </row>
    <row r="11" spans="2:45">
      <c r="E11" s="217">
        <f t="shared" si="0"/>
        <v>19000000</v>
      </c>
      <c r="F11" s="219">
        <v>-3198900.0140190125</v>
      </c>
      <c r="J11" s="213">
        <f t="shared" si="1"/>
        <v>17000000</v>
      </c>
      <c r="K11" s="225">
        <v>-2477299.9959945679</v>
      </c>
      <c r="M11" s="276">
        <f t="shared" si="2"/>
        <v>12750000</v>
      </c>
      <c r="N11" s="277">
        <v>806662.00883448124</v>
      </c>
    </row>
    <row r="12" spans="2:45">
      <c r="B12" t="s">
        <v>89</v>
      </c>
      <c r="E12" s="211">
        <f t="shared" si="0"/>
        <v>18500000</v>
      </c>
      <c r="F12" s="212">
        <v>-2980500.0140190125</v>
      </c>
      <c r="J12" s="213">
        <f t="shared" si="1"/>
        <v>16500000</v>
      </c>
      <c r="K12" s="225">
        <v>-2124099.9959945679</v>
      </c>
      <c r="M12" s="278">
        <f t="shared" si="2"/>
        <v>12375000</v>
      </c>
      <c r="N12" s="279">
        <v>911562.00883448124</v>
      </c>
    </row>
    <row r="13" spans="2:45">
      <c r="B13" s="167" t="s">
        <v>96</v>
      </c>
      <c r="E13" s="217">
        <f t="shared" si="0"/>
        <v>18000000</v>
      </c>
      <c r="F13" s="219">
        <v>-2697100.0125169754</v>
      </c>
      <c r="J13" s="213">
        <f t="shared" si="1"/>
        <v>16000000</v>
      </c>
      <c r="K13" s="225">
        <v>-1770899.9959945679</v>
      </c>
      <c r="M13" s="276">
        <f t="shared" si="2"/>
        <v>12000000</v>
      </c>
      <c r="N13" s="277">
        <v>1016462.0088344812</v>
      </c>
    </row>
    <row r="14" spans="2:45">
      <c r="B14" s="168" t="s">
        <v>95</v>
      </c>
      <c r="E14" s="211">
        <f t="shared" si="0"/>
        <v>17500000</v>
      </c>
      <c r="F14" s="212">
        <v>-2413800.0110149384</v>
      </c>
      <c r="J14" s="213">
        <f t="shared" si="1"/>
        <v>15500000</v>
      </c>
      <c r="K14" s="225">
        <v>-1466999.9959945679</v>
      </c>
      <c r="M14" s="278">
        <f t="shared" si="2"/>
        <v>11625000</v>
      </c>
      <c r="N14" s="279">
        <v>1121362.0088344812</v>
      </c>
    </row>
    <row r="15" spans="2:45">
      <c r="E15" s="217">
        <f t="shared" si="0"/>
        <v>17000000</v>
      </c>
      <c r="F15" s="219">
        <v>-2195300.0110149384</v>
      </c>
      <c r="J15" s="213">
        <f t="shared" si="1"/>
        <v>15000000</v>
      </c>
      <c r="K15" s="225">
        <v>-1165999.9959945679</v>
      </c>
      <c r="M15" s="276">
        <f t="shared" si="2"/>
        <v>11250000</v>
      </c>
      <c r="N15" s="277">
        <v>1225462.0088344812</v>
      </c>
    </row>
    <row r="16" spans="2:45">
      <c r="E16" s="211">
        <f t="shared" si="0"/>
        <v>16500000</v>
      </c>
      <c r="F16" s="212">
        <v>-1912400.0095129013</v>
      </c>
      <c r="J16" s="213">
        <f t="shared" si="1"/>
        <v>14500000</v>
      </c>
      <c r="K16" s="225">
        <v>-864999.99599456787</v>
      </c>
      <c r="M16" s="278">
        <f t="shared" si="2"/>
        <v>10875000</v>
      </c>
      <c r="N16" s="279">
        <v>1321862.0088344812</v>
      </c>
    </row>
    <row r="17" spans="5:17">
      <c r="E17" s="217">
        <f t="shared" si="0"/>
        <v>16000000</v>
      </c>
      <c r="F17" s="219">
        <v>-1648200.0080108643</v>
      </c>
      <c r="J17" s="213">
        <f t="shared" si="1"/>
        <v>14000000</v>
      </c>
      <c r="K17" s="225">
        <v>-564099.99599456787</v>
      </c>
      <c r="M17" s="276">
        <f t="shared" si="2"/>
        <v>10500000</v>
      </c>
      <c r="N17" s="277">
        <v>1418362.0088344812</v>
      </c>
    </row>
    <row r="18" spans="5:17">
      <c r="E18" s="211">
        <f t="shared" si="0"/>
        <v>15500000</v>
      </c>
      <c r="F18" s="212">
        <v>-1480800.0080108643</v>
      </c>
      <c r="J18" s="213">
        <f t="shared" si="1"/>
        <v>13500000</v>
      </c>
      <c r="K18" s="225">
        <v>-263199.99599456787</v>
      </c>
      <c r="M18" s="278">
        <f t="shared" si="2"/>
        <v>10125000</v>
      </c>
      <c r="N18" s="279">
        <v>1514862.0088344812</v>
      </c>
    </row>
    <row r="19" spans="5:17">
      <c r="E19" s="217">
        <f t="shared" si="0"/>
        <v>15000000</v>
      </c>
      <c r="F19" s="219">
        <v>-1244600.0065088272</v>
      </c>
      <c r="J19" s="213">
        <f t="shared" si="1"/>
        <v>13000000</v>
      </c>
      <c r="K19" s="225">
        <v>37800.004005432129</v>
      </c>
      <c r="M19" s="276">
        <f t="shared" si="2"/>
        <v>9750000</v>
      </c>
      <c r="N19" s="277">
        <v>1611262.0088344812</v>
      </c>
    </row>
    <row r="20" spans="5:17">
      <c r="E20" s="211">
        <f t="shared" si="0"/>
        <v>14500000</v>
      </c>
      <c r="F20" s="212">
        <v>-1008200.0050067902</v>
      </c>
      <c r="J20" s="213">
        <f t="shared" si="1"/>
        <v>12500000</v>
      </c>
      <c r="K20" s="225">
        <v>338700.00400543213</v>
      </c>
      <c r="M20" s="278">
        <f t="shared" si="2"/>
        <v>9375000</v>
      </c>
      <c r="N20" s="279">
        <v>1669762.0088344812</v>
      </c>
    </row>
    <row r="21" spans="5:17">
      <c r="E21" s="217">
        <f t="shared" si="0"/>
        <v>14000000</v>
      </c>
      <c r="F21" s="219">
        <v>-784100.00375509262</v>
      </c>
      <c r="J21" s="213">
        <f t="shared" si="1"/>
        <v>12000000</v>
      </c>
      <c r="K21" s="225">
        <v>639700.00400543213</v>
      </c>
      <c r="M21" s="276">
        <f t="shared" si="2"/>
        <v>9000000</v>
      </c>
      <c r="N21" s="277">
        <v>1718162.0088344812</v>
      </c>
    </row>
    <row r="22" spans="5:17">
      <c r="E22" s="211">
        <f t="shared" si="0"/>
        <v>13500000</v>
      </c>
      <c r="F22" s="212">
        <v>-632000.00375509262</v>
      </c>
      <c r="J22" s="213">
        <f t="shared" si="1"/>
        <v>11500000</v>
      </c>
      <c r="K22" s="225">
        <v>926780.00400543213</v>
      </c>
      <c r="M22" s="278">
        <f t="shared" si="2"/>
        <v>8625000</v>
      </c>
      <c r="N22" s="279">
        <v>1766562.0088344812</v>
      </c>
      <c r="Q22" s="282"/>
    </row>
    <row r="23" spans="5:17">
      <c r="E23" s="217">
        <f t="shared" si="0"/>
        <v>13000000</v>
      </c>
      <c r="F23" s="219">
        <v>-421200.00250339508</v>
      </c>
      <c r="J23" s="213">
        <f t="shared" si="1"/>
        <v>11000000</v>
      </c>
      <c r="K23" s="225">
        <v>1186580.0040054321</v>
      </c>
      <c r="M23" s="276">
        <f t="shared" si="2"/>
        <v>8250000</v>
      </c>
      <c r="N23" s="277">
        <v>1815062.0088344812</v>
      </c>
    </row>
    <row r="24" spans="5:17">
      <c r="E24" s="211">
        <f>E25+500000</f>
        <v>12500000</v>
      </c>
      <c r="F24" s="212">
        <v>-210800.00125169754</v>
      </c>
      <c r="J24" s="213">
        <f t="shared" si="1"/>
        <v>10500000</v>
      </c>
      <c r="K24" s="225">
        <v>1438280.0040054321</v>
      </c>
      <c r="M24" s="278">
        <f t="shared" si="2"/>
        <v>7875000</v>
      </c>
      <c r="N24" s="279">
        <v>1828362.0088344812</v>
      </c>
    </row>
    <row r="25" spans="5:17">
      <c r="E25" s="218">
        <f>シミュレーション!D8</f>
        <v>12000000</v>
      </c>
      <c r="F25" s="220">
        <v>0</v>
      </c>
      <c r="G25" t="s">
        <v>86</v>
      </c>
      <c r="J25" s="213">
        <f t="shared" si="1"/>
        <v>10000000</v>
      </c>
      <c r="K25" s="225">
        <v>1647080.0040054321</v>
      </c>
      <c r="M25" s="276">
        <f t="shared" si="2"/>
        <v>7500000</v>
      </c>
      <c r="N25" s="277">
        <v>1813562.0088344812</v>
      </c>
    </row>
    <row r="26" spans="5:17">
      <c r="E26" s="211">
        <f>IF(E25-500000&lt;=0,0,E25-500000)</f>
        <v>11500000</v>
      </c>
      <c r="F26" s="212">
        <v>183600.00100135803</v>
      </c>
      <c r="J26" s="213">
        <f t="shared" si="1"/>
        <v>9500000</v>
      </c>
      <c r="K26" s="214">
        <v>1855980.0040054321</v>
      </c>
      <c r="M26" s="278">
        <f t="shared" si="2"/>
        <v>7125000</v>
      </c>
      <c r="N26" s="279">
        <v>1798562.0088344812</v>
      </c>
    </row>
    <row r="27" spans="5:17">
      <c r="E27" s="211">
        <f t="shared" ref="E27:E45" si="3">IF(E26-500000&lt;=0,0,E26-500000)</f>
        <v>11000000</v>
      </c>
      <c r="F27" s="219">
        <v>367400.00200271606</v>
      </c>
      <c r="J27" s="213">
        <f t="shared" si="1"/>
        <v>9000000</v>
      </c>
      <c r="K27" s="215">
        <v>2064780.0040054321</v>
      </c>
      <c r="M27" s="276">
        <f t="shared" si="2"/>
        <v>6750000</v>
      </c>
      <c r="N27" s="277">
        <v>1773462.0088344812</v>
      </c>
    </row>
    <row r="28" spans="5:17">
      <c r="E28" s="211">
        <f t="shared" si="3"/>
        <v>10500000</v>
      </c>
      <c r="F28" s="212">
        <v>566200.0030040741</v>
      </c>
      <c r="J28" s="213">
        <f t="shared" si="1"/>
        <v>8500000</v>
      </c>
      <c r="K28" s="215">
        <v>2272680.0040054321</v>
      </c>
      <c r="M28" s="278">
        <f t="shared" si="2"/>
        <v>6375000</v>
      </c>
      <c r="N28" s="279">
        <v>1744262.0088344812</v>
      </c>
    </row>
    <row r="29" spans="5:17">
      <c r="E29" s="211">
        <f t="shared" si="3"/>
        <v>10000000</v>
      </c>
      <c r="F29" s="219">
        <v>736800.00375509262</v>
      </c>
      <c r="J29" s="213">
        <f t="shared" si="1"/>
        <v>8000000</v>
      </c>
      <c r="K29" s="215">
        <v>2466180.0040054321</v>
      </c>
      <c r="M29" s="276">
        <f t="shared" si="2"/>
        <v>6000000</v>
      </c>
      <c r="N29" s="277">
        <v>1715062.0088344812</v>
      </c>
    </row>
    <row r="30" spans="5:17">
      <c r="E30" s="211">
        <f t="shared" si="3"/>
        <v>9500000</v>
      </c>
      <c r="F30" s="212">
        <v>962560.00465631485</v>
      </c>
      <c r="J30" s="213">
        <f t="shared" si="1"/>
        <v>7500000</v>
      </c>
      <c r="K30" s="215">
        <v>2315192.0043158531</v>
      </c>
      <c r="M30" s="278">
        <f t="shared" si="2"/>
        <v>5625000</v>
      </c>
      <c r="N30" s="279">
        <v>1701162.0088344812</v>
      </c>
    </row>
    <row r="31" spans="5:17">
      <c r="E31" s="211">
        <f t="shared" si="3"/>
        <v>9000000</v>
      </c>
      <c r="F31" s="219">
        <v>1151640.0048065186</v>
      </c>
      <c r="J31" s="213">
        <f t="shared" si="1"/>
        <v>7000000</v>
      </c>
      <c r="K31" s="215">
        <v>2265692.0035648346</v>
      </c>
      <c r="M31" s="276">
        <f t="shared" si="2"/>
        <v>5250000</v>
      </c>
      <c r="N31" s="277">
        <v>1671962.0088344812</v>
      </c>
    </row>
    <row r="32" spans="5:17">
      <c r="E32" s="211">
        <f t="shared" si="3"/>
        <v>8500000</v>
      </c>
      <c r="F32" s="212">
        <v>1445400.005106926</v>
      </c>
      <c r="J32" s="213">
        <f t="shared" si="1"/>
        <v>6500000</v>
      </c>
      <c r="K32" s="215">
        <v>2084604.0033745766</v>
      </c>
      <c r="M32" s="278">
        <f t="shared" si="2"/>
        <v>4875000</v>
      </c>
      <c r="N32" s="279">
        <v>1633362.0088344812</v>
      </c>
    </row>
    <row r="33" spans="5:15">
      <c r="E33" s="211">
        <f t="shared" si="3"/>
        <v>8000000</v>
      </c>
      <c r="F33" s="219">
        <v>1616180.0052571297</v>
      </c>
      <c r="J33" s="213">
        <f t="shared" si="1"/>
        <v>6000000</v>
      </c>
      <c r="K33" s="215">
        <v>1894360.0031542778</v>
      </c>
      <c r="M33" s="276">
        <f t="shared" si="2"/>
        <v>4500000</v>
      </c>
      <c r="N33" s="277">
        <v>1568512.0090222359</v>
      </c>
    </row>
    <row r="34" spans="5:15">
      <c r="E34" s="211">
        <f t="shared" si="3"/>
        <v>7500000</v>
      </c>
      <c r="F34" s="212">
        <v>1777560.0054073334</v>
      </c>
      <c r="J34" s="213">
        <f t="shared" si="1"/>
        <v>5500000</v>
      </c>
      <c r="K34" s="215">
        <v>1783380.0030040741</v>
      </c>
      <c r="M34" s="278">
        <f t="shared" si="2"/>
        <v>4125000</v>
      </c>
      <c r="N34" s="279">
        <v>1541162.0100027323</v>
      </c>
    </row>
    <row r="35" spans="5:15">
      <c r="E35" s="211">
        <f t="shared" si="3"/>
        <v>7000000</v>
      </c>
      <c r="F35" s="219">
        <v>2038120.0057077408</v>
      </c>
      <c r="J35" s="213">
        <f t="shared" si="1"/>
        <v>5000000</v>
      </c>
      <c r="K35" s="215">
        <v>1581120.0027036667</v>
      </c>
      <c r="M35" s="276">
        <f t="shared" si="2"/>
        <v>3750000</v>
      </c>
      <c r="N35" s="277">
        <v>1498912.0109832287</v>
      </c>
    </row>
    <row r="36" spans="5:15">
      <c r="E36" s="211">
        <f t="shared" si="3"/>
        <v>6500000</v>
      </c>
      <c r="F36" s="212">
        <v>2229700.0058579445</v>
      </c>
      <c r="J36" s="213">
        <f t="shared" si="1"/>
        <v>4500000</v>
      </c>
      <c r="K36" s="215">
        <v>1439880.0025033951</v>
      </c>
      <c r="M36" s="278">
        <f t="shared" si="2"/>
        <v>3375000</v>
      </c>
      <c r="N36" s="279">
        <v>1442162.0119637251</v>
      </c>
    </row>
    <row r="37" spans="5:15">
      <c r="E37" s="211">
        <f t="shared" si="3"/>
        <v>6000000</v>
      </c>
      <c r="F37" s="219">
        <v>2424140.0060582161</v>
      </c>
      <c r="J37" s="213">
        <f t="shared" si="1"/>
        <v>4000000</v>
      </c>
      <c r="K37" s="215">
        <v>1286040.0023031235</v>
      </c>
      <c r="M37" s="276">
        <f t="shared" si="2"/>
        <v>3000000</v>
      </c>
      <c r="N37" s="277">
        <v>1382012.0129442215</v>
      </c>
    </row>
    <row r="38" spans="5:15">
      <c r="E38" s="211">
        <f t="shared" si="3"/>
        <v>5500000</v>
      </c>
      <c r="F38" s="212">
        <v>2609980.0062584877</v>
      </c>
      <c r="J38" s="213">
        <f t="shared" si="1"/>
        <v>3500000</v>
      </c>
      <c r="K38" s="215">
        <v>1129500.0021028519</v>
      </c>
      <c r="M38" s="278">
        <f t="shared" si="2"/>
        <v>2625000</v>
      </c>
      <c r="N38" s="279">
        <v>1351962.0139247179</v>
      </c>
    </row>
    <row r="39" spans="5:15">
      <c r="E39" s="211">
        <f t="shared" si="3"/>
        <v>5000000</v>
      </c>
      <c r="F39" s="219">
        <v>2754820.0064587593</v>
      </c>
      <c r="J39" s="213">
        <f t="shared" si="1"/>
        <v>3000000</v>
      </c>
      <c r="K39" s="215">
        <v>1003320.0019526482</v>
      </c>
      <c r="M39" s="276">
        <f t="shared" si="2"/>
        <v>2250000</v>
      </c>
      <c r="N39" s="277">
        <v>1291912.0149052143</v>
      </c>
    </row>
    <row r="40" spans="5:15">
      <c r="E40" s="211">
        <f t="shared" si="3"/>
        <v>4500000</v>
      </c>
      <c r="F40" s="214">
        <v>2971180.0067591667</v>
      </c>
      <c r="J40" s="213">
        <f t="shared" si="1"/>
        <v>2500000</v>
      </c>
      <c r="K40" s="215">
        <v>801160.00165224075</v>
      </c>
      <c r="M40" s="278">
        <f t="shared" si="2"/>
        <v>1875000</v>
      </c>
      <c r="N40" s="279">
        <v>1230962.0158857107</v>
      </c>
    </row>
    <row r="41" spans="5:15">
      <c r="E41" s="211">
        <f t="shared" si="3"/>
        <v>4000000</v>
      </c>
      <c r="F41" s="219">
        <v>3080260.0069093704</v>
      </c>
      <c r="J41" s="213">
        <f t="shared" si="1"/>
        <v>2000000</v>
      </c>
      <c r="K41" s="215">
        <v>674880.00150203705</v>
      </c>
      <c r="M41" s="276">
        <f t="shared" si="2"/>
        <v>1500000</v>
      </c>
      <c r="N41" s="277">
        <v>1129712.0168662071</v>
      </c>
    </row>
    <row r="42" spans="5:15">
      <c r="E42" s="211">
        <f t="shared" si="3"/>
        <v>3500000</v>
      </c>
      <c r="F42" s="212">
        <v>3239404.0071296692</v>
      </c>
      <c r="J42" s="213">
        <f t="shared" si="1"/>
        <v>1500000</v>
      </c>
      <c r="K42" s="215">
        <v>548400.00135183334</v>
      </c>
      <c r="M42" s="278">
        <f t="shared" si="2"/>
        <v>1125000</v>
      </c>
      <c r="N42" s="279">
        <v>1030756.0176964998</v>
      </c>
    </row>
    <row r="43" spans="5:15">
      <c r="E43" s="211">
        <f t="shared" si="3"/>
        <v>3000000</v>
      </c>
      <c r="F43" s="219">
        <v>3377092.0073199272</v>
      </c>
      <c r="J43" s="213">
        <f t="shared" si="1"/>
        <v>1000000</v>
      </c>
      <c r="K43" s="215">
        <v>318840.00105142593</v>
      </c>
      <c r="M43" s="276">
        <f t="shared" si="2"/>
        <v>750000</v>
      </c>
      <c r="N43" s="277">
        <v>990608.01789259911</v>
      </c>
    </row>
    <row r="44" spans="5:15">
      <c r="E44" s="211">
        <f t="shared" si="3"/>
        <v>2500000</v>
      </c>
      <c r="F44" s="212">
        <v>3420292.0080709457</v>
      </c>
      <c r="J44" s="213">
        <f t="shared" si="1"/>
        <v>500000</v>
      </c>
      <c r="K44" s="215">
        <v>177360.00090122223</v>
      </c>
      <c r="M44" s="278">
        <f t="shared" si="2"/>
        <v>375000</v>
      </c>
      <c r="N44" s="279">
        <v>950460.01808869839</v>
      </c>
    </row>
    <row r="45" spans="5:15">
      <c r="E45" s="211">
        <f t="shared" si="3"/>
        <v>2000000</v>
      </c>
      <c r="F45" s="229">
        <v>3695380.0077605247</v>
      </c>
      <c r="J45" s="231">
        <v>0</v>
      </c>
      <c r="K45" s="216"/>
      <c r="M45" s="280">
        <f>シミュレーション!D9</f>
        <v>0</v>
      </c>
      <c r="N45" s="281"/>
      <c r="O45" t="s">
        <v>186</v>
      </c>
    </row>
    <row r="46" spans="5:15">
      <c r="E46" s="131"/>
    </row>
    <row r="47" spans="5:15">
      <c r="E47" s="131"/>
    </row>
    <row r="48" spans="5:15">
      <c r="E48" s="131"/>
    </row>
    <row r="49" spans="5:5">
      <c r="E49" s="131"/>
    </row>
    <row r="100" spans="5:15" ht="16">
      <c r="E100" s="283">
        <v>5000000</v>
      </c>
      <c r="F100" s="283">
        <f>MAX(テーブル4[合算CF])</f>
        <v>3695380.0077605247</v>
      </c>
      <c r="G100" s="187"/>
      <c r="H100" s="187"/>
      <c r="I100" s="187"/>
      <c r="J100" s="283">
        <v>8000000</v>
      </c>
      <c r="K100" s="283">
        <f>MAX(テーブル5[合算CF])</f>
        <v>2466180.0040054321</v>
      </c>
      <c r="L100" s="187"/>
      <c r="M100" s="283">
        <v>9870000</v>
      </c>
      <c r="N100" s="284">
        <f>MAX(N5:N45)</f>
        <v>1828362.0088344812</v>
      </c>
      <c r="O100" s="187"/>
    </row>
  </sheetData>
  <sheetProtection sheet="1" objects="1" scenarios="1"/>
  <phoneticPr fontId="7"/>
  <conditionalFormatting sqref="C3:C4">
    <cfRule type="expression" dxfId="29" priority="14" stopIfTrue="1">
      <formula>$AS$1=2</formula>
    </cfRule>
  </conditionalFormatting>
  <conditionalFormatting sqref="E5:F45">
    <cfRule type="expression" dxfId="28" priority="15" stopIfTrue="1">
      <formula>$AS$1=2</formula>
    </cfRule>
  </conditionalFormatting>
  <conditionalFormatting sqref="K5:K45">
    <cfRule type="expression" dxfId="27" priority="11">
      <formula>K5=MAX($K$5:$K$45)</formula>
    </cfRule>
  </conditionalFormatting>
  <conditionalFormatting sqref="J5:K45">
    <cfRule type="expression" dxfId="26" priority="12" stopIfTrue="1">
      <formula>$AS$1=2</formula>
    </cfRule>
  </conditionalFormatting>
  <conditionalFormatting sqref="K5:K25">
    <cfRule type="expression" priority="10">
      <formula>K5=MAX($K$5:$K$25)</formula>
    </cfRule>
  </conditionalFormatting>
  <conditionalFormatting sqref="N5:N45">
    <cfRule type="expression" dxfId="25" priority="8">
      <formula>N5=MAX($N$5:$N$45)</formula>
    </cfRule>
  </conditionalFormatting>
  <conditionalFormatting sqref="N5:N45">
    <cfRule type="expression" dxfId="24" priority="9" stopIfTrue="1">
      <formula>$AS$1=2</formula>
    </cfRule>
  </conditionalFormatting>
  <conditionalFormatting sqref="M5:M45">
    <cfRule type="expression" dxfId="23" priority="7" stopIfTrue="1">
      <formula>$AS$1=2</formula>
    </cfRule>
  </conditionalFormatting>
  <conditionalFormatting sqref="F5:F45">
    <cfRule type="expression" dxfId="22" priority="5">
      <formula>F5=MAX($F$5:$F$45)</formula>
    </cfRule>
  </conditionalFormatting>
  <conditionalFormatting sqref="N100">
    <cfRule type="expression" dxfId="21" priority="2" stopIfTrue="1">
      <formula>$AS$1=2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最適化">
                <anchor moveWithCells="1" sizeWithCells="1">
                  <from>
                    <xdr:col>4</xdr:col>
                    <xdr:colOff>19050</xdr:colOff>
                    <xdr:row>0</xdr:row>
                    <xdr:rowOff>260350</xdr:rowOff>
                  </from>
                  <to>
                    <xdr:col>5</xdr:col>
                    <xdr:colOff>1098550</xdr:colOff>
                    <xdr:row>2</xdr:row>
                    <xdr:rowOff>57150</xdr:rowOff>
                  </to>
                </anchor>
              </controlPr>
            </control>
          </mc:Choice>
        </mc:AlternateContent>
        <mc:AlternateContent xmlns:mc="http://schemas.openxmlformats.org/markup-compatibility/2006">
          <mc:Choice Requires="x14">
            <control shapeId="5124" r:id="rId4" name="Option Button 4">
              <controlPr defaultSize="0" autoFill="0" autoLine="0" autoPict="0">
                <anchor moveWithCells="1">
                  <from>
                    <xdr:col>3</xdr:col>
                    <xdr:colOff>412750</xdr:colOff>
                    <xdr:row>0</xdr:row>
                    <xdr:rowOff>184150</xdr:rowOff>
                  </from>
                  <to>
                    <xdr:col>3</xdr:col>
                    <xdr:colOff>831850</xdr:colOff>
                    <xdr:row>0</xdr:row>
                    <xdr:rowOff>438150</xdr:rowOff>
                  </to>
                </anchor>
              </controlPr>
            </control>
          </mc:Choice>
        </mc:AlternateContent>
        <mc:AlternateContent xmlns:mc="http://schemas.openxmlformats.org/markup-compatibility/2006">
          <mc:Choice Requires="x14">
            <control shapeId="5125" r:id="rId5" name="Option Button 5">
              <controlPr defaultSize="0" autoFill="0" autoLine="0" autoPict="0">
                <anchor moveWithCells="1">
                  <from>
                    <xdr:col>3</xdr:col>
                    <xdr:colOff>412750</xdr:colOff>
                    <xdr:row>0</xdr:row>
                    <xdr:rowOff>412750</xdr:rowOff>
                  </from>
                  <to>
                    <xdr:col>3</xdr:col>
                    <xdr:colOff>1212850</xdr:colOff>
                    <xdr:row>0</xdr:row>
                    <xdr:rowOff>647700</xdr:rowOff>
                  </to>
                </anchor>
              </controlPr>
            </control>
          </mc:Choice>
        </mc:AlternateContent>
        <mc:AlternateContent xmlns:mc="http://schemas.openxmlformats.org/markup-compatibility/2006">
          <mc:Choice Requires="x14">
            <control shapeId="5126" r:id="rId6" name="Button 6">
              <controlPr defaultSize="0" print="0" autoFill="0" autoPict="0" macro="[0]!配当金最適化">
                <anchor moveWithCells="1" sizeWithCells="1">
                  <from>
                    <xdr:col>9</xdr:col>
                    <xdr:colOff>450850</xdr:colOff>
                    <xdr:row>0</xdr:row>
                    <xdr:rowOff>266700</xdr:rowOff>
                  </from>
                  <to>
                    <xdr:col>10</xdr:col>
                    <xdr:colOff>603250</xdr:colOff>
                    <xdr:row>2</xdr:row>
                    <xdr:rowOff>76200</xdr:rowOff>
                  </to>
                </anchor>
              </controlPr>
            </control>
          </mc:Choice>
        </mc:AlternateContent>
        <mc:AlternateContent xmlns:mc="http://schemas.openxmlformats.org/markup-compatibility/2006">
          <mc:Choice Requires="x14">
            <control shapeId="5128" r:id="rId7" name="Button 8">
              <controlPr defaultSize="0" print="0" autoFill="0" autoPict="0" macro="[0]!事前確定最適化">
                <anchor moveWithCells="1" sizeWithCells="1">
                  <from>
                    <xdr:col>12</xdr:col>
                    <xdr:colOff>260350</xdr:colOff>
                    <xdr:row>0</xdr:row>
                    <xdr:rowOff>298450</xdr:rowOff>
                  </from>
                  <to>
                    <xdr:col>13</xdr:col>
                    <xdr:colOff>647700</xdr:colOff>
                    <xdr:row>2</xdr:row>
                    <xdr:rowOff>69850</xdr:rowOff>
                  </to>
                </anchor>
              </controlPr>
            </control>
          </mc:Choice>
        </mc:AlternateContent>
      </controls>
    </mc:Choice>
  </mc:AlternateContent>
  <tableParts count="2">
    <tablePart r:id="rId8"/>
    <tablePart r:id="rId9"/>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4ADB8-78FF-4B1E-BD91-FB19ABC76D84}">
  <sheetPr codeName="Sheet3">
    <pageSetUpPr fitToPage="1"/>
  </sheetPr>
  <dimension ref="A1:AT31"/>
  <sheetViews>
    <sheetView showGridLines="0" tabSelected="1" zoomScale="85" zoomScaleNormal="85" workbookViewId="0">
      <selection activeCell="E22" sqref="E22"/>
    </sheetView>
  </sheetViews>
  <sheetFormatPr defaultColWidth="8.7265625" defaultRowHeight="14.5"/>
  <cols>
    <col min="1" max="1" width="9.7265625" customWidth="1"/>
    <col min="2" max="2" width="17.7265625" customWidth="1"/>
    <col min="3" max="5" width="13.7265625" customWidth="1"/>
    <col min="6" max="6" width="10.26953125" customWidth="1"/>
    <col min="7" max="7" width="13.7265625" customWidth="1"/>
    <col min="8" max="8" width="17.7265625" customWidth="1"/>
    <col min="9" max="12" width="13.7265625" customWidth="1"/>
  </cols>
  <sheetData>
    <row r="1" spans="1:46" ht="42.75" customHeight="1">
      <c r="A1" s="178" t="s">
        <v>115</v>
      </c>
      <c r="D1" s="187" t="str">
        <f>IF(HOME!C4="","",HOME!C4)</f>
        <v/>
      </c>
      <c r="AT1" s="204">
        <v>1</v>
      </c>
    </row>
    <row r="2" spans="1:46" ht="26.25" customHeight="1">
      <c r="A2" s="188" t="s">
        <v>116</v>
      </c>
      <c r="B2" s="183"/>
      <c r="C2" s="184"/>
      <c r="D2" s="184"/>
      <c r="E2" s="185"/>
      <c r="F2" s="189"/>
      <c r="G2" s="188" t="s">
        <v>117</v>
      </c>
      <c r="H2" s="183"/>
      <c r="I2" s="184"/>
      <c r="J2" s="184"/>
      <c r="K2" s="185"/>
      <c r="L2" s="189"/>
    </row>
    <row r="3" spans="1:46">
      <c r="A3" s="190"/>
      <c r="B3" s="130" t="s">
        <v>121</v>
      </c>
      <c r="F3" s="191"/>
      <c r="G3" s="190"/>
      <c r="H3" s="130" t="s">
        <v>121</v>
      </c>
      <c r="L3" s="191"/>
    </row>
    <row r="4" spans="1:46" ht="10.5" customHeight="1">
      <c r="A4" s="190"/>
      <c r="F4" s="191"/>
      <c r="G4" s="190"/>
      <c r="L4" s="191"/>
    </row>
    <row r="5" spans="1:46" ht="20.149999999999999" customHeight="1">
      <c r="A5" s="190"/>
      <c r="B5" s="206"/>
      <c r="C5" s="207" t="s">
        <v>59</v>
      </c>
      <c r="D5" s="207" t="s">
        <v>114</v>
      </c>
      <c r="E5" s="207" t="s">
        <v>107</v>
      </c>
      <c r="F5" s="208"/>
      <c r="G5" s="210"/>
      <c r="H5" s="206"/>
      <c r="I5" s="207" t="s">
        <v>59</v>
      </c>
      <c r="J5" s="207" t="s">
        <v>114</v>
      </c>
      <c r="K5" s="207" t="s">
        <v>107</v>
      </c>
      <c r="L5" s="191"/>
    </row>
    <row r="6" spans="1:46" ht="20.149999999999999" customHeight="1">
      <c r="A6" s="190"/>
      <c r="B6" s="178" t="s">
        <v>105</v>
      </c>
      <c r="C6" s="110"/>
      <c r="D6" s="110"/>
      <c r="E6" s="110"/>
      <c r="F6" s="208"/>
      <c r="G6" s="210"/>
      <c r="H6" s="178" t="s">
        <v>105</v>
      </c>
      <c r="I6" s="110"/>
      <c r="J6" s="110"/>
      <c r="K6" s="110"/>
      <c r="L6" s="191"/>
    </row>
    <row r="7" spans="1:46" ht="20.149999999999999" customHeight="1">
      <c r="A7" s="190"/>
      <c r="B7" s="209" t="s">
        <v>141</v>
      </c>
      <c r="C7" s="298">
        <f>シミュレーション!N8</f>
        <v>12000000</v>
      </c>
      <c r="D7" s="298">
        <f>シミュレーション!N38</f>
        <v>15000000</v>
      </c>
      <c r="E7" s="298">
        <f t="shared" ref="E7:E14" si="0">D7-C7</f>
        <v>3000000</v>
      </c>
      <c r="F7" s="208"/>
      <c r="G7" s="210"/>
      <c r="H7" s="209" t="s">
        <v>141</v>
      </c>
      <c r="I7" s="298">
        <v>12000000</v>
      </c>
      <c r="J7" s="298">
        <v>12000000</v>
      </c>
      <c r="K7" s="298">
        <v>0</v>
      </c>
      <c r="L7" s="191"/>
    </row>
    <row r="8" spans="1:46" ht="20.149999999999999" customHeight="1">
      <c r="A8" s="190"/>
      <c r="B8" s="209" t="s">
        <v>142</v>
      </c>
      <c r="C8" s="298">
        <f>SUM(シミュレーション!N9:N11)</f>
        <v>0</v>
      </c>
      <c r="D8" s="298">
        <f>SUM(シミュレーション!N39:N41)</f>
        <v>0</v>
      </c>
      <c r="E8" s="298">
        <f t="shared" si="0"/>
        <v>0</v>
      </c>
      <c r="F8" s="208"/>
      <c r="G8" s="210"/>
      <c r="H8" s="209" t="s">
        <v>142</v>
      </c>
      <c r="I8" s="298">
        <v>0</v>
      </c>
      <c r="J8" s="298">
        <v>0</v>
      </c>
      <c r="K8" s="298">
        <v>0</v>
      </c>
      <c r="L8" s="191"/>
    </row>
    <row r="9" spans="1:46" ht="20.149999999999999" customHeight="1">
      <c r="A9" s="190"/>
      <c r="B9" s="209" t="s">
        <v>194</v>
      </c>
      <c r="C9" s="298">
        <f>シミュレーション!N12</f>
        <v>0</v>
      </c>
      <c r="D9" s="298">
        <f>シミュレーション!N42</f>
        <v>0</v>
      </c>
      <c r="E9" s="298">
        <f t="shared" si="0"/>
        <v>0</v>
      </c>
      <c r="F9" s="208"/>
      <c r="G9" s="210"/>
      <c r="H9" s="209" t="s">
        <v>194</v>
      </c>
      <c r="I9" s="298">
        <v>0</v>
      </c>
      <c r="J9" s="298">
        <v>0</v>
      </c>
      <c r="K9" s="298">
        <v>0</v>
      </c>
      <c r="L9" s="191"/>
    </row>
    <row r="10" spans="1:46" ht="20.149999999999999" customHeight="1">
      <c r="A10" s="190"/>
      <c r="B10" s="294" t="s">
        <v>220</v>
      </c>
      <c r="C10" s="298">
        <f>-シミュレーション!N13</f>
        <v>0</v>
      </c>
      <c r="D10" s="298">
        <f>-シミュレーション!N43</f>
        <v>0</v>
      </c>
      <c r="E10" s="298">
        <f t="shared" si="0"/>
        <v>0</v>
      </c>
      <c r="F10" s="208"/>
      <c r="G10" s="210"/>
      <c r="H10" s="294" t="s">
        <v>220</v>
      </c>
      <c r="I10" s="298">
        <v>0</v>
      </c>
      <c r="J10" s="298">
        <v>-3600000</v>
      </c>
      <c r="K10" s="298">
        <v>-3600000</v>
      </c>
      <c r="L10" s="191"/>
    </row>
    <row r="11" spans="1:46" ht="20.149999999999999" customHeight="1">
      <c r="A11" s="190"/>
      <c r="B11" s="209" t="s">
        <v>108</v>
      </c>
      <c r="C11" s="298">
        <f>シミュレーション!N15</f>
        <v>0</v>
      </c>
      <c r="D11" s="299">
        <f>シミュレーション!N45</f>
        <v>0</v>
      </c>
      <c r="E11" s="299">
        <f t="shared" si="0"/>
        <v>0</v>
      </c>
      <c r="F11" s="208"/>
      <c r="G11" s="210"/>
      <c r="H11" s="209" t="s">
        <v>108</v>
      </c>
      <c r="I11" s="298">
        <v>1000000</v>
      </c>
      <c r="J11" s="299">
        <v>1000000</v>
      </c>
      <c r="K11" s="299">
        <v>0</v>
      </c>
      <c r="L11" s="191"/>
    </row>
    <row r="12" spans="1:46" ht="20.149999999999999" customHeight="1">
      <c r="A12" s="190"/>
      <c r="B12" s="209" t="s">
        <v>140</v>
      </c>
      <c r="C12" s="298">
        <f>シミュレーション!N16</f>
        <v>0</v>
      </c>
      <c r="D12" s="299">
        <f>シミュレーション!N46</f>
        <v>0</v>
      </c>
      <c r="E12" s="299">
        <f t="shared" si="0"/>
        <v>0</v>
      </c>
      <c r="F12" s="208"/>
      <c r="G12" s="210"/>
      <c r="H12" s="209" t="s">
        <v>140</v>
      </c>
      <c r="I12" s="298">
        <v>0</v>
      </c>
      <c r="J12" s="299">
        <v>0</v>
      </c>
      <c r="K12" s="299">
        <v>0</v>
      </c>
      <c r="L12" s="191"/>
    </row>
    <row r="13" spans="1:46" ht="20.149999999999999" customHeight="1">
      <c r="A13" s="190"/>
      <c r="B13" s="209" t="s">
        <v>152</v>
      </c>
      <c r="C13" s="298">
        <f ca="1">シミュレーション!N26</f>
        <v>1519500</v>
      </c>
      <c r="D13" s="298">
        <f ca="1">シミュレーション!N56</f>
        <v>2464100</v>
      </c>
      <c r="E13" s="298">
        <f t="shared" ca="1" si="0"/>
        <v>944600</v>
      </c>
      <c r="F13" s="208"/>
      <c r="G13" s="210"/>
      <c r="H13" s="209" t="s">
        <v>152</v>
      </c>
      <c r="I13" s="298">
        <v>2056300</v>
      </c>
      <c r="J13" s="298">
        <v>1007900</v>
      </c>
      <c r="K13" s="298">
        <v>-1048400</v>
      </c>
      <c r="L13" s="191"/>
    </row>
    <row r="14" spans="1:46" ht="20.149999999999999" customHeight="1">
      <c r="A14" s="190"/>
      <c r="B14" s="209" t="s">
        <v>153</v>
      </c>
      <c r="C14" s="298">
        <f ca="1">シミュレーション!N29</f>
        <v>1389900.0057578087</v>
      </c>
      <c r="D14" s="298">
        <f ca="1">シミュレーション!N59</f>
        <v>1590000.0093877316</v>
      </c>
      <c r="E14" s="298">
        <f t="shared" ca="1" si="0"/>
        <v>200100.00362992287</v>
      </c>
      <c r="F14" s="208"/>
      <c r="G14" s="210"/>
      <c r="H14" s="209" t="s">
        <v>153</v>
      </c>
      <c r="I14" s="298">
        <v>1408716.0066515207</v>
      </c>
      <c r="J14" s="298">
        <v>1217232.0030257106</v>
      </c>
      <c r="K14" s="298">
        <v>-191484.00362581015</v>
      </c>
      <c r="L14" s="191"/>
    </row>
    <row r="15" spans="1:46" ht="20.149999999999999" customHeight="1" thickBot="1">
      <c r="A15" s="190"/>
      <c r="B15" s="178" t="s">
        <v>101</v>
      </c>
      <c r="C15" s="300">
        <f ca="1">SUM(C7:C12)-C13-C14</f>
        <v>9090599.9942421913</v>
      </c>
      <c r="D15" s="300">
        <f ca="1">SUM(D7:D12)-D13-D14</f>
        <v>10945899.990612268</v>
      </c>
      <c r="E15" s="300">
        <f ca="1">SUM(E7:E12)-E13-E14</f>
        <v>1855299.9963700771</v>
      </c>
      <c r="F15" s="208"/>
      <c r="G15" s="210"/>
      <c r="H15" s="178" t="s">
        <v>101</v>
      </c>
      <c r="I15" s="300">
        <v>9534983.9933484793</v>
      </c>
      <c r="J15" s="300">
        <v>7174867.9969742894</v>
      </c>
      <c r="K15" s="300">
        <v>-2360115.9963741899</v>
      </c>
      <c r="L15" s="191"/>
    </row>
    <row r="16" spans="1:46" ht="20.149999999999999" customHeight="1" thickTop="1">
      <c r="A16" s="190"/>
      <c r="B16" s="178" t="s">
        <v>221</v>
      </c>
      <c r="C16" s="298"/>
      <c r="D16" s="298"/>
      <c r="E16" s="301">
        <f>-E10</f>
        <v>0</v>
      </c>
      <c r="F16" s="208"/>
      <c r="G16" s="210"/>
      <c r="H16" s="178" t="s">
        <v>221</v>
      </c>
      <c r="I16" s="298"/>
      <c r="J16" s="298"/>
      <c r="K16" s="301">
        <v>3600000</v>
      </c>
      <c r="L16" s="191"/>
    </row>
    <row r="17" spans="1:12" ht="20.149999999999999" customHeight="1">
      <c r="A17" s="190"/>
      <c r="B17" s="178" t="s">
        <v>150</v>
      </c>
      <c r="C17" s="298"/>
      <c r="D17" s="298"/>
      <c r="E17" s="298"/>
      <c r="F17" s="208"/>
      <c r="G17" s="210"/>
      <c r="H17" s="178" t="s">
        <v>150</v>
      </c>
      <c r="I17" s="298"/>
      <c r="J17" s="298"/>
      <c r="K17" s="298"/>
      <c r="L17" s="191"/>
    </row>
    <row r="18" spans="1:12" ht="20.149999999999999" customHeight="1">
      <c r="A18" s="190"/>
      <c r="B18" s="110" t="s">
        <v>151</v>
      </c>
      <c r="C18" s="298">
        <f>シミュレーション!P3</f>
        <v>30000000</v>
      </c>
      <c r="D18" s="298">
        <f>シミュレーション!P3</f>
        <v>30000000</v>
      </c>
      <c r="E18" s="298"/>
      <c r="F18" s="208"/>
      <c r="G18" s="210"/>
      <c r="H18" s="110" t="s">
        <v>151</v>
      </c>
      <c r="I18" s="298">
        <v>10000000</v>
      </c>
      <c r="J18" s="298">
        <v>10000000</v>
      </c>
      <c r="K18" s="298"/>
      <c r="L18" s="191"/>
    </row>
    <row r="19" spans="1:12" ht="20.149999999999999" customHeight="1">
      <c r="A19" s="190"/>
      <c r="B19" s="110" t="s">
        <v>102</v>
      </c>
      <c r="C19" s="298">
        <f>C7+C8</f>
        <v>12000000</v>
      </c>
      <c r="D19" s="298">
        <f>D7+D8</f>
        <v>15000000</v>
      </c>
      <c r="E19" s="298">
        <f>D19-C19</f>
        <v>3000000</v>
      </c>
      <c r="F19" s="208"/>
      <c r="G19" s="210"/>
      <c r="H19" s="110" t="s">
        <v>102</v>
      </c>
      <c r="I19" s="298">
        <v>12000000</v>
      </c>
      <c r="J19" s="298">
        <v>12000000</v>
      </c>
      <c r="K19" s="298">
        <v>0</v>
      </c>
      <c r="L19" s="191"/>
    </row>
    <row r="20" spans="1:12" ht="20.149999999999999" customHeight="1">
      <c r="A20" s="190"/>
      <c r="B20" s="110" t="s">
        <v>145</v>
      </c>
      <c r="C20" s="298">
        <f>シミュレーション!N15</f>
        <v>0</v>
      </c>
      <c r="D20" s="298">
        <f>シミュレーション!N45</f>
        <v>0</v>
      </c>
      <c r="E20" s="298">
        <f>D20-C20</f>
        <v>0</v>
      </c>
      <c r="F20" s="208"/>
      <c r="G20" s="210"/>
      <c r="H20" s="110" t="s">
        <v>145</v>
      </c>
      <c r="I20" s="298">
        <v>1000000</v>
      </c>
      <c r="J20" s="298">
        <v>1000000</v>
      </c>
      <c r="K20" s="298">
        <v>0</v>
      </c>
      <c r="L20" s="191"/>
    </row>
    <row r="21" spans="1:12" ht="20.149999999999999" customHeight="1">
      <c r="A21" s="190"/>
      <c r="B21" s="110" t="s">
        <v>103</v>
      </c>
      <c r="C21" s="298">
        <f ca="1">法人税!C14</f>
        <v>4733600</v>
      </c>
      <c r="D21" s="298">
        <f ca="1">法人税!C28</f>
        <v>3658900</v>
      </c>
      <c r="E21" s="298">
        <f ca="1">D21-C21</f>
        <v>-1074700</v>
      </c>
      <c r="F21" s="208"/>
      <c r="G21" s="210"/>
      <c r="H21" s="110" t="s">
        <v>103</v>
      </c>
      <c r="I21" s="298">
        <v>70000</v>
      </c>
      <c r="J21" s="298">
        <v>70000</v>
      </c>
      <c r="K21" s="298">
        <v>0</v>
      </c>
      <c r="L21" s="191"/>
    </row>
    <row r="22" spans="1:12" ht="20.149999999999999" customHeight="1">
      <c r="A22" s="190"/>
      <c r="B22" s="110" t="s">
        <v>104</v>
      </c>
      <c r="C22" s="299">
        <f ca="1">シミュレーション!N32</f>
        <v>1417980.0057578087</v>
      </c>
      <c r="D22" s="299">
        <f ca="1">シミュレーション!N62</f>
        <v>1618080.0093877316</v>
      </c>
      <c r="E22" s="298">
        <f ca="1">D22-C22</f>
        <v>200100.00362992287</v>
      </c>
      <c r="F22" s="208"/>
      <c r="G22" s="210"/>
      <c r="H22" s="110" t="s">
        <v>104</v>
      </c>
      <c r="I22" s="299">
        <v>1436796.0066515207</v>
      </c>
      <c r="J22" s="299">
        <v>1245312.0030257106</v>
      </c>
      <c r="K22" s="298">
        <v>-191484.00362581015</v>
      </c>
      <c r="L22" s="191"/>
    </row>
    <row r="23" spans="1:12" ht="20.149999999999999" customHeight="1" thickBot="1">
      <c r="A23" s="190"/>
      <c r="B23" s="178" t="s">
        <v>154</v>
      </c>
      <c r="C23" s="300">
        <f ca="1">C18-SUM(C19:C22)</f>
        <v>11848419.994242191</v>
      </c>
      <c r="D23" s="300">
        <f ca="1">D18-SUM(D19:D22)</f>
        <v>9723019.9906122684</v>
      </c>
      <c r="E23" s="300">
        <f ca="1">D23-C23</f>
        <v>-2125400.0036299229</v>
      </c>
      <c r="F23" s="208"/>
      <c r="G23" s="210"/>
      <c r="H23" s="178" t="s">
        <v>154</v>
      </c>
      <c r="I23" s="300">
        <v>-4506796.0066515207</v>
      </c>
      <c r="J23" s="300">
        <v>-4315312.0030257106</v>
      </c>
      <c r="K23" s="300">
        <v>191484.00362581015</v>
      </c>
      <c r="L23" s="191"/>
    </row>
    <row r="24" spans="1:12" ht="31.4" customHeight="1" thickTop="1" thickBot="1">
      <c r="A24" s="190"/>
      <c r="B24" s="286" t="s">
        <v>106</v>
      </c>
      <c r="C24" s="302">
        <f ca="1">C15+C23</f>
        <v>20939019.988484383</v>
      </c>
      <c r="D24" s="302">
        <f ca="1">D15+D23</f>
        <v>20668919.981224537</v>
      </c>
      <c r="E24" s="303">
        <f ca="1">E15+E23</f>
        <v>-270100.00725984573</v>
      </c>
      <c r="F24" s="287"/>
      <c r="G24" s="288"/>
      <c r="H24" s="286" t="s">
        <v>106</v>
      </c>
      <c r="I24" s="302">
        <v>5028187.9866969585</v>
      </c>
      <c r="J24" s="302">
        <v>2859555.9939485788</v>
      </c>
      <c r="K24" s="303">
        <v>-2168631.9927483797</v>
      </c>
      <c r="L24" s="191"/>
    </row>
    <row r="25" spans="1:12" ht="17.149999999999999" customHeight="1" thickTop="1">
      <c r="A25" s="190"/>
      <c r="B25" s="178" t="s">
        <v>221</v>
      </c>
      <c r="C25" s="298"/>
      <c r="D25" s="298"/>
      <c r="E25" s="301">
        <f>-E10</f>
        <v>0</v>
      </c>
      <c r="F25" s="191"/>
      <c r="G25" s="190"/>
      <c r="H25" s="178" t="s">
        <v>221</v>
      </c>
      <c r="I25" s="298"/>
      <c r="J25" s="298"/>
      <c r="K25" s="301">
        <v>3600000</v>
      </c>
      <c r="L25" s="191"/>
    </row>
    <row r="26" spans="1:12" ht="16">
      <c r="A26" s="192"/>
      <c r="B26" s="178" t="s">
        <v>180</v>
      </c>
      <c r="C26" s="304"/>
      <c r="D26" s="304"/>
      <c r="E26" s="305">
        <f ca="1">E13</f>
        <v>944600</v>
      </c>
      <c r="F26" s="191"/>
      <c r="G26" s="190"/>
      <c r="H26" s="178" t="s">
        <v>180</v>
      </c>
      <c r="I26" s="304"/>
      <c r="J26" s="304"/>
      <c r="K26" s="305">
        <v>-1048400</v>
      </c>
      <c r="L26" s="191"/>
    </row>
    <row r="27" spans="1:12" ht="16">
      <c r="A27" s="190"/>
      <c r="B27" s="178" t="s">
        <v>181</v>
      </c>
      <c r="C27" s="304"/>
      <c r="D27" s="304"/>
      <c r="E27" s="305">
        <f ca="1">E14+E22</f>
        <v>400200.00725984573</v>
      </c>
      <c r="F27" s="191"/>
      <c r="G27" s="190"/>
      <c r="H27" s="178" t="s">
        <v>181</v>
      </c>
      <c r="I27" s="304"/>
      <c r="J27" s="304"/>
      <c r="K27" s="305">
        <v>-382968.00725162029</v>
      </c>
      <c r="L27" s="191"/>
    </row>
    <row r="28" spans="1:12">
      <c r="A28" s="190"/>
      <c r="B28" s="253" t="s">
        <v>179</v>
      </c>
      <c r="C28" s="306"/>
      <c r="D28" s="306"/>
      <c r="E28" s="307">
        <f ca="1">E26+E27</f>
        <v>1344800.0072598457</v>
      </c>
      <c r="F28" s="191"/>
      <c r="G28" s="190"/>
      <c r="H28" s="253" t="s">
        <v>179</v>
      </c>
      <c r="I28" s="306"/>
      <c r="J28" s="306"/>
      <c r="K28" s="307">
        <v>-1431368.0072516203</v>
      </c>
      <c r="L28" s="191"/>
    </row>
    <row r="29" spans="1:12">
      <c r="A29" s="190"/>
      <c r="B29" s="253" t="s">
        <v>182</v>
      </c>
      <c r="C29" s="308"/>
      <c r="D29" s="308"/>
      <c r="E29" s="307">
        <f ca="1">E21</f>
        <v>-1074700</v>
      </c>
      <c r="F29" s="191"/>
      <c r="G29" s="190"/>
      <c r="H29" s="253" t="s">
        <v>182</v>
      </c>
      <c r="I29" s="308"/>
      <c r="J29" s="308"/>
      <c r="K29" s="307">
        <v>0</v>
      </c>
      <c r="L29" s="191"/>
    </row>
    <row r="30" spans="1:12" ht="15" thickBot="1">
      <c r="A30" s="190"/>
      <c r="B30" s="254" t="s">
        <v>183</v>
      </c>
      <c r="C30" s="309"/>
      <c r="D30" s="309"/>
      <c r="E30" s="310">
        <f ca="1">E28+E29</f>
        <v>270100.00725984573</v>
      </c>
      <c r="F30" s="191"/>
      <c r="G30" s="190"/>
      <c r="H30" s="254" t="s">
        <v>183</v>
      </c>
      <c r="I30" s="309"/>
      <c r="J30" s="309"/>
      <c r="K30" s="310">
        <v>-1431368.0072516203</v>
      </c>
      <c r="L30" s="191"/>
    </row>
    <row r="31" spans="1:12" ht="15" thickTop="1">
      <c r="A31" s="255"/>
      <c r="B31" s="256"/>
      <c r="C31" s="257"/>
      <c r="D31" s="257"/>
      <c r="E31" s="258"/>
      <c r="F31" s="259"/>
      <c r="G31" s="255"/>
      <c r="H31" s="256"/>
      <c r="I31" s="257"/>
      <c r="J31" s="257"/>
      <c r="K31" s="258"/>
      <c r="L31" s="259"/>
    </row>
  </sheetData>
  <sheetProtection sheet="1" objects="1" scenarios="1"/>
  <phoneticPr fontId="7"/>
  <conditionalFormatting sqref="A1:XFD1 A31:XFD1048576 A10 C10:D10 A9:D9 E9:G10 L2:XFD30 I10:J10 H9:J9 K9:K10 A2:K8 A11:K30">
    <cfRule type="expression" dxfId="4" priority="8">
      <formula>CELL("protect", A1)=0</formula>
    </cfRule>
  </conditionalFormatting>
  <conditionalFormatting sqref="C7:G27 I7:K27">
    <cfRule type="expression" dxfId="3" priority="9" stopIfTrue="1">
      <formula>$AT$1=2</formula>
    </cfRule>
  </conditionalFormatting>
  <conditionalFormatting sqref="E28:G30 K28:K30">
    <cfRule type="expression" dxfId="2" priority="10" stopIfTrue="1">
      <formula>$AT$1=2</formula>
    </cfRule>
  </conditionalFormatting>
  <conditionalFormatting sqref="B10">
    <cfRule type="expression" dxfId="1" priority="7" stopIfTrue="1">
      <formula>CELL("protect", B10) = 0</formula>
    </cfRule>
  </conditionalFormatting>
  <conditionalFormatting sqref="H10">
    <cfRule type="expression" dxfId="0" priority="1" stopIfTrue="1">
      <formula>CELL("protect", H10) = 0</formula>
    </cfRule>
  </conditionalFormatting>
  <pageMargins left="0.5" right="0.5" top="0.5" bottom="0.5" header="0.3" footer="0.3"/>
  <pageSetup paperSize="9" scale="8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py_plan">
                <anchor>
                  <from>
                    <xdr:col>6</xdr:col>
                    <xdr:colOff>527050</xdr:colOff>
                    <xdr:row>0</xdr:row>
                    <xdr:rowOff>31750</xdr:rowOff>
                  </from>
                  <to>
                    <xdr:col>8</xdr:col>
                    <xdr:colOff>381000</xdr:colOff>
                    <xdr:row>0</xdr:row>
                    <xdr:rowOff>374650</xdr:rowOff>
                  </to>
                </anchor>
              </controlPr>
            </control>
          </mc:Choice>
        </mc:AlternateContent>
        <mc:AlternateContent xmlns:mc="http://schemas.openxmlformats.org/markup-compatibility/2006">
          <mc:Choice Requires="x14">
            <control shapeId="6146" r:id="rId5" name="ボタン 92">
              <controlPr defaultSize="0" print="0" autoFill="0" autoPict="0" macro="[0]!印刷報告書">
                <anchor moveWithCells="1" sizeWithCells="1">
                  <from>
                    <xdr:col>12</xdr:col>
                    <xdr:colOff>107950</xdr:colOff>
                    <xdr:row>0</xdr:row>
                    <xdr:rowOff>107950</xdr:rowOff>
                  </from>
                  <to>
                    <xdr:col>14</xdr:col>
                    <xdr:colOff>336550</xdr:colOff>
                    <xdr:row>0</xdr:row>
                    <xdr:rowOff>419100</xdr:rowOff>
                  </to>
                </anchor>
              </controlPr>
            </control>
          </mc:Choice>
        </mc:AlternateContent>
        <mc:AlternateContent xmlns:mc="http://schemas.openxmlformats.org/markup-compatibility/2006">
          <mc:Choice Requires="x14">
            <control shapeId="6147" r:id="rId6" name="Option Button 3">
              <controlPr defaultSize="0" autoFill="0" autoLine="0" autoPict="0">
                <anchor moveWithCells="1">
                  <from>
                    <xdr:col>4</xdr:col>
                    <xdr:colOff>374650</xdr:colOff>
                    <xdr:row>0</xdr:row>
                    <xdr:rowOff>31750</xdr:rowOff>
                  </from>
                  <to>
                    <xdr:col>4</xdr:col>
                    <xdr:colOff>800100</xdr:colOff>
                    <xdr:row>0</xdr:row>
                    <xdr:rowOff>374650</xdr:rowOff>
                  </to>
                </anchor>
              </controlPr>
            </control>
          </mc:Choice>
        </mc:AlternateContent>
        <mc:AlternateContent xmlns:mc="http://schemas.openxmlformats.org/markup-compatibility/2006">
          <mc:Choice Requires="x14">
            <control shapeId="6148" r:id="rId7" name="Option Button 4">
              <controlPr defaultSize="0" autoFill="0" autoLine="0" autoPict="0">
                <anchor moveWithCells="1">
                  <from>
                    <xdr:col>4</xdr:col>
                    <xdr:colOff>374650</xdr:colOff>
                    <xdr:row>0</xdr:row>
                    <xdr:rowOff>304800</xdr:rowOff>
                  </from>
                  <to>
                    <xdr:col>5</xdr:col>
                    <xdr:colOff>260350</xdr:colOff>
                    <xdr:row>0</xdr:row>
                    <xdr:rowOff>552450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ワークシート</vt:lpstr>
      </vt:variant>
      <vt:variant>
        <vt:i4>5</vt:i4>
      </vt:variant>
      <vt:variant>
        <vt:lpstr>グラフ</vt:lpstr>
      </vt:variant>
      <vt:variant>
        <vt:i4>1</vt:i4>
      </vt:variant>
      <vt:variant>
        <vt:lpstr>名前付き一覧</vt:lpstr>
      </vt:variant>
      <vt:variant>
        <vt:i4>3</vt:i4>
      </vt:variant>
    </vt:vector>
  </HeadingPairs>
  <TitlesOfParts>
    <vt:vector size="9" baseType="lpstr">
      <vt:lpstr>HOME</vt:lpstr>
      <vt:lpstr>シミュレーション</vt:lpstr>
      <vt:lpstr>法人税</vt:lpstr>
      <vt:lpstr>最適化</vt:lpstr>
      <vt:lpstr>報告書</vt:lpstr>
      <vt:lpstr>グラフ1</vt:lpstr>
      <vt:lpstr>シミュレーション!Print_Area</vt:lpstr>
      <vt:lpstr>報告書!Print_Area</vt:lpstr>
      <vt:lpstr>法人税!Print_Area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manabuchan</dc:creator>
  <cp:lastModifiedBy>近藤学</cp:lastModifiedBy>
  <cp:lastPrinted>2025-10-22T02:35:55Z</cp:lastPrinted>
  <dcterms:created xsi:type="dcterms:W3CDTF">2018-03-21T10:28:10Z</dcterms:created>
  <dcterms:modified xsi:type="dcterms:W3CDTF">2026-03-18T12:31:26Z</dcterms:modified>
</cp:coreProperties>
</file>